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5" yWindow="2445" windowWidth="28830" windowHeight="2460" tabRatio="866" activeTab="3"/>
  </bookViews>
  <sheets>
    <sheet name="客戶編輯設定自動代出" sheetId="25" r:id="rId1"/>
    <sheet name="廠商編輯設定自動代出" sheetId="14" r:id="rId2"/>
    <sheet name="工作人員.發票格式.KEY法說明" sheetId="22" r:id="rId3"/>
    <sheet name="銷項" sheetId="23" r:id="rId4"/>
    <sheet name="中華全佑27911467-營業稅扣抵" sheetId="4" r:id="rId5"/>
    <sheet name="中華全佑-費用扣抵" sheetId="19" r:id="rId6"/>
    <sheet name="私人收據" sheetId="18" r:id="rId7"/>
    <sheet name="上期留抵發票明細" sheetId="26" r:id="rId8"/>
  </sheets>
  <externalReferences>
    <externalReference r:id="rId9"/>
    <externalReference r:id="rId10"/>
  </externalReferences>
  <definedNames>
    <definedName name="_xlnm._FilterDatabase" localSheetId="4" hidden="1">'中華全佑27911467-營業稅扣抵'!$A$2:$U$210</definedName>
    <definedName name="_xlnm._FilterDatabase" localSheetId="5" hidden="1">'中華全佑-費用扣抵'!$A$2:$AD$2</definedName>
    <definedName name="_xlnm._FilterDatabase" localSheetId="6" hidden="1">私人收據!$A$2:$L$2</definedName>
    <definedName name="_xlnm._FilterDatabase" localSheetId="0" hidden="1">客戶編輯設定自動代出!$A$1:$C$782</definedName>
    <definedName name="_xlnm._FilterDatabase" localSheetId="1" hidden="1">廠商編輯設定自動代出!$A$1:$C$170</definedName>
    <definedName name="_xlnm._FilterDatabase" localSheetId="3" hidden="1">銷項!$A$2:$CA$253</definedName>
  </definedNames>
  <calcPr calcId="145621" iterate="1"/>
</workbook>
</file>

<file path=xl/calcChain.xml><?xml version="1.0" encoding="utf-8"?>
<calcChain xmlns="http://schemas.openxmlformats.org/spreadsheetml/2006/main">
  <c r="E42" i="23" l="1"/>
  <c r="F42" i="23"/>
  <c r="E43" i="23"/>
  <c r="F43" i="23"/>
  <c r="E44" i="23"/>
  <c r="F44" i="23"/>
  <c r="E45" i="23"/>
  <c r="F45" i="23"/>
  <c r="E46" i="23"/>
  <c r="F46" i="23"/>
  <c r="E47" i="23"/>
  <c r="F47" i="23"/>
  <c r="E48" i="23"/>
  <c r="F48" i="23"/>
  <c r="E49" i="23"/>
  <c r="F49" i="23"/>
  <c r="E50" i="23"/>
  <c r="F50" i="23"/>
  <c r="E51" i="23"/>
  <c r="F51" i="23"/>
  <c r="E52" i="23"/>
  <c r="F52" i="23"/>
  <c r="E53" i="23"/>
  <c r="F53" i="23"/>
  <c r="E54" i="23"/>
  <c r="F54" i="23"/>
  <c r="E55" i="23"/>
  <c r="F55" i="23"/>
  <c r="E56" i="23"/>
  <c r="F56" i="23"/>
  <c r="E57" i="23"/>
  <c r="F57" i="23"/>
  <c r="E58" i="23"/>
  <c r="F58" i="23"/>
  <c r="E59" i="23"/>
  <c r="F59" i="23"/>
  <c r="E60" i="23"/>
  <c r="F60" i="23"/>
  <c r="E61" i="23"/>
  <c r="F61" i="23"/>
  <c r="E62" i="23"/>
  <c r="F62" i="23"/>
  <c r="E63" i="23"/>
  <c r="F63" i="23"/>
  <c r="E64" i="23"/>
  <c r="F64" i="23"/>
  <c r="E65" i="23"/>
  <c r="F65" i="23"/>
  <c r="E66" i="23"/>
  <c r="F66" i="23"/>
  <c r="E67" i="23"/>
  <c r="F67" i="23"/>
  <c r="E68" i="23"/>
  <c r="F68" i="23"/>
  <c r="E69" i="23"/>
  <c r="F69" i="23"/>
  <c r="E70" i="23"/>
  <c r="F70" i="23"/>
  <c r="E71" i="23"/>
  <c r="F71" i="23"/>
  <c r="E72" i="23"/>
  <c r="F72" i="23"/>
  <c r="E73" i="23"/>
  <c r="F73" i="23"/>
  <c r="E74" i="23"/>
  <c r="F74" i="23"/>
  <c r="E75" i="23"/>
  <c r="F75" i="23"/>
  <c r="E76" i="23"/>
  <c r="F76" i="23"/>
  <c r="E77" i="23"/>
  <c r="F77" i="23"/>
  <c r="E78" i="23"/>
  <c r="F78" i="23"/>
  <c r="E79" i="23"/>
  <c r="F79" i="23"/>
  <c r="E80" i="23"/>
  <c r="F80" i="23"/>
  <c r="E81" i="23"/>
  <c r="F81" i="23"/>
  <c r="E82" i="23"/>
  <c r="F82" i="23"/>
  <c r="E83" i="23"/>
  <c r="F83" i="23"/>
  <c r="E84" i="23"/>
  <c r="F84" i="23"/>
  <c r="E85" i="23"/>
  <c r="F85" i="23"/>
  <c r="E86" i="23"/>
  <c r="F86" i="23"/>
  <c r="E87" i="23"/>
  <c r="F87" i="23"/>
  <c r="E88" i="23"/>
  <c r="F88" i="23"/>
  <c r="E89" i="23"/>
  <c r="F89" i="23"/>
  <c r="E90" i="23"/>
  <c r="F90" i="23"/>
  <c r="E91" i="23"/>
  <c r="F91" i="23"/>
  <c r="E92" i="23"/>
  <c r="F92" i="23"/>
  <c r="E93" i="23"/>
  <c r="F93" i="23"/>
  <c r="E94" i="23"/>
  <c r="F94" i="23"/>
  <c r="E95" i="23"/>
  <c r="F95" i="23"/>
  <c r="E96" i="23"/>
  <c r="F96" i="23"/>
  <c r="E97" i="23"/>
  <c r="F97" i="23"/>
  <c r="K42" i="23"/>
  <c r="M42" i="23"/>
  <c r="N42" i="23"/>
  <c r="O42" i="23"/>
  <c r="K43" i="23"/>
  <c r="M43" i="23"/>
  <c r="N43" i="23"/>
  <c r="O43" i="23"/>
  <c r="K44" i="23"/>
  <c r="O44" i="23" s="1"/>
  <c r="M44" i="23"/>
  <c r="N44" i="23" s="1"/>
  <c r="K45" i="23"/>
  <c r="M45" i="23"/>
  <c r="N45" i="23"/>
  <c r="O45" i="23"/>
  <c r="K46" i="23"/>
  <c r="M46" i="23"/>
  <c r="N46" i="23"/>
  <c r="O46" i="23"/>
  <c r="K47" i="23"/>
  <c r="M47" i="23"/>
  <c r="N47" i="23"/>
  <c r="O47" i="23"/>
  <c r="K48" i="23"/>
  <c r="O48" i="23" s="1"/>
  <c r="M48" i="23"/>
  <c r="N48" i="23" s="1"/>
  <c r="K49" i="23"/>
  <c r="M49" i="23"/>
  <c r="N49" i="23"/>
  <c r="O49" i="23"/>
  <c r="K50" i="23"/>
  <c r="M50" i="23"/>
  <c r="N50" i="23"/>
  <c r="O50" i="23"/>
  <c r="K51" i="23"/>
  <c r="M51" i="23"/>
  <c r="N51" i="23"/>
  <c r="O51" i="23"/>
  <c r="K52" i="23"/>
  <c r="O52" i="23" s="1"/>
  <c r="M52" i="23"/>
  <c r="N52" i="23" s="1"/>
  <c r="K53" i="23"/>
  <c r="M53" i="23"/>
  <c r="N53" i="23"/>
  <c r="O53" i="23"/>
  <c r="K54" i="23"/>
  <c r="M54" i="23"/>
  <c r="N54" i="23"/>
  <c r="O54" i="23"/>
  <c r="K55" i="23"/>
  <c r="M55" i="23"/>
  <c r="N55" i="23"/>
  <c r="O55" i="23"/>
  <c r="K56" i="23"/>
  <c r="O56" i="23" s="1"/>
  <c r="M56" i="23"/>
  <c r="N56" i="23" s="1"/>
  <c r="K57" i="23"/>
  <c r="M57" i="23"/>
  <c r="N57" i="23"/>
  <c r="O57" i="23"/>
  <c r="K58" i="23"/>
  <c r="M58" i="23"/>
  <c r="N58" i="23"/>
  <c r="O58" i="23"/>
  <c r="K59" i="23"/>
  <c r="M59" i="23"/>
  <c r="N59" i="23"/>
  <c r="O59" i="23"/>
  <c r="K60" i="23"/>
  <c r="O60" i="23" s="1"/>
  <c r="M60" i="23"/>
  <c r="N60" i="23" s="1"/>
  <c r="K61" i="23"/>
  <c r="M61" i="23"/>
  <c r="N61" i="23"/>
  <c r="O61" i="23"/>
  <c r="K62" i="23"/>
  <c r="M62" i="23"/>
  <c r="N62" i="23"/>
  <c r="O62" i="23"/>
  <c r="K63" i="23"/>
  <c r="M63" i="23"/>
  <c r="N63" i="23"/>
  <c r="O63" i="23"/>
  <c r="K64" i="23"/>
  <c r="O64" i="23" s="1"/>
  <c r="M64" i="23"/>
  <c r="N64" i="23" s="1"/>
  <c r="K65" i="23"/>
  <c r="M65" i="23"/>
  <c r="N65" i="23"/>
  <c r="O65" i="23"/>
  <c r="K66" i="23"/>
  <c r="M66" i="23"/>
  <c r="N66" i="23"/>
  <c r="O66" i="23"/>
  <c r="K67" i="23"/>
  <c r="M67" i="23"/>
  <c r="N67" i="23"/>
  <c r="O67" i="23"/>
  <c r="K68" i="23"/>
  <c r="O68" i="23" s="1"/>
  <c r="M68" i="23"/>
  <c r="N68" i="23" s="1"/>
  <c r="K69" i="23"/>
  <c r="M69" i="23"/>
  <c r="N69" i="23"/>
  <c r="O69" i="23"/>
  <c r="K70" i="23"/>
  <c r="M70" i="23"/>
  <c r="N70" i="23"/>
  <c r="O70" i="23"/>
  <c r="K71" i="23"/>
  <c r="M71" i="23"/>
  <c r="N71" i="23"/>
  <c r="O71" i="23"/>
  <c r="K72" i="23"/>
  <c r="O72" i="23" s="1"/>
  <c r="M72" i="23"/>
  <c r="N72" i="23" s="1"/>
  <c r="K73" i="23"/>
  <c r="M73" i="23"/>
  <c r="N73" i="23"/>
  <c r="O73" i="23"/>
  <c r="K74" i="23"/>
  <c r="M74" i="23"/>
  <c r="N74" i="23"/>
  <c r="O74" i="23"/>
  <c r="K75" i="23"/>
  <c r="M75" i="23"/>
  <c r="N75" i="23"/>
  <c r="O75" i="23"/>
  <c r="K76" i="23"/>
  <c r="O76" i="23" s="1"/>
  <c r="M76" i="23"/>
  <c r="N76" i="23" s="1"/>
  <c r="K77" i="23"/>
  <c r="M77" i="23"/>
  <c r="N77" i="23"/>
  <c r="O77" i="23"/>
  <c r="K78" i="23"/>
  <c r="M78" i="23"/>
  <c r="N78" i="23"/>
  <c r="O78" i="23"/>
  <c r="K79" i="23"/>
  <c r="M79" i="23"/>
  <c r="N79" i="23"/>
  <c r="O79" i="23"/>
  <c r="K80" i="23"/>
  <c r="O80" i="23" s="1"/>
  <c r="M80" i="23"/>
  <c r="N80" i="23" s="1"/>
  <c r="K81" i="23"/>
  <c r="M81" i="23"/>
  <c r="N81" i="23"/>
  <c r="O81" i="23"/>
  <c r="K82" i="23"/>
  <c r="M82" i="23"/>
  <c r="N82" i="23"/>
  <c r="O82" i="23"/>
  <c r="K83" i="23"/>
  <c r="M83" i="23"/>
  <c r="N83" i="23"/>
  <c r="O83" i="23"/>
  <c r="K84" i="23"/>
  <c r="O84" i="23" s="1"/>
  <c r="M84" i="23"/>
  <c r="N84" i="23" s="1"/>
  <c r="K85" i="23"/>
  <c r="M85" i="23"/>
  <c r="N85" i="23"/>
  <c r="O85" i="23"/>
  <c r="K86" i="23"/>
  <c r="M86" i="23"/>
  <c r="N86" i="23"/>
  <c r="O86" i="23"/>
  <c r="K87" i="23"/>
  <c r="M87" i="23"/>
  <c r="N87" i="23"/>
  <c r="O87" i="23"/>
  <c r="K88" i="23"/>
  <c r="O88" i="23" s="1"/>
  <c r="M88" i="23"/>
  <c r="N88" i="23" s="1"/>
  <c r="K89" i="23"/>
  <c r="M89" i="23"/>
  <c r="N89" i="23"/>
  <c r="O89" i="23"/>
  <c r="K90" i="23"/>
  <c r="M90" i="23"/>
  <c r="N90" i="23"/>
  <c r="O90" i="23"/>
  <c r="K91" i="23"/>
  <c r="M91" i="23"/>
  <c r="N91" i="23"/>
  <c r="O91" i="23"/>
  <c r="K92" i="23"/>
  <c r="O92" i="23" s="1"/>
  <c r="M92" i="23"/>
  <c r="N92" i="23" s="1"/>
  <c r="K93" i="23"/>
  <c r="M93" i="23"/>
  <c r="N93" i="23"/>
  <c r="O93" i="23"/>
  <c r="K94" i="23"/>
  <c r="M94" i="23"/>
  <c r="N94" i="23"/>
  <c r="O94" i="23"/>
  <c r="K95" i="23"/>
  <c r="M95" i="23"/>
  <c r="N95" i="23"/>
  <c r="O95" i="23"/>
  <c r="K96" i="23"/>
  <c r="O96" i="23" s="1"/>
  <c r="M96" i="23"/>
  <c r="N96" i="23" s="1"/>
  <c r="Z3" i="23"/>
  <c r="AA3" i="23"/>
  <c r="Z4" i="23"/>
  <c r="AA4" i="23"/>
  <c r="Z5" i="23"/>
  <c r="AA5" i="23"/>
  <c r="Z6" i="23"/>
  <c r="AA6" i="23"/>
  <c r="Z7" i="23"/>
  <c r="AA7" i="23"/>
  <c r="Z8" i="23"/>
  <c r="AA8" i="23"/>
  <c r="Z9" i="23"/>
  <c r="AA9" i="23"/>
  <c r="Z10" i="23"/>
  <c r="AA10" i="23"/>
  <c r="Z11" i="23"/>
  <c r="AA11" i="23"/>
  <c r="Z12" i="23"/>
  <c r="AA12" i="23"/>
  <c r="Z13" i="23"/>
  <c r="AA13" i="23"/>
  <c r="Z14" i="23"/>
  <c r="AA14" i="23"/>
  <c r="Z15" i="23"/>
  <c r="AA15" i="23"/>
  <c r="Z16" i="23"/>
  <c r="AA16" i="23"/>
  <c r="Z17" i="23"/>
  <c r="AA17" i="23"/>
  <c r="Z18" i="23"/>
  <c r="AA18" i="23"/>
  <c r="Z19" i="23"/>
  <c r="AA19" i="23"/>
  <c r="Z20" i="23"/>
  <c r="AA20" i="23"/>
  <c r="Z21" i="23"/>
  <c r="AA21" i="23"/>
  <c r="Z22" i="23"/>
  <c r="AA22" i="23"/>
  <c r="Z23" i="23"/>
  <c r="AA23" i="23"/>
  <c r="Z24" i="23"/>
  <c r="AA24" i="23"/>
  <c r="Z25" i="23"/>
  <c r="AA25" i="23"/>
  <c r="Z26" i="23"/>
  <c r="AA26" i="23"/>
  <c r="Z27" i="23"/>
  <c r="AA27" i="23"/>
  <c r="Z28" i="23"/>
  <c r="AA28" i="23"/>
  <c r="Z29" i="23"/>
  <c r="AA29" i="23"/>
  <c r="Z30" i="23"/>
  <c r="AA30" i="23"/>
  <c r="Z31" i="23"/>
  <c r="AA31" i="23"/>
  <c r="Z32" i="23"/>
  <c r="AA32" i="23"/>
  <c r="Z33" i="23"/>
  <c r="AA33" i="23"/>
  <c r="Z34" i="23"/>
  <c r="AA34" i="23"/>
  <c r="Z35" i="23"/>
  <c r="AA35" i="23"/>
  <c r="Z36" i="23"/>
  <c r="AA36" i="23"/>
  <c r="Z37" i="23"/>
  <c r="AA37" i="23"/>
  <c r="Z38" i="23"/>
  <c r="AA38" i="23"/>
  <c r="Z39" i="23"/>
  <c r="AA39" i="23"/>
  <c r="Z40" i="23"/>
  <c r="AA40" i="23"/>
  <c r="Z41" i="23"/>
  <c r="AA41" i="23"/>
  <c r="Z42" i="23"/>
  <c r="AA42" i="23"/>
  <c r="AF3" i="23"/>
  <c r="AH3" i="23"/>
  <c r="AI3" i="23" s="1"/>
  <c r="AJ3" i="23"/>
  <c r="AF4" i="23"/>
  <c r="AH4" i="23"/>
  <c r="AI4" i="23"/>
  <c r="AJ4" i="23"/>
  <c r="AF5" i="23"/>
  <c r="AH5" i="23"/>
  <c r="AI5" i="23"/>
  <c r="AJ5" i="23"/>
  <c r="AF6" i="23"/>
  <c r="AH6" i="23"/>
  <c r="AI6" i="23"/>
  <c r="AJ6" i="23"/>
  <c r="AF7" i="23"/>
  <c r="AH7" i="23"/>
  <c r="AI7" i="23" s="1"/>
  <c r="AJ7" i="23"/>
  <c r="AF8" i="23"/>
  <c r="AH8" i="23"/>
  <c r="AI8" i="23"/>
  <c r="AJ8" i="23"/>
  <c r="AF9" i="23"/>
  <c r="AH9" i="23"/>
  <c r="AI9" i="23"/>
  <c r="AJ9" i="23"/>
  <c r="AF10" i="23"/>
  <c r="AH10" i="23"/>
  <c r="AI10" i="23"/>
  <c r="AJ10" i="23"/>
  <c r="AF11" i="23"/>
  <c r="AH11" i="23"/>
  <c r="AI11" i="23" s="1"/>
  <c r="AJ11" i="23"/>
  <c r="AF12" i="23"/>
  <c r="AH12" i="23"/>
  <c r="AI12" i="23"/>
  <c r="AJ12" i="23"/>
  <c r="AF13" i="23"/>
  <c r="AH13" i="23"/>
  <c r="AI13" i="23"/>
  <c r="AJ13" i="23"/>
  <c r="AF14" i="23"/>
  <c r="AH14" i="23"/>
  <c r="AI14" i="23"/>
  <c r="AJ14" i="23"/>
  <c r="AF15" i="23"/>
  <c r="AH15" i="23"/>
  <c r="AI15" i="23" s="1"/>
  <c r="AJ15" i="23"/>
  <c r="AF16" i="23"/>
  <c r="AH16" i="23"/>
  <c r="AI16" i="23"/>
  <c r="AJ16" i="23"/>
  <c r="AF17" i="23"/>
  <c r="AH17" i="23"/>
  <c r="AI17" i="23"/>
  <c r="AJ17" i="23"/>
  <c r="AF18" i="23"/>
  <c r="AH18" i="23"/>
  <c r="AI18" i="23"/>
  <c r="AJ18" i="23"/>
  <c r="AF19" i="23"/>
  <c r="AH19" i="23"/>
  <c r="AI19" i="23" s="1"/>
  <c r="AJ19" i="23"/>
  <c r="AF20" i="23"/>
  <c r="AH20" i="23"/>
  <c r="AI20" i="23"/>
  <c r="AJ20" i="23"/>
  <c r="AF21" i="23"/>
  <c r="AH21" i="23"/>
  <c r="AI21" i="23"/>
  <c r="AJ21" i="23"/>
  <c r="AF22" i="23"/>
  <c r="AH22" i="23"/>
  <c r="AI22" i="23"/>
  <c r="AJ22" i="23"/>
  <c r="AF23" i="23"/>
  <c r="AH23" i="23"/>
  <c r="AI23" i="23" s="1"/>
  <c r="AJ23" i="23"/>
  <c r="AF24" i="23"/>
  <c r="AH24" i="23"/>
  <c r="AI24" i="23"/>
  <c r="AJ24" i="23"/>
  <c r="AF25" i="23"/>
  <c r="AH25" i="23"/>
  <c r="AI25" i="23"/>
  <c r="AJ25" i="23"/>
  <c r="AF26" i="23"/>
  <c r="AH26" i="23"/>
  <c r="AI26" i="23"/>
  <c r="AJ26" i="23"/>
  <c r="AF27" i="23"/>
  <c r="AH27" i="23"/>
  <c r="AI27" i="23" s="1"/>
  <c r="AJ27" i="23"/>
  <c r="AF28" i="23"/>
  <c r="AH28" i="23"/>
  <c r="AI28" i="23"/>
  <c r="AJ28" i="23"/>
  <c r="AF29" i="23"/>
  <c r="AH29" i="23"/>
  <c r="AI29" i="23"/>
  <c r="AJ29" i="23"/>
  <c r="AF30" i="23"/>
  <c r="AH30" i="23"/>
  <c r="AI30" i="23"/>
  <c r="AJ30" i="23"/>
  <c r="AF31" i="23"/>
  <c r="AH31" i="23"/>
  <c r="AI31" i="23"/>
  <c r="AJ31" i="23"/>
  <c r="AF32" i="23"/>
  <c r="AH32" i="23"/>
  <c r="AI32" i="23"/>
  <c r="AJ32" i="23"/>
  <c r="AF33" i="23"/>
  <c r="AH33" i="23"/>
  <c r="AI33" i="23"/>
  <c r="AJ33" i="23"/>
  <c r="AF34" i="23"/>
  <c r="AH34" i="23"/>
  <c r="AI34" i="23"/>
  <c r="AJ34" i="23"/>
  <c r="AF35" i="23"/>
  <c r="AH35" i="23"/>
  <c r="AI35" i="23"/>
  <c r="AJ35" i="23"/>
  <c r="AF36" i="23"/>
  <c r="AH36" i="23"/>
  <c r="AI36" i="23"/>
  <c r="AJ36" i="23"/>
  <c r="AF37" i="23"/>
  <c r="AH37" i="23"/>
  <c r="AI37" i="23"/>
  <c r="AJ37" i="23"/>
  <c r="AF38" i="23"/>
  <c r="AH38" i="23"/>
  <c r="AI38" i="23" s="1"/>
  <c r="AJ38" i="23"/>
  <c r="AF39" i="23"/>
  <c r="AH39" i="23"/>
  <c r="AI39" i="23"/>
  <c r="AJ39" i="23"/>
  <c r="AF40" i="23"/>
  <c r="AH40" i="23"/>
  <c r="AI40" i="23"/>
  <c r="AJ40" i="23"/>
  <c r="AF41" i="23"/>
  <c r="AH41" i="23"/>
  <c r="AI41" i="23"/>
  <c r="AJ41" i="23"/>
  <c r="AF42" i="23"/>
  <c r="AH42" i="23"/>
  <c r="AI42" i="23"/>
  <c r="AJ42" i="23"/>
  <c r="AF43" i="23"/>
  <c r="AH43" i="23"/>
  <c r="AI43" i="23"/>
  <c r="AJ43" i="23"/>
  <c r="AF44" i="23"/>
  <c r="AH44" i="23"/>
  <c r="AI44" i="23"/>
  <c r="AJ44" i="23"/>
  <c r="AF45" i="23"/>
  <c r="AH45" i="23"/>
  <c r="AI45" i="23"/>
  <c r="AJ45" i="23"/>
  <c r="AF46" i="23"/>
  <c r="AH46" i="23"/>
  <c r="AI46" i="23"/>
  <c r="AJ46" i="23"/>
  <c r="AF47" i="23"/>
  <c r="AH47" i="23"/>
  <c r="AI47" i="23"/>
  <c r="AJ47" i="23"/>
  <c r="AF48" i="23"/>
  <c r="AH48" i="23"/>
  <c r="AI48" i="23"/>
  <c r="AJ48" i="23"/>
  <c r="AF49" i="23"/>
  <c r="AH49" i="23"/>
  <c r="AI49" i="23"/>
  <c r="AJ49" i="23"/>
  <c r="AF50" i="23"/>
  <c r="AH50" i="23"/>
  <c r="AI50" i="23"/>
  <c r="AJ50" i="23"/>
  <c r="AF51" i="23"/>
  <c r="AH51" i="23"/>
  <c r="AI51" i="23"/>
  <c r="AJ51" i="23"/>
  <c r="E42" i="4"/>
  <c r="F42" i="4"/>
  <c r="L42" i="4"/>
  <c r="N42" i="4"/>
  <c r="O42" i="4" s="1"/>
  <c r="E43" i="4"/>
  <c r="F43" i="4"/>
  <c r="L43" i="4"/>
  <c r="N43" i="4"/>
  <c r="O43" i="4" s="1"/>
  <c r="E44" i="4"/>
  <c r="F44" i="4"/>
  <c r="L44" i="4"/>
  <c r="N44" i="4"/>
  <c r="O44" i="4"/>
  <c r="E45" i="4"/>
  <c r="F45" i="4"/>
  <c r="L45" i="4"/>
  <c r="N45" i="4"/>
  <c r="O45" i="4"/>
  <c r="E46" i="4"/>
  <c r="F46" i="4"/>
  <c r="L46" i="4"/>
  <c r="N46" i="4"/>
  <c r="O46" i="4"/>
  <c r="E47" i="4"/>
  <c r="F47" i="4"/>
  <c r="L47" i="4"/>
  <c r="N47" i="4"/>
  <c r="O47" i="4" s="1"/>
  <c r="E48" i="4"/>
  <c r="F48" i="4"/>
  <c r="L48" i="4"/>
  <c r="N48" i="4"/>
  <c r="O48" i="4" s="1"/>
  <c r="E49" i="4"/>
  <c r="F49" i="4"/>
  <c r="L49" i="4"/>
  <c r="N49" i="4"/>
  <c r="O49" i="4" s="1"/>
  <c r="E50" i="4"/>
  <c r="F50" i="4"/>
  <c r="L50" i="4"/>
  <c r="N50" i="4"/>
  <c r="O50" i="4"/>
  <c r="E51" i="4"/>
  <c r="F51" i="4"/>
  <c r="L51" i="4"/>
  <c r="N51" i="4"/>
  <c r="O51" i="4" s="1"/>
  <c r="E52" i="4"/>
  <c r="F52" i="4"/>
  <c r="L52" i="4"/>
  <c r="N52" i="4"/>
  <c r="O52" i="4"/>
  <c r="E53" i="4"/>
  <c r="F53" i="4"/>
  <c r="L53" i="4"/>
  <c r="N53" i="4"/>
  <c r="O53" i="4" s="1"/>
  <c r="E54" i="4"/>
  <c r="F54" i="4"/>
  <c r="L54" i="4"/>
  <c r="N54" i="4"/>
  <c r="O54" i="4" s="1"/>
  <c r="E55" i="4"/>
  <c r="F55" i="4"/>
  <c r="L55" i="4"/>
  <c r="N55" i="4"/>
  <c r="O55" i="4"/>
  <c r="E56" i="4"/>
  <c r="F56" i="4"/>
  <c r="L56" i="4"/>
  <c r="N56" i="4"/>
  <c r="O56" i="4" s="1"/>
  <c r="E57" i="4"/>
  <c r="F57" i="4"/>
  <c r="L57" i="4"/>
  <c r="N57" i="4"/>
  <c r="O57" i="4"/>
  <c r="E58" i="4"/>
  <c r="F58" i="4"/>
  <c r="L58" i="4"/>
  <c r="N58" i="4"/>
  <c r="O58" i="4" s="1"/>
  <c r="E59" i="4"/>
  <c r="F59" i="4"/>
  <c r="L59" i="4"/>
  <c r="N59" i="4"/>
  <c r="O59" i="4" s="1"/>
  <c r="E60" i="4"/>
  <c r="F60" i="4"/>
  <c r="L60" i="4"/>
  <c r="N60" i="4"/>
  <c r="O60" i="4"/>
  <c r="E61" i="4"/>
  <c r="F61" i="4"/>
  <c r="L61" i="4"/>
  <c r="N61" i="4"/>
  <c r="O61" i="4"/>
  <c r="E62" i="4"/>
  <c r="F62" i="4"/>
  <c r="L62" i="4"/>
  <c r="N62" i="4"/>
  <c r="O62" i="4"/>
  <c r="E63" i="4"/>
  <c r="F63" i="4"/>
  <c r="L63" i="4"/>
  <c r="N63" i="4"/>
  <c r="O63" i="4" s="1"/>
  <c r="E64" i="4"/>
  <c r="F64" i="4"/>
  <c r="L64" i="4"/>
  <c r="N64" i="4"/>
  <c r="O64" i="4"/>
  <c r="E65" i="4"/>
  <c r="F65" i="4"/>
  <c r="L65" i="4"/>
  <c r="N65" i="4"/>
  <c r="O65" i="4" s="1"/>
  <c r="E66" i="4"/>
  <c r="F66" i="4"/>
  <c r="L66" i="4"/>
  <c r="N66" i="4"/>
  <c r="O66" i="4"/>
  <c r="E67" i="4"/>
  <c r="F67" i="4"/>
  <c r="L67" i="4"/>
  <c r="N67" i="4"/>
  <c r="O67" i="4" s="1"/>
  <c r="E68" i="4"/>
  <c r="F68" i="4"/>
  <c r="L68" i="4"/>
  <c r="N68" i="4"/>
  <c r="O68" i="4"/>
  <c r="E69" i="4"/>
  <c r="F69" i="4"/>
  <c r="L69" i="4"/>
  <c r="N69" i="4"/>
  <c r="O69" i="4" s="1"/>
  <c r="E70" i="4"/>
  <c r="F70" i="4"/>
  <c r="L70" i="4"/>
  <c r="N70" i="4"/>
  <c r="O70" i="4" s="1"/>
  <c r="E71" i="4"/>
  <c r="F71" i="4"/>
  <c r="L71" i="4"/>
  <c r="N71" i="4"/>
  <c r="O71" i="4"/>
  <c r="E72" i="4"/>
  <c r="F72" i="4"/>
  <c r="L72" i="4"/>
  <c r="N72" i="4"/>
  <c r="O72" i="4" s="1"/>
  <c r="E73" i="4"/>
  <c r="F73" i="4"/>
  <c r="L73" i="4"/>
  <c r="N73" i="4"/>
  <c r="O73" i="4"/>
  <c r="E74" i="4"/>
  <c r="F74" i="4"/>
  <c r="L74" i="4"/>
  <c r="N74" i="4"/>
  <c r="O74" i="4" s="1"/>
  <c r="E75" i="4"/>
  <c r="F75" i="4"/>
  <c r="L75" i="4"/>
  <c r="N75" i="4"/>
  <c r="O75" i="4" s="1"/>
  <c r="E76" i="4"/>
  <c r="F76" i="4"/>
  <c r="L76" i="4"/>
  <c r="N76" i="4"/>
  <c r="O76" i="4"/>
  <c r="E77" i="4"/>
  <c r="F77" i="4"/>
  <c r="L77" i="4"/>
  <c r="N77" i="4"/>
  <c r="O77" i="4"/>
  <c r="E78" i="4"/>
  <c r="F78" i="4"/>
  <c r="L78" i="4"/>
  <c r="N78" i="4"/>
  <c r="O78" i="4"/>
  <c r="E79" i="4"/>
  <c r="F79" i="4"/>
  <c r="L79" i="4"/>
  <c r="N79" i="4"/>
  <c r="O79" i="4" s="1"/>
  <c r="E80" i="4"/>
  <c r="F80" i="4"/>
  <c r="L80" i="4"/>
  <c r="N80" i="4"/>
  <c r="O80" i="4"/>
  <c r="E81" i="4"/>
  <c r="F81" i="4"/>
  <c r="L81" i="4"/>
  <c r="N81" i="4"/>
  <c r="O81" i="4" s="1"/>
  <c r="E82" i="4"/>
  <c r="F82" i="4"/>
  <c r="L82" i="4"/>
  <c r="N82" i="4"/>
  <c r="O82" i="4"/>
  <c r="E83" i="4"/>
  <c r="F83" i="4"/>
  <c r="L83" i="4"/>
  <c r="N83" i="4"/>
  <c r="O83" i="4" s="1"/>
  <c r="E84" i="4"/>
  <c r="F84" i="4"/>
  <c r="L84" i="4"/>
  <c r="N84" i="4"/>
  <c r="O84" i="4"/>
  <c r="E85" i="4"/>
  <c r="F85" i="4"/>
  <c r="L85" i="4"/>
  <c r="N85" i="4"/>
  <c r="O85" i="4" s="1"/>
  <c r="E86" i="4"/>
  <c r="F86" i="4"/>
  <c r="L86" i="4"/>
  <c r="N86" i="4"/>
  <c r="O86" i="4" s="1"/>
  <c r="E87" i="4"/>
  <c r="F87" i="4"/>
  <c r="L87" i="4"/>
  <c r="N87" i="4"/>
  <c r="O87" i="4" s="1"/>
  <c r="E88" i="4"/>
  <c r="F88" i="4"/>
  <c r="L88" i="4"/>
  <c r="N88" i="4"/>
  <c r="O88" i="4" s="1"/>
  <c r="E89" i="4"/>
  <c r="F89" i="4"/>
  <c r="L89" i="4"/>
  <c r="N89" i="4"/>
  <c r="O89" i="4"/>
  <c r="E90" i="4"/>
  <c r="F90" i="4"/>
  <c r="L90" i="4"/>
  <c r="N90" i="4"/>
  <c r="O90" i="4" s="1"/>
  <c r="E91" i="4"/>
  <c r="F91" i="4"/>
  <c r="L91" i="4"/>
  <c r="N91" i="4"/>
  <c r="O91" i="4" s="1"/>
  <c r="E92" i="4"/>
  <c r="F92" i="4"/>
  <c r="L92" i="4"/>
  <c r="N92" i="4"/>
  <c r="O92" i="4"/>
  <c r="E93" i="4"/>
  <c r="F93" i="4"/>
  <c r="L93" i="4"/>
  <c r="N93" i="4"/>
  <c r="O93" i="4"/>
  <c r="E94" i="4"/>
  <c r="F94" i="4"/>
  <c r="L94" i="4"/>
  <c r="N94" i="4"/>
  <c r="O94" i="4"/>
  <c r="E95" i="4"/>
  <c r="F95" i="4"/>
  <c r="L95" i="4"/>
  <c r="N95" i="4"/>
  <c r="O95" i="4" s="1"/>
  <c r="E96" i="4"/>
  <c r="F96" i="4"/>
  <c r="L96" i="4"/>
  <c r="N96" i="4"/>
  <c r="O96" i="4"/>
  <c r="E97" i="4"/>
  <c r="F97" i="4"/>
  <c r="L97" i="4"/>
  <c r="N97" i="4"/>
  <c r="O97" i="4" s="1"/>
  <c r="E98" i="4"/>
  <c r="F98" i="4"/>
  <c r="L98" i="4"/>
  <c r="N98" i="4"/>
  <c r="O98" i="4"/>
  <c r="E99" i="4"/>
  <c r="F99" i="4"/>
  <c r="L99" i="4"/>
  <c r="N99" i="4"/>
  <c r="O99" i="4" s="1"/>
  <c r="E100" i="4"/>
  <c r="F100" i="4"/>
  <c r="L100" i="4"/>
  <c r="N100" i="4"/>
  <c r="O100" i="4"/>
  <c r="E101" i="4"/>
  <c r="F101" i="4"/>
  <c r="L101" i="4"/>
  <c r="N101" i="4"/>
  <c r="O101" i="4" s="1"/>
  <c r="E102" i="4"/>
  <c r="F102" i="4"/>
  <c r="L102" i="4"/>
  <c r="N102" i="4"/>
  <c r="O102" i="4" s="1"/>
  <c r="E40" i="23" l="1"/>
  <c r="O12" i="4" l="1"/>
  <c r="F3" i="26" l="1"/>
  <c r="M17" i="23" l="1"/>
  <c r="K17" i="23"/>
  <c r="M19" i="23" l="1"/>
  <c r="K19" i="23"/>
  <c r="F12" i="23" l="1"/>
  <c r="E12" i="23"/>
  <c r="F9" i="23" l="1"/>
  <c r="E9" i="23"/>
  <c r="F8" i="23" l="1"/>
  <c r="E8" i="23"/>
  <c r="F6" i="23"/>
  <c r="E6" i="23"/>
  <c r="F4" i="23"/>
  <c r="E4" i="23"/>
  <c r="AU3" i="23" l="1"/>
  <c r="AV3" i="23"/>
  <c r="BA3" i="23"/>
  <c r="BE3" i="23" s="1"/>
  <c r="BC3" i="23"/>
  <c r="BD3" i="23" s="1"/>
  <c r="AU4" i="23"/>
  <c r="AV4" i="23"/>
  <c r="BA4" i="23"/>
  <c r="BE4" i="23" s="1"/>
  <c r="BC4" i="23"/>
  <c r="BD4" i="23" s="1"/>
  <c r="AU5" i="23"/>
  <c r="AV5" i="23"/>
  <c r="BA5" i="23"/>
  <c r="BE5" i="23" s="1"/>
  <c r="BC5" i="23"/>
  <c r="BD5" i="23" s="1"/>
  <c r="AU6" i="23"/>
  <c r="AV6" i="23"/>
  <c r="BA6" i="23"/>
  <c r="BE6" i="23" s="1"/>
  <c r="BC6" i="23"/>
  <c r="BD6" i="23" s="1"/>
  <c r="AU7" i="23"/>
  <c r="AV7" i="23"/>
  <c r="BA7" i="23"/>
  <c r="BE7" i="23" s="1"/>
  <c r="BC7" i="23"/>
  <c r="BD7" i="23" s="1"/>
  <c r="AU8" i="23"/>
  <c r="AV8" i="23"/>
  <c r="BA8" i="23"/>
  <c r="BE8" i="23" s="1"/>
  <c r="BC8" i="23"/>
  <c r="BD8" i="23" s="1"/>
  <c r="AU9" i="23"/>
  <c r="AV9" i="23"/>
  <c r="BA9" i="23"/>
  <c r="BE9" i="23" s="1"/>
  <c r="BC9" i="23"/>
  <c r="BD9" i="23" s="1"/>
  <c r="AU10" i="23"/>
  <c r="AV10" i="23"/>
  <c r="BA10" i="23"/>
  <c r="BE10" i="23" s="1"/>
  <c r="BC10" i="23"/>
  <c r="BD10" i="23" s="1"/>
  <c r="AU11" i="23"/>
  <c r="AV11" i="23"/>
  <c r="BA11" i="23"/>
  <c r="BE11" i="23" s="1"/>
  <c r="BC11" i="23"/>
  <c r="BD11" i="23" s="1"/>
  <c r="AU12" i="23"/>
  <c r="AV12" i="23"/>
  <c r="BA12" i="23"/>
  <c r="BE12" i="23" s="1"/>
  <c r="BC12" i="23"/>
  <c r="BD12" i="23" s="1"/>
  <c r="AU13" i="23"/>
  <c r="AV13" i="23"/>
  <c r="BA13" i="23"/>
  <c r="BE13" i="23" s="1"/>
  <c r="BC13" i="23"/>
  <c r="BD13" i="23" s="1"/>
  <c r="AU14" i="23"/>
  <c r="AV14" i="23"/>
  <c r="BA14" i="23"/>
  <c r="BE14" i="23" s="1"/>
  <c r="BC14" i="23"/>
  <c r="BD14" i="23" s="1"/>
  <c r="AU15" i="23"/>
  <c r="AV15" i="23"/>
  <c r="BA15" i="23"/>
  <c r="BC15" i="23"/>
  <c r="BD15" i="23" s="1"/>
  <c r="BE15" i="23"/>
  <c r="AU16" i="23"/>
  <c r="AV16" i="23"/>
  <c r="BA16" i="23"/>
  <c r="BE16" i="23" s="1"/>
  <c r="BC16" i="23"/>
  <c r="BD16" i="23" s="1"/>
  <c r="AU17" i="23"/>
  <c r="AV17" i="23"/>
  <c r="BA17" i="23"/>
  <c r="BE17" i="23" s="1"/>
  <c r="BC17" i="23"/>
  <c r="BD17" i="23" s="1"/>
  <c r="AU18" i="23"/>
  <c r="AV18" i="23"/>
  <c r="BA18" i="23"/>
  <c r="BE18" i="23" s="1"/>
  <c r="BC18" i="23"/>
  <c r="BD18" i="23" s="1"/>
  <c r="AU19" i="23"/>
  <c r="AV19" i="23"/>
  <c r="BA19" i="23"/>
  <c r="BE19" i="23" s="1"/>
  <c r="BC19" i="23"/>
  <c r="BD19" i="23" s="1"/>
  <c r="AU20" i="23"/>
  <c r="AV20" i="23"/>
  <c r="BA20" i="23"/>
  <c r="BE20" i="23" s="1"/>
  <c r="BC20" i="23"/>
  <c r="BD20" i="23" s="1"/>
  <c r="AU21" i="23"/>
  <c r="AV21" i="23"/>
  <c r="BA21" i="23"/>
  <c r="BE21" i="23" s="1"/>
  <c r="BC21" i="23"/>
  <c r="BD21" i="23" s="1"/>
  <c r="AU22" i="23"/>
  <c r="AV22" i="23"/>
  <c r="BA22" i="23"/>
  <c r="BE22" i="23" s="1"/>
  <c r="BC22" i="23"/>
  <c r="BD22" i="23" s="1"/>
  <c r="AU23" i="23"/>
  <c r="AV23" i="23"/>
  <c r="BA23" i="23"/>
  <c r="BE23" i="23" s="1"/>
  <c r="BC23" i="23"/>
  <c r="BD23" i="23" s="1"/>
  <c r="AU24" i="23"/>
  <c r="AV24" i="23"/>
  <c r="BA24" i="23"/>
  <c r="BE24" i="23" s="1"/>
  <c r="BC24" i="23"/>
  <c r="BD24" i="23" s="1"/>
  <c r="AU25" i="23"/>
  <c r="AV25" i="23"/>
  <c r="BA25" i="23"/>
  <c r="BE25" i="23" s="1"/>
  <c r="BC25" i="23"/>
  <c r="BD25" i="23" s="1"/>
  <c r="AU26" i="23"/>
  <c r="AV26" i="23"/>
  <c r="BA26" i="23"/>
  <c r="BE26" i="23" s="1"/>
  <c r="BC26" i="23"/>
  <c r="BD26" i="23" s="1"/>
  <c r="AU27" i="23"/>
  <c r="AV27" i="23"/>
  <c r="BA27" i="23"/>
  <c r="BE27" i="23" s="1"/>
  <c r="BC27" i="23"/>
  <c r="BD27" i="23" s="1"/>
  <c r="AU28" i="23"/>
  <c r="AV28" i="23"/>
  <c r="BA28" i="23"/>
  <c r="BE28" i="23" s="1"/>
  <c r="BC28" i="23"/>
  <c r="BD28" i="23" s="1"/>
  <c r="AU29" i="23"/>
  <c r="AV29" i="23"/>
  <c r="BA29" i="23"/>
  <c r="BE29" i="23" s="1"/>
  <c r="BC29" i="23"/>
  <c r="BD29" i="23" s="1"/>
  <c r="AU30" i="23"/>
  <c r="AV30" i="23"/>
  <c r="BA30" i="23"/>
  <c r="BE30" i="23" s="1"/>
  <c r="BC30" i="23"/>
  <c r="BD30" i="23" s="1"/>
  <c r="AU31" i="23"/>
  <c r="AV31" i="23"/>
  <c r="BA31" i="23"/>
  <c r="BE31" i="23" s="1"/>
  <c r="BC31" i="23"/>
  <c r="BD31" i="23" s="1"/>
  <c r="AU32" i="23"/>
  <c r="AV32" i="23"/>
  <c r="BA32" i="23"/>
  <c r="BE32" i="23" s="1"/>
  <c r="BC32" i="23"/>
  <c r="BD32" i="23" s="1"/>
  <c r="AU33" i="23"/>
  <c r="AV33" i="23"/>
  <c r="BA33" i="23"/>
  <c r="BE33" i="23" s="1"/>
  <c r="BC33" i="23"/>
  <c r="BD33" i="23" s="1"/>
  <c r="AU34" i="23"/>
  <c r="AV34" i="23"/>
  <c r="BA34" i="23"/>
  <c r="BE34" i="23" s="1"/>
  <c r="BC34" i="23"/>
  <c r="BD34" i="23" s="1"/>
  <c r="AU35" i="23"/>
  <c r="AV35" i="23"/>
  <c r="BA35" i="23"/>
  <c r="BE35" i="23" s="1"/>
  <c r="BC35" i="23"/>
  <c r="BD35" i="23" s="1"/>
  <c r="AU36" i="23"/>
  <c r="AV36" i="23"/>
  <c r="BA36" i="23"/>
  <c r="BE36" i="23" s="1"/>
  <c r="BC36" i="23"/>
  <c r="BD36" i="23" s="1"/>
  <c r="AU37" i="23"/>
  <c r="AV37" i="23"/>
  <c r="BA37" i="23"/>
  <c r="BE37" i="23" s="1"/>
  <c r="BC37" i="23"/>
  <c r="BD37" i="23" s="1"/>
  <c r="AU38" i="23"/>
  <c r="AV38" i="23"/>
  <c r="BA38" i="23"/>
  <c r="BE38" i="23" s="1"/>
  <c r="BC38" i="23"/>
  <c r="BD38" i="23" s="1"/>
  <c r="AU39" i="23"/>
  <c r="AV39" i="23"/>
  <c r="BA39" i="23"/>
  <c r="BE39" i="23" s="1"/>
  <c r="BC39" i="23"/>
  <c r="BD39" i="23" s="1"/>
  <c r="AU40" i="23"/>
  <c r="AV40" i="23"/>
  <c r="BA40" i="23"/>
  <c r="BE40" i="23" s="1"/>
  <c r="BC40" i="23"/>
  <c r="BD40" i="23" s="1"/>
  <c r="AU41" i="23"/>
  <c r="AV41" i="23"/>
  <c r="BA41" i="23"/>
  <c r="BE41" i="23" s="1"/>
  <c r="BC41" i="23"/>
  <c r="BD41" i="23" s="1"/>
  <c r="AU42" i="23"/>
  <c r="AV42" i="23"/>
  <c r="BA42" i="23"/>
  <c r="BE42" i="23" s="1"/>
  <c r="BC42" i="23"/>
  <c r="BD42" i="23" s="1"/>
  <c r="AU43" i="23"/>
  <c r="AV43" i="23"/>
  <c r="BA43" i="23"/>
  <c r="BE43" i="23" s="1"/>
  <c r="BC43" i="23"/>
  <c r="BD43" i="23" s="1"/>
  <c r="AU44" i="23"/>
  <c r="AV44" i="23"/>
  <c r="BA44" i="23"/>
  <c r="BE44" i="23" s="1"/>
  <c r="BC44" i="23"/>
  <c r="BD44" i="23" s="1"/>
  <c r="AU45" i="23"/>
  <c r="AV45" i="23"/>
  <c r="BA45" i="23"/>
  <c r="BE45" i="23" s="1"/>
  <c r="BC45" i="23"/>
  <c r="BD45" i="23" s="1"/>
  <c r="AU46" i="23"/>
  <c r="AV46" i="23"/>
  <c r="BA46" i="23"/>
  <c r="BE46" i="23" s="1"/>
  <c r="BC46" i="23"/>
  <c r="BD46" i="23"/>
  <c r="AU47" i="23"/>
  <c r="AV47" i="23"/>
  <c r="BA47" i="23"/>
  <c r="BE47" i="23" s="1"/>
  <c r="BC47" i="23"/>
  <c r="BD47" i="23" s="1"/>
  <c r="AU48" i="23"/>
  <c r="AV48" i="23"/>
  <c r="BA48" i="23"/>
  <c r="BE48" i="23" s="1"/>
  <c r="BC48" i="23"/>
  <c r="BD48" i="23" s="1"/>
  <c r="AU49" i="23"/>
  <c r="AV49" i="23"/>
  <c r="BA49" i="23"/>
  <c r="BE49" i="23" s="1"/>
  <c r="BC49" i="23"/>
  <c r="BD49" i="23" s="1"/>
  <c r="AU50" i="23"/>
  <c r="AV50" i="23"/>
  <c r="BA50" i="23"/>
  <c r="BE50" i="23" s="1"/>
  <c r="BC50" i="23"/>
  <c r="BD50" i="23" s="1"/>
  <c r="AU51" i="23"/>
  <c r="AV51" i="23"/>
  <c r="BA51" i="23"/>
  <c r="BE51" i="23" s="1"/>
  <c r="BC51" i="23"/>
  <c r="BD51" i="23" s="1"/>
  <c r="AU52" i="23"/>
  <c r="AV52" i="23"/>
  <c r="BA52" i="23"/>
  <c r="BE52" i="23" s="1"/>
  <c r="BC52" i="23"/>
  <c r="BD52" i="23" s="1"/>
  <c r="AU53" i="23"/>
  <c r="AV53" i="23"/>
  <c r="BA53" i="23"/>
  <c r="BE53" i="23" s="1"/>
  <c r="BC53" i="23"/>
  <c r="BD53" i="23" s="1"/>
  <c r="AU54" i="23"/>
  <c r="AV54" i="23"/>
  <c r="BA54" i="23"/>
  <c r="BE54" i="23" s="1"/>
  <c r="BC54" i="23"/>
  <c r="BD54" i="23" s="1"/>
  <c r="AU55" i="23"/>
  <c r="AV55" i="23"/>
  <c r="BA55" i="23"/>
  <c r="BE55" i="23" s="1"/>
  <c r="BC55" i="23"/>
  <c r="BD55" i="23" s="1"/>
  <c r="AU56" i="23"/>
  <c r="AV56" i="23"/>
  <c r="BA56" i="23"/>
  <c r="BE56" i="23" s="1"/>
  <c r="BC56" i="23"/>
  <c r="BD56" i="23" s="1"/>
  <c r="AU57" i="23"/>
  <c r="AV57" i="23"/>
  <c r="BA57" i="23"/>
  <c r="BE57" i="23" s="1"/>
  <c r="BC57" i="23"/>
  <c r="BD57" i="23" s="1"/>
  <c r="AU58" i="23"/>
  <c r="AV58" i="23"/>
  <c r="BA58" i="23"/>
  <c r="BE58" i="23" s="1"/>
  <c r="BC58" i="23"/>
  <c r="BD58" i="23" s="1"/>
  <c r="AU59" i="23"/>
  <c r="AV59" i="23"/>
  <c r="BA59" i="23"/>
  <c r="BE59" i="23" s="1"/>
  <c r="BC59" i="23"/>
  <c r="BD59" i="23" s="1"/>
  <c r="AU60" i="23"/>
  <c r="AV60" i="23"/>
  <c r="BA60" i="23"/>
  <c r="BE60" i="23" s="1"/>
  <c r="BC60" i="23"/>
  <c r="BD60" i="23" s="1"/>
  <c r="AU61" i="23"/>
  <c r="AV61" i="23"/>
  <c r="BA61" i="23"/>
  <c r="BE61" i="23" s="1"/>
  <c r="BC61" i="23"/>
  <c r="BD61" i="23" s="1"/>
  <c r="AU62" i="23"/>
  <c r="AV62" i="23"/>
  <c r="BA62" i="23"/>
  <c r="BE62" i="23" s="1"/>
  <c r="BC62" i="23"/>
  <c r="BD62" i="23" s="1"/>
  <c r="AU63" i="23"/>
  <c r="AV63" i="23"/>
  <c r="BA63" i="23"/>
  <c r="BE63" i="23" s="1"/>
  <c r="BC63" i="23"/>
  <c r="BD63" i="23" s="1"/>
  <c r="AU64" i="23"/>
  <c r="AV64" i="23"/>
  <c r="BA64" i="23"/>
  <c r="BE64" i="23" s="1"/>
  <c r="BC64" i="23"/>
  <c r="BD64" i="23" s="1"/>
  <c r="AU65" i="23"/>
  <c r="AV65" i="23"/>
  <c r="BA65" i="23"/>
  <c r="BE65" i="23" s="1"/>
  <c r="BC65" i="23"/>
  <c r="BD65" i="23" s="1"/>
  <c r="AU66" i="23"/>
  <c r="AV66" i="23"/>
  <c r="BA66" i="23"/>
  <c r="BE66" i="23" s="1"/>
  <c r="BC66" i="23"/>
  <c r="BD66" i="23" s="1"/>
  <c r="AU67" i="23"/>
  <c r="AV67" i="23"/>
  <c r="BA67" i="23"/>
  <c r="BE67" i="23" s="1"/>
  <c r="BC67" i="23"/>
  <c r="BD67" i="23" s="1"/>
  <c r="AU68" i="23"/>
  <c r="AV68" i="23"/>
  <c r="BA68" i="23"/>
  <c r="BE68" i="23" s="1"/>
  <c r="BC68" i="23"/>
  <c r="BD68" i="23" s="1"/>
  <c r="AU69" i="23"/>
  <c r="AV69" i="23"/>
  <c r="BA69" i="23"/>
  <c r="BE69" i="23" s="1"/>
  <c r="BC69" i="23"/>
  <c r="BD69" i="23" s="1"/>
  <c r="AU70" i="23"/>
  <c r="AV70" i="23"/>
  <c r="BA70" i="23"/>
  <c r="BE70" i="23" s="1"/>
  <c r="BC70" i="23"/>
  <c r="BD70" i="23" s="1"/>
  <c r="AU71" i="23"/>
  <c r="AV71" i="23"/>
  <c r="BA71" i="23"/>
  <c r="BE71" i="23" s="1"/>
  <c r="BC71" i="23"/>
  <c r="BD71" i="23" s="1"/>
  <c r="AU72" i="23"/>
  <c r="AV72" i="23"/>
  <c r="BA72" i="23"/>
  <c r="BE72" i="23" s="1"/>
  <c r="BC72" i="23"/>
  <c r="BD72" i="23" s="1"/>
  <c r="AU73" i="23"/>
  <c r="AV73" i="23"/>
  <c r="BA73" i="23"/>
  <c r="BE73" i="23" s="1"/>
  <c r="BC73" i="23"/>
  <c r="BD73" i="23" s="1"/>
  <c r="AU74" i="23"/>
  <c r="AV74" i="23"/>
  <c r="BA74" i="23"/>
  <c r="BE74" i="23" s="1"/>
  <c r="BC74" i="23"/>
  <c r="BD74" i="23" s="1"/>
  <c r="AU75" i="23"/>
  <c r="AV75" i="23"/>
  <c r="BA75" i="23"/>
  <c r="BE75" i="23" s="1"/>
  <c r="BC75" i="23"/>
  <c r="BD75" i="23" s="1"/>
  <c r="AU76" i="23"/>
  <c r="AV76" i="23"/>
  <c r="BA76" i="23"/>
  <c r="BE76" i="23" s="1"/>
  <c r="BC76" i="23"/>
  <c r="BD76" i="23" s="1"/>
  <c r="AU77" i="23"/>
  <c r="AV77" i="23"/>
  <c r="BA77" i="23"/>
  <c r="BE77" i="23" s="1"/>
  <c r="BC77" i="23"/>
  <c r="BD77" i="23" s="1"/>
  <c r="AU78" i="23"/>
  <c r="AV78" i="23"/>
  <c r="BA78" i="23"/>
  <c r="BE78" i="23" s="1"/>
  <c r="BC78" i="23"/>
  <c r="BD78" i="23" s="1"/>
  <c r="AU79" i="23"/>
  <c r="AV79" i="23"/>
  <c r="BA79" i="23"/>
  <c r="BE79" i="23" s="1"/>
  <c r="BC79" i="23"/>
  <c r="BD79" i="23" s="1"/>
  <c r="AU80" i="23"/>
  <c r="AV80" i="23"/>
  <c r="BA80" i="23"/>
  <c r="BE80" i="23" s="1"/>
  <c r="BC80" i="23"/>
  <c r="BD80" i="23" s="1"/>
  <c r="AU81" i="23"/>
  <c r="AV81" i="23"/>
  <c r="BA81" i="23"/>
  <c r="BE81" i="23" s="1"/>
  <c r="BC81" i="23"/>
  <c r="BD81" i="23" s="1"/>
  <c r="AU82" i="23"/>
  <c r="AV82" i="23"/>
  <c r="BA82" i="23"/>
  <c r="BC82" i="23"/>
  <c r="BD82" i="23" s="1"/>
  <c r="BE82" i="23"/>
  <c r="AU83" i="23"/>
  <c r="AV83" i="23"/>
  <c r="BA83" i="23"/>
  <c r="BE83" i="23" s="1"/>
  <c r="BC83" i="23"/>
  <c r="BD83" i="23" s="1"/>
  <c r="AU84" i="23"/>
  <c r="AV84" i="23"/>
  <c r="BA84" i="23"/>
  <c r="BE84" i="23" s="1"/>
  <c r="BC84" i="23"/>
  <c r="BD84" i="23" s="1"/>
  <c r="AU85" i="23"/>
  <c r="AV85" i="23"/>
  <c r="BA85" i="23"/>
  <c r="BE85" i="23" s="1"/>
  <c r="BC85" i="23"/>
  <c r="BD85" i="23" s="1"/>
  <c r="AU86" i="23"/>
  <c r="AV86" i="23"/>
  <c r="BA86" i="23"/>
  <c r="BE86" i="23" s="1"/>
  <c r="BC86" i="23"/>
  <c r="BD86" i="23" s="1"/>
  <c r="AU87" i="23"/>
  <c r="AV87" i="23"/>
  <c r="BA87" i="23"/>
  <c r="BE87" i="23" s="1"/>
  <c r="BC87" i="23"/>
  <c r="BD87" i="23" s="1"/>
  <c r="AU88" i="23"/>
  <c r="AV88" i="23"/>
  <c r="BA88" i="23"/>
  <c r="BE88" i="23" s="1"/>
  <c r="BC88" i="23"/>
  <c r="BD88" i="23" s="1"/>
  <c r="AU89" i="23"/>
  <c r="AV89" i="23"/>
  <c r="BA89" i="23"/>
  <c r="BE89" i="23" s="1"/>
  <c r="BC89" i="23"/>
  <c r="BD89" i="23" s="1"/>
  <c r="AU90" i="23"/>
  <c r="AV90" i="23"/>
  <c r="BA90" i="23"/>
  <c r="BE90" i="23" s="1"/>
  <c r="BC90" i="23"/>
  <c r="BD90" i="23" s="1"/>
  <c r="AU91" i="23"/>
  <c r="AV91" i="23"/>
  <c r="BA91" i="23"/>
  <c r="BE91" i="23" s="1"/>
  <c r="BC91" i="23"/>
  <c r="BD91" i="23" s="1"/>
  <c r="AU92" i="23"/>
  <c r="AV92" i="23"/>
  <c r="BA92" i="23"/>
  <c r="BE92" i="23" s="1"/>
  <c r="BC92" i="23"/>
  <c r="BD92" i="23" s="1"/>
  <c r="AU93" i="23"/>
  <c r="AV93" i="23"/>
  <c r="BA93" i="23"/>
  <c r="BE93" i="23" s="1"/>
  <c r="BC93" i="23"/>
  <c r="BD93" i="23" s="1"/>
  <c r="AU94" i="23"/>
  <c r="AV94" i="23"/>
  <c r="BA94" i="23"/>
  <c r="BE94" i="23" s="1"/>
  <c r="BC94" i="23"/>
  <c r="BD94" i="23" s="1"/>
  <c r="AU95" i="23"/>
  <c r="AV95" i="23"/>
  <c r="BA95" i="23"/>
  <c r="BE95" i="23" s="1"/>
  <c r="BC95" i="23"/>
  <c r="BD95" i="23"/>
  <c r="AU96" i="23"/>
  <c r="AV96" i="23"/>
  <c r="BA96" i="23"/>
  <c r="BE96" i="23" s="1"/>
  <c r="BC96" i="23"/>
  <c r="BD96" i="23" s="1"/>
  <c r="AU97" i="23"/>
  <c r="AV97" i="23"/>
  <c r="BA97" i="23"/>
  <c r="BE97" i="23" s="1"/>
  <c r="BC97" i="23"/>
  <c r="BD97" i="23" s="1"/>
  <c r="AU98" i="23"/>
  <c r="AV98" i="23"/>
  <c r="BA98" i="23"/>
  <c r="BE98" i="23" s="1"/>
  <c r="BC98" i="23"/>
  <c r="BD98" i="23" s="1"/>
  <c r="AU99" i="23"/>
  <c r="AV99" i="23"/>
  <c r="BA99" i="23"/>
  <c r="BE99" i="23" s="1"/>
  <c r="BC99" i="23"/>
  <c r="BD99" i="23" s="1"/>
  <c r="AU100" i="23"/>
  <c r="AV100" i="23"/>
  <c r="BA100" i="23"/>
  <c r="BE100" i="23" s="1"/>
  <c r="BC100" i="23"/>
  <c r="BD100" i="23" s="1"/>
  <c r="K3" i="19" l="1"/>
  <c r="M3" i="19"/>
  <c r="K4" i="19"/>
  <c r="M4" i="19"/>
  <c r="K5" i="19"/>
  <c r="M5" i="19"/>
  <c r="L3" i="4"/>
  <c r="N3" i="4"/>
  <c r="L4" i="4"/>
  <c r="N4" i="4"/>
  <c r="L5" i="4"/>
  <c r="N5" i="4"/>
  <c r="L6" i="4"/>
  <c r="N6" i="4"/>
  <c r="L7" i="4"/>
  <c r="N7" i="4"/>
  <c r="L8" i="4"/>
  <c r="N8" i="4"/>
  <c r="L9" i="4"/>
  <c r="N9" i="4"/>
  <c r="L10" i="4"/>
  <c r="N10" i="4"/>
  <c r="L11" i="4"/>
  <c r="N11" i="4"/>
  <c r="L13" i="4"/>
  <c r="N13" i="4"/>
  <c r="L14" i="4"/>
  <c r="N14" i="4"/>
  <c r="L15" i="4"/>
  <c r="N15" i="4"/>
  <c r="L16" i="4"/>
  <c r="N16" i="4"/>
  <c r="E17" i="4"/>
  <c r="F17" i="4"/>
  <c r="L17" i="4"/>
  <c r="N17" i="4"/>
  <c r="L18" i="4"/>
  <c r="N18" i="4"/>
  <c r="L19" i="4"/>
  <c r="N19" i="4"/>
  <c r="L20" i="4"/>
  <c r="N20" i="4"/>
  <c r="L21" i="4"/>
  <c r="N21" i="4"/>
  <c r="L22" i="4"/>
  <c r="N22" i="4"/>
  <c r="L23" i="4"/>
  <c r="N23" i="4"/>
  <c r="L24" i="4"/>
  <c r="N24" i="4"/>
  <c r="L26" i="4"/>
  <c r="N26" i="4"/>
  <c r="E27" i="4"/>
  <c r="F27" i="4"/>
  <c r="L27" i="4"/>
  <c r="N27" i="4"/>
  <c r="L28" i="4"/>
  <c r="N28" i="4"/>
  <c r="L29" i="4"/>
  <c r="N29" i="4"/>
  <c r="E30" i="4"/>
  <c r="F30" i="4"/>
  <c r="L30" i="4"/>
  <c r="N30" i="4"/>
  <c r="E31" i="4"/>
  <c r="F31" i="4"/>
  <c r="L31" i="4"/>
  <c r="N31" i="4"/>
  <c r="L32" i="4"/>
  <c r="N32" i="4"/>
  <c r="L33" i="4"/>
  <c r="N33" i="4"/>
  <c r="L34" i="4"/>
  <c r="N34" i="4"/>
  <c r="L35" i="4"/>
  <c r="N35" i="4"/>
  <c r="L36" i="4"/>
  <c r="N36" i="4"/>
  <c r="L37" i="4"/>
  <c r="N37" i="4"/>
  <c r="L38" i="4"/>
  <c r="N38" i="4"/>
  <c r="L39" i="4"/>
  <c r="N39" i="4"/>
  <c r="L40" i="4"/>
  <c r="N40" i="4"/>
  <c r="L41" i="4"/>
  <c r="N41" i="4"/>
  <c r="E3" i="23"/>
  <c r="F3" i="23"/>
  <c r="K3" i="23"/>
  <c r="O3" i="23" s="1"/>
  <c r="M3" i="23"/>
  <c r="E5" i="23"/>
  <c r="F5" i="23"/>
  <c r="K5" i="23"/>
  <c r="O5" i="23" s="1"/>
  <c r="M5" i="23"/>
  <c r="E7" i="23"/>
  <c r="F7" i="23"/>
  <c r="K7" i="23"/>
  <c r="O7" i="23" s="1"/>
  <c r="M7" i="23"/>
  <c r="N7" i="23" s="1"/>
  <c r="E10" i="23"/>
  <c r="F10" i="23"/>
  <c r="K10" i="23"/>
  <c r="O10" i="23" s="1"/>
  <c r="M10" i="23"/>
  <c r="E11" i="23"/>
  <c r="F11" i="23"/>
  <c r="K11" i="23"/>
  <c r="O11" i="23" s="1"/>
  <c r="M11" i="23"/>
  <c r="N11" i="23" s="1"/>
  <c r="E13" i="23"/>
  <c r="F13" i="23"/>
  <c r="K13" i="23"/>
  <c r="O13" i="23" s="1"/>
  <c r="M13" i="23"/>
  <c r="E14" i="23"/>
  <c r="F14" i="23"/>
  <c r="K14" i="23"/>
  <c r="O14" i="23" s="1"/>
  <c r="M14" i="23"/>
  <c r="E15" i="23"/>
  <c r="E16" i="23"/>
  <c r="F16" i="23"/>
  <c r="E17" i="23"/>
  <c r="O17" i="23"/>
  <c r="E18" i="23"/>
  <c r="F18" i="23"/>
  <c r="K18" i="23"/>
  <c r="O18" i="23" s="1"/>
  <c r="M18" i="23"/>
  <c r="E19" i="23"/>
  <c r="F19" i="23"/>
  <c r="O19" i="23"/>
  <c r="E20" i="23"/>
  <c r="K20" i="23"/>
  <c r="O20" i="23" s="1"/>
  <c r="M20" i="23"/>
  <c r="E21" i="23"/>
  <c r="K21" i="23"/>
  <c r="O21" i="23" s="1"/>
  <c r="M21" i="23"/>
  <c r="E22" i="23"/>
  <c r="F22" i="23"/>
  <c r="K22" i="23"/>
  <c r="O22" i="23" s="1"/>
  <c r="M22" i="23"/>
  <c r="E23" i="23"/>
  <c r="F23" i="23"/>
  <c r="K23" i="23"/>
  <c r="O23" i="23" s="1"/>
  <c r="M23" i="23"/>
  <c r="E24" i="23"/>
  <c r="F24" i="23"/>
  <c r="K24" i="23"/>
  <c r="O24" i="23" s="1"/>
  <c r="M24" i="23"/>
  <c r="E25" i="23"/>
  <c r="K25" i="23"/>
  <c r="O25" i="23" s="1"/>
  <c r="M25" i="23"/>
  <c r="E26" i="23"/>
  <c r="F26" i="23"/>
  <c r="K26" i="23"/>
  <c r="O26" i="23" s="1"/>
  <c r="M26" i="23"/>
  <c r="E27" i="23"/>
  <c r="F27" i="23"/>
  <c r="K27" i="23"/>
  <c r="O27" i="23" s="1"/>
  <c r="M27" i="23"/>
  <c r="E28" i="23"/>
  <c r="F28" i="23"/>
  <c r="K28" i="23"/>
  <c r="O28" i="23" s="1"/>
  <c r="M28" i="23"/>
  <c r="E29" i="23"/>
  <c r="K29" i="23"/>
  <c r="O29" i="23" s="1"/>
  <c r="M29" i="23"/>
  <c r="E30" i="23"/>
  <c r="F30" i="23"/>
  <c r="K30" i="23"/>
  <c r="O30" i="23" s="1"/>
  <c r="M30" i="23"/>
  <c r="E31" i="23"/>
  <c r="K31" i="23"/>
  <c r="O31" i="23" s="1"/>
  <c r="M31" i="23"/>
  <c r="E32" i="23"/>
  <c r="F32" i="23"/>
  <c r="K32" i="23"/>
  <c r="O32" i="23" s="1"/>
  <c r="M32" i="23"/>
  <c r="E33" i="23"/>
  <c r="K33" i="23"/>
  <c r="O33" i="23" s="1"/>
  <c r="M33" i="23"/>
  <c r="E34" i="23"/>
  <c r="K34" i="23"/>
  <c r="O34" i="23" s="1"/>
  <c r="M34" i="23"/>
  <c r="E35" i="23"/>
  <c r="K35" i="23"/>
  <c r="O35" i="23" s="1"/>
  <c r="M35" i="23"/>
  <c r="E36" i="23"/>
  <c r="K36" i="23"/>
  <c r="O36" i="23" s="1"/>
  <c r="M36" i="23"/>
  <c r="E37" i="23"/>
  <c r="F37" i="23"/>
  <c r="K37" i="23"/>
  <c r="O37" i="23" s="1"/>
  <c r="M37" i="23"/>
  <c r="E38" i="23"/>
  <c r="K38" i="23"/>
  <c r="M38" i="23"/>
  <c r="E39" i="23"/>
  <c r="F39" i="23"/>
  <c r="K39" i="23"/>
  <c r="O39" i="23" s="1"/>
  <c r="M39" i="23"/>
  <c r="K40" i="23"/>
  <c r="O40" i="23" s="1"/>
  <c r="M40" i="23"/>
  <c r="E41" i="23"/>
  <c r="K41" i="23"/>
  <c r="O41" i="23" s="1"/>
  <c r="M41" i="23"/>
  <c r="K97" i="23"/>
  <c r="O97" i="23" s="1"/>
  <c r="M97" i="23"/>
  <c r="N97" i="23" s="1"/>
  <c r="E98" i="23"/>
  <c r="F98" i="23"/>
  <c r="K98" i="23"/>
  <c r="O98" i="23" s="1"/>
  <c r="M98" i="23"/>
  <c r="N98" i="23" s="1"/>
  <c r="E99" i="23"/>
  <c r="F99" i="23"/>
  <c r="K99" i="23"/>
  <c r="O99" i="23" s="1"/>
  <c r="M99" i="23"/>
  <c r="N99" i="23" s="1"/>
  <c r="E100" i="23"/>
  <c r="F100" i="23"/>
  <c r="K100" i="23"/>
  <c r="O100" i="23" s="1"/>
  <c r="M100" i="23"/>
  <c r="N100" i="23" s="1"/>
  <c r="E101" i="23"/>
  <c r="F101" i="23"/>
  <c r="K101" i="23"/>
  <c r="O101" i="23" s="1"/>
  <c r="M101" i="23"/>
  <c r="N101" i="23" s="1"/>
  <c r="E102" i="23"/>
  <c r="F102" i="23"/>
  <c r="K102" i="23"/>
  <c r="O102" i="23" s="1"/>
  <c r="M102" i="23"/>
  <c r="N102" i="23" s="1"/>
  <c r="E103" i="23"/>
  <c r="F103" i="23"/>
  <c r="K103" i="23"/>
  <c r="O103" i="23" s="1"/>
  <c r="M103" i="23"/>
  <c r="N103" i="23" s="1"/>
  <c r="E104" i="23"/>
  <c r="F104" i="23"/>
  <c r="K104" i="23"/>
  <c r="O104" i="23" s="1"/>
  <c r="M104" i="23"/>
  <c r="N104" i="23" s="1"/>
  <c r="E105" i="23"/>
  <c r="F105" i="23"/>
  <c r="K105" i="23"/>
  <c r="O105" i="23" s="1"/>
  <c r="M105" i="23"/>
  <c r="N105" i="23" s="1"/>
  <c r="E106" i="23"/>
  <c r="F106" i="23"/>
  <c r="K106" i="23"/>
  <c r="O106" i="23" s="1"/>
  <c r="M106" i="23"/>
  <c r="N106" i="23" s="1"/>
  <c r="E107" i="23"/>
  <c r="F107" i="23"/>
  <c r="K107" i="23"/>
  <c r="O107" i="23" s="1"/>
  <c r="M107" i="23"/>
  <c r="N107" i="23" s="1"/>
  <c r="E108" i="23"/>
  <c r="F108" i="23"/>
  <c r="K108" i="23"/>
  <c r="O108" i="23" s="1"/>
  <c r="M108" i="23"/>
  <c r="N108" i="23" s="1"/>
  <c r="E109" i="23"/>
  <c r="F109" i="23"/>
  <c r="K109" i="23"/>
  <c r="O109" i="23" s="1"/>
  <c r="M109" i="23"/>
  <c r="N109" i="23" s="1"/>
  <c r="E110" i="23"/>
  <c r="F110" i="23"/>
  <c r="K110" i="23"/>
  <c r="O110" i="23" s="1"/>
  <c r="M110" i="23"/>
  <c r="N110" i="23" s="1"/>
  <c r="E111" i="23"/>
  <c r="F111" i="23"/>
  <c r="K111" i="23"/>
  <c r="O111" i="23" s="1"/>
  <c r="M111" i="23"/>
  <c r="N111" i="23" s="1"/>
  <c r="E112" i="23"/>
  <c r="F112" i="23"/>
  <c r="K112" i="23"/>
  <c r="O112" i="23" s="1"/>
  <c r="M112" i="23"/>
  <c r="N112" i="23" s="1"/>
  <c r="E113" i="23"/>
  <c r="F113" i="23"/>
  <c r="K113" i="23"/>
  <c r="O113" i="23" s="1"/>
  <c r="M113" i="23"/>
  <c r="N113" i="23" s="1"/>
  <c r="E114" i="23"/>
  <c r="F114" i="23"/>
  <c r="K114" i="23"/>
  <c r="O114" i="23" s="1"/>
  <c r="M114" i="23"/>
  <c r="N114" i="23" s="1"/>
  <c r="E115" i="23"/>
  <c r="F115" i="23"/>
  <c r="K115" i="23"/>
  <c r="O115" i="23" s="1"/>
  <c r="M115" i="23"/>
  <c r="N115" i="23" s="1"/>
  <c r="E116" i="23"/>
  <c r="F116" i="23"/>
  <c r="K116" i="23"/>
  <c r="O116" i="23" s="1"/>
  <c r="M116" i="23"/>
  <c r="N116" i="23" s="1"/>
  <c r="E117" i="23"/>
  <c r="F117" i="23"/>
  <c r="K117" i="23"/>
  <c r="O117" i="23" s="1"/>
  <c r="M117" i="23"/>
  <c r="N117" i="23" s="1"/>
  <c r="E118" i="23"/>
  <c r="F118" i="23"/>
  <c r="K118" i="23"/>
  <c r="O118" i="23" s="1"/>
  <c r="M118" i="23"/>
  <c r="N118" i="23" s="1"/>
  <c r="E119" i="23"/>
  <c r="F119" i="23"/>
  <c r="K119" i="23"/>
  <c r="O119" i="23" s="1"/>
  <c r="M119" i="23"/>
  <c r="N119" i="23" s="1"/>
  <c r="E120" i="23"/>
  <c r="F120" i="23"/>
  <c r="K120" i="23"/>
  <c r="O120" i="23" s="1"/>
  <c r="M120" i="23"/>
  <c r="N120" i="23" s="1"/>
  <c r="E121" i="23"/>
  <c r="F121" i="23"/>
  <c r="K121" i="23"/>
  <c r="O121" i="23" s="1"/>
  <c r="M121" i="23"/>
  <c r="N121" i="23" s="1"/>
  <c r="E122" i="23"/>
  <c r="F122" i="23"/>
  <c r="K122" i="23"/>
  <c r="O122" i="23" s="1"/>
  <c r="M122" i="23"/>
  <c r="N122" i="23" s="1"/>
  <c r="E123" i="23"/>
  <c r="F123" i="23"/>
  <c r="K123" i="23"/>
  <c r="O123" i="23" s="1"/>
  <c r="M123" i="23"/>
  <c r="N123" i="23" s="1"/>
  <c r="E124" i="23"/>
  <c r="F124" i="23"/>
  <c r="K124" i="23"/>
  <c r="O124" i="23" s="1"/>
  <c r="M124" i="23"/>
  <c r="N124" i="23" s="1"/>
  <c r="E125" i="23"/>
  <c r="F125" i="23"/>
  <c r="K125" i="23"/>
  <c r="O125" i="23" s="1"/>
  <c r="M125" i="23"/>
  <c r="N125" i="23" s="1"/>
  <c r="E126" i="23"/>
  <c r="F126" i="23"/>
  <c r="K126" i="23"/>
  <c r="O126" i="23" s="1"/>
  <c r="M126" i="23"/>
  <c r="N126" i="23" s="1"/>
  <c r="E127" i="23"/>
  <c r="F127" i="23"/>
  <c r="K127" i="23"/>
  <c r="O127" i="23" s="1"/>
  <c r="M127" i="23"/>
  <c r="N127" i="23" s="1"/>
  <c r="E128" i="23"/>
  <c r="F128" i="23"/>
  <c r="K128" i="23"/>
  <c r="O128" i="23" s="1"/>
  <c r="M128" i="23"/>
  <c r="N128" i="23" s="1"/>
  <c r="E129" i="23"/>
  <c r="F129" i="23"/>
  <c r="K129" i="23"/>
  <c r="O129" i="23" s="1"/>
  <c r="M129" i="23"/>
  <c r="N129" i="23" s="1"/>
  <c r="E130" i="23"/>
  <c r="F130" i="23"/>
  <c r="K130" i="23"/>
  <c r="O130" i="23" s="1"/>
  <c r="M130" i="23"/>
  <c r="N130" i="23" s="1"/>
  <c r="E131" i="23"/>
  <c r="F131" i="23"/>
  <c r="K131" i="23"/>
  <c r="O131" i="23" s="1"/>
  <c r="M131" i="23"/>
  <c r="N131" i="23" s="1"/>
  <c r="E132" i="23"/>
  <c r="F132" i="23"/>
  <c r="K132" i="23"/>
  <c r="O132" i="23" s="1"/>
  <c r="M132" i="23"/>
  <c r="N132" i="23" s="1"/>
  <c r="E133" i="23"/>
  <c r="F133" i="23"/>
  <c r="K133" i="23"/>
  <c r="O133" i="23" s="1"/>
  <c r="M133" i="23"/>
  <c r="N133" i="23" s="1"/>
  <c r="E134" i="23"/>
  <c r="F134" i="23"/>
  <c r="K134" i="23"/>
  <c r="O134" i="23" s="1"/>
  <c r="M134" i="23"/>
  <c r="N134" i="23" s="1"/>
  <c r="E135" i="23"/>
  <c r="F135" i="23"/>
  <c r="K135" i="23"/>
  <c r="O135" i="23" s="1"/>
  <c r="M135" i="23"/>
  <c r="N135" i="23" s="1"/>
  <c r="E136" i="23"/>
  <c r="F136" i="23"/>
  <c r="K136" i="23"/>
  <c r="O136" i="23" s="1"/>
  <c r="M136" i="23"/>
  <c r="N136" i="23" s="1"/>
  <c r="E137" i="23"/>
  <c r="F137" i="23"/>
  <c r="K137" i="23"/>
  <c r="O137" i="23" s="1"/>
  <c r="M137" i="23"/>
  <c r="N137" i="23" s="1"/>
  <c r="E138" i="23"/>
  <c r="F138" i="23"/>
  <c r="K138" i="23"/>
  <c r="O138" i="23" s="1"/>
  <c r="M138" i="23"/>
  <c r="N138" i="23" s="1"/>
  <c r="E139" i="23"/>
  <c r="F139" i="23"/>
  <c r="K139" i="23"/>
  <c r="O139" i="23" s="1"/>
  <c r="M139" i="23"/>
  <c r="N139" i="23" s="1"/>
  <c r="E140" i="23"/>
  <c r="F140" i="23"/>
  <c r="K140" i="23"/>
  <c r="O140" i="23" s="1"/>
  <c r="M140" i="23"/>
  <c r="N140" i="23" s="1"/>
  <c r="E141" i="23"/>
  <c r="F141" i="23"/>
  <c r="K141" i="23"/>
  <c r="O141" i="23" s="1"/>
  <c r="M141" i="23"/>
  <c r="N141" i="23" s="1"/>
  <c r="E142" i="23"/>
  <c r="F142" i="23"/>
  <c r="K142" i="23"/>
  <c r="O142" i="23" s="1"/>
  <c r="M142" i="23"/>
  <c r="N142" i="23" s="1"/>
  <c r="E143" i="23"/>
  <c r="F143" i="23"/>
  <c r="K143" i="23"/>
  <c r="O143" i="23" s="1"/>
  <c r="M143" i="23"/>
  <c r="N143" i="23" s="1"/>
  <c r="E144" i="23"/>
  <c r="F144" i="23"/>
  <c r="K144" i="23"/>
  <c r="O144" i="23" s="1"/>
  <c r="M144" i="23"/>
  <c r="N144" i="23" s="1"/>
  <c r="E145" i="23"/>
  <c r="F145" i="23"/>
  <c r="K145" i="23"/>
  <c r="O145" i="23" s="1"/>
  <c r="M145" i="23"/>
  <c r="N145" i="23" s="1"/>
  <c r="E146" i="23"/>
  <c r="F146" i="23"/>
  <c r="K146" i="23"/>
  <c r="O146" i="23" s="1"/>
  <c r="M146" i="23"/>
  <c r="N146" i="23" s="1"/>
  <c r="E147" i="23"/>
  <c r="F147" i="23"/>
  <c r="K147" i="23"/>
  <c r="O147" i="23" s="1"/>
  <c r="M147" i="23"/>
  <c r="N147" i="23" s="1"/>
  <c r="E148" i="23"/>
  <c r="F148" i="23"/>
  <c r="K148" i="23"/>
  <c r="O148" i="23" s="1"/>
  <c r="M148" i="23"/>
  <c r="N148" i="23" s="1"/>
  <c r="E149" i="23"/>
  <c r="F149" i="23"/>
  <c r="K149" i="23"/>
  <c r="O149" i="23" s="1"/>
  <c r="M149" i="23"/>
  <c r="N149" i="23" s="1"/>
  <c r="E150" i="23"/>
  <c r="F150" i="23"/>
  <c r="K150" i="23"/>
  <c r="O150" i="23" s="1"/>
  <c r="M150" i="23"/>
  <c r="N150" i="23" s="1"/>
  <c r="E151" i="23"/>
  <c r="F151" i="23"/>
  <c r="K151" i="23"/>
  <c r="O151" i="23" s="1"/>
  <c r="M151" i="23"/>
  <c r="N151" i="23" s="1"/>
  <c r="E152" i="23"/>
  <c r="F152" i="23"/>
  <c r="K152" i="23"/>
  <c r="O152" i="23" s="1"/>
  <c r="M152" i="23"/>
  <c r="N152" i="23" s="1"/>
  <c r="E153" i="23"/>
  <c r="F153" i="23"/>
  <c r="K153" i="23"/>
  <c r="O153" i="23" s="1"/>
  <c r="M153" i="23"/>
  <c r="N153" i="23" s="1"/>
  <c r="E154" i="23"/>
  <c r="F154" i="23"/>
  <c r="K154" i="23"/>
  <c r="O154" i="23" s="1"/>
  <c r="M154" i="23"/>
  <c r="N154" i="23" s="1"/>
  <c r="E155" i="23"/>
  <c r="F155" i="23"/>
  <c r="K155" i="23"/>
  <c r="O155" i="23" s="1"/>
  <c r="M155" i="23"/>
  <c r="N155" i="23" s="1"/>
  <c r="E156" i="23"/>
  <c r="F156" i="23"/>
  <c r="K156" i="23"/>
  <c r="O156" i="23" s="1"/>
  <c r="M156" i="23"/>
  <c r="N156" i="23" s="1"/>
  <c r="E157" i="23"/>
  <c r="F157" i="23"/>
  <c r="K157" i="23"/>
  <c r="O157" i="23" s="1"/>
  <c r="M157" i="23"/>
  <c r="N157" i="23" s="1"/>
  <c r="E158" i="23"/>
  <c r="F158" i="23"/>
  <c r="K158" i="23"/>
  <c r="O158" i="23" s="1"/>
  <c r="M158" i="23"/>
  <c r="N158" i="23" s="1"/>
  <c r="E159" i="23"/>
  <c r="F159" i="23"/>
  <c r="K159" i="23"/>
  <c r="O159" i="23" s="1"/>
  <c r="M159" i="23"/>
  <c r="N159" i="23" s="1"/>
  <c r="E160" i="23"/>
  <c r="F160" i="23"/>
  <c r="K160" i="23"/>
  <c r="O160" i="23" s="1"/>
  <c r="M160" i="23"/>
  <c r="N160" i="23" s="1"/>
  <c r="E161" i="23"/>
  <c r="F161" i="23"/>
  <c r="K161" i="23"/>
  <c r="O161" i="23" s="1"/>
  <c r="M161" i="23"/>
  <c r="N161" i="23" s="1"/>
  <c r="E162" i="23"/>
  <c r="F162" i="23"/>
  <c r="K162" i="23"/>
  <c r="O162" i="23" s="1"/>
  <c r="M162" i="23"/>
  <c r="N162" i="23" s="1"/>
  <c r="E163" i="23"/>
  <c r="F163" i="23"/>
  <c r="K163" i="23"/>
  <c r="O163" i="23" s="1"/>
  <c r="M163" i="23"/>
  <c r="N163" i="23" s="1"/>
  <c r="E164" i="23"/>
  <c r="F164" i="23"/>
  <c r="K164" i="23"/>
  <c r="O164" i="23" s="1"/>
  <c r="M164" i="23"/>
  <c r="N164" i="23" s="1"/>
  <c r="E165" i="23"/>
  <c r="F165" i="23"/>
  <c r="K165" i="23"/>
  <c r="O165" i="23" s="1"/>
  <c r="M165" i="23"/>
  <c r="N165" i="23" s="1"/>
  <c r="E166" i="23"/>
  <c r="F166" i="23"/>
  <c r="K166" i="23"/>
  <c r="O166" i="23" s="1"/>
  <c r="M166" i="23"/>
  <c r="N166" i="23" s="1"/>
  <c r="E167" i="23"/>
  <c r="F167" i="23"/>
  <c r="K167" i="23"/>
  <c r="O167" i="23" s="1"/>
  <c r="M167" i="23"/>
  <c r="N167" i="23" s="1"/>
  <c r="E168" i="23"/>
  <c r="F168" i="23"/>
  <c r="K168" i="23"/>
  <c r="O168" i="23" s="1"/>
  <c r="M168" i="23"/>
  <c r="N168" i="23" s="1"/>
  <c r="E169" i="23"/>
  <c r="F169" i="23"/>
  <c r="K169" i="23"/>
  <c r="O169" i="23" s="1"/>
  <c r="M169" i="23"/>
  <c r="N169" i="23" s="1"/>
  <c r="E170" i="23"/>
  <c r="F170" i="23"/>
  <c r="K170" i="23"/>
  <c r="O170" i="23" s="1"/>
  <c r="M170" i="23"/>
  <c r="N170" i="23" s="1"/>
  <c r="E171" i="23"/>
  <c r="F171" i="23"/>
  <c r="K171" i="23"/>
  <c r="O171" i="23" s="1"/>
  <c r="M171" i="23"/>
  <c r="N171" i="23" s="1"/>
  <c r="E172" i="23"/>
  <c r="F172" i="23"/>
  <c r="K172" i="23"/>
  <c r="O172" i="23" s="1"/>
  <c r="M172" i="23"/>
  <c r="N172" i="23" s="1"/>
  <c r="E173" i="23"/>
  <c r="F173" i="23"/>
  <c r="K173" i="23"/>
  <c r="O173" i="23" s="1"/>
  <c r="M173" i="23"/>
  <c r="N173" i="23" s="1"/>
  <c r="E174" i="23"/>
  <c r="F174" i="23"/>
  <c r="K174" i="23"/>
  <c r="O174" i="23" s="1"/>
  <c r="M174" i="23"/>
  <c r="N174" i="23" s="1"/>
  <c r="E175" i="23"/>
  <c r="F175" i="23"/>
  <c r="K175" i="23"/>
  <c r="O175" i="23" s="1"/>
  <c r="M175" i="23"/>
  <c r="N175" i="23" s="1"/>
  <c r="E176" i="23"/>
  <c r="F176" i="23"/>
  <c r="K176" i="23"/>
  <c r="O176" i="23" s="1"/>
  <c r="M176" i="23"/>
  <c r="N176" i="23" s="1"/>
  <c r="E177" i="23"/>
  <c r="F177" i="23"/>
  <c r="K177" i="23"/>
  <c r="O177" i="23" s="1"/>
  <c r="M177" i="23"/>
  <c r="N177" i="23" s="1"/>
  <c r="E178" i="23"/>
  <c r="F178" i="23"/>
  <c r="K178" i="23"/>
  <c r="O178" i="23" s="1"/>
  <c r="M178" i="23"/>
  <c r="N178" i="23" s="1"/>
  <c r="E179" i="23"/>
  <c r="F179" i="23"/>
  <c r="K179" i="23"/>
  <c r="O179" i="23" s="1"/>
  <c r="M179" i="23"/>
  <c r="N179" i="23" s="1"/>
  <c r="E180" i="23"/>
  <c r="F180" i="23"/>
  <c r="K180" i="23"/>
  <c r="O180" i="23" s="1"/>
  <c r="M180" i="23"/>
  <c r="N180" i="23" s="1"/>
  <c r="E181" i="23"/>
  <c r="F181" i="23"/>
  <c r="K181" i="23"/>
  <c r="O181" i="23" s="1"/>
  <c r="M181" i="23"/>
  <c r="N181" i="23" s="1"/>
  <c r="E182" i="23"/>
  <c r="F182" i="23"/>
  <c r="K182" i="23"/>
  <c r="O182" i="23" s="1"/>
  <c r="M182" i="23"/>
  <c r="N182" i="23" s="1"/>
  <c r="E183" i="23"/>
  <c r="F183" i="23"/>
  <c r="K183" i="23"/>
  <c r="O183" i="23" s="1"/>
  <c r="M183" i="23"/>
  <c r="N183" i="23" s="1"/>
  <c r="E184" i="23"/>
  <c r="F184" i="23"/>
  <c r="K184" i="23"/>
  <c r="O184" i="23" s="1"/>
  <c r="M184" i="23"/>
  <c r="N184" i="23" s="1"/>
  <c r="E185" i="23"/>
  <c r="F185" i="23"/>
  <c r="K185" i="23"/>
  <c r="O185" i="23" s="1"/>
  <c r="M185" i="23"/>
  <c r="N185" i="23" s="1"/>
  <c r="E186" i="23"/>
  <c r="F186" i="23"/>
  <c r="K186" i="23"/>
  <c r="O186" i="23" s="1"/>
  <c r="M186" i="23"/>
  <c r="N186" i="23" s="1"/>
  <c r="E187" i="23"/>
  <c r="F187" i="23"/>
  <c r="K187" i="23"/>
  <c r="O187" i="23" s="1"/>
  <c r="M187" i="23"/>
  <c r="N187" i="23" s="1"/>
  <c r="E188" i="23"/>
  <c r="F188" i="23"/>
  <c r="K188" i="23"/>
  <c r="O188" i="23" s="1"/>
  <c r="M188" i="23"/>
  <c r="N188" i="23" s="1"/>
  <c r="E189" i="23"/>
  <c r="F189" i="23"/>
  <c r="K189" i="23"/>
  <c r="O189" i="23" s="1"/>
  <c r="M189" i="23"/>
  <c r="N189" i="23" s="1"/>
  <c r="E190" i="23"/>
  <c r="F190" i="23"/>
  <c r="K190" i="23"/>
  <c r="O190" i="23" s="1"/>
  <c r="M190" i="23"/>
  <c r="N190" i="23" s="1"/>
  <c r="E191" i="23"/>
  <c r="F191" i="23"/>
  <c r="K191" i="23"/>
  <c r="O191" i="23" s="1"/>
  <c r="M191" i="23"/>
  <c r="N191" i="23" s="1"/>
  <c r="E192" i="23"/>
  <c r="F192" i="23"/>
  <c r="K192" i="23"/>
  <c r="O192" i="23" s="1"/>
  <c r="M192" i="23"/>
  <c r="N192" i="23" s="1"/>
  <c r="E193" i="23"/>
  <c r="F193" i="23"/>
  <c r="K193" i="23"/>
  <c r="O193" i="23" s="1"/>
  <c r="M193" i="23"/>
  <c r="N193" i="23" s="1"/>
  <c r="E194" i="23"/>
  <c r="F194" i="23"/>
  <c r="K194" i="23"/>
  <c r="O194" i="23" s="1"/>
  <c r="M194" i="23"/>
  <c r="N194" i="23" s="1"/>
  <c r="E195" i="23"/>
  <c r="F195" i="23"/>
  <c r="K195" i="23"/>
  <c r="O195" i="23" s="1"/>
  <c r="M195" i="23"/>
  <c r="N195" i="23" s="1"/>
  <c r="E196" i="23"/>
  <c r="F196" i="23"/>
  <c r="K196" i="23"/>
  <c r="O196" i="23" s="1"/>
  <c r="M196" i="23"/>
  <c r="N196" i="23" s="1"/>
  <c r="E197" i="23"/>
  <c r="F197" i="23"/>
  <c r="K197" i="23"/>
  <c r="O197" i="23" s="1"/>
  <c r="M197" i="23"/>
  <c r="N197" i="23" s="1"/>
  <c r="E198" i="23"/>
  <c r="F198" i="23"/>
  <c r="K198" i="23"/>
  <c r="O198" i="23" s="1"/>
  <c r="M198" i="23"/>
  <c r="N198" i="23" s="1"/>
  <c r="E199" i="23"/>
  <c r="F199" i="23"/>
  <c r="K199" i="23"/>
  <c r="O199" i="23" s="1"/>
  <c r="M199" i="23"/>
  <c r="N199" i="23" s="1"/>
  <c r="E200" i="23"/>
  <c r="F200" i="23"/>
  <c r="K200" i="23"/>
  <c r="O200" i="23" s="1"/>
  <c r="M200" i="23"/>
  <c r="N200" i="23" s="1"/>
  <c r="E201" i="23"/>
  <c r="F201" i="23"/>
  <c r="K201" i="23"/>
  <c r="O201" i="23" s="1"/>
  <c r="M201" i="23"/>
  <c r="N201" i="23" s="1"/>
  <c r="E202" i="23"/>
  <c r="F202" i="23"/>
  <c r="K202" i="23"/>
  <c r="O202" i="23" s="1"/>
  <c r="M202" i="23"/>
  <c r="N202" i="23" s="1"/>
  <c r="E203" i="23"/>
  <c r="F203" i="23"/>
  <c r="K203" i="23"/>
  <c r="O203" i="23" s="1"/>
  <c r="M203" i="23"/>
  <c r="N203" i="23" s="1"/>
  <c r="E204" i="23"/>
  <c r="F204" i="23"/>
  <c r="K204" i="23"/>
  <c r="O204" i="23" s="1"/>
  <c r="M204" i="23"/>
  <c r="N204" i="23" s="1"/>
  <c r="E205" i="23"/>
  <c r="F205" i="23"/>
  <c r="K205" i="23"/>
  <c r="O205" i="23" s="1"/>
  <c r="M205" i="23"/>
  <c r="N205" i="23" s="1"/>
  <c r="E206" i="23"/>
  <c r="F206" i="23"/>
  <c r="K206" i="23"/>
  <c r="O206" i="23" s="1"/>
  <c r="M206" i="23"/>
  <c r="N206" i="23" s="1"/>
  <c r="E207" i="23"/>
  <c r="F207" i="23"/>
  <c r="K207" i="23"/>
  <c r="O207" i="23" s="1"/>
  <c r="M207" i="23"/>
  <c r="N207" i="23" s="1"/>
  <c r="E208" i="23"/>
  <c r="F208" i="23"/>
  <c r="K208" i="23"/>
  <c r="O208" i="23" s="1"/>
  <c r="M208" i="23"/>
  <c r="N208" i="23" s="1"/>
  <c r="E209" i="23"/>
  <c r="F209" i="23"/>
  <c r="K209" i="23"/>
  <c r="O209" i="23" s="1"/>
  <c r="M209" i="23"/>
  <c r="N209" i="23" s="1"/>
  <c r="E210" i="23"/>
  <c r="F210" i="23"/>
  <c r="K210" i="23"/>
  <c r="O210" i="23" s="1"/>
  <c r="M210" i="23"/>
  <c r="N210" i="23" s="1"/>
  <c r="E211" i="23"/>
  <c r="F211" i="23"/>
  <c r="K211" i="23"/>
  <c r="O211" i="23" s="1"/>
  <c r="M211" i="23"/>
  <c r="N211" i="23" s="1"/>
  <c r="E212" i="23"/>
  <c r="F212" i="23"/>
  <c r="K212" i="23"/>
  <c r="O212" i="23" s="1"/>
  <c r="M212" i="23"/>
  <c r="N212" i="23" s="1"/>
  <c r="E213" i="23"/>
  <c r="F213" i="23"/>
  <c r="K213" i="23"/>
  <c r="O213" i="23" s="1"/>
  <c r="M213" i="23"/>
  <c r="N213" i="23" s="1"/>
  <c r="E214" i="23"/>
  <c r="F214" i="23"/>
  <c r="K214" i="23"/>
  <c r="O214" i="23" s="1"/>
  <c r="M214" i="23"/>
  <c r="N214" i="23" s="1"/>
  <c r="E215" i="23"/>
  <c r="F215" i="23"/>
  <c r="K215" i="23"/>
  <c r="O215" i="23" s="1"/>
  <c r="M215" i="23"/>
  <c r="N215" i="23" s="1"/>
  <c r="E216" i="23"/>
  <c r="F216" i="23"/>
  <c r="K216" i="23"/>
  <c r="O216" i="23" s="1"/>
  <c r="M216" i="23"/>
  <c r="N216" i="23" s="1"/>
  <c r="E217" i="23"/>
  <c r="F217" i="23"/>
  <c r="K217" i="23"/>
  <c r="O217" i="23" s="1"/>
  <c r="M217" i="23"/>
  <c r="N217" i="23" s="1"/>
  <c r="E218" i="23"/>
  <c r="F218" i="23"/>
  <c r="K218" i="23"/>
  <c r="O218" i="23" s="1"/>
  <c r="M218" i="23"/>
  <c r="N218" i="23" s="1"/>
  <c r="E219" i="23"/>
  <c r="F219" i="23"/>
  <c r="K219" i="23"/>
  <c r="O219" i="23" s="1"/>
  <c r="M219" i="23"/>
  <c r="N219" i="23" s="1"/>
  <c r="E220" i="23"/>
  <c r="F220" i="23"/>
  <c r="K220" i="23"/>
  <c r="O220" i="23" s="1"/>
  <c r="M220" i="23"/>
  <c r="N220" i="23" s="1"/>
  <c r="E221" i="23"/>
  <c r="F221" i="23"/>
  <c r="K221" i="23"/>
  <c r="O221" i="23" s="1"/>
  <c r="M221" i="23"/>
  <c r="N221" i="23" s="1"/>
  <c r="E222" i="23"/>
  <c r="F222" i="23"/>
  <c r="K222" i="23"/>
  <c r="O222" i="23" s="1"/>
  <c r="M222" i="23"/>
  <c r="N222" i="23" s="1"/>
  <c r="E223" i="23"/>
  <c r="F223" i="23"/>
  <c r="K223" i="23"/>
  <c r="O223" i="23" s="1"/>
  <c r="M223" i="23"/>
  <c r="N223" i="23" s="1"/>
  <c r="E224" i="23"/>
  <c r="F224" i="23"/>
  <c r="K224" i="23"/>
  <c r="M224" i="23"/>
  <c r="N224" i="23" s="1"/>
  <c r="O224" i="23"/>
  <c r="E225" i="23"/>
  <c r="F225" i="23"/>
  <c r="K225" i="23"/>
  <c r="O225" i="23" s="1"/>
  <c r="M225" i="23"/>
  <c r="N225" i="23" s="1"/>
  <c r="E226" i="23"/>
  <c r="F226" i="23"/>
  <c r="K226" i="23"/>
  <c r="O226" i="23" s="1"/>
  <c r="M226" i="23"/>
  <c r="N226" i="23" s="1"/>
  <c r="E227" i="23"/>
  <c r="F227" i="23"/>
  <c r="K227" i="23"/>
  <c r="O227" i="23" s="1"/>
  <c r="M227" i="23"/>
  <c r="N227" i="23" s="1"/>
  <c r="E228" i="23"/>
  <c r="F228" i="23"/>
  <c r="K228" i="23"/>
  <c r="O228" i="23" s="1"/>
  <c r="M228" i="23"/>
  <c r="N228" i="23" s="1"/>
  <c r="E229" i="23"/>
  <c r="F229" i="23"/>
  <c r="K229" i="23"/>
  <c r="O229" i="23" s="1"/>
  <c r="M229" i="23"/>
  <c r="N229" i="23" s="1"/>
  <c r="E230" i="23"/>
  <c r="F230" i="23"/>
  <c r="K230" i="23"/>
  <c r="O230" i="23" s="1"/>
  <c r="M230" i="23"/>
  <c r="N230" i="23" s="1"/>
  <c r="E231" i="23"/>
  <c r="F231" i="23"/>
  <c r="K231" i="23"/>
  <c r="O231" i="23" s="1"/>
  <c r="M231" i="23"/>
  <c r="N231" i="23" s="1"/>
  <c r="E232" i="23"/>
  <c r="F232" i="23"/>
  <c r="K232" i="23"/>
  <c r="O232" i="23" s="1"/>
  <c r="M232" i="23"/>
  <c r="N232" i="23" s="1"/>
  <c r="E233" i="23"/>
  <c r="F233" i="23"/>
  <c r="K233" i="23"/>
  <c r="O233" i="23" s="1"/>
  <c r="M233" i="23"/>
  <c r="N233" i="23" s="1"/>
  <c r="E234" i="23"/>
  <c r="F234" i="23"/>
  <c r="K234" i="23"/>
  <c r="O234" i="23" s="1"/>
  <c r="M234" i="23"/>
  <c r="N234" i="23" s="1"/>
  <c r="E235" i="23"/>
  <c r="F235" i="23"/>
  <c r="K235" i="23"/>
  <c r="O235" i="23" s="1"/>
  <c r="M235" i="23"/>
  <c r="N235" i="23" s="1"/>
  <c r="E236" i="23"/>
  <c r="F236" i="23"/>
  <c r="K236" i="23"/>
  <c r="O236" i="23" s="1"/>
  <c r="M236" i="23"/>
  <c r="N236" i="23" s="1"/>
  <c r="E237" i="23"/>
  <c r="F237" i="23"/>
  <c r="K237" i="23"/>
  <c r="O237" i="23" s="1"/>
  <c r="M237" i="23"/>
  <c r="N237" i="23" s="1"/>
  <c r="E238" i="23"/>
  <c r="F238" i="23"/>
  <c r="K238" i="23"/>
  <c r="O238" i="23" s="1"/>
  <c r="M238" i="23"/>
  <c r="N238" i="23" s="1"/>
  <c r="E239" i="23"/>
  <c r="F239" i="23"/>
  <c r="K239" i="23"/>
  <c r="O239" i="23" s="1"/>
  <c r="M239" i="23"/>
  <c r="N239" i="23" s="1"/>
  <c r="E240" i="23"/>
  <c r="F240" i="23"/>
  <c r="K240" i="23"/>
  <c r="O240" i="23" s="1"/>
  <c r="M240" i="23"/>
  <c r="N240" i="23" s="1"/>
  <c r="E241" i="23"/>
  <c r="F241" i="23"/>
  <c r="K241" i="23"/>
  <c r="O241" i="23" s="1"/>
  <c r="M241" i="23"/>
  <c r="N241" i="23" s="1"/>
  <c r="E242" i="23"/>
  <c r="F242" i="23"/>
  <c r="K242" i="23"/>
  <c r="O242" i="23" s="1"/>
  <c r="M242" i="23"/>
  <c r="N242" i="23" s="1"/>
  <c r="E243" i="23"/>
  <c r="F243" i="23"/>
  <c r="K243" i="23"/>
  <c r="O243" i="23" s="1"/>
  <c r="M243" i="23"/>
  <c r="N243" i="23" s="1"/>
  <c r="E244" i="23"/>
  <c r="F244" i="23"/>
  <c r="K244" i="23"/>
  <c r="O244" i="23" s="1"/>
  <c r="M244" i="23"/>
  <c r="N244" i="23" s="1"/>
  <c r="E245" i="23"/>
  <c r="F245" i="23"/>
  <c r="K245" i="23"/>
  <c r="O245" i="23" s="1"/>
  <c r="M245" i="23"/>
  <c r="N245" i="23" s="1"/>
  <c r="E246" i="23"/>
  <c r="F246" i="23"/>
  <c r="K246" i="23"/>
  <c r="O246" i="23" s="1"/>
  <c r="M246" i="23"/>
  <c r="N246" i="23" s="1"/>
  <c r="E247" i="23"/>
  <c r="F247" i="23"/>
  <c r="K247" i="23"/>
  <c r="O247" i="23" s="1"/>
  <c r="M247" i="23"/>
  <c r="N247" i="23" s="1"/>
  <c r="E248" i="23"/>
  <c r="F248" i="23"/>
  <c r="K248" i="23"/>
  <c r="O248" i="23" s="1"/>
  <c r="M248" i="23"/>
  <c r="N248" i="23" s="1"/>
  <c r="E249" i="23"/>
  <c r="F249" i="23"/>
  <c r="K249" i="23"/>
  <c r="O249" i="23" s="1"/>
  <c r="M249" i="23"/>
  <c r="N249" i="23" s="1"/>
  <c r="E250" i="23"/>
  <c r="F250" i="23"/>
  <c r="K250" i="23"/>
  <c r="O250" i="23" s="1"/>
  <c r="M250" i="23"/>
  <c r="N250" i="23" s="1"/>
  <c r="E251" i="23"/>
  <c r="F251" i="23"/>
  <c r="K251" i="23"/>
  <c r="O251" i="23" s="1"/>
  <c r="M251" i="23"/>
  <c r="N251" i="23" s="1"/>
  <c r="E252" i="23"/>
  <c r="F252" i="23"/>
  <c r="K252" i="23"/>
  <c r="O252" i="23" s="1"/>
  <c r="M252" i="23"/>
  <c r="N252" i="23" s="1"/>
  <c r="E253" i="23"/>
  <c r="F253" i="23"/>
  <c r="K253" i="23"/>
  <c r="O253" i="23" s="1"/>
  <c r="M253" i="23"/>
  <c r="N253" i="23" s="1"/>
  <c r="E254" i="23"/>
  <c r="F254" i="23"/>
  <c r="K254" i="23"/>
  <c r="O254" i="23" s="1"/>
  <c r="M254" i="23"/>
  <c r="N254" i="23" s="1"/>
  <c r="E255" i="23"/>
  <c r="F255" i="23"/>
  <c r="K255" i="23"/>
  <c r="O255" i="23" s="1"/>
  <c r="M255" i="23"/>
  <c r="N255" i="23" s="1"/>
  <c r="E256" i="23"/>
  <c r="F256" i="23"/>
  <c r="K256" i="23"/>
  <c r="O256" i="23" s="1"/>
  <c r="M256" i="23"/>
  <c r="N256" i="23" s="1"/>
  <c r="E257" i="23"/>
  <c r="F257" i="23"/>
  <c r="K257" i="23"/>
  <c r="O257" i="23" s="1"/>
  <c r="M257" i="23"/>
  <c r="N257" i="23" s="1"/>
  <c r="E258" i="23"/>
  <c r="F258" i="23"/>
  <c r="K258" i="23"/>
  <c r="O258" i="23" s="1"/>
  <c r="M258" i="23"/>
  <c r="N258" i="23" s="1"/>
  <c r="E259" i="23"/>
  <c r="F259" i="23"/>
  <c r="K259" i="23"/>
  <c r="O259" i="23" s="1"/>
  <c r="M259" i="23"/>
  <c r="N259" i="23" s="1"/>
  <c r="E260" i="23"/>
  <c r="F260" i="23"/>
  <c r="K260" i="23"/>
  <c r="O260" i="23" s="1"/>
  <c r="M260" i="23"/>
  <c r="N260" i="23" s="1"/>
  <c r="E261" i="23"/>
  <c r="F261" i="23"/>
  <c r="K261" i="23"/>
  <c r="O261" i="23" s="1"/>
  <c r="M261" i="23"/>
  <c r="N261" i="23" s="1"/>
  <c r="E262" i="23"/>
  <c r="F262" i="23"/>
  <c r="K262" i="23"/>
  <c r="O262" i="23" s="1"/>
  <c r="M262" i="23"/>
  <c r="N262" i="23" s="1"/>
  <c r="E263" i="23"/>
  <c r="F263" i="23"/>
  <c r="K263" i="23"/>
  <c r="O263" i="23" s="1"/>
  <c r="M263" i="23"/>
  <c r="N263" i="23" s="1"/>
  <c r="K6" i="19" l="1"/>
  <c r="M6" i="19"/>
  <c r="K7" i="19"/>
  <c r="M7" i="19"/>
  <c r="K8" i="19"/>
  <c r="M8" i="19"/>
  <c r="K9" i="19"/>
  <c r="M9" i="19"/>
  <c r="K10" i="19"/>
  <c r="M10" i="19"/>
  <c r="K11" i="19" l="1"/>
  <c r="M11" i="19"/>
  <c r="AU101" i="23" l="1"/>
  <c r="AV101" i="23"/>
  <c r="BA101" i="23"/>
  <c r="BE101" i="23" s="1"/>
  <c r="BC101" i="23"/>
  <c r="BD101" i="23" s="1"/>
  <c r="N200" i="4" l="1"/>
  <c r="O200" i="4" s="1"/>
  <c r="N201" i="4"/>
  <c r="O201" i="4" s="1"/>
  <c r="N202" i="4"/>
  <c r="O202" i="4" s="1"/>
  <c r="N203" i="4"/>
  <c r="O203" i="4" s="1"/>
  <c r="N204" i="4"/>
  <c r="O204" i="4" s="1"/>
  <c r="N205" i="4"/>
  <c r="O205" i="4" s="1"/>
  <c r="N206" i="4"/>
  <c r="O206" i="4" s="1"/>
  <c r="N207" i="4"/>
  <c r="O207" i="4" s="1"/>
  <c r="L266" i="23" l="1"/>
  <c r="E264" i="23" l="1"/>
  <c r="F264" i="23"/>
  <c r="K264" i="23"/>
  <c r="O264" i="23" s="1"/>
  <c r="M264" i="23"/>
  <c r="N264" i="23" s="1"/>
  <c r="N266" i="23" l="1"/>
  <c r="M266" i="23"/>
  <c r="G1" i="26"/>
  <c r="P3" i="26" s="1"/>
  <c r="L1" i="23" l="1"/>
  <c r="L43" i="19" l="1"/>
  <c r="L1" i="19"/>
  <c r="K12" i="19"/>
  <c r="M12" i="19"/>
  <c r="K13" i="19"/>
  <c r="M13" i="19"/>
  <c r="K14" i="19"/>
  <c r="M14" i="19"/>
  <c r="N14" i="19" s="1"/>
  <c r="K15" i="19"/>
  <c r="M15" i="19"/>
  <c r="N15" i="19" s="1"/>
  <c r="K16" i="19"/>
  <c r="M16" i="19"/>
  <c r="N16" i="19" s="1"/>
  <c r="K17" i="19"/>
  <c r="M17" i="19"/>
  <c r="N17" i="19" s="1"/>
  <c r="K18" i="19"/>
  <c r="M18" i="19"/>
  <c r="N18" i="19" s="1"/>
  <c r="K19" i="19"/>
  <c r="M19" i="19"/>
  <c r="N19" i="19" s="1"/>
  <c r="K20" i="19"/>
  <c r="M20" i="19"/>
  <c r="N20" i="19" s="1"/>
  <c r="K21" i="19"/>
  <c r="M21" i="19"/>
  <c r="N21" i="19" s="1"/>
  <c r="K22" i="19"/>
  <c r="M22" i="19"/>
  <c r="N22" i="19" s="1"/>
  <c r="K23" i="19"/>
  <c r="M23" i="19"/>
  <c r="N23" i="19" s="1"/>
  <c r="K24" i="19"/>
  <c r="M24" i="19"/>
  <c r="N24" i="19" s="1"/>
  <c r="K25" i="19"/>
  <c r="M25" i="19"/>
  <c r="N25" i="19" s="1"/>
  <c r="K26" i="19"/>
  <c r="M26" i="19"/>
  <c r="N26" i="19" s="1"/>
  <c r="K27" i="19"/>
  <c r="M27" i="19"/>
  <c r="N27" i="19" s="1"/>
  <c r="K28" i="19"/>
  <c r="M28" i="19"/>
  <c r="N28" i="19" s="1"/>
  <c r="K29" i="19"/>
  <c r="M29" i="19"/>
  <c r="N29" i="19" s="1"/>
  <c r="K30" i="19"/>
  <c r="M30" i="19"/>
  <c r="N30" i="19" s="1"/>
  <c r="K31" i="19"/>
  <c r="M31" i="19"/>
  <c r="N31" i="19" s="1"/>
  <c r="K32" i="19"/>
  <c r="M32" i="19"/>
  <c r="N32" i="19" s="1"/>
  <c r="K33" i="19"/>
  <c r="M33" i="19"/>
  <c r="N33" i="19" s="1"/>
  <c r="K34" i="19"/>
  <c r="M34" i="19"/>
  <c r="N34" i="19" s="1"/>
  <c r="K35" i="19"/>
  <c r="M35" i="19"/>
  <c r="N35" i="19" s="1"/>
  <c r="K36" i="19"/>
  <c r="M36" i="19"/>
  <c r="N36" i="19" s="1"/>
  <c r="K37" i="19"/>
  <c r="M37" i="19"/>
  <c r="N37" i="19" s="1"/>
  <c r="K38" i="19"/>
  <c r="M38" i="19"/>
  <c r="N38" i="19" s="1"/>
  <c r="K39" i="19"/>
  <c r="M39" i="19"/>
  <c r="N39" i="19" s="1"/>
  <c r="K40" i="19"/>
  <c r="M40" i="19"/>
  <c r="N40" i="19" s="1"/>
  <c r="K41" i="19"/>
  <c r="M41" i="19"/>
  <c r="N41" i="19" s="1"/>
  <c r="K42" i="19"/>
  <c r="M42" i="19"/>
  <c r="N42" i="19" s="1"/>
  <c r="E103" i="4"/>
  <c r="F103" i="4"/>
  <c r="L103" i="4"/>
  <c r="N103" i="4"/>
  <c r="O103" i="4" s="1"/>
  <c r="E104" i="4"/>
  <c r="F104" i="4"/>
  <c r="L104" i="4"/>
  <c r="N104" i="4"/>
  <c r="O104" i="4" s="1"/>
  <c r="E105" i="4"/>
  <c r="F105" i="4"/>
  <c r="L105" i="4"/>
  <c r="N105" i="4"/>
  <c r="O105" i="4" s="1"/>
  <c r="E106" i="4"/>
  <c r="F106" i="4"/>
  <c r="L106" i="4"/>
  <c r="N106" i="4"/>
  <c r="O106" i="4" s="1"/>
  <c r="E107" i="4"/>
  <c r="F107" i="4"/>
  <c r="L107" i="4"/>
  <c r="N107" i="4"/>
  <c r="O107" i="4" s="1"/>
  <c r="E108" i="4"/>
  <c r="F108" i="4"/>
  <c r="L108" i="4"/>
  <c r="N108" i="4"/>
  <c r="O108" i="4" s="1"/>
  <c r="E109" i="4"/>
  <c r="F109" i="4"/>
  <c r="L109" i="4"/>
  <c r="N109" i="4"/>
  <c r="O109" i="4" s="1"/>
  <c r="E110" i="4"/>
  <c r="F110" i="4"/>
  <c r="L110" i="4"/>
  <c r="N110" i="4"/>
  <c r="O110" i="4" s="1"/>
  <c r="E111" i="4"/>
  <c r="F111" i="4"/>
  <c r="L111" i="4"/>
  <c r="N111" i="4"/>
  <c r="O111" i="4" s="1"/>
  <c r="E112" i="4"/>
  <c r="F112" i="4"/>
  <c r="L112" i="4"/>
  <c r="N112" i="4"/>
  <c r="O112" i="4" s="1"/>
  <c r="E113" i="4"/>
  <c r="F113" i="4"/>
  <c r="L113" i="4"/>
  <c r="N113" i="4"/>
  <c r="O113" i="4" s="1"/>
  <c r="E114" i="4"/>
  <c r="F114" i="4"/>
  <c r="L114" i="4"/>
  <c r="N114" i="4"/>
  <c r="O114" i="4" s="1"/>
  <c r="E115" i="4"/>
  <c r="F115" i="4"/>
  <c r="L115" i="4"/>
  <c r="N115" i="4"/>
  <c r="O115" i="4" s="1"/>
  <c r="E116" i="4"/>
  <c r="F116" i="4"/>
  <c r="L116" i="4"/>
  <c r="N116" i="4"/>
  <c r="O116" i="4" s="1"/>
  <c r="E117" i="4"/>
  <c r="F117" i="4"/>
  <c r="L117" i="4"/>
  <c r="N117" i="4"/>
  <c r="O117" i="4" s="1"/>
  <c r="E118" i="4"/>
  <c r="F118" i="4"/>
  <c r="L118" i="4"/>
  <c r="N118" i="4"/>
  <c r="O118" i="4" s="1"/>
  <c r="E119" i="4"/>
  <c r="F119" i="4"/>
  <c r="L119" i="4"/>
  <c r="N119" i="4"/>
  <c r="O119" i="4" s="1"/>
  <c r="E120" i="4"/>
  <c r="F120" i="4"/>
  <c r="L120" i="4"/>
  <c r="N120" i="4"/>
  <c r="O120" i="4" s="1"/>
  <c r="E121" i="4"/>
  <c r="F121" i="4"/>
  <c r="L121" i="4"/>
  <c r="N121" i="4"/>
  <c r="O121" i="4" s="1"/>
  <c r="E122" i="4"/>
  <c r="F122" i="4"/>
  <c r="L122" i="4"/>
  <c r="N122" i="4"/>
  <c r="O122" i="4" s="1"/>
  <c r="E123" i="4"/>
  <c r="F123" i="4"/>
  <c r="L123" i="4"/>
  <c r="N123" i="4"/>
  <c r="O123" i="4" s="1"/>
  <c r="E124" i="4"/>
  <c r="F124" i="4"/>
  <c r="L124" i="4"/>
  <c r="N124" i="4"/>
  <c r="O124" i="4" s="1"/>
  <c r="E125" i="4"/>
  <c r="F125" i="4"/>
  <c r="L125" i="4"/>
  <c r="N125" i="4"/>
  <c r="O125" i="4" s="1"/>
  <c r="E126" i="4"/>
  <c r="F126" i="4"/>
  <c r="L126" i="4"/>
  <c r="N126" i="4"/>
  <c r="O126" i="4" s="1"/>
  <c r="E127" i="4"/>
  <c r="F127" i="4"/>
  <c r="L127" i="4"/>
  <c r="N127" i="4"/>
  <c r="O127" i="4" s="1"/>
  <c r="E128" i="4"/>
  <c r="F128" i="4"/>
  <c r="L128" i="4"/>
  <c r="N128" i="4"/>
  <c r="O128" i="4" s="1"/>
  <c r="E129" i="4"/>
  <c r="F129" i="4"/>
  <c r="L129" i="4"/>
  <c r="N129" i="4"/>
  <c r="O129" i="4" s="1"/>
  <c r="E130" i="4"/>
  <c r="F130" i="4"/>
  <c r="L130" i="4"/>
  <c r="N130" i="4"/>
  <c r="O130" i="4" s="1"/>
  <c r="E131" i="4"/>
  <c r="F131" i="4"/>
  <c r="L131" i="4"/>
  <c r="N131" i="4"/>
  <c r="O131" i="4" s="1"/>
  <c r="E132" i="4"/>
  <c r="F132" i="4"/>
  <c r="L132" i="4"/>
  <c r="N132" i="4"/>
  <c r="O132" i="4" s="1"/>
  <c r="E133" i="4"/>
  <c r="F133" i="4"/>
  <c r="L133" i="4"/>
  <c r="N133" i="4"/>
  <c r="O133" i="4" s="1"/>
  <c r="E134" i="4"/>
  <c r="F134" i="4"/>
  <c r="L134" i="4"/>
  <c r="N134" i="4"/>
  <c r="O134" i="4" s="1"/>
  <c r="E135" i="4"/>
  <c r="F135" i="4"/>
  <c r="L135" i="4"/>
  <c r="N135" i="4"/>
  <c r="O135" i="4" s="1"/>
  <c r="E136" i="4"/>
  <c r="F136" i="4"/>
  <c r="L136" i="4"/>
  <c r="N136" i="4"/>
  <c r="O136" i="4" s="1"/>
  <c r="E137" i="4"/>
  <c r="F137" i="4"/>
  <c r="L137" i="4"/>
  <c r="N137" i="4"/>
  <c r="O137" i="4" s="1"/>
  <c r="E138" i="4"/>
  <c r="F138" i="4"/>
  <c r="L138" i="4"/>
  <c r="N138" i="4"/>
  <c r="O138" i="4" s="1"/>
  <c r="E139" i="4"/>
  <c r="F139" i="4"/>
  <c r="L139" i="4"/>
  <c r="N139" i="4"/>
  <c r="O139" i="4"/>
  <c r="E140" i="4"/>
  <c r="F140" i="4"/>
  <c r="L140" i="4"/>
  <c r="N140" i="4"/>
  <c r="O140" i="4" s="1"/>
  <c r="E141" i="4"/>
  <c r="F141" i="4"/>
  <c r="L141" i="4"/>
  <c r="N141" i="4"/>
  <c r="O141" i="4" s="1"/>
  <c r="E142" i="4"/>
  <c r="F142" i="4"/>
  <c r="L142" i="4"/>
  <c r="N142" i="4"/>
  <c r="O142" i="4" s="1"/>
  <c r="E143" i="4"/>
  <c r="F143" i="4"/>
  <c r="L143" i="4"/>
  <c r="N143" i="4"/>
  <c r="O143" i="4" s="1"/>
  <c r="E144" i="4"/>
  <c r="F144" i="4"/>
  <c r="L144" i="4"/>
  <c r="N144" i="4"/>
  <c r="O144" i="4" s="1"/>
  <c r="E145" i="4"/>
  <c r="F145" i="4"/>
  <c r="L145" i="4"/>
  <c r="N145" i="4"/>
  <c r="O145" i="4" s="1"/>
  <c r="E146" i="4"/>
  <c r="F146" i="4"/>
  <c r="L146" i="4"/>
  <c r="N146" i="4"/>
  <c r="O146" i="4" s="1"/>
  <c r="E147" i="4"/>
  <c r="F147" i="4"/>
  <c r="L147" i="4"/>
  <c r="N147" i="4"/>
  <c r="O147" i="4" s="1"/>
  <c r="E148" i="4"/>
  <c r="F148" i="4"/>
  <c r="L148" i="4"/>
  <c r="N148" i="4"/>
  <c r="O148" i="4" s="1"/>
  <c r="E149" i="4"/>
  <c r="F149" i="4"/>
  <c r="L149" i="4"/>
  <c r="N149" i="4"/>
  <c r="O149" i="4" s="1"/>
  <c r="E150" i="4"/>
  <c r="F150" i="4"/>
  <c r="L150" i="4"/>
  <c r="N150" i="4"/>
  <c r="O150" i="4" s="1"/>
  <c r="E151" i="4"/>
  <c r="F151" i="4"/>
  <c r="L151" i="4"/>
  <c r="N151" i="4"/>
  <c r="O151" i="4" s="1"/>
  <c r="E152" i="4"/>
  <c r="F152" i="4"/>
  <c r="L152" i="4"/>
  <c r="N152" i="4"/>
  <c r="O152" i="4" s="1"/>
  <c r="E153" i="4"/>
  <c r="F153" i="4"/>
  <c r="L153" i="4"/>
  <c r="N153" i="4"/>
  <c r="O153" i="4" s="1"/>
  <c r="E154" i="4"/>
  <c r="F154" i="4"/>
  <c r="L154" i="4"/>
  <c r="N154" i="4"/>
  <c r="O154" i="4" s="1"/>
  <c r="E155" i="4"/>
  <c r="F155" i="4"/>
  <c r="L155" i="4"/>
  <c r="N155" i="4"/>
  <c r="O155" i="4" s="1"/>
  <c r="E156" i="4"/>
  <c r="F156" i="4"/>
  <c r="L156" i="4"/>
  <c r="N156" i="4"/>
  <c r="O156" i="4" s="1"/>
  <c r="E157" i="4"/>
  <c r="F157" i="4"/>
  <c r="L157" i="4"/>
  <c r="N157" i="4"/>
  <c r="O157" i="4" s="1"/>
  <c r="E158" i="4"/>
  <c r="F158" i="4"/>
  <c r="L158" i="4"/>
  <c r="N158" i="4"/>
  <c r="O158" i="4" s="1"/>
  <c r="E159" i="4"/>
  <c r="F159" i="4"/>
  <c r="L159" i="4"/>
  <c r="N159" i="4"/>
  <c r="O159" i="4" s="1"/>
  <c r="E160" i="4"/>
  <c r="F160" i="4"/>
  <c r="L160" i="4"/>
  <c r="N160" i="4"/>
  <c r="O160" i="4" s="1"/>
  <c r="E161" i="4"/>
  <c r="F161" i="4"/>
  <c r="L161" i="4"/>
  <c r="N161" i="4"/>
  <c r="O161" i="4" s="1"/>
  <c r="E162" i="4"/>
  <c r="F162" i="4"/>
  <c r="L162" i="4"/>
  <c r="N162" i="4"/>
  <c r="O162" i="4" s="1"/>
  <c r="E163" i="4"/>
  <c r="F163" i="4"/>
  <c r="L163" i="4"/>
  <c r="N163" i="4"/>
  <c r="O163" i="4" s="1"/>
  <c r="E164" i="4"/>
  <c r="F164" i="4"/>
  <c r="L164" i="4"/>
  <c r="N164" i="4"/>
  <c r="O164" i="4" s="1"/>
  <c r="E165" i="4"/>
  <c r="F165" i="4"/>
  <c r="L165" i="4"/>
  <c r="N165" i="4"/>
  <c r="O165" i="4" s="1"/>
  <c r="E166" i="4"/>
  <c r="F166" i="4"/>
  <c r="L166" i="4"/>
  <c r="N166" i="4"/>
  <c r="O166" i="4" s="1"/>
  <c r="E167" i="4"/>
  <c r="F167" i="4"/>
  <c r="L167" i="4"/>
  <c r="N167" i="4"/>
  <c r="O167" i="4" s="1"/>
  <c r="E168" i="4"/>
  <c r="F168" i="4"/>
  <c r="L168" i="4"/>
  <c r="N168" i="4"/>
  <c r="O168" i="4" s="1"/>
  <c r="E169" i="4"/>
  <c r="F169" i="4"/>
  <c r="L169" i="4"/>
  <c r="N169" i="4"/>
  <c r="O169" i="4" s="1"/>
  <c r="E170" i="4"/>
  <c r="F170" i="4"/>
  <c r="L170" i="4"/>
  <c r="N170" i="4"/>
  <c r="O170" i="4" s="1"/>
  <c r="E171" i="4"/>
  <c r="F171" i="4"/>
  <c r="L171" i="4"/>
  <c r="N171" i="4"/>
  <c r="O171" i="4" s="1"/>
  <c r="E172" i="4"/>
  <c r="F172" i="4"/>
  <c r="L172" i="4"/>
  <c r="N172" i="4"/>
  <c r="O172" i="4" s="1"/>
  <c r="E173" i="4"/>
  <c r="F173" i="4"/>
  <c r="L173" i="4"/>
  <c r="N173" i="4"/>
  <c r="O173" i="4" s="1"/>
  <c r="E174" i="4"/>
  <c r="F174" i="4"/>
  <c r="L174" i="4"/>
  <c r="N174" i="4"/>
  <c r="O174" i="4" s="1"/>
  <c r="E175" i="4"/>
  <c r="F175" i="4"/>
  <c r="L175" i="4"/>
  <c r="N175" i="4"/>
  <c r="O175" i="4" s="1"/>
  <c r="E176" i="4"/>
  <c r="F176" i="4"/>
  <c r="L176" i="4"/>
  <c r="N176" i="4"/>
  <c r="O176" i="4" s="1"/>
  <c r="E177" i="4"/>
  <c r="F177" i="4"/>
  <c r="L177" i="4"/>
  <c r="N177" i="4"/>
  <c r="O177" i="4" s="1"/>
  <c r="E178" i="4"/>
  <c r="F178" i="4"/>
  <c r="L178" i="4"/>
  <c r="N178" i="4"/>
  <c r="O178" i="4" s="1"/>
  <c r="E179" i="4"/>
  <c r="F179" i="4"/>
  <c r="L179" i="4"/>
  <c r="N179" i="4"/>
  <c r="O179" i="4" s="1"/>
  <c r="E180" i="4"/>
  <c r="F180" i="4"/>
  <c r="L180" i="4"/>
  <c r="N180" i="4"/>
  <c r="O180" i="4" s="1"/>
  <c r="E181" i="4"/>
  <c r="F181" i="4"/>
  <c r="L181" i="4"/>
  <c r="N181" i="4"/>
  <c r="O181" i="4" s="1"/>
  <c r="E182" i="4"/>
  <c r="F182" i="4"/>
  <c r="L182" i="4"/>
  <c r="N182" i="4"/>
  <c r="O182" i="4" s="1"/>
  <c r="E183" i="4"/>
  <c r="F183" i="4"/>
  <c r="L183" i="4"/>
  <c r="N183" i="4"/>
  <c r="O183" i="4" s="1"/>
  <c r="E184" i="4"/>
  <c r="F184" i="4"/>
  <c r="L184" i="4"/>
  <c r="N184" i="4"/>
  <c r="O184" i="4" s="1"/>
  <c r="E185" i="4"/>
  <c r="F185" i="4"/>
  <c r="L185" i="4"/>
  <c r="N185" i="4"/>
  <c r="O185" i="4" s="1"/>
  <c r="E186" i="4"/>
  <c r="F186" i="4"/>
  <c r="L186" i="4"/>
  <c r="N186" i="4"/>
  <c r="O186" i="4" s="1"/>
  <c r="E187" i="4"/>
  <c r="F187" i="4"/>
  <c r="L187" i="4"/>
  <c r="N187" i="4"/>
  <c r="O187" i="4" s="1"/>
  <c r="E188" i="4"/>
  <c r="F188" i="4"/>
  <c r="L188" i="4"/>
  <c r="N188" i="4"/>
  <c r="O188" i="4" s="1"/>
  <c r="E189" i="4"/>
  <c r="F189" i="4"/>
  <c r="L189" i="4"/>
  <c r="N189" i="4"/>
  <c r="O189" i="4" s="1"/>
  <c r="E190" i="4"/>
  <c r="F190" i="4"/>
  <c r="L190" i="4"/>
  <c r="N190" i="4"/>
  <c r="O190" i="4" s="1"/>
  <c r="E191" i="4"/>
  <c r="F191" i="4"/>
  <c r="L191" i="4"/>
  <c r="N191" i="4"/>
  <c r="O191" i="4" s="1"/>
  <c r="E192" i="4"/>
  <c r="F192" i="4"/>
  <c r="L192" i="4"/>
  <c r="N192" i="4"/>
  <c r="O192" i="4" s="1"/>
  <c r="E193" i="4"/>
  <c r="F193" i="4"/>
  <c r="L193" i="4"/>
  <c r="N193" i="4"/>
  <c r="O193" i="4" s="1"/>
  <c r="E194" i="4"/>
  <c r="F194" i="4"/>
  <c r="L194" i="4"/>
  <c r="N194" i="4"/>
  <c r="O194" i="4" s="1"/>
  <c r="E195" i="4"/>
  <c r="F195" i="4"/>
  <c r="L195" i="4"/>
  <c r="N195" i="4"/>
  <c r="O195" i="4" s="1"/>
  <c r="E196" i="4"/>
  <c r="F196" i="4"/>
  <c r="L196" i="4"/>
  <c r="N196" i="4"/>
  <c r="O196" i="4" s="1"/>
  <c r="E197" i="4"/>
  <c r="F197" i="4"/>
  <c r="L197" i="4"/>
  <c r="N197" i="4"/>
  <c r="O197" i="4" s="1"/>
  <c r="E198" i="4"/>
  <c r="F198" i="4"/>
  <c r="L198" i="4"/>
  <c r="N198" i="4"/>
  <c r="O198" i="4" s="1"/>
  <c r="E199" i="4"/>
  <c r="F199" i="4"/>
  <c r="L199" i="4"/>
  <c r="N199" i="4"/>
  <c r="O199" i="4" s="1"/>
  <c r="E200" i="4"/>
  <c r="F200" i="4"/>
  <c r="L200" i="4"/>
  <c r="E201" i="4"/>
  <c r="F201" i="4"/>
  <c r="L201" i="4"/>
  <c r="E202" i="4"/>
  <c r="F202" i="4"/>
  <c r="L202" i="4"/>
  <c r="E203" i="4"/>
  <c r="F203" i="4"/>
  <c r="L203" i="4"/>
  <c r="E204" i="4"/>
  <c r="F204" i="4"/>
  <c r="L204" i="4"/>
  <c r="E205" i="4"/>
  <c r="F205" i="4"/>
  <c r="L205" i="4"/>
  <c r="E206" i="4"/>
  <c r="F206" i="4"/>
  <c r="L206" i="4"/>
  <c r="E207" i="4"/>
  <c r="F207" i="4"/>
  <c r="L207" i="4"/>
  <c r="E208" i="4"/>
  <c r="F208" i="4"/>
  <c r="L208" i="4"/>
  <c r="N208" i="4"/>
  <c r="O208" i="4" s="1"/>
  <c r="BM3" i="23"/>
  <c r="BN3" i="23"/>
  <c r="BQ3" i="23"/>
  <c r="BR3" i="23" s="1"/>
  <c r="BM4" i="23"/>
  <c r="BN4" i="23"/>
  <c r="BQ4" i="23"/>
  <c r="BR4" i="23" s="1"/>
  <c r="BM5" i="23"/>
  <c r="BN5" i="23"/>
  <c r="BQ5" i="23"/>
  <c r="BR5" i="23" s="1"/>
  <c r="BM6" i="23"/>
  <c r="BN6" i="23"/>
  <c r="BQ6" i="23"/>
  <c r="BR6" i="23" s="1"/>
  <c r="BM7" i="23"/>
  <c r="BN7" i="23"/>
  <c r="BQ7" i="23"/>
  <c r="BR7" i="23" s="1"/>
  <c r="BM8" i="23"/>
  <c r="BN8" i="23"/>
  <c r="BQ8" i="23"/>
  <c r="BR8" i="23" s="1"/>
  <c r="BM9" i="23"/>
  <c r="BN9" i="23"/>
  <c r="BQ9" i="23"/>
  <c r="BR9" i="23" s="1"/>
  <c r="BM10" i="23"/>
  <c r="BN10" i="23"/>
  <c r="BQ10" i="23"/>
  <c r="BR10" i="23" s="1"/>
  <c r="BM11" i="23"/>
  <c r="BN11" i="23"/>
  <c r="BQ11" i="23"/>
  <c r="BR11" i="23" s="1"/>
  <c r="BM12" i="23"/>
  <c r="BN12" i="23"/>
  <c r="BQ12" i="23"/>
  <c r="BR12" i="23" s="1"/>
  <c r="BM13" i="23"/>
  <c r="BN13" i="23"/>
  <c r="BQ13" i="23"/>
  <c r="BR13" i="23" s="1"/>
  <c r="BM14" i="23"/>
  <c r="BN14" i="23"/>
  <c r="BQ14" i="23"/>
  <c r="BR14" i="23" s="1"/>
  <c r="BM15" i="23"/>
  <c r="BN15" i="23"/>
  <c r="BQ15" i="23"/>
  <c r="BR15" i="23" s="1"/>
  <c r="BM16" i="23"/>
  <c r="BN16" i="23"/>
  <c r="BQ16" i="23"/>
  <c r="BR16" i="23" s="1"/>
  <c r="BM17" i="23"/>
  <c r="BN17" i="23"/>
  <c r="BQ17" i="23"/>
  <c r="BR17" i="23" s="1"/>
  <c r="BM18" i="23"/>
  <c r="BN18" i="23"/>
  <c r="BQ18" i="23"/>
  <c r="BR18" i="23" s="1"/>
  <c r="BM19" i="23"/>
  <c r="BN19" i="23"/>
  <c r="BQ19" i="23"/>
  <c r="BR19" i="23" s="1"/>
  <c r="BM20" i="23"/>
  <c r="BN20" i="23"/>
  <c r="BQ20" i="23"/>
  <c r="BR20" i="23" s="1"/>
  <c r="BM21" i="23"/>
  <c r="BN21" i="23"/>
  <c r="BQ21" i="23"/>
  <c r="BR21" i="23" s="1"/>
  <c r="BM22" i="23"/>
  <c r="BN22" i="23"/>
  <c r="BQ22" i="23"/>
  <c r="BR22" i="23" s="1"/>
  <c r="BM23" i="23"/>
  <c r="BN23" i="23"/>
  <c r="BQ23" i="23"/>
  <c r="BR23" i="23" s="1"/>
  <c r="BM24" i="23"/>
  <c r="BN24" i="23"/>
  <c r="BQ24" i="23"/>
  <c r="BR24" i="23" s="1"/>
  <c r="BM25" i="23"/>
  <c r="BN25" i="23"/>
  <c r="BQ25" i="23"/>
  <c r="BR25" i="23" s="1"/>
  <c r="BM26" i="23"/>
  <c r="BN26" i="23"/>
  <c r="BQ26" i="23"/>
  <c r="BR26" i="23" s="1"/>
  <c r="BM27" i="23"/>
  <c r="BN27" i="23"/>
  <c r="BQ27" i="23"/>
  <c r="BR27" i="23" s="1"/>
  <c r="BM28" i="23"/>
  <c r="BN28" i="23"/>
  <c r="BQ28" i="23"/>
  <c r="BR28" i="23" s="1"/>
  <c r="BM29" i="23"/>
  <c r="BN29" i="23"/>
  <c r="BQ29" i="23"/>
  <c r="BR29" i="23" s="1"/>
  <c r="BM30" i="23"/>
  <c r="BN30" i="23"/>
  <c r="BQ30" i="23"/>
  <c r="BR30" i="23" s="1"/>
  <c r="BM31" i="23"/>
  <c r="BN31" i="23"/>
  <c r="BQ31" i="23"/>
  <c r="BR31" i="23" s="1"/>
  <c r="BM32" i="23"/>
  <c r="BN32" i="23"/>
  <c r="BQ32" i="23"/>
  <c r="BR32" i="23" s="1"/>
  <c r="BM33" i="23"/>
  <c r="BN33" i="23"/>
  <c r="BQ33" i="23"/>
  <c r="BR33" i="23" s="1"/>
  <c r="BM34" i="23"/>
  <c r="BN34" i="23"/>
  <c r="BQ34" i="23"/>
  <c r="BR34" i="23" s="1"/>
  <c r="BM35" i="23"/>
  <c r="BN35" i="23"/>
  <c r="BQ35" i="23"/>
  <c r="BR35" i="23" s="1"/>
  <c r="BM36" i="23"/>
  <c r="BN36" i="23"/>
  <c r="BQ36" i="23"/>
  <c r="BR36" i="23" s="1"/>
  <c r="BM37" i="23"/>
  <c r="BN37" i="23"/>
  <c r="BQ37" i="23"/>
  <c r="BR37" i="23" s="1"/>
  <c r="BM38" i="23"/>
  <c r="BN38" i="23"/>
  <c r="BQ38" i="23"/>
  <c r="BR38" i="23" s="1"/>
  <c r="BM39" i="23"/>
  <c r="BN39" i="23"/>
  <c r="BQ39" i="23"/>
  <c r="BR39" i="23" s="1"/>
  <c r="BM40" i="23"/>
  <c r="BN40" i="23"/>
  <c r="BQ40" i="23"/>
  <c r="BR40" i="23" s="1"/>
  <c r="BM41" i="23"/>
  <c r="BN41" i="23"/>
  <c r="BQ41" i="23"/>
  <c r="BR41" i="23" s="1"/>
  <c r="BM42" i="23"/>
  <c r="BN42" i="23"/>
  <c r="BQ42" i="23"/>
  <c r="BR42" i="23" s="1"/>
  <c r="BM43" i="23"/>
  <c r="BN43" i="23"/>
  <c r="BQ43" i="23"/>
  <c r="BR43" i="23" s="1"/>
  <c r="BM44" i="23"/>
  <c r="BN44" i="23"/>
  <c r="BQ44" i="23"/>
  <c r="BR44" i="23" s="1"/>
  <c r="BM45" i="23"/>
  <c r="BN45" i="23"/>
  <c r="BQ45" i="23"/>
  <c r="BR45" i="23" s="1"/>
  <c r="BM46" i="23"/>
  <c r="BN46" i="23"/>
  <c r="BQ46" i="23"/>
  <c r="BR46" i="23" s="1"/>
  <c r="BM47" i="23"/>
  <c r="BN47" i="23"/>
  <c r="BQ47" i="23"/>
  <c r="BR47" i="23" s="1"/>
  <c r="BM48" i="23"/>
  <c r="BN48" i="23"/>
  <c r="BQ48" i="23"/>
  <c r="BR48" i="23" s="1"/>
  <c r="BM49" i="23"/>
  <c r="BN49" i="23"/>
  <c r="BQ49" i="23"/>
  <c r="BR49" i="23" s="1"/>
  <c r="BM50" i="23"/>
  <c r="BN50" i="23"/>
  <c r="BQ50" i="23"/>
  <c r="BR50" i="23" s="1"/>
  <c r="BM51" i="23"/>
  <c r="BN51" i="23"/>
  <c r="BQ51" i="23"/>
  <c r="BR51" i="23" s="1"/>
  <c r="AG254" i="23"/>
  <c r="Z43" i="23"/>
  <c r="AA43" i="23"/>
  <c r="Z44" i="23"/>
  <c r="AA44" i="23"/>
  <c r="Z45" i="23"/>
  <c r="AA45" i="23"/>
  <c r="Z46" i="23"/>
  <c r="AA46" i="23"/>
  <c r="Z47" i="23"/>
  <c r="AA47" i="23"/>
  <c r="Z48" i="23"/>
  <c r="AA48" i="23"/>
  <c r="Z49" i="23"/>
  <c r="AA49" i="23"/>
  <c r="Z50" i="23"/>
  <c r="AA50" i="23"/>
  <c r="Z51" i="23"/>
  <c r="AA51" i="23"/>
  <c r="Z52" i="23"/>
  <c r="AA52" i="23"/>
  <c r="AF52" i="23"/>
  <c r="AJ52" i="23" s="1"/>
  <c r="AH52" i="23"/>
  <c r="AI52" i="23" s="1"/>
  <c r="Z53" i="23"/>
  <c r="AA53" i="23"/>
  <c r="AF53" i="23"/>
  <c r="AJ53" i="23" s="1"/>
  <c r="AH53" i="23"/>
  <c r="AI53" i="23" s="1"/>
  <c r="Z54" i="23"/>
  <c r="AA54" i="23"/>
  <c r="AF54" i="23"/>
  <c r="AJ54" i="23" s="1"/>
  <c r="AH54" i="23"/>
  <c r="AI54" i="23" s="1"/>
  <c r="Z55" i="23"/>
  <c r="AA55" i="23"/>
  <c r="AF55" i="23"/>
  <c r="AJ55" i="23" s="1"/>
  <c r="AH55" i="23"/>
  <c r="AI55" i="23" s="1"/>
  <c r="Z56" i="23"/>
  <c r="AA56" i="23"/>
  <c r="AF56" i="23"/>
  <c r="AJ56" i="23" s="1"/>
  <c r="AH56" i="23"/>
  <c r="AI56" i="23" s="1"/>
  <c r="Z57" i="23"/>
  <c r="AA57" i="23"/>
  <c r="AF57" i="23"/>
  <c r="AJ57" i="23" s="1"/>
  <c r="AH57" i="23"/>
  <c r="AI57" i="23" s="1"/>
  <c r="Z58" i="23"/>
  <c r="AA58" i="23"/>
  <c r="AF58" i="23"/>
  <c r="AJ58" i="23" s="1"/>
  <c r="AH58" i="23"/>
  <c r="AI58" i="23" s="1"/>
  <c r="Z59" i="23"/>
  <c r="AA59" i="23"/>
  <c r="AF59" i="23"/>
  <c r="AJ59" i="23" s="1"/>
  <c r="AH59" i="23"/>
  <c r="AI59" i="23" s="1"/>
  <c r="Z60" i="23"/>
  <c r="AA60" i="23"/>
  <c r="AF60" i="23"/>
  <c r="AJ60" i="23" s="1"/>
  <c r="AH60" i="23"/>
  <c r="AI60" i="23" s="1"/>
  <c r="Z61" i="23"/>
  <c r="AA61" i="23"/>
  <c r="AF61" i="23"/>
  <c r="AJ61" i="23" s="1"/>
  <c r="AH61" i="23"/>
  <c r="AI61" i="23" s="1"/>
  <c r="Z62" i="23"/>
  <c r="AA62" i="23"/>
  <c r="AF62" i="23"/>
  <c r="AJ62" i="23" s="1"/>
  <c r="AH62" i="23"/>
  <c r="AI62" i="23" s="1"/>
  <c r="Z63" i="23"/>
  <c r="AA63" i="23"/>
  <c r="AF63" i="23"/>
  <c r="AJ63" i="23" s="1"/>
  <c r="AH63" i="23"/>
  <c r="AI63" i="23" s="1"/>
  <c r="Z64" i="23"/>
  <c r="AA64" i="23"/>
  <c r="AF64" i="23"/>
  <c r="AJ64" i="23" s="1"/>
  <c r="AH64" i="23"/>
  <c r="AI64" i="23" s="1"/>
  <c r="Z65" i="23"/>
  <c r="AA65" i="23"/>
  <c r="AF65" i="23"/>
  <c r="AJ65" i="23" s="1"/>
  <c r="AH65" i="23"/>
  <c r="AI65" i="23" s="1"/>
  <c r="Z66" i="23"/>
  <c r="AA66" i="23"/>
  <c r="AF66" i="23"/>
  <c r="AJ66" i="23" s="1"/>
  <c r="AH66" i="23"/>
  <c r="AI66" i="23" s="1"/>
  <c r="Z67" i="23"/>
  <c r="AA67" i="23"/>
  <c r="AF67" i="23"/>
  <c r="AJ67" i="23" s="1"/>
  <c r="AH67" i="23"/>
  <c r="AI67" i="23" s="1"/>
  <c r="Z68" i="23"/>
  <c r="AA68" i="23"/>
  <c r="AF68" i="23"/>
  <c r="AJ68" i="23" s="1"/>
  <c r="AH68" i="23"/>
  <c r="AI68" i="23" s="1"/>
  <c r="Z69" i="23"/>
  <c r="AA69" i="23"/>
  <c r="AF69" i="23"/>
  <c r="AJ69" i="23" s="1"/>
  <c r="AH69" i="23"/>
  <c r="AI69" i="23" s="1"/>
  <c r="Z70" i="23"/>
  <c r="AA70" i="23"/>
  <c r="AF70" i="23"/>
  <c r="AJ70" i="23" s="1"/>
  <c r="AH70" i="23"/>
  <c r="AI70" i="23" s="1"/>
  <c r="Z71" i="23"/>
  <c r="AA71" i="23"/>
  <c r="AF71" i="23"/>
  <c r="AJ71" i="23" s="1"/>
  <c r="AH71" i="23"/>
  <c r="AI71" i="23" s="1"/>
  <c r="Z72" i="23"/>
  <c r="AA72" i="23"/>
  <c r="AF72" i="23"/>
  <c r="AJ72" i="23" s="1"/>
  <c r="AH72" i="23"/>
  <c r="AI72" i="23" s="1"/>
  <c r="Z73" i="23"/>
  <c r="AA73" i="23"/>
  <c r="AF73" i="23"/>
  <c r="AJ73" i="23" s="1"/>
  <c r="AH73" i="23"/>
  <c r="AI73" i="23" s="1"/>
  <c r="Z74" i="23"/>
  <c r="AA74" i="23"/>
  <c r="AF74" i="23"/>
  <c r="AJ74" i="23" s="1"/>
  <c r="AH74" i="23"/>
  <c r="AI74" i="23" s="1"/>
  <c r="Z75" i="23"/>
  <c r="AA75" i="23"/>
  <c r="AF75" i="23"/>
  <c r="AJ75" i="23" s="1"/>
  <c r="AH75" i="23"/>
  <c r="AI75" i="23" s="1"/>
  <c r="Z76" i="23"/>
  <c r="AA76" i="23"/>
  <c r="AF76" i="23"/>
  <c r="AJ76" i="23" s="1"/>
  <c r="AH76" i="23"/>
  <c r="AI76" i="23" s="1"/>
  <c r="Z77" i="23"/>
  <c r="AA77" i="23"/>
  <c r="AF77" i="23"/>
  <c r="AJ77" i="23" s="1"/>
  <c r="AH77" i="23"/>
  <c r="AI77" i="23" s="1"/>
  <c r="Z78" i="23"/>
  <c r="AA78" i="23"/>
  <c r="AF78" i="23"/>
  <c r="AJ78" i="23" s="1"/>
  <c r="AH78" i="23"/>
  <c r="AI78" i="23" s="1"/>
  <c r="Z79" i="23"/>
  <c r="AA79" i="23"/>
  <c r="AF79" i="23"/>
  <c r="AJ79" i="23" s="1"/>
  <c r="AH79" i="23"/>
  <c r="AI79" i="23" s="1"/>
  <c r="Z80" i="23"/>
  <c r="AA80" i="23"/>
  <c r="AF80" i="23"/>
  <c r="AJ80" i="23" s="1"/>
  <c r="AH80" i="23"/>
  <c r="AI80" i="23" s="1"/>
  <c r="Z81" i="23"/>
  <c r="AA81" i="23"/>
  <c r="AF81" i="23"/>
  <c r="AJ81" i="23" s="1"/>
  <c r="AH81" i="23"/>
  <c r="AI81" i="23" s="1"/>
  <c r="Z82" i="23"/>
  <c r="AA82" i="23"/>
  <c r="AF82" i="23"/>
  <c r="AJ82" i="23" s="1"/>
  <c r="AH82" i="23"/>
  <c r="AI82" i="23" s="1"/>
  <c r="Z83" i="23"/>
  <c r="AA83" i="23"/>
  <c r="AF83" i="23"/>
  <c r="AJ83" i="23" s="1"/>
  <c r="AH83" i="23"/>
  <c r="AI83" i="23" s="1"/>
  <c r="Z84" i="23"/>
  <c r="AA84" i="23"/>
  <c r="AF84" i="23"/>
  <c r="AJ84" i="23" s="1"/>
  <c r="AH84" i="23"/>
  <c r="AI84" i="23" s="1"/>
  <c r="Z85" i="23"/>
  <c r="AA85" i="23"/>
  <c r="AF85" i="23"/>
  <c r="AJ85" i="23" s="1"/>
  <c r="AH85" i="23"/>
  <c r="AI85" i="23" s="1"/>
  <c r="Z86" i="23"/>
  <c r="AA86" i="23"/>
  <c r="AF86" i="23"/>
  <c r="AJ86" i="23" s="1"/>
  <c r="AH86" i="23"/>
  <c r="AI86" i="23" s="1"/>
  <c r="Z87" i="23"/>
  <c r="AA87" i="23"/>
  <c r="AF87" i="23"/>
  <c r="AJ87" i="23" s="1"/>
  <c r="AH87" i="23"/>
  <c r="AI87" i="23" s="1"/>
  <c r="Z88" i="23"/>
  <c r="AA88" i="23"/>
  <c r="AF88" i="23"/>
  <c r="AJ88" i="23" s="1"/>
  <c r="AH88" i="23"/>
  <c r="AI88" i="23" s="1"/>
  <c r="Z89" i="23"/>
  <c r="AA89" i="23"/>
  <c r="AF89" i="23"/>
  <c r="AJ89" i="23" s="1"/>
  <c r="AH89" i="23"/>
  <c r="AI89" i="23" s="1"/>
  <c r="Z90" i="23"/>
  <c r="AA90" i="23"/>
  <c r="AF90" i="23"/>
  <c r="AJ90" i="23" s="1"/>
  <c r="AH90" i="23"/>
  <c r="AI90" i="23" s="1"/>
  <c r="Z91" i="23"/>
  <c r="AA91" i="23"/>
  <c r="AF91" i="23"/>
  <c r="AJ91" i="23" s="1"/>
  <c r="AH91" i="23"/>
  <c r="AI91" i="23" s="1"/>
  <c r="Z92" i="23"/>
  <c r="AA92" i="23"/>
  <c r="AF92" i="23"/>
  <c r="AJ92" i="23" s="1"/>
  <c r="AH92" i="23"/>
  <c r="AI92" i="23" s="1"/>
  <c r="Z93" i="23"/>
  <c r="AA93" i="23"/>
  <c r="AF93" i="23"/>
  <c r="AJ93" i="23" s="1"/>
  <c r="AH93" i="23"/>
  <c r="AI93" i="23" s="1"/>
  <c r="Z94" i="23"/>
  <c r="AA94" i="23"/>
  <c r="AF94" i="23"/>
  <c r="AJ94" i="23" s="1"/>
  <c r="AH94" i="23"/>
  <c r="AI94" i="23" s="1"/>
  <c r="Z95" i="23"/>
  <c r="AA95" i="23"/>
  <c r="AF95" i="23"/>
  <c r="AJ95" i="23" s="1"/>
  <c r="AH95" i="23"/>
  <c r="AI95" i="23" s="1"/>
  <c r="Z96" i="23"/>
  <c r="AA96" i="23"/>
  <c r="AF96" i="23"/>
  <c r="AJ96" i="23" s="1"/>
  <c r="AH96" i="23"/>
  <c r="AI96" i="23" s="1"/>
  <c r="Z97" i="23"/>
  <c r="AA97" i="23"/>
  <c r="AF97" i="23"/>
  <c r="AJ97" i="23" s="1"/>
  <c r="AH97" i="23"/>
  <c r="AI97" i="23" s="1"/>
  <c r="Z98" i="23"/>
  <c r="AA98" i="23"/>
  <c r="AF98" i="23"/>
  <c r="AJ98" i="23" s="1"/>
  <c r="AH98" i="23"/>
  <c r="AI98" i="23" s="1"/>
  <c r="Z99" i="23"/>
  <c r="AA99" i="23"/>
  <c r="AF99" i="23"/>
  <c r="AJ99" i="23" s="1"/>
  <c r="AH99" i="23"/>
  <c r="AI99" i="23" s="1"/>
  <c r="Z100" i="23"/>
  <c r="AA100" i="23"/>
  <c r="AF100" i="23"/>
  <c r="AJ100" i="23" s="1"/>
  <c r="AH100" i="23"/>
  <c r="AI100" i="23" s="1"/>
  <c r="Z101" i="23"/>
  <c r="AA101" i="23"/>
  <c r="AF101" i="23"/>
  <c r="AJ101" i="23" s="1"/>
  <c r="AH101" i="23"/>
  <c r="AI101" i="23" s="1"/>
  <c r="Z102" i="23"/>
  <c r="AA102" i="23"/>
  <c r="AF102" i="23"/>
  <c r="AJ102" i="23" s="1"/>
  <c r="AH102" i="23"/>
  <c r="AI102" i="23" s="1"/>
  <c r="Z103" i="23"/>
  <c r="AA103" i="23"/>
  <c r="AF103" i="23"/>
  <c r="AJ103" i="23" s="1"/>
  <c r="AH103" i="23"/>
  <c r="AI103" i="23" s="1"/>
  <c r="Z104" i="23"/>
  <c r="AA104" i="23"/>
  <c r="AF104" i="23"/>
  <c r="AJ104" i="23" s="1"/>
  <c r="AH104" i="23"/>
  <c r="AI104" i="23" s="1"/>
  <c r="Z105" i="23"/>
  <c r="AA105" i="23"/>
  <c r="AF105" i="23"/>
  <c r="AJ105" i="23" s="1"/>
  <c r="AH105" i="23"/>
  <c r="AI105" i="23" s="1"/>
  <c r="Z106" i="23"/>
  <c r="AA106" i="23"/>
  <c r="AF106" i="23"/>
  <c r="AJ106" i="23" s="1"/>
  <c r="AH106" i="23"/>
  <c r="AI106" i="23" s="1"/>
  <c r="Z107" i="23"/>
  <c r="AA107" i="23"/>
  <c r="AF107" i="23"/>
  <c r="AJ107" i="23" s="1"/>
  <c r="AH107" i="23"/>
  <c r="AI107" i="23" s="1"/>
  <c r="Z108" i="23"/>
  <c r="AA108" i="23"/>
  <c r="AF108" i="23"/>
  <c r="AJ108" i="23" s="1"/>
  <c r="AH108" i="23"/>
  <c r="AI108" i="23" s="1"/>
  <c r="Z109" i="23"/>
  <c r="AA109" i="23"/>
  <c r="AF109" i="23"/>
  <c r="AJ109" i="23" s="1"/>
  <c r="AH109" i="23"/>
  <c r="AI109" i="23" s="1"/>
  <c r="Z110" i="23"/>
  <c r="AA110" i="23"/>
  <c r="AF110" i="23"/>
  <c r="AJ110" i="23" s="1"/>
  <c r="AH110" i="23"/>
  <c r="AI110" i="23" s="1"/>
  <c r="Z111" i="23"/>
  <c r="AA111" i="23"/>
  <c r="AF111" i="23"/>
  <c r="AJ111" i="23" s="1"/>
  <c r="AH111" i="23"/>
  <c r="AI111" i="23" s="1"/>
  <c r="Z112" i="23"/>
  <c r="AA112" i="23"/>
  <c r="AF112" i="23"/>
  <c r="AJ112" i="23" s="1"/>
  <c r="AH112" i="23"/>
  <c r="AI112" i="23" s="1"/>
  <c r="Z113" i="23"/>
  <c r="AA113" i="23"/>
  <c r="AF113" i="23"/>
  <c r="AJ113" i="23" s="1"/>
  <c r="AH113" i="23"/>
  <c r="AI113" i="23" s="1"/>
  <c r="Z114" i="23"/>
  <c r="AA114" i="23"/>
  <c r="AF114" i="23"/>
  <c r="AJ114" i="23" s="1"/>
  <c r="AH114" i="23"/>
  <c r="AI114" i="23" s="1"/>
  <c r="Z115" i="23"/>
  <c r="AA115" i="23"/>
  <c r="AF115" i="23"/>
  <c r="AJ115" i="23" s="1"/>
  <c r="AH115" i="23"/>
  <c r="AI115" i="23" s="1"/>
  <c r="Z116" i="23"/>
  <c r="AA116" i="23"/>
  <c r="AF116" i="23"/>
  <c r="AJ116" i="23" s="1"/>
  <c r="AH116" i="23"/>
  <c r="AI116" i="23" s="1"/>
  <c r="Z117" i="23"/>
  <c r="AA117" i="23"/>
  <c r="AF117" i="23"/>
  <c r="AJ117" i="23" s="1"/>
  <c r="AH117" i="23"/>
  <c r="AI117" i="23" s="1"/>
  <c r="Z118" i="23"/>
  <c r="AA118" i="23"/>
  <c r="AF118" i="23"/>
  <c r="AJ118" i="23" s="1"/>
  <c r="AH118" i="23"/>
  <c r="AI118" i="23" s="1"/>
  <c r="Z119" i="23"/>
  <c r="AA119" i="23"/>
  <c r="AF119" i="23"/>
  <c r="AJ119" i="23" s="1"/>
  <c r="AH119" i="23"/>
  <c r="AI119" i="23" s="1"/>
  <c r="Z120" i="23"/>
  <c r="AA120" i="23"/>
  <c r="AF120" i="23"/>
  <c r="AJ120" i="23" s="1"/>
  <c r="AH120" i="23"/>
  <c r="AI120" i="23" s="1"/>
  <c r="Z121" i="23"/>
  <c r="AA121" i="23"/>
  <c r="AF121" i="23"/>
  <c r="AJ121" i="23" s="1"/>
  <c r="AH121" i="23"/>
  <c r="AI121" i="23" s="1"/>
  <c r="Z122" i="23"/>
  <c r="AA122" i="23"/>
  <c r="AF122" i="23"/>
  <c r="AJ122" i="23" s="1"/>
  <c r="AH122" i="23"/>
  <c r="AI122" i="23" s="1"/>
  <c r="Z123" i="23"/>
  <c r="AA123" i="23"/>
  <c r="AF123" i="23"/>
  <c r="AJ123" i="23" s="1"/>
  <c r="AH123" i="23"/>
  <c r="AI123" i="23" s="1"/>
  <c r="Z124" i="23"/>
  <c r="AA124" i="23"/>
  <c r="AF124" i="23"/>
  <c r="AJ124" i="23" s="1"/>
  <c r="AH124" i="23"/>
  <c r="AI124" i="23" s="1"/>
  <c r="Z125" i="23"/>
  <c r="AA125" i="23"/>
  <c r="AF125" i="23"/>
  <c r="AJ125" i="23" s="1"/>
  <c r="AH125" i="23"/>
  <c r="AI125" i="23" s="1"/>
  <c r="Z126" i="23"/>
  <c r="AA126" i="23"/>
  <c r="AF126" i="23"/>
  <c r="AJ126" i="23" s="1"/>
  <c r="AH126" i="23"/>
  <c r="AI126" i="23" s="1"/>
  <c r="Z127" i="23"/>
  <c r="AA127" i="23"/>
  <c r="AF127" i="23"/>
  <c r="AJ127" i="23" s="1"/>
  <c r="AH127" i="23"/>
  <c r="AI127" i="23" s="1"/>
  <c r="Z128" i="23"/>
  <c r="AA128" i="23"/>
  <c r="AF128" i="23"/>
  <c r="AJ128" i="23" s="1"/>
  <c r="AH128" i="23"/>
  <c r="AI128" i="23" s="1"/>
  <c r="Z129" i="23"/>
  <c r="AA129" i="23"/>
  <c r="AF129" i="23"/>
  <c r="AJ129" i="23" s="1"/>
  <c r="AH129" i="23"/>
  <c r="AI129" i="23" s="1"/>
  <c r="Z130" i="23"/>
  <c r="AA130" i="23"/>
  <c r="AF130" i="23"/>
  <c r="AJ130" i="23" s="1"/>
  <c r="AH130" i="23"/>
  <c r="AI130" i="23" s="1"/>
  <c r="Z131" i="23"/>
  <c r="AA131" i="23"/>
  <c r="AF131" i="23"/>
  <c r="AJ131" i="23" s="1"/>
  <c r="AH131" i="23"/>
  <c r="AI131" i="23" s="1"/>
  <c r="Z132" i="23"/>
  <c r="AA132" i="23"/>
  <c r="AF132" i="23"/>
  <c r="AJ132" i="23" s="1"/>
  <c r="AH132" i="23"/>
  <c r="AI132" i="23" s="1"/>
  <c r="Z133" i="23"/>
  <c r="AA133" i="23"/>
  <c r="AF133" i="23"/>
  <c r="AJ133" i="23" s="1"/>
  <c r="AH133" i="23"/>
  <c r="AI133" i="23" s="1"/>
  <c r="Z134" i="23"/>
  <c r="AA134" i="23"/>
  <c r="AF134" i="23"/>
  <c r="AJ134" i="23" s="1"/>
  <c r="AH134" i="23"/>
  <c r="AI134" i="23" s="1"/>
  <c r="Z135" i="23"/>
  <c r="AA135" i="23"/>
  <c r="AF135" i="23"/>
  <c r="AJ135" i="23" s="1"/>
  <c r="AH135" i="23"/>
  <c r="AI135" i="23" s="1"/>
  <c r="Z136" i="23"/>
  <c r="AA136" i="23"/>
  <c r="AF136" i="23"/>
  <c r="AJ136" i="23" s="1"/>
  <c r="AH136" i="23"/>
  <c r="AI136" i="23" s="1"/>
  <c r="Z137" i="23"/>
  <c r="AA137" i="23"/>
  <c r="AF137" i="23"/>
  <c r="AJ137" i="23" s="1"/>
  <c r="AH137" i="23"/>
  <c r="AI137" i="23" s="1"/>
  <c r="Z138" i="23"/>
  <c r="AA138" i="23"/>
  <c r="AF138" i="23"/>
  <c r="AJ138" i="23" s="1"/>
  <c r="AH138" i="23"/>
  <c r="AI138" i="23" s="1"/>
  <c r="Z139" i="23"/>
  <c r="AA139" i="23"/>
  <c r="AF139" i="23"/>
  <c r="AJ139" i="23" s="1"/>
  <c r="AH139" i="23"/>
  <c r="AI139" i="23" s="1"/>
  <c r="Z140" i="23"/>
  <c r="AA140" i="23"/>
  <c r="AF140" i="23"/>
  <c r="AJ140" i="23" s="1"/>
  <c r="AH140" i="23"/>
  <c r="AI140" i="23" s="1"/>
  <c r="Z141" i="23"/>
  <c r="AA141" i="23"/>
  <c r="AF141" i="23"/>
  <c r="AJ141" i="23" s="1"/>
  <c r="AH141" i="23"/>
  <c r="AI141" i="23" s="1"/>
  <c r="Z142" i="23"/>
  <c r="AA142" i="23"/>
  <c r="AF142" i="23"/>
  <c r="AJ142" i="23" s="1"/>
  <c r="AH142" i="23"/>
  <c r="AI142" i="23" s="1"/>
  <c r="Z143" i="23"/>
  <c r="AA143" i="23"/>
  <c r="AF143" i="23"/>
  <c r="AJ143" i="23" s="1"/>
  <c r="AH143" i="23"/>
  <c r="AI143" i="23" s="1"/>
  <c r="Z144" i="23"/>
  <c r="AA144" i="23"/>
  <c r="AF144" i="23"/>
  <c r="AJ144" i="23" s="1"/>
  <c r="AH144" i="23"/>
  <c r="AI144" i="23" s="1"/>
  <c r="Z145" i="23"/>
  <c r="AA145" i="23"/>
  <c r="AF145" i="23"/>
  <c r="AJ145" i="23" s="1"/>
  <c r="AH145" i="23"/>
  <c r="AI145" i="23" s="1"/>
  <c r="Z146" i="23"/>
  <c r="AA146" i="23"/>
  <c r="AF146" i="23"/>
  <c r="AJ146" i="23" s="1"/>
  <c r="AH146" i="23"/>
  <c r="AI146" i="23" s="1"/>
  <c r="Z147" i="23"/>
  <c r="AA147" i="23"/>
  <c r="AF147" i="23"/>
  <c r="AJ147" i="23" s="1"/>
  <c r="AH147" i="23"/>
  <c r="AI147" i="23" s="1"/>
  <c r="Z148" i="23"/>
  <c r="AA148" i="23"/>
  <c r="AF148" i="23"/>
  <c r="AJ148" i="23" s="1"/>
  <c r="AH148" i="23"/>
  <c r="AI148" i="23" s="1"/>
  <c r="Z149" i="23"/>
  <c r="AA149" i="23"/>
  <c r="AF149" i="23"/>
  <c r="AJ149" i="23" s="1"/>
  <c r="AH149" i="23"/>
  <c r="AI149" i="23" s="1"/>
  <c r="Z150" i="23"/>
  <c r="AA150" i="23"/>
  <c r="AF150" i="23"/>
  <c r="AJ150" i="23" s="1"/>
  <c r="AH150" i="23"/>
  <c r="AI150" i="23" s="1"/>
  <c r="Z151" i="23"/>
  <c r="AA151" i="23"/>
  <c r="AF151" i="23"/>
  <c r="AJ151" i="23" s="1"/>
  <c r="AH151" i="23"/>
  <c r="AI151" i="23" s="1"/>
  <c r="Z152" i="23"/>
  <c r="AA152" i="23"/>
  <c r="AF152" i="23"/>
  <c r="AJ152" i="23" s="1"/>
  <c r="AH152" i="23"/>
  <c r="AI152" i="23" s="1"/>
  <c r="Z153" i="23"/>
  <c r="AA153" i="23"/>
  <c r="AF153" i="23"/>
  <c r="AJ153" i="23" s="1"/>
  <c r="AH153" i="23"/>
  <c r="AI153" i="23" s="1"/>
  <c r="Z154" i="23"/>
  <c r="AA154" i="23"/>
  <c r="AF154" i="23"/>
  <c r="AJ154" i="23" s="1"/>
  <c r="AH154" i="23"/>
  <c r="AI154" i="23" s="1"/>
  <c r="Z155" i="23"/>
  <c r="AA155" i="23"/>
  <c r="AF155" i="23"/>
  <c r="AJ155" i="23" s="1"/>
  <c r="AH155" i="23"/>
  <c r="AI155" i="23" s="1"/>
  <c r="Z156" i="23"/>
  <c r="AA156" i="23"/>
  <c r="AF156" i="23"/>
  <c r="AJ156" i="23" s="1"/>
  <c r="AH156" i="23"/>
  <c r="AI156" i="23" s="1"/>
  <c r="Z157" i="23"/>
  <c r="AA157" i="23"/>
  <c r="AF157" i="23"/>
  <c r="AJ157" i="23" s="1"/>
  <c r="AH157" i="23"/>
  <c r="AI157" i="23" s="1"/>
  <c r="Z158" i="23"/>
  <c r="AA158" i="23"/>
  <c r="AF158" i="23"/>
  <c r="AJ158" i="23" s="1"/>
  <c r="AH158" i="23"/>
  <c r="AI158" i="23" s="1"/>
  <c r="Z159" i="23"/>
  <c r="AA159" i="23"/>
  <c r="AF159" i="23"/>
  <c r="AJ159" i="23" s="1"/>
  <c r="AH159" i="23"/>
  <c r="AI159" i="23" s="1"/>
  <c r="Z160" i="23"/>
  <c r="AA160" i="23"/>
  <c r="AF160" i="23"/>
  <c r="AJ160" i="23" s="1"/>
  <c r="AH160" i="23"/>
  <c r="AI160" i="23" s="1"/>
  <c r="Z161" i="23"/>
  <c r="AA161" i="23"/>
  <c r="AF161" i="23"/>
  <c r="AJ161" i="23" s="1"/>
  <c r="AH161" i="23"/>
  <c r="AI161" i="23" s="1"/>
  <c r="Z162" i="23"/>
  <c r="AA162" i="23"/>
  <c r="AF162" i="23"/>
  <c r="AJ162" i="23" s="1"/>
  <c r="AH162" i="23"/>
  <c r="AI162" i="23" s="1"/>
  <c r="Z163" i="23"/>
  <c r="AA163" i="23"/>
  <c r="AF163" i="23"/>
  <c r="AJ163" i="23" s="1"/>
  <c r="AH163" i="23"/>
  <c r="AI163" i="23" s="1"/>
  <c r="Z164" i="23"/>
  <c r="AA164" i="23"/>
  <c r="AF164" i="23"/>
  <c r="AJ164" i="23" s="1"/>
  <c r="AH164" i="23"/>
  <c r="AI164" i="23" s="1"/>
  <c r="Z165" i="23"/>
  <c r="AA165" i="23"/>
  <c r="AF165" i="23"/>
  <c r="AJ165" i="23" s="1"/>
  <c r="AH165" i="23"/>
  <c r="AI165" i="23" s="1"/>
  <c r="Z166" i="23"/>
  <c r="AA166" i="23"/>
  <c r="AF166" i="23"/>
  <c r="AJ166" i="23" s="1"/>
  <c r="AH166" i="23"/>
  <c r="AI166" i="23" s="1"/>
  <c r="Z167" i="23"/>
  <c r="AA167" i="23"/>
  <c r="AF167" i="23"/>
  <c r="AJ167" i="23" s="1"/>
  <c r="AH167" i="23"/>
  <c r="AI167" i="23" s="1"/>
  <c r="Z168" i="23"/>
  <c r="AA168" i="23"/>
  <c r="AF168" i="23"/>
  <c r="AJ168" i="23" s="1"/>
  <c r="AH168" i="23"/>
  <c r="AI168" i="23" s="1"/>
  <c r="Z169" i="23"/>
  <c r="AA169" i="23"/>
  <c r="AF169" i="23"/>
  <c r="AJ169" i="23" s="1"/>
  <c r="AH169" i="23"/>
  <c r="AI169" i="23" s="1"/>
  <c r="Z170" i="23"/>
  <c r="AA170" i="23"/>
  <c r="AF170" i="23"/>
  <c r="AJ170" i="23" s="1"/>
  <c r="AH170" i="23"/>
  <c r="AI170" i="23" s="1"/>
  <c r="Z171" i="23"/>
  <c r="AA171" i="23"/>
  <c r="AF171" i="23"/>
  <c r="AJ171" i="23" s="1"/>
  <c r="AH171" i="23"/>
  <c r="AI171" i="23" s="1"/>
  <c r="Z172" i="23"/>
  <c r="AA172" i="23"/>
  <c r="AF172" i="23"/>
  <c r="AJ172" i="23" s="1"/>
  <c r="AH172" i="23"/>
  <c r="AI172" i="23" s="1"/>
  <c r="Z173" i="23"/>
  <c r="AA173" i="23"/>
  <c r="AF173" i="23"/>
  <c r="AJ173" i="23" s="1"/>
  <c r="AH173" i="23"/>
  <c r="AI173" i="23" s="1"/>
  <c r="Z174" i="23"/>
  <c r="AA174" i="23"/>
  <c r="AF174" i="23"/>
  <c r="AJ174" i="23" s="1"/>
  <c r="AH174" i="23"/>
  <c r="AI174" i="23" s="1"/>
  <c r="Z175" i="23"/>
  <c r="AA175" i="23"/>
  <c r="AF175" i="23"/>
  <c r="AJ175" i="23" s="1"/>
  <c r="AH175" i="23"/>
  <c r="AI175" i="23" s="1"/>
  <c r="Z176" i="23"/>
  <c r="AA176" i="23"/>
  <c r="AF176" i="23"/>
  <c r="AJ176" i="23" s="1"/>
  <c r="AH176" i="23"/>
  <c r="AI176" i="23" s="1"/>
  <c r="Z177" i="23"/>
  <c r="AA177" i="23"/>
  <c r="AF177" i="23"/>
  <c r="AJ177" i="23" s="1"/>
  <c r="AH177" i="23"/>
  <c r="AI177" i="23" s="1"/>
  <c r="Z178" i="23"/>
  <c r="AA178" i="23"/>
  <c r="AF178" i="23"/>
  <c r="AJ178" i="23" s="1"/>
  <c r="AH178" i="23"/>
  <c r="AI178" i="23" s="1"/>
  <c r="Z179" i="23"/>
  <c r="AA179" i="23"/>
  <c r="AF179" i="23"/>
  <c r="AJ179" i="23" s="1"/>
  <c r="AH179" i="23"/>
  <c r="AI179" i="23" s="1"/>
  <c r="Z180" i="23"/>
  <c r="AA180" i="23"/>
  <c r="AF180" i="23"/>
  <c r="AJ180" i="23" s="1"/>
  <c r="AH180" i="23"/>
  <c r="AI180" i="23" s="1"/>
  <c r="Z181" i="23"/>
  <c r="AA181" i="23"/>
  <c r="AF181" i="23"/>
  <c r="AJ181" i="23" s="1"/>
  <c r="AH181" i="23"/>
  <c r="AI181" i="23" s="1"/>
  <c r="Z182" i="23"/>
  <c r="AA182" i="23"/>
  <c r="AF182" i="23"/>
  <c r="AJ182" i="23" s="1"/>
  <c r="AH182" i="23"/>
  <c r="AI182" i="23" s="1"/>
  <c r="Z183" i="23"/>
  <c r="AA183" i="23"/>
  <c r="AF183" i="23"/>
  <c r="AJ183" i="23" s="1"/>
  <c r="AH183" i="23"/>
  <c r="AI183" i="23" s="1"/>
  <c r="Z184" i="23"/>
  <c r="AA184" i="23"/>
  <c r="AF184" i="23"/>
  <c r="AJ184" i="23" s="1"/>
  <c r="AH184" i="23"/>
  <c r="AI184" i="23" s="1"/>
  <c r="Z185" i="23"/>
  <c r="AA185" i="23"/>
  <c r="AF185" i="23"/>
  <c r="AJ185" i="23" s="1"/>
  <c r="AH185" i="23"/>
  <c r="AI185" i="23" s="1"/>
  <c r="Z186" i="23"/>
  <c r="AA186" i="23"/>
  <c r="AF186" i="23"/>
  <c r="AJ186" i="23" s="1"/>
  <c r="AH186" i="23"/>
  <c r="AI186" i="23" s="1"/>
  <c r="Z187" i="23"/>
  <c r="AA187" i="23"/>
  <c r="AF187" i="23"/>
  <c r="AJ187" i="23" s="1"/>
  <c r="AH187" i="23"/>
  <c r="AI187" i="23" s="1"/>
  <c r="Z188" i="23"/>
  <c r="AA188" i="23"/>
  <c r="AF188" i="23"/>
  <c r="AJ188" i="23" s="1"/>
  <c r="AH188" i="23"/>
  <c r="AI188" i="23" s="1"/>
  <c r="Z189" i="23"/>
  <c r="AA189" i="23"/>
  <c r="AF189" i="23"/>
  <c r="AJ189" i="23" s="1"/>
  <c r="AH189" i="23"/>
  <c r="AI189" i="23" s="1"/>
  <c r="Z190" i="23"/>
  <c r="AA190" i="23"/>
  <c r="AF190" i="23"/>
  <c r="AJ190" i="23" s="1"/>
  <c r="AH190" i="23"/>
  <c r="AI190" i="23" s="1"/>
  <c r="Z191" i="23"/>
  <c r="AA191" i="23"/>
  <c r="AF191" i="23"/>
  <c r="AJ191" i="23" s="1"/>
  <c r="AH191" i="23"/>
  <c r="AI191" i="23" s="1"/>
  <c r="Z192" i="23"/>
  <c r="AA192" i="23"/>
  <c r="AF192" i="23"/>
  <c r="AJ192" i="23" s="1"/>
  <c r="AH192" i="23"/>
  <c r="AI192" i="23" s="1"/>
  <c r="Z193" i="23"/>
  <c r="AA193" i="23"/>
  <c r="AF193" i="23"/>
  <c r="AJ193" i="23" s="1"/>
  <c r="AH193" i="23"/>
  <c r="AI193" i="23" s="1"/>
  <c r="Z194" i="23"/>
  <c r="AA194" i="23"/>
  <c r="AF194" i="23"/>
  <c r="AJ194" i="23" s="1"/>
  <c r="AH194" i="23"/>
  <c r="AI194" i="23" s="1"/>
  <c r="Z195" i="23"/>
  <c r="AA195" i="23"/>
  <c r="AF195" i="23"/>
  <c r="AJ195" i="23" s="1"/>
  <c r="AH195" i="23"/>
  <c r="AI195" i="23" s="1"/>
  <c r="Z196" i="23"/>
  <c r="AA196" i="23"/>
  <c r="AF196" i="23"/>
  <c r="AJ196" i="23" s="1"/>
  <c r="AH196" i="23"/>
  <c r="AI196" i="23" s="1"/>
  <c r="Z197" i="23"/>
  <c r="AA197" i="23"/>
  <c r="AF197" i="23"/>
  <c r="AJ197" i="23" s="1"/>
  <c r="AH197" i="23"/>
  <c r="AI197" i="23" s="1"/>
  <c r="Z198" i="23"/>
  <c r="AA198" i="23"/>
  <c r="AF198" i="23"/>
  <c r="AJ198" i="23" s="1"/>
  <c r="AH198" i="23"/>
  <c r="AI198" i="23" s="1"/>
  <c r="Z199" i="23"/>
  <c r="AA199" i="23"/>
  <c r="AF199" i="23"/>
  <c r="AJ199" i="23" s="1"/>
  <c r="AH199" i="23"/>
  <c r="AI199" i="23" s="1"/>
  <c r="Z200" i="23"/>
  <c r="AA200" i="23"/>
  <c r="AF200" i="23"/>
  <c r="AJ200" i="23" s="1"/>
  <c r="AH200" i="23"/>
  <c r="AI200" i="23" s="1"/>
  <c r="Z201" i="23"/>
  <c r="AA201" i="23"/>
  <c r="AF201" i="23"/>
  <c r="AJ201" i="23" s="1"/>
  <c r="AH201" i="23"/>
  <c r="AI201" i="23" s="1"/>
  <c r="Z202" i="23"/>
  <c r="AA202" i="23"/>
  <c r="AF202" i="23"/>
  <c r="AJ202" i="23" s="1"/>
  <c r="AH202" i="23"/>
  <c r="AI202" i="23" s="1"/>
  <c r="Z203" i="23"/>
  <c r="AA203" i="23"/>
  <c r="AF203" i="23"/>
  <c r="AJ203" i="23" s="1"/>
  <c r="AH203" i="23"/>
  <c r="AI203" i="23" s="1"/>
  <c r="Z204" i="23"/>
  <c r="AA204" i="23"/>
  <c r="AF204" i="23"/>
  <c r="AJ204" i="23" s="1"/>
  <c r="AH204" i="23"/>
  <c r="AI204" i="23" s="1"/>
  <c r="Z205" i="23"/>
  <c r="AA205" i="23"/>
  <c r="AF205" i="23"/>
  <c r="AJ205" i="23" s="1"/>
  <c r="AH205" i="23"/>
  <c r="AI205" i="23" s="1"/>
  <c r="Z206" i="23"/>
  <c r="AA206" i="23"/>
  <c r="AF206" i="23"/>
  <c r="AJ206" i="23" s="1"/>
  <c r="AH206" i="23"/>
  <c r="AI206" i="23" s="1"/>
  <c r="Z207" i="23"/>
  <c r="AA207" i="23"/>
  <c r="AF207" i="23"/>
  <c r="AJ207" i="23" s="1"/>
  <c r="AH207" i="23"/>
  <c r="AI207" i="23" s="1"/>
  <c r="Z208" i="23"/>
  <c r="AA208" i="23"/>
  <c r="AF208" i="23"/>
  <c r="AJ208" i="23" s="1"/>
  <c r="AH208" i="23"/>
  <c r="AI208" i="23" s="1"/>
  <c r="Z209" i="23"/>
  <c r="AA209" i="23"/>
  <c r="AF209" i="23"/>
  <c r="AJ209" i="23" s="1"/>
  <c r="AH209" i="23"/>
  <c r="AI209" i="23" s="1"/>
  <c r="Z210" i="23"/>
  <c r="AA210" i="23"/>
  <c r="AF210" i="23"/>
  <c r="AJ210" i="23" s="1"/>
  <c r="AH210" i="23"/>
  <c r="AI210" i="23" s="1"/>
  <c r="Z211" i="23"/>
  <c r="AA211" i="23"/>
  <c r="AF211" i="23"/>
  <c r="AJ211" i="23" s="1"/>
  <c r="AH211" i="23"/>
  <c r="AI211" i="23" s="1"/>
  <c r="Z212" i="23"/>
  <c r="AA212" i="23"/>
  <c r="AF212" i="23"/>
  <c r="AJ212" i="23" s="1"/>
  <c r="AH212" i="23"/>
  <c r="AI212" i="23" s="1"/>
  <c r="Z213" i="23"/>
  <c r="AA213" i="23"/>
  <c r="AF213" i="23"/>
  <c r="AJ213" i="23" s="1"/>
  <c r="AH213" i="23"/>
  <c r="AI213" i="23" s="1"/>
  <c r="Z214" i="23"/>
  <c r="AA214" i="23"/>
  <c r="AF214" i="23"/>
  <c r="AJ214" i="23" s="1"/>
  <c r="AH214" i="23"/>
  <c r="AI214" i="23" s="1"/>
  <c r="Z215" i="23"/>
  <c r="AA215" i="23"/>
  <c r="AF215" i="23"/>
  <c r="AJ215" i="23" s="1"/>
  <c r="AH215" i="23"/>
  <c r="AI215" i="23" s="1"/>
  <c r="Z216" i="23"/>
  <c r="AA216" i="23"/>
  <c r="AF216" i="23"/>
  <c r="AJ216" i="23" s="1"/>
  <c r="AH216" i="23"/>
  <c r="AI216" i="23" s="1"/>
  <c r="Z217" i="23"/>
  <c r="AA217" i="23"/>
  <c r="AF217" i="23"/>
  <c r="AJ217" i="23" s="1"/>
  <c r="AH217" i="23"/>
  <c r="AI217" i="23" s="1"/>
  <c r="Z218" i="23"/>
  <c r="AA218" i="23"/>
  <c r="AF218" i="23"/>
  <c r="AJ218" i="23" s="1"/>
  <c r="AH218" i="23"/>
  <c r="AI218" i="23" s="1"/>
  <c r="Z219" i="23"/>
  <c r="AA219" i="23"/>
  <c r="AF219" i="23"/>
  <c r="AJ219" i="23" s="1"/>
  <c r="AH219" i="23"/>
  <c r="AI219" i="23" s="1"/>
  <c r="Z220" i="23"/>
  <c r="AA220" i="23"/>
  <c r="AF220" i="23"/>
  <c r="AJ220" i="23" s="1"/>
  <c r="AH220" i="23"/>
  <c r="AI220" i="23" s="1"/>
  <c r="Z221" i="23"/>
  <c r="AA221" i="23"/>
  <c r="AF221" i="23"/>
  <c r="AJ221" i="23" s="1"/>
  <c r="AH221" i="23"/>
  <c r="AI221" i="23" s="1"/>
  <c r="Z222" i="23"/>
  <c r="AA222" i="23"/>
  <c r="AF222" i="23"/>
  <c r="AJ222" i="23" s="1"/>
  <c r="AH222" i="23"/>
  <c r="AI222" i="23" s="1"/>
  <c r="Z223" i="23"/>
  <c r="AA223" i="23"/>
  <c r="AF223" i="23"/>
  <c r="AJ223" i="23" s="1"/>
  <c r="AH223" i="23"/>
  <c r="AI223" i="23" s="1"/>
  <c r="Z224" i="23"/>
  <c r="AA224" i="23"/>
  <c r="AF224" i="23"/>
  <c r="AJ224" i="23" s="1"/>
  <c r="AH224" i="23"/>
  <c r="AI224" i="23" s="1"/>
  <c r="Z225" i="23"/>
  <c r="AA225" i="23"/>
  <c r="AF225" i="23"/>
  <c r="AJ225" i="23" s="1"/>
  <c r="AH225" i="23"/>
  <c r="AI225" i="23" s="1"/>
  <c r="Z226" i="23"/>
  <c r="AA226" i="23"/>
  <c r="AF226" i="23"/>
  <c r="AJ226" i="23" s="1"/>
  <c r="AH226" i="23"/>
  <c r="AI226" i="23" s="1"/>
  <c r="Z227" i="23"/>
  <c r="AA227" i="23"/>
  <c r="AF227" i="23"/>
  <c r="AJ227" i="23" s="1"/>
  <c r="AH227" i="23"/>
  <c r="AI227" i="23" s="1"/>
  <c r="Z228" i="23"/>
  <c r="AA228" i="23"/>
  <c r="AF228" i="23"/>
  <c r="AJ228" i="23" s="1"/>
  <c r="AH228" i="23"/>
  <c r="AI228" i="23" s="1"/>
  <c r="Z229" i="23"/>
  <c r="AA229" i="23"/>
  <c r="AF229" i="23"/>
  <c r="AJ229" i="23" s="1"/>
  <c r="AH229" i="23"/>
  <c r="AI229" i="23" s="1"/>
  <c r="Z230" i="23"/>
  <c r="AA230" i="23"/>
  <c r="AF230" i="23"/>
  <c r="AJ230" i="23" s="1"/>
  <c r="AH230" i="23"/>
  <c r="AI230" i="23" s="1"/>
  <c r="Z231" i="23"/>
  <c r="AA231" i="23"/>
  <c r="AF231" i="23"/>
  <c r="AJ231" i="23" s="1"/>
  <c r="AH231" i="23"/>
  <c r="AI231" i="23" s="1"/>
  <c r="Z232" i="23"/>
  <c r="AA232" i="23"/>
  <c r="AF232" i="23"/>
  <c r="AJ232" i="23" s="1"/>
  <c r="AH232" i="23"/>
  <c r="AI232" i="23" s="1"/>
  <c r="Z233" i="23"/>
  <c r="AA233" i="23"/>
  <c r="AF233" i="23"/>
  <c r="AJ233" i="23" s="1"/>
  <c r="AH233" i="23"/>
  <c r="AI233" i="23" s="1"/>
  <c r="Z234" i="23"/>
  <c r="AA234" i="23"/>
  <c r="AF234" i="23"/>
  <c r="AJ234" i="23" s="1"/>
  <c r="AH234" i="23"/>
  <c r="AI234" i="23" s="1"/>
  <c r="Z235" i="23"/>
  <c r="AA235" i="23"/>
  <c r="AF235" i="23"/>
  <c r="AJ235" i="23" s="1"/>
  <c r="AH235" i="23"/>
  <c r="AI235" i="23" s="1"/>
  <c r="Z236" i="23"/>
  <c r="AA236" i="23"/>
  <c r="AF236" i="23"/>
  <c r="AJ236" i="23" s="1"/>
  <c r="AH236" i="23"/>
  <c r="AI236" i="23" s="1"/>
  <c r="Z237" i="23"/>
  <c r="AA237" i="23"/>
  <c r="AF237" i="23"/>
  <c r="AJ237" i="23" s="1"/>
  <c r="AH237" i="23"/>
  <c r="AI237" i="23" s="1"/>
  <c r="Z238" i="23"/>
  <c r="AA238" i="23"/>
  <c r="AF238" i="23"/>
  <c r="AJ238" i="23" s="1"/>
  <c r="AH238" i="23"/>
  <c r="AI238" i="23" s="1"/>
  <c r="Z239" i="23"/>
  <c r="AA239" i="23"/>
  <c r="AF239" i="23"/>
  <c r="AJ239" i="23" s="1"/>
  <c r="AH239" i="23"/>
  <c r="AI239" i="23" s="1"/>
  <c r="Z240" i="23"/>
  <c r="AA240" i="23"/>
  <c r="AF240" i="23"/>
  <c r="AJ240" i="23" s="1"/>
  <c r="AH240" i="23"/>
  <c r="AI240" i="23" s="1"/>
  <c r="Z241" i="23"/>
  <c r="AA241" i="23"/>
  <c r="AF241" i="23"/>
  <c r="AJ241" i="23" s="1"/>
  <c r="AH241" i="23"/>
  <c r="AI241" i="23" s="1"/>
  <c r="Z242" i="23"/>
  <c r="AA242" i="23"/>
  <c r="AF242" i="23"/>
  <c r="AJ242" i="23" s="1"/>
  <c r="AH242" i="23"/>
  <c r="AI242" i="23" s="1"/>
  <c r="Z243" i="23"/>
  <c r="AA243" i="23"/>
  <c r="AF243" i="23"/>
  <c r="AJ243" i="23" s="1"/>
  <c r="AH243" i="23"/>
  <c r="AI243" i="23" s="1"/>
  <c r="Z244" i="23"/>
  <c r="AA244" i="23"/>
  <c r="AF244" i="23"/>
  <c r="AJ244" i="23" s="1"/>
  <c r="AH244" i="23"/>
  <c r="AI244" i="23" s="1"/>
  <c r="Z245" i="23"/>
  <c r="AA245" i="23"/>
  <c r="AF245" i="23"/>
  <c r="AJ245" i="23" s="1"/>
  <c r="AH245" i="23"/>
  <c r="AI245" i="23" s="1"/>
  <c r="Z246" i="23"/>
  <c r="AA246" i="23"/>
  <c r="AF246" i="23"/>
  <c r="AJ246" i="23" s="1"/>
  <c r="AH246" i="23"/>
  <c r="AI246" i="23" s="1"/>
  <c r="Z247" i="23"/>
  <c r="AA247" i="23"/>
  <c r="AF247" i="23"/>
  <c r="AJ247" i="23" s="1"/>
  <c r="AH247" i="23"/>
  <c r="AI247" i="23" s="1"/>
  <c r="Z248" i="23"/>
  <c r="AA248" i="23"/>
  <c r="AF248" i="23"/>
  <c r="AJ248" i="23" s="1"/>
  <c r="AH248" i="23"/>
  <c r="AI248" i="23" s="1"/>
  <c r="Z249" i="23"/>
  <c r="AA249" i="23"/>
  <c r="AF249" i="23"/>
  <c r="AJ249" i="23" s="1"/>
  <c r="AH249" i="23"/>
  <c r="AI249" i="23" s="1"/>
  <c r="Z250" i="23"/>
  <c r="AA250" i="23"/>
  <c r="AF250" i="23"/>
  <c r="AJ250" i="23" s="1"/>
  <c r="AH250" i="23"/>
  <c r="AI250" i="23" s="1"/>
  <c r="Z251" i="23"/>
  <c r="AA251" i="23"/>
  <c r="AF251" i="23"/>
  <c r="AJ251" i="23" s="1"/>
  <c r="AH251" i="23"/>
  <c r="AI251" i="23" s="1"/>
  <c r="Z252" i="23"/>
  <c r="AA252" i="23"/>
  <c r="AF252" i="23"/>
  <c r="AJ252" i="23" s="1"/>
  <c r="AH252" i="23"/>
  <c r="AI252" i="23" s="1"/>
  <c r="N43" i="19" l="1"/>
  <c r="M43" i="19"/>
  <c r="M1" i="19"/>
  <c r="N1" i="19"/>
  <c r="M1" i="23" l="1"/>
  <c r="N1" i="23"/>
  <c r="L209" i="4"/>
  <c r="N209" i="4"/>
  <c r="O209" i="4" s="1"/>
  <c r="M210" i="4" l="1"/>
  <c r="AG1" i="23" l="1"/>
  <c r="E209" i="4" l="1"/>
  <c r="F209" i="4"/>
  <c r="Z253" i="23"/>
  <c r="AA253" i="23"/>
  <c r="AF253" i="23" l="1"/>
  <c r="AJ253" i="23" s="1"/>
  <c r="AH253" i="23"/>
  <c r="AI253" i="23" l="1"/>
  <c r="AI254" i="23" s="1"/>
  <c r="AH254" i="23"/>
  <c r="AH1" i="23"/>
  <c r="AI1" i="23" l="1"/>
  <c r="M1" i="4"/>
  <c r="BP53" i="23" l="1"/>
  <c r="BP1" i="23" s="1"/>
  <c r="BQ52" i="23"/>
  <c r="BR52" i="23" s="1"/>
  <c r="BN52" i="23"/>
  <c r="BM52" i="23"/>
  <c r="BR53" i="23" l="1"/>
  <c r="BQ53" i="23"/>
  <c r="BQ1" i="23" s="1"/>
  <c r="BR1" i="23" l="1"/>
  <c r="N210" i="4" l="1"/>
  <c r="O210" i="4"/>
  <c r="N1" i="4"/>
  <c r="O1" i="4" l="1"/>
  <c r="O3" i="26" l="1"/>
  <c r="BB102" i="23" l="1"/>
  <c r="BB1" i="23" s="1"/>
  <c r="BC102" i="23"/>
  <c r="BC1" i="23" s="1"/>
  <c r="BD102" i="23"/>
  <c r="BD1" i="23"/>
  <c r="N3" i="26" s="1"/>
  <c r="Q3" i="26" s="1"/>
  <c r="U3" i="26" s="1"/>
  <c r="S3" i="26" s="1"/>
  <c r="BE102" i="23" l="1"/>
</calcChain>
</file>

<file path=xl/comments1.xml><?xml version="1.0" encoding="utf-8"?>
<comments xmlns="http://schemas.openxmlformats.org/spreadsheetml/2006/main">
  <authors>
    <author>作者</author>
  </authors>
  <commentList>
    <comment ref="Q3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負數不用繳稅</t>
        </r>
      </text>
    </comment>
  </commentList>
</comments>
</file>

<file path=xl/sharedStrings.xml><?xml version="1.0" encoding="utf-8"?>
<sst xmlns="http://schemas.openxmlformats.org/spreadsheetml/2006/main" count="2936" uniqueCount="2341">
  <si>
    <t>發票號碼</t>
  </si>
  <si>
    <t>未稅金額</t>
  </si>
  <si>
    <t>稅額</t>
  </si>
  <si>
    <t>發票總額</t>
  </si>
  <si>
    <t>備註</t>
  </si>
  <si>
    <t>中華全佑</t>
    <phoneticPr fontId="3" type="noConversion"/>
  </si>
  <si>
    <t>廠商簡稱</t>
    <phoneticPr fontId="3" type="noConversion"/>
  </si>
  <si>
    <t>未稅</t>
  </si>
  <si>
    <t>-</t>
  </si>
  <si>
    <t>東大</t>
  </si>
  <si>
    <t>建發</t>
  </si>
  <si>
    <t>米其林(公司)-大胎</t>
  </si>
  <si>
    <t>米其林(公司)-中胎</t>
  </si>
  <si>
    <t>米其林(公司)-小胎</t>
  </si>
  <si>
    <t>米其林(工程胎)-翻修胎</t>
  </si>
  <si>
    <t>利坤-上眾</t>
  </si>
  <si>
    <t>吉喆-來令片</t>
  </si>
  <si>
    <t>南鴻</t>
  </si>
  <si>
    <t>互.富信行</t>
  </si>
  <si>
    <t>大勁</t>
  </si>
  <si>
    <t>福輪</t>
  </si>
  <si>
    <t>棋邦-建大</t>
  </si>
  <si>
    <t>正新</t>
  </si>
  <si>
    <t>萬全</t>
  </si>
  <si>
    <t>金宇</t>
  </si>
  <si>
    <t>立城</t>
  </si>
  <si>
    <t>大城</t>
  </si>
  <si>
    <t>歐峰</t>
  </si>
  <si>
    <t>統富</t>
  </si>
  <si>
    <t>欣葆</t>
  </si>
  <si>
    <t>光一</t>
  </si>
  <si>
    <t>光聯</t>
  </si>
  <si>
    <t>聯盛</t>
  </si>
  <si>
    <t>福士</t>
  </si>
  <si>
    <t>澳商環球克林</t>
  </si>
  <si>
    <t>昌樺</t>
  </si>
  <si>
    <t>秀和</t>
  </si>
  <si>
    <t>峰揮</t>
  </si>
  <si>
    <t>弘新</t>
  </si>
  <si>
    <t>實心胎</t>
  </si>
  <si>
    <t>天綸</t>
  </si>
  <si>
    <t>3M</t>
  </si>
  <si>
    <t>祥崴</t>
  </si>
  <si>
    <t>飛達</t>
  </si>
  <si>
    <t>亞獵士</t>
  </si>
  <si>
    <t>三井</t>
  </si>
  <si>
    <t>信利行</t>
  </si>
  <si>
    <t>政宏</t>
  </si>
  <si>
    <t>益德</t>
  </si>
  <si>
    <t>穩達</t>
  </si>
  <si>
    <t>國勝</t>
  </si>
  <si>
    <t>阿吉普</t>
  </si>
  <si>
    <t>龍毅</t>
  </si>
  <si>
    <t>華豐</t>
  </si>
  <si>
    <t>漢可固(公司)</t>
  </si>
  <si>
    <t>至晟</t>
  </si>
  <si>
    <t>天龍</t>
  </si>
  <si>
    <t>永益</t>
  </si>
  <si>
    <t>鯊魚</t>
  </si>
  <si>
    <t>楨元</t>
  </si>
  <si>
    <t>貴麟</t>
  </si>
  <si>
    <t>辰陽</t>
  </si>
  <si>
    <t>良器</t>
  </si>
  <si>
    <t>寶喬群</t>
  </si>
  <si>
    <t>源順</t>
  </si>
  <si>
    <t>馬牌(公司)</t>
  </si>
  <si>
    <t>竹大</t>
  </si>
  <si>
    <t>聖聯</t>
  </si>
  <si>
    <t>好運</t>
  </si>
  <si>
    <t>萬代</t>
  </si>
  <si>
    <t>豐車</t>
  </si>
  <si>
    <t>福炫</t>
  </si>
  <si>
    <t>鋐興</t>
  </si>
  <si>
    <t>范萬權</t>
  </si>
  <si>
    <t>禾田</t>
  </si>
  <si>
    <t>宏翔</t>
  </si>
  <si>
    <t>GPS</t>
  </si>
  <si>
    <t>尖端</t>
  </si>
  <si>
    <t>加尼賀</t>
  </si>
  <si>
    <t>中友</t>
  </si>
  <si>
    <t>竹新</t>
  </si>
  <si>
    <t>展劭</t>
  </si>
  <si>
    <t>冠宏</t>
  </si>
  <si>
    <t>昇達</t>
  </si>
  <si>
    <t>東禾</t>
  </si>
  <si>
    <t>六友</t>
  </si>
  <si>
    <t>巨輪興</t>
  </si>
  <si>
    <t>統群電機</t>
  </si>
  <si>
    <t>南宏電機</t>
  </si>
  <si>
    <t>施明宏</t>
  </si>
  <si>
    <t>欣承</t>
  </si>
  <si>
    <t>佳通</t>
  </si>
  <si>
    <t>繁榮</t>
  </si>
  <si>
    <t>龍陞</t>
  </si>
  <si>
    <t>京徽</t>
  </si>
  <si>
    <t>八一</t>
  </si>
  <si>
    <t>瑞能</t>
  </si>
  <si>
    <t>鴻昌</t>
  </si>
  <si>
    <t>有利</t>
  </si>
  <si>
    <t>淞洋</t>
  </si>
  <si>
    <t>彰化回收胎底</t>
  </si>
  <si>
    <t>建榮</t>
  </si>
  <si>
    <t>頂好</t>
  </si>
  <si>
    <t>岑美</t>
  </si>
  <si>
    <t>LED</t>
  </si>
  <si>
    <t>漢可固(機器)</t>
  </si>
  <si>
    <t>大來</t>
  </si>
  <si>
    <t>永利他</t>
  </si>
  <si>
    <t>翊豐</t>
  </si>
  <si>
    <t>昇威</t>
  </si>
  <si>
    <t>富美</t>
  </si>
  <si>
    <t>勝鋼- 豐驛</t>
  </si>
  <si>
    <t>康恆</t>
  </si>
  <si>
    <t>仲車坊</t>
  </si>
  <si>
    <t>台中收廢內胎</t>
  </si>
  <si>
    <t>上鼎照明</t>
  </si>
  <si>
    <t>北德文</t>
  </si>
  <si>
    <t>超越群科技</t>
  </si>
  <si>
    <t>收廢胎</t>
  </si>
  <si>
    <t>巨浩</t>
  </si>
  <si>
    <t>勝晹</t>
  </si>
  <si>
    <t>全方位</t>
  </si>
  <si>
    <t>佳豪土木</t>
  </si>
  <si>
    <t>高雄越大</t>
  </si>
  <si>
    <t>鍾寶隆</t>
  </si>
  <si>
    <t>福海</t>
  </si>
  <si>
    <t>力璽</t>
  </si>
  <si>
    <t>順偉</t>
  </si>
  <si>
    <t>永順</t>
  </si>
  <si>
    <t>日亨</t>
  </si>
  <si>
    <t>勇和興</t>
  </si>
  <si>
    <t>順暉</t>
  </si>
  <si>
    <t>連豐</t>
  </si>
  <si>
    <t>正鋼</t>
  </si>
  <si>
    <t>大順</t>
  </si>
  <si>
    <t>緯達</t>
  </si>
  <si>
    <t>廈門</t>
  </si>
  <si>
    <t>太原氣體</t>
  </si>
  <si>
    <t>冠泓貿易</t>
  </si>
  <si>
    <t>新技資訊</t>
  </si>
  <si>
    <t>熊屋商店</t>
  </si>
  <si>
    <t>祈星實業</t>
  </si>
  <si>
    <t>萬大</t>
  </si>
  <si>
    <t>章化輪胎</t>
  </si>
  <si>
    <t>富山輪圈</t>
  </si>
  <si>
    <t>侑享輪業</t>
  </si>
  <si>
    <t>源一</t>
  </si>
  <si>
    <t>玉山輪胎</t>
  </si>
  <si>
    <t>聯昕興業</t>
  </si>
  <si>
    <t>世全</t>
  </si>
  <si>
    <t>允成</t>
  </si>
  <si>
    <t>世明.炘華泰輪胎-倍耐力</t>
  </si>
  <si>
    <t>BEISSBARTH</t>
  </si>
  <si>
    <t>盈鼎泰</t>
  </si>
  <si>
    <t>同一</t>
  </si>
  <si>
    <t>有勝-有程</t>
  </si>
  <si>
    <t>耀麒鋼圈</t>
  </si>
  <si>
    <t>興暉貿易</t>
  </si>
  <si>
    <t>翔威</t>
  </si>
  <si>
    <t>捷力客</t>
  </si>
  <si>
    <t>久代機械</t>
  </si>
  <si>
    <t>正鴻輪胎</t>
  </si>
  <si>
    <t>普利司通(公司)-大胎</t>
  </si>
  <si>
    <t>普利司通(公司)-中胎</t>
  </si>
  <si>
    <t>普利司通(公司)-小胎</t>
  </si>
  <si>
    <t>普利司通(公司)-翻修胎</t>
  </si>
  <si>
    <t>登祿普(公司)-大胎</t>
  </si>
  <si>
    <t>登祿普(公司)-中胎</t>
  </si>
  <si>
    <t>登祿普(公司)-小胎</t>
  </si>
  <si>
    <t>瑪吉斯-大胎</t>
  </si>
  <si>
    <t>瑪吉斯-中胎</t>
  </si>
  <si>
    <t>瑪吉斯-小胎</t>
  </si>
  <si>
    <t>正新-內胎.OB</t>
  </si>
  <si>
    <t>祐勝車業</t>
  </si>
  <si>
    <t>大地.駿固</t>
    <phoneticPr fontId="3" type="noConversion"/>
  </si>
  <si>
    <t>京展.金鋐</t>
    <phoneticPr fontId="3" type="noConversion"/>
  </si>
  <si>
    <t>24615885</t>
  </si>
  <si>
    <t>NO</t>
    <phoneticPr fontId="3" type="noConversion"/>
  </si>
  <si>
    <t>名稱</t>
    <phoneticPr fontId="3" type="noConversion"/>
  </si>
  <si>
    <t>統一編號</t>
    <phoneticPr fontId="3" type="noConversion"/>
  </si>
  <si>
    <t>35190441</t>
  </si>
  <si>
    <t>75349375</t>
  </si>
  <si>
    <t>70357185</t>
  </si>
  <si>
    <t>11383200</t>
  </si>
  <si>
    <t>89878729</t>
  </si>
  <si>
    <t>84263300</t>
  </si>
  <si>
    <t>12315075</t>
  </si>
  <si>
    <t>53789792</t>
  </si>
  <si>
    <t>29060435</t>
  </si>
  <si>
    <t>80603860</t>
  </si>
  <si>
    <t>80594898</t>
  </si>
  <si>
    <t>47122503</t>
  </si>
  <si>
    <t>28152695</t>
  </si>
  <si>
    <t>17337696</t>
  </si>
  <si>
    <t>8442337</t>
  </si>
  <si>
    <t>49739785</t>
  </si>
  <si>
    <t>50538343</t>
  </si>
  <si>
    <t>23430002</t>
  </si>
  <si>
    <t>27255005</t>
  </si>
  <si>
    <t>84810047</t>
  </si>
  <si>
    <t>13160401</t>
  </si>
  <si>
    <t>54798714</t>
  </si>
  <si>
    <t>17189479</t>
  </si>
  <si>
    <t>21255464</t>
  </si>
  <si>
    <t>89275797</t>
  </si>
  <si>
    <t>45759035</t>
  </si>
  <si>
    <t>86284667</t>
  </si>
  <si>
    <t>27775786</t>
  </si>
  <si>
    <t>53175555</t>
  </si>
  <si>
    <t>16657874</t>
  </si>
  <si>
    <t>80578145</t>
  </si>
  <si>
    <t>24405831</t>
  </si>
  <si>
    <t>12929799</t>
  </si>
  <si>
    <t>5976104</t>
  </si>
  <si>
    <t>12662709</t>
  </si>
  <si>
    <t>28201008</t>
  </si>
  <si>
    <t>16254893</t>
  </si>
  <si>
    <t>76481909</t>
  </si>
  <si>
    <t>86374055</t>
  </si>
  <si>
    <t>84679320</t>
  </si>
  <si>
    <t>53484102</t>
  </si>
  <si>
    <t>23438068</t>
  </si>
  <si>
    <t>27293731</t>
  </si>
  <si>
    <t>16926082</t>
  </si>
  <si>
    <t>12950856</t>
  </si>
  <si>
    <t>46037000</t>
  </si>
  <si>
    <t>70491599</t>
  </si>
  <si>
    <t>27856458</t>
  </si>
  <si>
    <t>03553315</t>
  </si>
  <si>
    <t>86861225</t>
  </si>
  <si>
    <t>86069225</t>
  </si>
  <si>
    <t>16404400</t>
  </si>
  <si>
    <t>23701530</t>
  </si>
  <si>
    <t>13874147</t>
  </si>
  <si>
    <t>14213047</t>
  </si>
  <si>
    <t>25485620</t>
  </si>
  <si>
    <t>10559052</t>
  </si>
  <si>
    <t>24607273</t>
  </si>
  <si>
    <t>54532378</t>
  </si>
  <si>
    <t>25014635</t>
  </si>
  <si>
    <t>49732930</t>
  </si>
  <si>
    <t>53613035</t>
  </si>
  <si>
    <t>80579088</t>
  </si>
  <si>
    <t>29028822</t>
  </si>
  <si>
    <t>54882254</t>
  </si>
  <si>
    <t>86763961</t>
  </si>
  <si>
    <t>12903860</t>
  </si>
  <si>
    <t>29119457</t>
  </si>
  <si>
    <t>70617056</t>
  </si>
  <si>
    <t>38812458</t>
  </si>
  <si>
    <t>24677039</t>
  </si>
  <si>
    <t>37805227</t>
  </si>
  <si>
    <t>28075537</t>
  </si>
  <si>
    <t>12928623</t>
  </si>
  <si>
    <t>53378073</t>
  </si>
  <si>
    <t>13356334</t>
  </si>
  <si>
    <t>49703344</t>
  </si>
  <si>
    <t>54805861</t>
  </si>
  <si>
    <t>23863719</t>
  </si>
  <si>
    <t>86279812</t>
  </si>
  <si>
    <t>29134226</t>
  </si>
  <si>
    <t>30818047</t>
  </si>
  <si>
    <t>3881283&gt;</t>
  </si>
  <si>
    <t>22184636</t>
  </si>
  <si>
    <t>84295133</t>
  </si>
  <si>
    <t>12267209</t>
  </si>
  <si>
    <t>84076067</t>
  </si>
  <si>
    <t>45188084</t>
  </si>
  <si>
    <t>海浜幕張.宏昱輪業</t>
    <phoneticPr fontId="3" type="noConversion"/>
  </si>
  <si>
    <t>-</t>
    <phoneticPr fontId="3" type="noConversion"/>
  </si>
  <si>
    <t>駿固實業</t>
    <phoneticPr fontId="3" type="noConversion"/>
  </si>
  <si>
    <t>上全汽車材料</t>
    <phoneticPr fontId="3" type="noConversion"/>
  </si>
  <si>
    <t>序號</t>
    <phoneticPr fontId="3" type="noConversion"/>
  </si>
  <si>
    <t>年月日</t>
    <phoneticPr fontId="3" type="noConversion"/>
  </si>
  <si>
    <t>廠編</t>
    <phoneticPr fontId="3" type="noConversion"/>
  </si>
  <si>
    <t>廠商簡稱</t>
    <phoneticPr fontId="3" type="noConversion"/>
  </si>
  <si>
    <t>統一編號</t>
    <phoneticPr fontId="3" type="noConversion"/>
  </si>
  <si>
    <t>慶揚輪胎</t>
    <phoneticPr fontId="3" type="noConversion"/>
  </si>
  <si>
    <t>南冠輪胎</t>
    <phoneticPr fontId="3" type="noConversion"/>
  </si>
  <si>
    <t>瑞迪輪胎</t>
    <phoneticPr fontId="3" type="noConversion"/>
  </si>
  <si>
    <t>日新輪胎行</t>
    <phoneticPr fontId="3" type="noConversion"/>
  </si>
  <si>
    <t>05981116</t>
    <phoneticPr fontId="3" type="noConversion"/>
  </si>
  <si>
    <t>鴻鑫輪胎行</t>
    <phoneticPr fontId="3" type="noConversion"/>
  </si>
  <si>
    <t>振群</t>
    <phoneticPr fontId="3" type="noConversion"/>
  </si>
  <si>
    <t>登入日期</t>
    <phoneticPr fontId="3" type="noConversion"/>
  </si>
  <si>
    <t>工作人員</t>
    <phoneticPr fontId="3" type="noConversion"/>
  </si>
  <si>
    <t>開元報關行</t>
    <phoneticPr fontId="3" type="noConversion"/>
  </si>
  <si>
    <t>尚大汽車</t>
  </si>
  <si>
    <t>榮新</t>
    <phoneticPr fontId="3" type="noConversion"/>
  </si>
  <si>
    <t>28604109</t>
    <phoneticPr fontId="3" type="noConversion"/>
  </si>
  <si>
    <t>07660028</t>
    <phoneticPr fontId="3" type="noConversion"/>
  </si>
  <si>
    <t>上源</t>
    <phoneticPr fontId="3" type="noConversion"/>
  </si>
  <si>
    <t>25153707</t>
    <phoneticPr fontId="3" type="noConversion"/>
  </si>
  <si>
    <t>品名</t>
    <phoneticPr fontId="3" type="noConversion"/>
  </si>
  <si>
    <t>金額</t>
    <phoneticPr fontId="3" type="noConversion"/>
  </si>
  <si>
    <t>品項</t>
  </si>
  <si>
    <t>數量</t>
  </si>
  <si>
    <t xml:space="preserve"> 單價 </t>
  </si>
  <si>
    <t xml:space="preserve"> 小計 </t>
  </si>
  <si>
    <t>已申報</t>
    <phoneticPr fontId="3" type="noConversion"/>
  </si>
  <si>
    <t>發票型式</t>
    <phoneticPr fontId="3" type="noConversion"/>
  </si>
  <si>
    <t>登入日期</t>
    <phoneticPr fontId="3" type="noConversion"/>
  </si>
  <si>
    <t>品名</t>
    <phoneticPr fontId="3" type="noConversion"/>
  </si>
  <si>
    <t>金額</t>
    <phoneticPr fontId="3" type="noConversion"/>
  </si>
  <si>
    <t>工作人員</t>
    <phoneticPr fontId="3" type="noConversion"/>
  </si>
  <si>
    <t>日期</t>
    <phoneticPr fontId="3" type="noConversion"/>
  </si>
  <si>
    <t>老闆一家外出餐費.電器用品.服飾</t>
    <phoneticPr fontId="3" type="noConversion"/>
  </si>
  <si>
    <t>赫杰國際貿易</t>
    <phoneticPr fontId="3" type="noConversion"/>
  </si>
  <si>
    <t>54006749</t>
    <phoneticPr fontId="3" type="noConversion"/>
  </si>
  <si>
    <t>50160585</t>
    <phoneticPr fontId="3" type="noConversion"/>
  </si>
  <si>
    <t>順安汽車</t>
    <phoneticPr fontId="3" type="noConversion"/>
  </si>
  <si>
    <t>1111人力銀行</t>
    <phoneticPr fontId="3" type="noConversion"/>
  </si>
  <si>
    <t>16776387</t>
    <phoneticPr fontId="3" type="noConversion"/>
  </si>
  <si>
    <t>電子發票-(電子發票證明聯) 三收銀-(三聯式收銀機統一發票)</t>
    <phoneticPr fontId="3" type="noConversion"/>
  </si>
  <si>
    <t>私人醫療收據</t>
    <phoneticPr fontId="3" type="noConversion"/>
  </si>
  <si>
    <t>私人雜項收據</t>
    <phoneticPr fontId="3" type="noConversion"/>
  </si>
  <si>
    <t>彙總時，類別跟月份要分清楚</t>
    <phoneticPr fontId="3" type="noConversion"/>
  </si>
  <si>
    <t>一類</t>
    <phoneticPr fontId="3" type="noConversion"/>
  </si>
  <si>
    <t>三聯式-(手開發票) 電算機-(電子計算機統一發票)</t>
    <phoneticPr fontId="3" type="noConversion"/>
  </si>
  <si>
    <t>KEY發票時，照著檔案順序擺放，月份分開放</t>
    <phoneticPr fontId="3" type="noConversion"/>
  </si>
  <si>
    <t>用來體恤員工之費用如:餐費</t>
    <phoneticPr fontId="3" type="noConversion"/>
  </si>
  <si>
    <r>
      <rPr>
        <sz val="16"/>
        <color rgb="FFFF0000"/>
        <rFont val="cwTeX 粗黑體"/>
        <family val="3"/>
        <charset val="136"/>
      </rPr>
      <t>發票</t>
    </r>
    <r>
      <rPr>
        <sz val="16"/>
        <color theme="1"/>
        <rFont val="cwTeX 粗黑體"/>
        <family val="3"/>
        <charset val="136"/>
      </rPr>
      <t>不可申報營業稅-認列費用(呈現在年底報表)</t>
    </r>
    <phoneticPr fontId="3" type="noConversion"/>
  </si>
  <si>
    <t>二收銀-(二聯式收銀機統一發票)</t>
    <phoneticPr fontId="3" type="noConversion"/>
  </si>
  <si>
    <t>店內用耗材如:廁所清潔劑.店用材料.垃圾袋.文具.公司車輛油單.監視器保全租金.公司車輛維修</t>
    <phoneticPr fontId="3" type="noConversion"/>
  </si>
  <si>
    <t>退折證明單-(折讓)</t>
    <phoneticPr fontId="3" type="noConversion"/>
  </si>
  <si>
    <t>營業用商品如:輪胎.鋼圈.機器</t>
    <phoneticPr fontId="3" type="noConversion"/>
  </si>
  <si>
    <t>電子發票-(電子發票證明聯)</t>
    <phoneticPr fontId="3" type="noConversion"/>
  </si>
  <si>
    <t>營業用商品.店用之耗材皆可申報</t>
    <phoneticPr fontId="3" type="noConversion"/>
  </si>
  <si>
    <t>電算機-(電子計算機統一發票)</t>
    <phoneticPr fontId="3" type="noConversion"/>
  </si>
  <si>
    <t>三聯式-(手開發票)</t>
    <phoneticPr fontId="3" type="noConversion"/>
  </si>
  <si>
    <r>
      <rPr>
        <sz val="16"/>
        <color rgb="FFFF0000"/>
        <rFont val="cwTeX 粗黑體"/>
        <family val="3"/>
        <charset val="136"/>
      </rPr>
      <t>發票</t>
    </r>
    <r>
      <rPr>
        <sz val="16"/>
        <color theme="1"/>
        <rFont val="cwTeX 粗黑體"/>
        <family val="3"/>
        <charset val="136"/>
      </rPr>
      <t>可申報營業稅</t>
    </r>
    <phoneticPr fontId="3" type="noConversion"/>
  </si>
  <si>
    <t>三收銀-(三聯式收銀機統一發票)</t>
    <phoneticPr fontId="3" type="noConversion"/>
  </si>
  <si>
    <t>寧豪企業</t>
  </si>
  <si>
    <t>70504052</t>
  </si>
  <si>
    <t>稅費繳納證</t>
    <phoneticPr fontId="3" type="noConversion"/>
  </si>
  <si>
    <t>黃珮綺</t>
    <phoneticPr fontId="3" type="noConversion"/>
  </si>
  <si>
    <t>胡羽萱</t>
    <phoneticPr fontId="3" type="noConversion"/>
  </si>
  <si>
    <t>進項-營業稅申報</t>
    <phoneticPr fontId="3" type="noConversion"/>
  </si>
  <si>
    <t>進項-不能扣抵營業稅 當費用</t>
    <phoneticPr fontId="3" type="noConversion"/>
  </si>
  <si>
    <t>收據</t>
    <phoneticPr fontId="3" type="noConversion"/>
  </si>
  <si>
    <t>電子</t>
    <phoneticPr fontId="15" type="noConversion"/>
  </si>
  <si>
    <t>中華全佑</t>
  </si>
  <si>
    <t>手開</t>
    <phoneticPr fontId="15" type="noConversion"/>
  </si>
  <si>
    <t>中華全佑三聯式</t>
    <phoneticPr fontId="15" type="noConversion"/>
  </si>
  <si>
    <t>中華全佑二聯式</t>
    <phoneticPr fontId="15" type="noConversion"/>
  </si>
  <si>
    <t>張數</t>
    <phoneticPr fontId="15" type="noConversion"/>
  </si>
  <si>
    <t>登入日期</t>
    <phoneticPr fontId="15" type="noConversion"/>
  </si>
  <si>
    <t>年月日</t>
  </si>
  <si>
    <t>客編</t>
    <phoneticPr fontId="15" type="noConversion"/>
  </si>
  <si>
    <t>客戶簡稱</t>
    <phoneticPr fontId="15" type="noConversion"/>
  </si>
  <si>
    <t>客戶統編</t>
  </si>
  <si>
    <t>品項</t>
    <phoneticPr fontId="15" type="noConversion"/>
  </si>
  <si>
    <t>數量</t>
    <phoneticPr fontId="15" type="noConversion"/>
  </si>
  <si>
    <t>單價</t>
    <phoneticPr fontId="15" type="noConversion"/>
  </si>
  <si>
    <t>小計</t>
    <phoneticPr fontId="15" type="noConversion"/>
  </si>
  <si>
    <t xml:space="preserve"> 未稅金額 </t>
  </si>
  <si>
    <t xml:space="preserve"> 稅額 </t>
  </si>
  <si>
    <t>工作人員</t>
    <phoneticPr fontId="15" type="noConversion"/>
  </si>
  <si>
    <t>張數</t>
    <phoneticPr fontId="15" type="noConversion"/>
  </si>
  <si>
    <t>登入日期</t>
  </si>
  <si>
    <t>客編</t>
    <phoneticPr fontId="15" type="noConversion"/>
  </si>
  <si>
    <t>客戶簡稱</t>
    <phoneticPr fontId="15" type="noConversion"/>
  </si>
  <si>
    <t xml:space="preserve">  </t>
    <phoneticPr fontId="15" type="noConversion"/>
  </si>
  <si>
    <t>客編</t>
    <phoneticPr fontId="15" type="noConversion"/>
  </si>
  <si>
    <t>統一編號</t>
  </si>
  <si>
    <t xml:space="preserve"> 客名</t>
  </si>
  <si>
    <t>全佑</t>
  </si>
  <si>
    <t>榮聯</t>
  </si>
  <si>
    <t>長增</t>
  </si>
  <si>
    <t>長呈王</t>
  </si>
  <si>
    <t>宜城</t>
  </si>
  <si>
    <t>路人</t>
  </si>
  <si>
    <t>大豐</t>
  </si>
  <si>
    <t>永業</t>
  </si>
  <si>
    <t>海銓</t>
  </si>
  <si>
    <t>益順</t>
  </si>
  <si>
    <t>高譜</t>
  </si>
  <si>
    <t>順合</t>
  </si>
  <si>
    <t>六順</t>
  </si>
  <si>
    <t>志祥</t>
  </si>
  <si>
    <t>竹升</t>
  </si>
  <si>
    <t>林富國</t>
  </si>
  <si>
    <t>輝業</t>
  </si>
  <si>
    <t>福雄</t>
  </si>
  <si>
    <t>安全</t>
  </si>
  <si>
    <t>毅和</t>
  </si>
  <si>
    <t>楊育茹</t>
  </si>
  <si>
    <t>永晟黃兆亭</t>
  </si>
  <si>
    <t>勇城</t>
  </si>
  <si>
    <t>震洋</t>
  </si>
  <si>
    <t>李國忠省裕</t>
  </si>
  <si>
    <t>陳世傑</t>
  </si>
  <si>
    <t>偉訊(冠軍)</t>
  </si>
  <si>
    <t>上和</t>
  </si>
  <si>
    <t>伸有彰化</t>
  </si>
  <si>
    <t>?揚黃文漢</t>
  </si>
  <si>
    <t>鳴洋新將</t>
  </si>
  <si>
    <t>小香港爸爸</t>
  </si>
  <si>
    <t>吳兆雄</t>
  </si>
  <si>
    <t>振富</t>
  </si>
  <si>
    <t>長鴻傳吉</t>
  </si>
  <si>
    <t>來大</t>
  </si>
  <si>
    <t>展大</t>
  </si>
  <si>
    <t>非洲</t>
  </si>
  <si>
    <t>仁旺</t>
  </si>
  <si>
    <t>久大冠德</t>
  </si>
  <si>
    <t>長發</t>
  </si>
  <si>
    <t>中港砂石</t>
  </si>
  <si>
    <t>大進和泰</t>
  </si>
  <si>
    <t>徨琪</t>
  </si>
  <si>
    <t>羅國龍</t>
  </si>
  <si>
    <t>鴻阜通運</t>
  </si>
  <si>
    <t>鴻安</t>
  </si>
  <si>
    <t>正昇修理廠</t>
  </si>
  <si>
    <t>欣晏</t>
  </si>
  <si>
    <t>省裕吳志專志銘</t>
  </si>
  <si>
    <t>栗德</t>
  </si>
  <si>
    <t>上禹</t>
  </si>
  <si>
    <t>美聖</t>
  </si>
  <si>
    <t>邱金海</t>
  </si>
  <si>
    <t>寬輾</t>
  </si>
  <si>
    <t>鑫能</t>
  </si>
  <si>
    <t>源鴻</t>
  </si>
  <si>
    <t>信豐</t>
  </si>
  <si>
    <t>至懋</t>
  </si>
  <si>
    <t>德緯</t>
  </si>
  <si>
    <t>順祥吊車</t>
  </si>
  <si>
    <t>台澄郭董＞寄</t>
  </si>
  <si>
    <t>豪泰</t>
  </si>
  <si>
    <t>小阿姨</t>
  </si>
  <si>
    <t>台北輝</t>
  </si>
  <si>
    <t>02851499</t>
  </si>
  <si>
    <t>佳金卓文湧</t>
  </si>
  <si>
    <t>佳弘曾錦忠</t>
  </si>
  <si>
    <t>09947702</t>
  </si>
  <si>
    <t>源勝皓弟</t>
  </si>
  <si>
    <t>李志文菜車</t>
  </si>
  <si>
    <t>順安</t>
  </si>
  <si>
    <t>佳金鄧順生</t>
  </si>
  <si>
    <t>省裕大甲</t>
  </si>
  <si>
    <t>02942301</t>
  </si>
  <si>
    <t>德龍紙業</t>
  </si>
  <si>
    <t>俊瑾</t>
  </si>
  <si>
    <t>旭中</t>
  </si>
  <si>
    <t>百巢</t>
  </si>
  <si>
    <t>鑫毅</t>
  </si>
  <si>
    <t>頭份汽車</t>
  </si>
  <si>
    <t>觀鼎</t>
  </si>
  <si>
    <t>金益鼎</t>
  </si>
  <si>
    <t>宏昇起重</t>
  </si>
  <si>
    <t>陳根旺</t>
  </si>
  <si>
    <t>慶揚</t>
  </si>
  <si>
    <t>新生</t>
  </si>
  <si>
    <t>00936747</t>
  </si>
  <si>
    <t>玖盟基隆</t>
  </si>
  <si>
    <t>洪福氣</t>
  </si>
  <si>
    <t>捷瑞駿</t>
  </si>
  <si>
    <t>新通交通</t>
  </si>
  <si>
    <t>瑞騏</t>
  </si>
  <si>
    <t>東南輪胎</t>
  </si>
  <si>
    <t>伍城</t>
  </si>
  <si>
    <t>正新砂石行</t>
  </si>
  <si>
    <t>苑裡黃志民</t>
  </si>
  <si>
    <t>西河</t>
  </si>
  <si>
    <t>胡清陽</t>
  </si>
  <si>
    <t>宏技</t>
  </si>
  <si>
    <t>東南工業</t>
  </si>
  <si>
    <t>?泰吉寬</t>
  </si>
  <si>
    <t>東禾修理廠</t>
  </si>
  <si>
    <t>華北旗上交通</t>
  </si>
  <si>
    <t>泳壯</t>
  </si>
  <si>
    <t>00428406</t>
  </si>
  <si>
    <t>祐安吳俊賢</t>
  </si>
  <si>
    <t>陳文雄</t>
  </si>
  <si>
    <t>鍾享鵬</t>
  </si>
  <si>
    <t>上億</t>
  </si>
  <si>
    <t>漢騏</t>
  </si>
  <si>
    <t>貴盛</t>
  </si>
  <si>
    <t>金昌</t>
  </si>
  <si>
    <t>總宜</t>
  </si>
  <si>
    <t>福昌</t>
  </si>
  <si>
    <t>天廣</t>
  </si>
  <si>
    <t>嘉偉</t>
  </si>
  <si>
    <t>傅新財</t>
  </si>
  <si>
    <t>天聲</t>
  </si>
  <si>
    <t>小鍾</t>
  </si>
  <si>
    <t>驊瑞</t>
  </si>
  <si>
    <t>佳運</t>
  </si>
  <si>
    <t>鴻運</t>
  </si>
  <si>
    <t>君毅中學</t>
  </si>
  <si>
    <t>宏隆貨運</t>
  </si>
  <si>
    <t>千宏嘉義經銷</t>
  </si>
  <si>
    <t>09242710</t>
  </si>
  <si>
    <t>洪瑞賢</t>
  </si>
  <si>
    <t>順華</t>
  </si>
  <si>
    <t>華鎮環保科技有限公司</t>
  </si>
  <si>
    <t>栗合興</t>
  </si>
  <si>
    <t>鑫欣</t>
  </si>
  <si>
    <t>向錢走拖吊車</t>
  </si>
  <si>
    <t>向錢走發電機</t>
  </si>
  <si>
    <t>捷順黃俊誠</t>
  </si>
  <si>
    <t>鄭光良</t>
  </si>
  <si>
    <t>佳億塑膠</t>
  </si>
  <si>
    <t>銘麒</t>
  </si>
  <si>
    <t>億安</t>
  </si>
  <si>
    <t>老劉</t>
  </si>
  <si>
    <t>宏樺</t>
  </si>
  <si>
    <t>藝豐</t>
  </si>
  <si>
    <t>豐龍</t>
  </si>
  <si>
    <t>慶榮</t>
  </si>
  <si>
    <t>品皇</t>
  </si>
  <si>
    <t>得詮</t>
  </si>
  <si>
    <t>元誠</t>
  </si>
  <si>
    <t>吉星建材</t>
  </si>
  <si>
    <t>寶通氣體</t>
  </si>
  <si>
    <t>亮春</t>
  </si>
  <si>
    <t>晨煜</t>
  </si>
  <si>
    <t>元慶誠</t>
  </si>
  <si>
    <t>元慶</t>
  </si>
  <si>
    <t>統賀</t>
  </si>
  <si>
    <t>歐特耐</t>
  </si>
  <si>
    <t>高展</t>
  </si>
  <si>
    <t>永明</t>
  </si>
  <si>
    <t>勇鑫</t>
  </si>
  <si>
    <t>台一</t>
  </si>
  <si>
    <t>捷發翔順</t>
  </si>
  <si>
    <t>昕一</t>
  </si>
  <si>
    <t>金珠</t>
  </si>
  <si>
    <t>炬笙</t>
  </si>
  <si>
    <t>莊人傑</t>
  </si>
  <si>
    <t>眾信小傅</t>
  </si>
  <si>
    <t>桃宏牛屎</t>
  </si>
  <si>
    <t>竑星企業社</t>
  </si>
  <si>
    <t>益勝</t>
  </si>
  <si>
    <t>昌欣</t>
  </si>
  <si>
    <t>郁捷郁鵬</t>
  </si>
  <si>
    <t>新寶</t>
  </si>
  <si>
    <t>羅濟統</t>
  </si>
  <si>
    <t>啟成</t>
  </si>
  <si>
    <t>舒樂</t>
  </si>
  <si>
    <t>李添財</t>
  </si>
  <si>
    <t>嘉益</t>
  </si>
  <si>
    <t>員盛</t>
  </si>
  <si>
    <t>誠積</t>
  </si>
  <si>
    <t>鈺昇</t>
  </si>
  <si>
    <t>傅文芳大砲</t>
  </si>
  <si>
    <t>宏昌羅經勇</t>
  </si>
  <si>
    <t>文春</t>
  </si>
  <si>
    <t>冠華</t>
  </si>
  <si>
    <t>鐸昇</t>
  </si>
  <si>
    <t>大乘</t>
  </si>
  <si>
    <t>锝泰</t>
  </si>
  <si>
    <t>協福</t>
  </si>
  <si>
    <t>宏駿</t>
  </si>
  <si>
    <t>新合盛行</t>
  </si>
  <si>
    <t>春池</t>
  </si>
  <si>
    <t>大順土木</t>
  </si>
  <si>
    <t>兆發</t>
  </si>
  <si>
    <t>德泰汽車土匪</t>
  </si>
  <si>
    <t>志松葉水發</t>
  </si>
  <si>
    <t>嘉勤紙業</t>
  </si>
  <si>
    <t>信豐碳酸</t>
  </si>
  <si>
    <t>嘉德技術</t>
  </si>
  <si>
    <t>慶豐金紙</t>
  </si>
  <si>
    <t>昌盛劉見利</t>
  </si>
  <si>
    <t>欣成羅時隆</t>
  </si>
  <si>
    <t>龍勳陳溪泉</t>
  </si>
  <si>
    <t>陶揚烤鴨陳權</t>
  </si>
  <si>
    <t>春榮福曾塏銘</t>
  </si>
  <si>
    <t>禎祥</t>
  </si>
  <si>
    <t>嘉彬柯建榮</t>
  </si>
  <si>
    <t>昶宏生泰陳益泰</t>
  </si>
  <si>
    <t>大東薛士良</t>
  </si>
  <si>
    <t>建龍廢輪胎回收</t>
  </si>
  <si>
    <t>03713208</t>
  </si>
  <si>
    <t>國道造橋第二警察隊</t>
  </si>
  <si>
    <t>鉅鋒</t>
  </si>
  <si>
    <t>聯旭</t>
  </si>
  <si>
    <t>泉奕</t>
  </si>
  <si>
    <t>鍾建文</t>
  </si>
  <si>
    <t>新安</t>
  </si>
  <si>
    <t>奕達</t>
  </si>
  <si>
    <t>春泰</t>
  </si>
  <si>
    <t>瑾旺</t>
  </si>
  <si>
    <t>佳家</t>
  </si>
  <si>
    <t>緯榮</t>
  </si>
  <si>
    <t>咏進</t>
  </si>
  <si>
    <t>陳正天</t>
  </si>
  <si>
    <t>捷民</t>
  </si>
  <si>
    <t>笙泰賴進發</t>
  </si>
  <si>
    <t>吉邦</t>
  </si>
  <si>
    <t>松發</t>
  </si>
  <si>
    <t>神將</t>
  </si>
  <si>
    <t>優泥</t>
  </si>
  <si>
    <t>駿華</t>
  </si>
  <si>
    <t>利汯古肇魁</t>
  </si>
  <si>
    <t>駿驊卓合進</t>
  </si>
  <si>
    <t>高東隆</t>
  </si>
  <si>
    <t>曾士豪</t>
  </si>
  <si>
    <t>玄泰</t>
  </si>
  <si>
    <t>琮義</t>
  </si>
  <si>
    <t>鴻鈞</t>
  </si>
  <si>
    <t>陳德欽</t>
  </si>
  <si>
    <t>李博文</t>
  </si>
  <si>
    <t>劉柏江</t>
  </si>
  <si>
    <t>台佳</t>
  </si>
  <si>
    <t>飛皓達</t>
  </si>
  <si>
    <t>宜宗陳宏江</t>
  </si>
  <si>
    <t>民景</t>
  </si>
  <si>
    <t>必捷何源寶</t>
  </si>
  <si>
    <t>峰慶余哲誌</t>
  </si>
  <si>
    <t>耀捷劉文閔</t>
  </si>
  <si>
    <t>原皇黃育騰茶古</t>
  </si>
  <si>
    <t>地寶冠軍桃園廠</t>
  </si>
  <si>
    <t>永豐游志明</t>
  </si>
  <si>
    <t>全瑩黃弘鑫</t>
  </si>
  <si>
    <t>元慶王榮貴</t>
  </si>
  <si>
    <t>友商</t>
  </si>
  <si>
    <t>洪鍵忠小香港</t>
  </si>
  <si>
    <t>香港太古台中</t>
  </si>
  <si>
    <t>鴻祥</t>
  </si>
  <si>
    <t>賀祥</t>
  </si>
  <si>
    <t>西湖鄉公所</t>
  </si>
  <si>
    <t>掄揚</t>
  </si>
  <si>
    <t>英吉利</t>
  </si>
  <si>
    <t>光復中學</t>
  </si>
  <si>
    <t>嘉盛黃正男</t>
  </si>
  <si>
    <t>富程</t>
  </si>
  <si>
    <t>動力特區陳石海</t>
  </si>
  <si>
    <t>大億</t>
  </si>
  <si>
    <t>東益</t>
  </si>
  <si>
    <t>陳永能</t>
  </si>
  <si>
    <t>榮揚行</t>
  </si>
  <si>
    <t>豐正輪胎</t>
  </si>
  <si>
    <t>江正榮阿妙</t>
  </si>
  <si>
    <t>益興</t>
  </si>
  <si>
    <t>萬峰黃木富</t>
  </si>
  <si>
    <t>力龍神轎車</t>
  </si>
  <si>
    <t>冠德謝文昌</t>
  </si>
  <si>
    <t>金聖林旺駿</t>
  </si>
  <si>
    <t>龍聖吳清華黑皮</t>
  </si>
  <si>
    <t>麻豆吊車</t>
  </si>
  <si>
    <t>昇光偉</t>
  </si>
  <si>
    <t>冠德蘇煥淇</t>
  </si>
  <si>
    <t>百木達</t>
  </si>
  <si>
    <t>松生簡錦郎</t>
  </si>
  <si>
    <t>聯群李威志</t>
  </si>
  <si>
    <t>豪新張哲彰</t>
  </si>
  <si>
    <t>京元電子</t>
  </si>
  <si>
    <t>龍祥彭坤盛</t>
  </si>
  <si>
    <t>陳俊華</t>
  </si>
  <si>
    <t>生建</t>
  </si>
  <si>
    <t>聯發銅業</t>
  </si>
  <si>
    <t>勁耘電</t>
  </si>
  <si>
    <t>平順</t>
  </si>
  <si>
    <t>新萬俊</t>
  </si>
  <si>
    <t>豪大</t>
  </si>
  <si>
    <t>上元</t>
  </si>
  <si>
    <t>裕益苗栗</t>
  </si>
  <si>
    <t>東科</t>
  </si>
  <si>
    <t>新裕承</t>
  </si>
  <si>
    <t>廣寶</t>
  </si>
  <si>
    <t>環亞</t>
  </si>
  <si>
    <t>長鼎</t>
  </si>
  <si>
    <t>仟郁</t>
  </si>
  <si>
    <t>東馴</t>
  </si>
  <si>
    <t>龍俐</t>
  </si>
  <si>
    <t>均升</t>
  </si>
  <si>
    <t>唐福</t>
  </si>
  <si>
    <t>偉業</t>
  </si>
  <si>
    <t>春南</t>
  </si>
  <si>
    <t>基藍緣吳盛德</t>
  </si>
  <si>
    <t>全力</t>
  </si>
  <si>
    <t>大熊行</t>
  </si>
  <si>
    <t>江清國</t>
  </si>
  <si>
    <t>進發</t>
  </si>
  <si>
    <t>仁德</t>
  </si>
  <si>
    <t>榮新</t>
  </si>
  <si>
    <t>太洋新技</t>
  </si>
  <si>
    <t>賀義鈞</t>
  </si>
  <si>
    <t>臻翔</t>
  </si>
  <si>
    <t>永裕豐</t>
  </si>
  <si>
    <t>林銀龍</t>
  </si>
  <si>
    <t>志祥通運邱福安</t>
  </si>
  <si>
    <t>駱俊榮駱駝</t>
  </si>
  <si>
    <t>韋聰敏</t>
  </si>
  <si>
    <t>范振僥</t>
  </si>
  <si>
    <t>愛德華</t>
  </si>
  <si>
    <t>承億</t>
  </si>
  <si>
    <t>張文宗</t>
  </si>
  <si>
    <t>亨福</t>
  </si>
  <si>
    <t>麥可通運</t>
  </si>
  <si>
    <t>廣霖范光棟</t>
  </si>
  <si>
    <t>弘翔.東大</t>
  </si>
  <si>
    <t>吳進琨</t>
  </si>
  <si>
    <t>元將</t>
  </si>
  <si>
    <t>銀城</t>
  </si>
  <si>
    <t>陳憲義</t>
  </si>
  <si>
    <t>驊泰</t>
  </si>
  <si>
    <t>海帆</t>
  </si>
  <si>
    <t>銅鑼陳江山</t>
  </si>
  <si>
    <t>三詠</t>
  </si>
  <si>
    <t>萬順譚福源</t>
  </si>
  <si>
    <t>陳緯華美樂</t>
  </si>
  <si>
    <t>新竹萬國輪胎</t>
  </si>
  <si>
    <t>林奕成</t>
  </si>
  <si>
    <t>合成張家典</t>
  </si>
  <si>
    <t>崴武</t>
  </si>
  <si>
    <t>天富李仕宸阿財</t>
  </si>
  <si>
    <t>越穩(越大)輪胎</t>
  </si>
  <si>
    <t>味王</t>
  </si>
  <si>
    <t>拖福多</t>
  </si>
  <si>
    <t>國耀</t>
  </si>
  <si>
    <t>09908567</t>
  </si>
  <si>
    <t>竹豐</t>
  </si>
  <si>
    <t>唯辰行</t>
  </si>
  <si>
    <t>陳宏康鴻海</t>
  </si>
  <si>
    <t>陳志廣鴻海</t>
  </si>
  <si>
    <t>謝承泓永大順</t>
  </si>
  <si>
    <t>宏興順</t>
  </si>
  <si>
    <t>邱政義</t>
  </si>
  <si>
    <t>好運錦湖</t>
  </si>
  <si>
    <t>昌義</t>
  </si>
  <si>
    <t>宸羽</t>
  </si>
  <si>
    <t>卓蘭</t>
  </si>
  <si>
    <t>鑫豐</t>
  </si>
  <si>
    <t>天文</t>
  </si>
  <si>
    <t>坤成</t>
  </si>
  <si>
    <t>志松</t>
  </si>
  <si>
    <t>銘旺</t>
  </si>
  <si>
    <t>楊阿銘</t>
  </si>
  <si>
    <t>立勤</t>
  </si>
  <si>
    <t>萬國輪胎苗栗</t>
  </si>
  <si>
    <t>陳添寶火車</t>
  </si>
  <si>
    <t>瑞建</t>
  </si>
  <si>
    <t>張武賢金谷</t>
  </si>
  <si>
    <t>吉祥</t>
  </si>
  <si>
    <t>大成</t>
  </si>
  <si>
    <t>曾天亨</t>
  </si>
  <si>
    <t>鄭瑞宏</t>
  </si>
  <si>
    <t>裕興旺</t>
  </si>
  <si>
    <t>興磊</t>
  </si>
  <si>
    <t>裕豐</t>
  </si>
  <si>
    <t>林芳裕</t>
  </si>
  <si>
    <t>亞太汽車</t>
  </si>
  <si>
    <t>聯有</t>
  </si>
  <si>
    <t>竹南鎮公所</t>
  </si>
  <si>
    <t>大唐</t>
  </si>
  <si>
    <t>樹文水電阿銘</t>
  </si>
  <si>
    <t>廖庭毅</t>
  </si>
  <si>
    <t>宏欣</t>
  </si>
  <si>
    <t>王建昇</t>
  </si>
  <si>
    <t>大道輪胎張甘衛</t>
  </si>
  <si>
    <t>大豐盛榮</t>
  </si>
  <si>
    <t>錦鋒</t>
  </si>
  <si>
    <t>聯興</t>
  </si>
  <si>
    <t>李俊麟</t>
  </si>
  <si>
    <t>金鋐國</t>
  </si>
  <si>
    <t>林龍燕新寶</t>
  </si>
  <si>
    <t>荷太</t>
  </si>
  <si>
    <t>沅冠</t>
  </si>
  <si>
    <t>志松朱金發</t>
  </si>
  <si>
    <t>源強林智芳</t>
  </si>
  <si>
    <t>紘洋</t>
  </si>
  <si>
    <t>李政芳紅龍</t>
  </si>
  <si>
    <t>運來</t>
  </si>
  <si>
    <t>安佳</t>
  </si>
  <si>
    <t>陳慶宏</t>
  </si>
  <si>
    <t>張家銘</t>
  </si>
  <si>
    <t>劉德良</t>
  </si>
  <si>
    <t>峰洋輪胎</t>
  </si>
  <si>
    <t>力盛</t>
  </si>
  <si>
    <t>呂清河</t>
  </si>
  <si>
    <t>全家福</t>
  </si>
  <si>
    <t>吳志乾</t>
  </si>
  <si>
    <t>園區</t>
  </si>
  <si>
    <t>泰慶</t>
  </si>
  <si>
    <t>遠雄</t>
  </si>
  <si>
    <t>先峰</t>
  </si>
  <si>
    <t>楊文華阿華田</t>
  </si>
  <si>
    <t>謝明政松生</t>
  </si>
  <si>
    <t>順偉輪胎</t>
  </si>
  <si>
    <t>致佳</t>
  </si>
  <si>
    <t>鴻海陳適志</t>
  </si>
  <si>
    <t>藍天黃桂香</t>
  </si>
  <si>
    <t>弘勝達</t>
  </si>
  <si>
    <t>榮興</t>
  </si>
  <si>
    <t>釧宏</t>
  </si>
  <si>
    <t>明新吊車</t>
  </si>
  <si>
    <t>翔瑞</t>
  </si>
  <si>
    <t>福記吊車</t>
  </si>
  <si>
    <t>原新金屬</t>
  </si>
  <si>
    <t>全翔</t>
  </si>
  <si>
    <t>峰林</t>
  </si>
  <si>
    <t>臻錠</t>
  </si>
  <si>
    <t>旭東黃明良</t>
  </si>
  <si>
    <t>裕珉</t>
  </si>
  <si>
    <t>細漢黃俊堯</t>
  </si>
  <si>
    <t>虹銘韋程</t>
  </si>
  <si>
    <t>台灣肥料</t>
  </si>
  <si>
    <t>永輝</t>
  </si>
  <si>
    <t>有勝</t>
  </si>
  <si>
    <t>振興</t>
  </si>
  <si>
    <t>利泰</t>
  </si>
  <si>
    <t>凱鴻</t>
  </si>
  <si>
    <t>鴻福凱億</t>
  </si>
  <si>
    <t>黃俊明</t>
  </si>
  <si>
    <t>後龍鎮公所</t>
  </si>
  <si>
    <t>楊詩雅妹妹</t>
  </si>
  <si>
    <t>03098800</t>
  </si>
  <si>
    <t>火炎山</t>
  </si>
  <si>
    <t>世鑫營造</t>
  </si>
  <si>
    <t>楊瑞賢</t>
  </si>
  <si>
    <t>安欣</t>
  </si>
  <si>
    <t>謝兆堂旭東</t>
  </si>
  <si>
    <t>陶晟相祺</t>
  </si>
  <si>
    <t>晉翌</t>
  </si>
  <si>
    <t>炘發</t>
  </si>
  <si>
    <t>金懋</t>
  </si>
  <si>
    <t>鳳屏佳能環保</t>
  </si>
  <si>
    <t>中興商工</t>
  </si>
  <si>
    <t>萬芳</t>
  </si>
  <si>
    <t>啟德</t>
  </si>
  <si>
    <t>偉全</t>
  </si>
  <si>
    <t>慶華</t>
  </si>
  <si>
    <t>弘隆</t>
  </si>
  <si>
    <t>建昱(原立翔)</t>
  </si>
  <si>
    <t>德源行</t>
  </si>
  <si>
    <t>奇興</t>
  </si>
  <si>
    <t>阮錦堂嘉盛</t>
  </si>
  <si>
    <t>安泰起重</t>
  </si>
  <si>
    <t>吉和</t>
  </si>
  <si>
    <t>名鈦</t>
  </si>
  <si>
    <t>盛泰</t>
  </si>
  <si>
    <t>沅億</t>
  </si>
  <si>
    <t>安林</t>
  </si>
  <si>
    <t>賴致全</t>
  </si>
  <si>
    <t>欣祐</t>
  </si>
  <si>
    <t>百飛</t>
  </si>
  <si>
    <t>全亞冠</t>
  </si>
  <si>
    <t>福春</t>
  </si>
  <si>
    <t>藝速</t>
  </si>
  <si>
    <t>聖堂機械</t>
  </si>
  <si>
    <t>魏世郎</t>
  </si>
  <si>
    <t>謝志明</t>
  </si>
  <si>
    <t>陳勝義(黑友)</t>
  </si>
  <si>
    <t>永德福(苗栗)</t>
  </si>
  <si>
    <t>普惠食品</t>
  </si>
  <si>
    <t>得展</t>
  </si>
  <si>
    <t>勝興陳信男</t>
  </si>
  <si>
    <t>林濬康</t>
  </si>
  <si>
    <t>秉陽</t>
  </si>
  <si>
    <t>文鹿</t>
  </si>
  <si>
    <t>中港輪胎</t>
  </si>
  <si>
    <t>李鎧丞.胖胖.</t>
  </si>
  <si>
    <t>鋒魁</t>
  </si>
  <si>
    <t>驛順黃信勳</t>
  </si>
  <si>
    <t>元智</t>
  </si>
  <si>
    <t>輝煌.金仕</t>
  </si>
  <si>
    <t>洪勝寶</t>
  </si>
  <si>
    <t>統成</t>
  </si>
  <si>
    <t>萬益</t>
  </si>
  <si>
    <t>威明</t>
  </si>
  <si>
    <t>儒鴻</t>
  </si>
  <si>
    <t>林廷陽勇勁</t>
  </si>
  <si>
    <t>02433720</t>
  </si>
  <si>
    <t>勇和興王勇和</t>
  </si>
  <si>
    <t>張耀中</t>
  </si>
  <si>
    <t>慈揚賴進烈</t>
  </si>
  <si>
    <t>曹坤霖</t>
  </si>
  <si>
    <t>題陞</t>
  </si>
  <si>
    <t>華品</t>
  </si>
  <si>
    <t>莊淑慧</t>
  </si>
  <si>
    <t>久展</t>
  </si>
  <si>
    <t>鍾錦福</t>
  </si>
  <si>
    <t>旭峰</t>
  </si>
  <si>
    <t>蘇啟泰</t>
  </si>
  <si>
    <t>品旺.品鑫</t>
  </si>
  <si>
    <t>呈安.天九</t>
  </si>
  <si>
    <t>苗栗客運</t>
  </si>
  <si>
    <t>黃清輝</t>
  </si>
  <si>
    <t>億弘古志雲</t>
  </si>
  <si>
    <t>蔣芳勇</t>
  </si>
  <si>
    <t>鳴倫</t>
  </si>
  <si>
    <t>全泰</t>
  </si>
  <si>
    <t>順彬</t>
  </si>
  <si>
    <t>東億</t>
  </si>
  <si>
    <t>奇昇</t>
  </si>
  <si>
    <t>洪和平松生</t>
  </si>
  <si>
    <t>鴻昌玻璃</t>
  </si>
  <si>
    <t>賴鼎龍菱揚</t>
  </si>
  <si>
    <t>正洋</t>
  </si>
  <si>
    <t>陳秀玲天新</t>
  </si>
  <si>
    <t>力麟</t>
  </si>
  <si>
    <t>弘振</t>
  </si>
  <si>
    <t>毓丰</t>
  </si>
  <si>
    <t>捷盛</t>
  </si>
  <si>
    <t>捷順</t>
  </si>
  <si>
    <t>捷盛運輸</t>
  </si>
  <si>
    <t>弘喬.友信</t>
  </si>
  <si>
    <t>東豪</t>
  </si>
  <si>
    <t>陳秋技</t>
  </si>
  <si>
    <t>李世璋</t>
  </si>
  <si>
    <t>華鴻</t>
  </si>
  <si>
    <t>宏明</t>
  </si>
  <si>
    <t>志竹</t>
  </si>
  <si>
    <t>蔡長永(原華)</t>
  </si>
  <si>
    <t>汯宸</t>
  </si>
  <si>
    <t>羅正宏雲翔</t>
  </si>
  <si>
    <t>嘉安</t>
  </si>
  <si>
    <t>大宇</t>
  </si>
  <si>
    <t>景明</t>
  </si>
  <si>
    <t>順鑫</t>
  </si>
  <si>
    <t>龍翔</t>
  </si>
  <si>
    <t>佳明</t>
  </si>
  <si>
    <t>09300746</t>
  </si>
  <si>
    <t>全佳</t>
  </si>
  <si>
    <t>順菖</t>
  </si>
  <si>
    <t>葉興坤星</t>
  </si>
  <si>
    <t>鴻友</t>
  </si>
  <si>
    <t>新復發</t>
  </si>
  <si>
    <t>邱志銘</t>
  </si>
  <si>
    <t>新瑞僑</t>
  </si>
  <si>
    <t>大信玻璃</t>
  </si>
  <si>
    <t>冠德</t>
  </si>
  <si>
    <t>瑋鎰</t>
  </si>
  <si>
    <t>聯倉</t>
  </si>
  <si>
    <t>吉寅</t>
  </si>
  <si>
    <t>鑫凱</t>
  </si>
  <si>
    <t>青沐</t>
  </si>
  <si>
    <t>祖揚</t>
  </si>
  <si>
    <t>大盈</t>
  </si>
  <si>
    <t>弘陞</t>
  </si>
  <si>
    <t>06566398</t>
  </si>
  <si>
    <t>榮隆輪胎</t>
  </si>
  <si>
    <t>福盈</t>
  </si>
  <si>
    <t>新諺</t>
  </si>
  <si>
    <t>敏銓鍾寶龍</t>
  </si>
  <si>
    <t>順暉輪胎</t>
  </si>
  <si>
    <t>聖麒工程</t>
  </si>
  <si>
    <t>永矩(卡車)竹南</t>
  </si>
  <si>
    <t>永協湖口</t>
  </si>
  <si>
    <t>永瑄竹東</t>
  </si>
  <si>
    <t>永炬楊梅</t>
  </si>
  <si>
    <t>長源苗栗</t>
  </si>
  <si>
    <t>長源新竹</t>
  </si>
  <si>
    <t>振順輪胎</t>
  </si>
  <si>
    <t>裕益新竹</t>
  </si>
  <si>
    <t>永德福台中</t>
  </si>
  <si>
    <t>永德福桃園</t>
  </si>
  <si>
    <t>永德福中壢宏田</t>
  </si>
  <si>
    <t>永德福總公司</t>
  </si>
  <si>
    <t>永德福台南</t>
  </si>
  <si>
    <t>紀志易.公司帳</t>
  </si>
  <si>
    <t>峰奇</t>
  </si>
  <si>
    <t>和新.育達</t>
  </si>
  <si>
    <t>宏道.欣甫</t>
  </si>
  <si>
    <t>和謙.葉文欽</t>
  </si>
  <si>
    <t>豐車.勞倫斯</t>
  </si>
  <si>
    <t>祥通</t>
  </si>
  <si>
    <t>王嘉昇.尚弘</t>
  </si>
  <si>
    <t>章化輪胎桃園</t>
  </si>
  <si>
    <t>祐立</t>
  </si>
  <si>
    <t>雷騰</t>
  </si>
  <si>
    <t>祥城</t>
  </si>
  <si>
    <t>新毅.萬豐輪胎</t>
  </si>
  <si>
    <t>統順</t>
  </si>
  <si>
    <t>658B</t>
  </si>
  <si>
    <t>弘舜.尚泰行</t>
  </si>
  <si>
    <t>昌鑫.錩達</t>
  </si>
  <si>
    <t>竹新.頂烽</t>
  </si>
  <si>
    <t>泰華通運</t>
  </si>
  <si>
    <t>光明明鑫</t>
  </si>
  <si>
    <t>劉博塏.國鑫</t>
  </si>
  <si>
    <t>福誼</t>
  </si>
  <si>
    <t>冠宏.吳明芳.敏詮</t>
  </si>
  <si>
    <t>翔運</t>
  </si>
  <si>
    <t>668B</t>
  </si>
  <si>
    <t>陳鈺蓁.福聖</t>
  </si>
  <si>
    <t>昭安(章化)輪胎高雄</t>
  </si>
  <si>
    <t>和鑫肉品</t>
  </si>
  <si>
    <t>鴻茂</t>
  </si>
  <si>
    <t>鴻準</t>
  </si>
  <si>
    <t>帝豪努.哇克</t>
  </si>
  <si>
    <t>寰揚</t>
  </si>
  <si>
    <t>朱文展</t>
  </si>
  <si>
    <t>大自然</t>
  </si>
  <si>
    <t>彭仕豐</t>
  </si>
  <si>
    <t>偉珍</t>
  </si>
  <si>
    <t>祐興昌</t>
  </si>
  <si>
    <t>竹南鎮公所公園路燈管理所</t>
  </si>
  <si>
    <t>泰昇</t>
  </si>
  <si>
    <t>06229559</t>
  </si>
  <si>
    <t>鴻諭</t>
  </si>
  <si>
    <t>佳泰</t>
  </si>
  <si>
    <t>上福輪胎</t>
  </si>
  <si>
    <t>新竹縣寶山鄉公所</t>
  </si>
  <si>
    <t>洽隆</t>
  </si>
  <si>
    <t>意鑫</t>
  </si>
  <si>
    <t>永發</t>
  </si>
  <si>
    <t>永傳</t>
  </si>
  <si>
    <t>永冠</t>
  </si>
  <si>
    <t>寶固</t>
  </si>
  <si>
    <t>串昌</t>
  </si>
  <si>
    <t>交通大學</t>
  </si>
  <si>
    <t>洪晟金屬</t>
  </si>
  <si>
    <t>成權有限公司</t>
  </si>
  <si>
    <t>福瑞</t>
  </si>
  <si>
    <t>00872223</t>
  </si>
  <si>
    <t>福民</t>
  </si>
  <si>
    <t>福麗</t>
  </si>
  <si>
    <t>久久環保</t>
  </si>
  <si>
    <t>金正汽車貨運</t>
  </si>
  <si>
    <t>耕溢</t>
  </si>
  <si>
    <t>光吳</t>
  </si>
  <si>
    <t>上弘</t>
  </si>
  <si>
    <t>宸寬</t>
  </si>
  <si>
    <t>小林車業</t>
  </si>
  <si>
    <t>創奕能源</t>
  </si>
  <si>
    <t>豐收實業有限公司</t>
  </si>
  <si>
    <t>廷維</t>
  </si>
  <si>
    <t>聯昱</t>
  </si>
  <si>
    <t>駿江工程</t>
  </si>
  <si>
    <t>旭勝</t>
  </si>
  <si>
    <t>中油</t>
  </si>
  <si>
    <t>中油探採</t>
  </si>
  <si>
    <t>昇敏</t>
  </si>
  <si>
    <t>葉照德</t>
  </si>
  <si>
    <t>寶成</t>
  </si>
  <si>
    <t>盛鋐</t>
  </si>
  <si>
    <t>顏川貴</t>
  </si>
  <si>
    <t>順益汽車</t>
  </si>
  <si>
    <t>力新國際輪胎有限公司</t>
  </si>
  <si>
    <t>世大日</t>
  </si>
  <si>
    <t>竹富通運</t>
  </si>
  <si>
    <t>霖森-楊家霖</t>
  </si>
  <si>
    <t>興達隆</t>
  </si>
  <si>
    <t>757A</t>
  </si>
  <si>
    <t>金漢鑫</t>
  </si>
  <si>
    <t>757B</t>
  </si>
  <si>
    <t>金漢營造</t>
  </si>
  <si>
    <t>銀鍠企業社</t>
  </si>
  <si>
    <t>建明</t>
  </si>
  <si>
    <t>俊宏達有限公司</t>
  </si>
  <si>
    <t>義合碾米廠</t>
  </si>
  <si>
    <t>高雄空廚</t>
  </si>
  <si>
    <t>聯鑫通運</t>
  </si>
  <si>
    <t>鑫豪食品</t>
  </si>
  <si>
    <t>正順環保有限公司</t>
  </si>
  <si>
    <t>李寶裕</t>
  </si>
  <si>
    <t>普利司通</t>
  </si>
  <si>
    <t>易陽</t>
  </si>
  <si>
    <t>07660028</t>
  </si>
  <si>
    <t>台北合眾汽車有限公司</t>
  </si>
  <si>
    <t>天興</t>
  </si>
  <si>
    <t>興連貨運</t>
  </si>
  <si>
    <t>峰宸</t>
  </si>
  <si>
    <t>永大建材</t>
  </si>
  <si>
    <t>吉利來輪胎行</t>
  </si>
  <si>
    <t>六統交通股份有限公司</t>
  </si>
  <si>
    <t>宜群</t>
  </si>
  <si>
    <t xml:space="preserve">峻源股份有限公司 </t>
  </si>
  <si>
    <t>順運工程</t>
  </si>
  <si>
    <t>鴻阜建材</t>
  </si>
  <si>
    <t>和毅建材</t>
  </si>
  <si>
    <t>捷順(中壢)</t>
  </si>
  <si>
    <t>原動力汽車</t>
  </si>
  <si>
    <t>永新興汽車</t>
  </si>
  <si>
    <t>中油非招標</t>
  </si>
  <si>
    <t>文雄行</t>
  </si>
  <si>
    <t>三洋</t>
  </si>
  <si>
    <t>829B</t>
  </si>
  <si>
    <t>台興碳酸</t>
  </si>
  <si>
    <t>真毅</t>
  </si>
  <si>
    <t>名基</t>
  </si>
  <si>
    <t>永慶貨運</t>
  </si>
  <si>
    <t>嘉盛汽車</t>
  </si>
  <si>
    <t>正昇輪胎行</t>
  </si>
  <si>
    <t>富茂汽車</t>
  </si>
  <si>
    <t>美和汽車</t>
  </si>
  <si>
    <t>保晟輪胎行</t>
  </si>
  <si>
    <t>王俊汽車行</t>
  </si>
  <si>
    <t>發彩環保</t>
  </si>
  <si>
    <t>永全汽車</t>
  </si>
  <si>
    <t>泰群工程行</t>
  </si>
  <si>
    <t>鴻源企業</t>
  </si>
  <si>
    <t>昇元建材</t>
  </si>
  <si>
    <t>峻泰汽車</t>
  </si>
  <si>
    <t>2-41</t>
  </si>
  <si>
    <t>旗勁</t>
  </si>
  <si>
    <t>群威輪胎行</t>
  </si>
  <si>
    <t>162A</t>
  </si>
  <si>
    <t>鎰利</t>
  </si>
  <si>
    <t>162B</t>
  </si>
  <si>
    <t>鎰嘉</t>
  </si>
  <si>
    <t>162C</t>
  </si>
  <si>
    <t>竹南汽車</t>
  </si>
  <si>
    <t>22A</t>
  </si>
  <si>
    <t>統新</t>
  </si>
  <si>
    <t>22B</t>
  </si>
  <si>
    <t>台新</t>
  </si>
  <si>
    <t>270A</t>
  </si>
  <si>
    <t>270B</t>
  </si>
  <si>
    <t>4A</t>
  </si>
  <si>
    <t>長增工程</t>
  </si>
  <si>
    <t>4B</t>
  </si>
  <si>
    <t>長增貨運</t>
  </si>
  <si>
    <t>531A</t>
  </si>
  <si>
    <t>531B</t>
  </si>
  <si>
    <t>笠格</t>
  </si>
  <si>
    <t>59A</t>
  </si>
  <si>
    <t>精輪</t>
  </si>
  <si>
    <t>59B</t>
  </si>
  <si>
    <t>金輪</t>
  </si>
  <si>
    <t>59C</t>
  </si>
  <si>
    <t>662A</t>
  </si>
  <si>
    <t>得嘉鑫</t>
  </si>
  <si>
    <t>745A</t>
  </si>
  <si>
    <t>03419401</t>
  </si>
  <si>
    <t>華宮</t>
  </si>
  <si>
    <t>745B</t>
  </si>
  <si>
    <t>新鴻</t>
  </si>
  <si>
    <t>750A</t>
  </si>
  <si>
    <t>國合</t>
  </si>
  <si>
    <t>廠177</t>
  </si>
  <si>
    <t>松埔</t>
  </si>
  <si>
    <t>廠186</t>
  </si>
  <si>
    <t>鴻鑫</t>
  </si>
  <si>
    <t>廠37</t>
  </si>
  <si>
    <t>飛得力國際股份有限公司</t>
  </si>
  <si>
    <t>2-55</t>
  </si>
  <si>
    <t>上品通運</t>
  </si>
  <si>
    <t>四方乳品</t>
  </si>
  <si>
    <t>聯盛鑫</t>
  </si>
  <si>
    <t>2-0140</t>
  </si>
  <si>
    <t>黃耀祖</t>
  </si>
  <si>
    <t>2-39</t>
  </si>
  <si>
    <t>竑麒企業社</t>
  </si>
  <si>
    <t>佳業企業社</t>
  </si>
  <si>
    <t>鼎紘事業有限公司</t>
  </si>
  <si>
    <t>捷順(竹南)</t>
  </si>
  <si>
    <t>2-74</t>
  </si>
  <si>
    <t>2-0190</t>
  </si>
  <si>
    <t>華夏玻璃股份有限公司</t>
  </si>
  <si>
    <t>安林科技</t>
  </si>
  <si>
    <t>09934002</t>
  </si>
  <si>
    <t>東利輪胎行</t>
  </si>
  <si>
    <t>詠吉起重工程有限公司</t>
  </si>
  <si>
    <t>威揚貨運有限公司</t>
  </si>
  <si>
    <t>792A</t>
  </si>
  <si>
    <t>美城租賃</t>
  </si>
  <si>
    <t>尚好重機工程有限公司</t>
  </si>
  <si>
    <t>2-0121</t>
  </si>
  <si>
    <t>來大企業</t>
  </si>
  <si>
    <t>四維清潔有限公司</t>
  </si>
  <si>
    <t>2-0066</t>
  </si>
  <si>
    <t>2-0008</t>
  </si>
  <si>
    <t>2-0153</t>
  </si>
  <si>
    <t>2-0112</t>
  </si>
  <si>
    <t>2-0143</t>
  </si>
  <si>
    <t>建昱企業社</t>
  </si>
  <si>
    <t>上海興彩</t>
  </si>
  <si>
    <t>2-0071</t>
  </si>
  <si>
    <t>寬裕</t>
  </si>
  <si>
    <t>廣聲機械</t>
  </si>
  <si>
    <t>658A</t>
  </si>
  <si>
    <t>792B</t>
  </si>
  <si>
    <t>2-0068</t>
  </si>
  <si>
    <t>匯豐汽車</t>
  </si>
  <si>
    <t>2-0090</t>
  </si>
  <si>
    <t>富成輪胎行</t>
  </si>
  <si>
    <t>2-0128</t>
  </si>
  <si>
    <t>2-0126</t>
  </si>
  <si>
    <t>阿毅物流</t>
  </si>
  <si>
    <t>永兆豐輪胎</t>
  </si>
  <si>
    <t>鴻金</t>
  </si>
  <si>
    <t>2-0159</t>
  </si>
  <si>
    <t>2-0051</t>
  </si>
  <si>
    <t>2-0052</t>
  </si>
  <si>
    <t>2-0016</t>
  </si>
  <si>
    <t>永矩</t>
  </si>
  <si>
    <t>2-0158</t>
  </si>
  <si>
    <t>2-0094</t>
  </si>
  <si>
    <t>錦有企業</t>
  </si>
  <si>
    <t>2-0163</t>
  </si>
  <si>
    <t>2-0165</t>
  </si>
  <si>
    <t>2-0169</t>
  </si>
  <si>
    <t>2-0164</t>
  </si>
  <si>
    <t>2-0130</t>
  </si>
  <si>
    <t>2-0122</t>
  </si>
  <si>
    <t>2-0081</t>
  </si>
  <si>
    <t>2-0048</t>
  </si>
  <si>
    <t>2-0119</t>
  </si>
  <si>
    <t>668A</t>
  </si>
  <si>
    <t>大順輪胎行</t>
  </si>
  <si>
    <t>829A</t>
  </si>
  <si>
    <t>長泰氣體</t>
  </si>
  <si>
    <t>2-0157</t>
  </si>
  <si>
    <t>2-0067</t>
  </si>
  <si>
    <t>2-0057</t>
  </si>
  <si>
    <t>遠嘉土石</t>
  </si>
  <si>
    <t>弘泰輪胎</t>
  </si>
  <si>
    <t>858A</t>
  </si>
  <si>
    <t>宏毅</t>
  </si>
  <si>
    <t>858B</t>
  </si>
  <si>
    <t>中天</t>
  </si>
  <si>
    <t>858C</t>
  </si>
  <si>
    <t>順業</t>
  </si>
  <si>
    <t>儒鴻(溪州)</t>
  </si>
  <si>
    <t>2-0187</t>
  </si>
  <si>
    <t>2-0186</t>
  </si>
  <si>
    <t>麒駪輪胎行</t>
  </si>
  <si>
    <t>840A</t>
  </si>
  <si>
    <t>泰升</t>
  </si>
  <si>
    <t>2-0095</t>
  </si>
  <si>
    <t>2-0007</t>
  </si>
  <si>
    <t>2-0191</t>
  </si>
  <si>
    <t>吳正楚</t>
  </si>
  <si>
    <t>永德福(嘉義)</t>
  </si>
  <si>
    <t>2-0136</t>
  </si>
  <si>
    <t>2-0064</t>
  </si>
  <si>
    <t>2-0125</t>
  </si>
  <si>
    <t>民抬瀝青</t>
  </si>
  <si>
    <t>建佑輪胎</t>
  </si>
  <si>
    <t>2-0074</t>
  </si>
  <si>
    <t>2-0086</t>
  </si>
  <si>
    <t>2-0049</t>
  </si>
  <si>
    <t>910A</t>
  </si>
  <si>
    <t>正合谷</t>
  </si>
  <si>
    <t>910B</t>
  </si>
  <si>
    <t>令合堂</t>
  </si>
  <si>
    <t>永益鋼圈</t>
  </si>
  <si>
    <t>黃忠慶</t>
  </si>
  <si>
    <t>加和紙業</t>
  </si>
  <si>
    <t>利峻企業</t>
  </si>
  <si>
    <t>麗榮</t>
  </si>
  <si>
    <t>永新慶</t>
  </si>
  <si>
    <t>杰安</t>
  </si>
  <si>
    <t>弘利</t>
  </si>
  <si>
    <t>堅瑞</t>
  </si>
  <si>
    <t>03110522</t>
  </si>
  <si>
    <t>太豐觀光交通有限公司</t>
  </si>
  <si>
    <t>新明營造有限公司</t>
  </si>
  <si>
    <t>840B</t>
  </si>
  <si>
    <t>和沁有限公司</t>
  </si>
  <si>
    <t>914B</t>
  </si>
  <si>
    <t>睿陽</t>
  </si>
  <si>
    <t>全順</t>
  </si>
  <si>
    <t xml:space="preserve"> 巨瑞峰</t>
  </si>
  <si>
    <t>31B</t>
  </si>
  <si>
    <t>上和營造</t>
  </si>
  <si>
    <t>協昇能源</t>
  </si>
  <si>
    <t>碩泰金屬</t>
  </si>
  <si>
    <t>坤誠輪胎行</t>
  </si>
  <si>
    <t>月份</t>
  </si>
  <si>
    <t>總額</t>
  </si>
  <si>
    <t>已申報</t>
  </si>
  <si>
    <t>中興保全</t>
    <phoneticPr fontId="3" type="noConversion"/>
  </si>
  <si>
    <t>23114791</t>
    <phoneticPr fontId="3" type="noConversion"/>
  </si>
  <si>
    <t>401報表</t>
    <phoneticPr fontId="3" type="noConversion"/>
  </si>
  <si>
    <t>736b</t>
    <phoneticPr fontId="3" type="noConversion"/>
  </si>
  <si>
    <t>736a</t>
    <phoneticPr fontId="3" type="noConversion"/>
  </si>
  <si>
    <t>國順新竹廠</t>
    <phoneticPr fontId="3" type="noConversion"/>
  </si>
  <si>
    <t>19200443</t>
    <phoneticPr fontId="3" type="noConversion"/>
  </si>
  <si>
    <t>華聯輪胎</t>
    <phoneticPr fontId="3" type="noConversion"/>
  </si>
  <si>
    <t>銷項稅額</t>
  </si>
  <si>
    <t>進項稅額</t>
  </si>
  <si>
    <t>上期留抵稅額</t>
  </si>
  <si>
    <t>可開總金額</t>
  </si>
  <si>
    <t>16066457</t>
    <phoneticPr fontId="3" type="noConversion"/>
  </si>
  <si>
    <t>長欣通運股份有限公司</t>
    <phoneticPr fontId="3" type="noConversion"/>
  </si>
  <si>
    <t>769A</t>
    <phoneticPr fontId="3" type="noConversion"/>
  </si>
  <si>
    <t>茂森企業社</t>
    <phoneticPr fontId="3" type="noConversion"/>
  </si>
  <si>
    <t>769B</t>
    <phoneticPr fontId="3" type="noConversion"/>
  </si>
  <si>
    <t>茂森企業（股）公司</t>
    <phoneticPr fontId="3" type="noConversion"/>
  </si>
  <si>
    <t>769C</t>
    <phoneticPr fontId="3" type="noConversion"/>
  </si>
  <si>
    <t>富恆企業社</t>
    <phoneticPr fontId="3" type="noConversion"/>
  </si>
  <si>
    <t>青益輪胎行</t>
    <phoneticPr fontId="3" type="noConversion"/>
  </si>
  <si>
    <t>正合谷</t>
    <phoneticPr fontId="3" type="noConversion"/>
  </si>
  <si>
    <t>偉翔</t>
    <phoneticPr fontId="3" type="noConversion"/>
  </si>
  <si>
    <t>永豐噴射器有限公司</t>
    <phoneticPr fontId="3" type="noConversion"/>
  </si>
  <si>
    <t>45118362</t>
    <phoneticPr fontId="3" type="noConversion"/>
  </si>
  <si>
    <t>2-0150</t>
    <phoneticPr fontId="3" type="noConversion"/>
  </si>
  <si>
    <t>有楙輪胎行</t>
    <phoneticPr fontId="3" type="noConversion"/>
  </si>
  <si>
    <t>久立美興業</t>
    <phoneticPr fontId="3" type="noConversion"/>
  </si>
  <si>
    <t>福聖</t>
    <phoneticPr fontId="3" type="noConversion"/>
  </si>
  <si>
    <t>03419401</t>
    <phoneticPr fontId="3" type="noConversion"/>
  </si>
  <si>
    <t>華宮旅行社</t>
    <phoneticPr fontId="3" type="noConversion"/>
  </si>
  <si>
    <t>展曳</t>
    <phoneticPr fontId="3" type="noConversion"/>
  </si>
  <si>
    <t>736A</t>
    <phoneticPr fontId="3" type="noConversion"/>
  </si>
  <si>
    <t>盛鋐交通</t>
    <phoneticPr fontId="3" type="noConversion"/>
  </si>
  <si>
    <t>盛鋐開發</t>
    <phoneticPr fontId="3" type="noConversion"/>
  </si>
  <si>
    <t>736B</t>
    <phoneticPr fontId="3" type="noConversion"/>
  </si>
  <si>
    <t>孫宗祥</t>
    <phoneticPr fontId="3" type="noConversion"/>
  </si>
  <si>
    <t>熊大</t>
    <phoneticPr fontId="3" type="noConversion"/>
  </si>
  <si>
    <t>玉挺</t>
    <phoneticPr fontId="3" type="noConversion"/>
  </si>
  <si>
    <t>天成</t>
    <phoneticPr fontId="3" type="noConversion"/>
  </si>
  <si>
    <t>580-1</t>
    <phoneticPr fontId="3" type="noConversion"/>
  </si>
  <si>
    <r>
      <t>繳稅額</t>
    </r>
    <r>
      <rPr>
        <b/>
        <sz val="12"/>
        <color rgb="FFFF0000"/>
        <rFont val="微軟正黑體"/>
        <family val="2"/>
        <charset val="136"/>
      </rPr>
      <t>(負數不用繳費)</t>
    </r>
    <phoneticPr fontId="3" type="noConversion"/>
  </si>
  <si>
    <t>可開(未稅)總金額</t>
  </si>
  <si>
    <t>中華全佑</t>
    <phoneticPr fontId="3" type="noConversion"/>
  </si>
  <si>
    <t>稅金回推發票總額</t>
  </si>
  <si>
    <t>=稅金/0.05*1.05</t>
  </si>
  <si>
    <t>發票總額回推稅金</t>
  </si>
  <si>
    <t>=發票總額/1.05*0.05</t>
  </si>
  <si>
    <t>發票號碼</t>
    <phoneticPr fontId="3" type="noConversion"/>
  </si>
  <si>
    <t>海晏森工程</t>
    <phoneticPr fontId="3" type="noConversion"/>
  </si>
  <si>
    <t>彰濱預拌凝土</t>
    <phoneticPr fontId="3" type="noConversion"/>
  </si>
  <si>
    <t>54-2</t>
    <phoneticPr fontId="3" type="noConversion"/>
  </si>
  <si>
    <t>54-1</t>
    <phoneticPr fontId="3" type="noConversion"/>
  </si>
  <si>
    <t>宜群</t>
    <phoneticPr fontId="3" type="noConversion"/>
  </si>
  <si>
    <t>祐勝</t>
    <phoneticPr fontId="3" type="noConversion"/>
  </si>
  <si>
    <t>尚泰行</t>
    <phoneticPr fontId="3" type="noConversion"/>
  </si>
  <si>
    <t>威帆</t>
    <phoneticPr fontId="3" type="noConversion"/>
  </si>
  <si>
    <t>永安輪業部</t>
    <phoneticPr fontId="3" type="noConversion"/>
  </si>
  <si>
    <t>港通貨運</t>
    <phoneticPr fontId="3" type="noConversion"/>
  </si>
  <si>
    <t>永承企業社</t>
    <phoneticPr fontId="3" type="noConversion"/>
  </si>
  <si>
    <t>峻鼎建材</t>
    <phoneticPr fontId="3" type="noConversion"/>
  </si>
  <si>
    <t>核對人1</t>
    <phoneticPr fontId="3" type="noConversion"/>
  </si>
  <si>
    <t>核對人2</t>
    <phoneticPr fontId="3" type="noConversion"/>
  </si>
  <si>
    <t>核對人3</t>
    <phoneticPr fontId="3" type="noConversion"/>
  </si>
  <si>
    <t>核對人1</t>
    <phoneticPr fontId="3" type="noConversion"/>
  </si>
  <si>
    <t>核對人2</t>
    <phoneticPr fontId="3" type="noConversion"/>
  </si>
  <si>
    <t>核對人1</t>
    <phoneticPr fontId="15" type="noConversion"/>
  </si>
  <si>
    <t>核對人3</t>
    <phoneticPr fontId="15" type="noConversion"/>
  </si>
  <si>
    <t>核對人2</t>
    <phoneticPr fontId="15" type="noConversion"/>
  </si>
  <si>
    <t>核對人1</t>
    <phoneticPr fontId="3" type="noConversion"/>
  </si>
  <si>
    <t>核對人2</t>
    <phoneticPr fontId="3" type="noConversion"/>
  </si>
  <si>
    <t>核對人3</t>
    <phoneticPr fontId="3" type="noConversion"/>
  </si>
  <si>
    <t>核對人2</t>
    <phoneticPr fontId="3" type="noConversion"/>
  </si>
  <si>
    <t>核對人1</t>
    <phoneticPr fontId="3" type="noConversion"/>
  </si>
  <si>
    <t>核對人2</t>
    <phoneticPr fontId="3" type="noConversion"/>
  </si>
  <si>
    <t>核對人3</t>
    <phoneticPr fontId="3" type="noConversion"/>
  </si>
  <si>
    <t>源隆</t>
    <phoneticPr fontId="3" type="noConversion"/>
  </si>
  <si>
    <t>兆銳塑膠</t>
    <phoneticPr fontId="3" type="noConversion"/>
  </si>
  <si>
    <t>全立輪胎</t>
    <phoneticPr fontId="3" type="noConversion"/>
  </si>
  <si>
    <t>順通輪胎</t>
    <phoneticPr fontId="3" type="noConversion"/>
  </si>
  <si>
    <t>核對人1</t>
  </si>
  <si>
    <t>核對人2</t>
  </si>
  <si>
    <t>核對人3</t>
  </si>
  <si>
    <t>耐吉</t>
    <phoneticPr fontId="3" type="noConversion"/>
  </si>
  <si>
    <t>840C</t>
    <phoneticPr fontId="3" type="noConversion"/>
  </si>
  <si>
    <t>麒融</t>
    <phoneticPr fontId="3" type="noConversion"/>
  </si>
  <si>
    <t>林祐竹</t>
    <phoneticPr fontId="3" type="noConversion"/>
  </si>
  <si>
    <t>12749608</t>
    <phoneticPr fontId="3" type="noConversion"/>
  </si>
  <si>
    <t>上和建材</t>
    <phoneticPr fontId="3" type="noConversion"/>
  </si>
  <si>
    <t>元賀交通</t>
    <phoneticPr fontId="3" type="noConversion"/>
  </si>
  <si>
    <t>國順竹南</t>
    <phoneticPr fontId="3" type="noConversion"/>
  </si>
  <si>
    <t>625-2</t>
    <phoneticPr fontId="3" type="noConversion"/>
  </si>
  <si>
    <t>625-1</t>
    <phoneticPr fontId="3" type="noConversion"/>
  </si>
  <si>
    <t>永矩(小貨車)竹南</t>
    <phoneticPr fontId="3" type="noConversion"/>
  </si>
  <si>
    <t>通展</t>
    <phoneticPr fontId="3" type="noConversion"/>
  </si>
  <si>
    <t>政安</t>
    <phoneticPr fontId="3" type="noConversion"/>
  </si>
  <si>
    <t>629-2</t>
    <phoneticPr fontId="3" type="noConversion"/>
  </si>
  <si>
    <t>付款方式</t>
    <phoneticPr fontId="3" type="noConversion"/>
  </si>
  <si>
    <t>信用卡卡號</t>
    <phoneticPr fontId="3" type="noConversion"/>
  </si>
  <si>
    <t>刷卡</t>
    <phoneticPr fontId="3" type="noConversion"/>
  </si>
  <si>
    <t>收現</t>
    <phoneticPr fontId="3" type="noConversion"/>
  </si>
  <si>
    <t>匯款</t>
    <phoneticPr fontId="3" type="noConversion"/>
  </si>
  <si>
    <t>支票</t>
    <phoneticPr fontId="3" type="noConversion"/>
  </si>
  <si>
    <t>83-1</t>
    <phoneticPr fontId="3" type="noConversion"/>
  </si>
  <si>
    <t>東昇輪胎</t>
    <phoneticPr fontId="3" type="noConversion"/>
  </si>
  <si>
    <t>629-3</t>
  </si>
  <si>
    <t>盛鋐</t>
    <phoneticPr fontId="3" type="noConversion"/>
  </si>
  <si>
    <t>國順苗栗</t>
    <phoneticPr fontId="3" type="noConversion"/>
  </si>
  <si>
    <t>付款方式</t>
  </si>
  <si>
    <t>信用卡卡號</t>
  </si>
  <si>
    <t>ZY23047000</t>
    <phoneticPr fontId="3" type="noConversion"/>
  </si>
  <si>
    <t>ZY23047001</t>
  </si>
  <si>
    <t>ZY23047002</t>
  </si>
  <si>
    <t>ZY23047003</t>
  </si>
  <si>
    <t>ZY23047004</t>
  </si>
  <si>
    <t>ZY23047005</t>
  </si>
  <si>
    <t>ZY23047006</t>
  </si>
  <si>
    <t>ZY23047007</t>
  </si>
  <si>
    <t>ZY23047008</t>
  </si>
  <si>
    <t>ZY23047009</t>
  </si>
  <si>
    <t>ZY23047010</t>
  </si>
  <si>
    <t>ZY23047011</t>
  </si>
  <si>
    <t>ZY23047012</t>
  </si>
  <si>
    <t>ZY23047013</t>
  </si>
  <si>
    <t>ZY23047014</t>
  </si>
  <si>
    <t>ZY23047015</t>
  </si>
  <si>
    <t>ZY23047016</t>
  </si>
  <si>
    <t>ZY23047017</t>
  </si>
  <si>
    <t>ZY23047018</t>
  </si>
  <si>
    <t>ZY23047019</t>
  </si>
  <si>
    <t>ZY23047020</t>
  </si>
  <si>
    <t>ZY23047021</t>
  </si>
  <si>
    <t>ZY23047022</t>
  </si>
  <si>
    <t>ZY23047023</t>
  </si>
  <si>
    <t>ZY23047024</t>
  </si>
  <si>
    <t>ZY23047025</t>
  </si>
  <si>
    <t>ZY23047026</t>
  </si>
  <si>
    <t>ZY23047027</t>
  </si>
  <si>
    <t>ZY23047028</t>
  </si>
  <si>
    <t>ZY23047029</t>
  </si>
  <si>
    <t>ZY23047030</t>
  </si>
  <si>
    <t>ZY23047031</t>
  </si>
  <si>
    <t>ZY23047032</t>
  </si>
  <si>
    <t>ZY23047033</t>
  </si>
  <si>
    <t>ZY23047034</t>
  </si>
  <si>
    <t>ZY23047035</t>
  </si>
  <si>
    <t>ZY23047036</t>
  </si>
  <si>
    <t>ZY23047037</t>
  </si>
  <si>
    <t>ZY23047038</t>
  </si>
  <si>
    <t>ZY23047039</t>
  </si>
  <si>
    <t>ZY23047040</t>
  </si>
  <si>
    <t>ZY23047041</t>
  </si>
  <si>
    <t>ZY23047042</t>
  </si>
  <si>
    <t>ZY23047043</t>
  </si>
  <si>
    <t>ZY23047044</t>
  </si>
  <si>
    <t>ZY23047045</t>
  </si>
  <si>
    <t>ZY23047046</t>
  </si>
  <si>
    <t>ZY23047047</t>
  </si>
  <si>
    <t>ZY23047048</t>
  </si>
  <si>
    <t>ZY23047049</t>
  </si>
  <si>
    <t>ZY23047050</t>
  </si>
  <si>
    <t>ZY23047051</t>
  </si>
  <si>
    <t>ZY23047052</t>
  </si>
  <si>
    <t>ZY23047053</t>
  </si>
  <si>
    <t>ZY23047054</t>
  </si>
  <si>
    <t>ZY23047055</t>
  </si>
  <si>
    <t>ZY23047056</t>
  </si>
  <si>
    <t>ZY23047057</t>
  </si>
  <si>
    <t>ZY23047058</t>
  </si>
  <si>
    <t>ZY23047059</t>
  </si>
  <si>
    <t>ZY23047060</t>
  </si>
  <si>
    <t>ZY23047061</t>
  </si>
  <si>
    <t>ZY23047062</t>
  </si>
  <si>
    <t>ZY23047063</t>
  </si>
  <si>
    <t>ZY23047064</t>
  </si>
  <si>
    <t>ZY23047065</t>
  </si>
  <si>
    <t>ZY23047066</t>
  </si>
  <si>
    <t>ZY23047067</t>
  </si>
  <si>
    <t>ZY23047068</t>
  </si>
  <si>
    <t>ZY23047069</t>
  </si>
  <si>
    <t>ZY23047070</t>
  </si>
  <si>
    <t>ZY23047071</t>
  </si>
  <si>
    <t>ZY23047072</t>
  </si>
  <si>
    <t>ZY23047073</t>
  </si>
  <si>
    <t>ZY23047074</t>
  </si>
  <si>
    <t>ZY23047075</t>
  </si>
  <si>
    <t>ZY23047076</t>
  </si>
  <si>
    <t>ZY23047077</t>
  </si>
  <si>
    <t>ZY23047078</t>
  </si>
  <si>
    <t>ZY23047079</t>
  </si>
  <si>
    <t>ZY23047080</t>
  </si>
  <si>
    <t>ZY23047081</t>
  </si>
  <si>
    <t>ZY23047082</t>
  </si>
  <si>
    <t>ZY23047083</t>
  </si>
  <si>
    <t>ZY23047084</t>
  </si>
  <si>
    <t>ZY23047085</t>
  </si>
  <si>
    <t>ZY23047086</t>
  </si>
  <si>
    <t>ZY23047087</t>
  </si>
  <si>
    <t>ZY23047088</t>
  </si>
  <si>
    <t>ZY23047089</t>
  </si>
  <si>
    <t>ZY23047090</t>
  </si>
  <si>
    <t>ZY23047091</t>
  </si>
  <si>
    <t>ZY23047092</t>
  </si>
  <si>
    <t>ZY23047093</t>
  </si>
  <si>
    <t>ZY23047094</t>
  </si>
  <si>
    <t>ZY23047095</t>
  </si>
  <si>
    <t>ZY23047096</t>
  </si>
  <si>
    <t>ZY23047097</t>
  </si>
  <si>
    <t>ZY23047098</t>
  </si>
  <si>
    <t>ZY23047099</t>
  </si>
  <si>
    <t>ZY23047100</t>
  </si>
  <si>
    <t>ZY23047101</t>
  </si>
  <si>
    <t>ZY23047102</t>
  </si>
  <si>
    <t>ZY23047103</t>
  </si>
  <si>
    <t>ZY23047104</t>
  </si>
  <si>
    <t>ZY23047105</t>
  </si>
  <si>
    <t>ZY23047106</t>
  </si>
  <si>
    <t>ZY23047107</t>
  </si>
  <si>
    <t>ZY23047108</t>
  </si>
  <si>
    <t>ZY23047109</t>
  </si>
  <si>
    <t>ZY23047110</t>
  </si>
  <si>
    <t>ZY23047111</t>
  </si>
  <si>
    <t>ZY23047112</t>
  </si>
  <si>
    <t>ZY23047113</t>
  </si>
  <si>
    <t>ZY23047114</t>
  </si>
  <si>
    <t>ZY23047115</t>
  </si>
  <si>
    <t>ZY23047116</t>
  </si>
  <si>
    <t>ZY23047117</t>
  </si>
  <si>
    <t>ZY23047118</t>
  </si>
  <si>
    <t>ZY23047119</t>
  </si>
  <si>
    <t>ZY23047120</t>
  </si>
  <si>
    <t>ZY23047121</t>
  </si>
  <si>
    <t>ZY23047122</t>
  </si>
  <si>
    <t>ZY23047123</t>
  </si>
  <si>
    <t>ZY23047124</t>
  </si>
  <si>
    <t>ZY23047125</t>
  </si>
  <si>
    <t>ZY23047126</t>
  </si>
  <si>
    <t>ZY23047127</t>
  </si>
  <si>
    <t>ZY23047128</t>
  </si>
  <si>
    <t>ZY23047129</t>
  </si>
  <si>
    <t>ZY23047130</t>
  </si>
  <si>
    <t>ZY23047131</t>
  </si>
  <si>
    <t>ZY23047132</t>
  </si>
  <si>
    <t>ZY23047133</t>
  </si>
  <si>
    <t>ZY23047134</t>
  </si>
  <si>
    <t>ZY23047135</t>
  </si>
  <si>
    <t>ZY23047136</t>
  </si>
  <si>
    <t>ZY23047137</t>
  </si>
  <si>
    <t>ZY23047138</t>
  </si>
  <si>
    <t>ZY23047139</t>
  </si>
  <si>
    <t>ZY23047140</t>
  </si>
  <si>
    <t>ZY23047141</t>
  </si>
  <si>
    <t>ZY23047142</t>
  </si>
  <si>
    <t>ZY23047143</t>
  </si>
  <si>
    <t>ZY23047144</t>
  </si>
  <si>
    <t>ZY23047145</t>
  </si>
  <si>
    <t>ZY23047146</t>
  </si>
  <si>
    <t>ZY23047147</t>
  </si>
  <si>
    <t>ZY23047148</t>
  </si>
  <si>
    <t>ZY23047149</t>
  </si>
  <si>
    <t>ZY23047150</t>
  </si>
  <si>
    <t>ZY23047151</t>
  </si>
  <si>
    <t>ZY23047152</t>
  </si>
  <si>
    <t>ZY23047153</t>
  </si>
  <si>
    <t>ZY23047154</t>
  </si>
  <si>
    <t>ZY23047155</t>
  </si>
  <si>
    <t>ZY23047156</t>
  </si>
  <si>
    <t>ZY23047157</t>
  </si>
  <si>
    <t>ZY23047158</t>
  </si>
  <si>
    <t>ZY23047159</t>
  </si>
  <si>
    <t>ZY23047160</t>
  </si>
  <si>
    <t>ZY23047161</t>
  </si>
  <si>
    <t>ZY23047162</t>
  </si>
  <si>
    <t>ZY23047163</t>
  </si>
  <si>
    <t>ZY23047164</t>
  </si>
  <si>
    <t>ZY23047165</t>
  </si>
  <si>
    <t>ZY23047166</t>
  </si>
  <si>
    <t>ZY23047167</t>
  </si>
  <si>
    <t>ZY23047168</t>
  </si>
  <si>
    <t>ZY23047169</t>
  </si>
  <si>
    <t>ZY23047170</t>
  </si>
  <si>
    <t>ZY23047171</t>
  </si>
  <si>
    <t>ZY23047172</t>
  </si>
  <si>
    <t>ZY23047173</t>
  </si>
  <si>
    <t>ZY23047174</t>
  </si>
  <si>
    <t>ZY23047175</t>
  </si>
  <si>
    <t>ZY23047176</t>
  </si>
  <si>
    <t>ZY23047177</t>
  </si>
  <si>
    <t>ZY23047178</t>
  </si>
  <si>
    <t>ZY23047179</t>
  </si>
  <si>
    <t>ZY23047180</t>
  </si>
  <si>
    <t>ZY23047181</t>
  </si>
  <si>
    <t>ZY23047182</t>
  </si>
  <si>
    <t>ZY23047183</t>
  </si>
  <si>
    <t>ZY23047184</t>
  </si>
  <si>
    <t>ZY23047185</t>
  </si>
  <si>
    <t>ZY23047186</t>
  </si>
  <si>
    <t>ZY23047187</t>
  </si>
  <si>
    <t>ZY23047188</t>
  </si>
  <si>
    <t>ZY23047189</t>
  </si>
  <si>
    <t>ZY23047190</t>
  </si>
  <si>
    <t>ZY23047191</t>
  </si>
  <si>
    <t>ZY23047192</t>
  </si>
  <si>
    <t>ZY23047193</t>
  </si>
  <si>
    <t>ZY23047194</t>
  </si>
  <si>
    <t>ZY23047195</t>
  </si>
  <si>
    <t>ZY23047196</t>
  </si>
  <si>
    <t>ZY23047197</t>
  </si>
  <si>
    <t>ZY23047198</t>
  </si>
  <si>
    <t>ZY23047199</t>
  </si>
  <si>
    <t>ZY23047200</t>
  </si>
  <si>
    <t>ZY23047201</t>
  </si>
  <si>
    <t>ZY23047202</t>
  </si>
  <si>
    <t>ZY23047203</t>
  </si>
  <si>
    <t>ZY23047204</t>
  </si>
  <si>
    <t>ZY23047205</t>
  </si>
  <si>
    <t>ZY23047206</t>
  </si>
  <si>
    <t>ZY23047207</t>
  </si>
  <si>
    <t>ZY23047208</t>
  </si>
  <si>
    <t>ZY23047209</t>
  </si>
  <si>
    <t>ZY23047210</t>
  </si>
  <si>
    <t>ZY23047211</t>
  </si>
  <si>
    <t>ZY23047212</t>
  </si>
  <si>
    <t>ZY23047213</t>
  </si>
  <si>
    <t>ZY23047214</t>
  </si>
  <si>
    <t>ZY23047215</t>
  </si>
  <si>
    <t>ZY23047216</t>
  </si>
  <si>
    <t>ZY23047217</t>
  </si>
  <si>
    <t>ZY23047218</t>
  </si>
  <si>
    <t>ZY23047219</t>
  </si>
  <si>
    <t>ZY23047220</t>
  </si>
  <si>
    <t>ZY23047221</t>
  </si>
  <si>
    <t>ZY23047222</t>
  </si>
  <si>
    <t>ZY23047223</t>
  </si>
  <si>
    <t>ZY23047224</t>
  </si>
  <si>
    <t>ZY23047225</t>
  </si>
  <si>
    <t>ZY23047226</t>
  </si>
  <si>
    <t>ZY23047227</t>
  </si>
  <si>
    <t>ZY23047228</t>
  </si>
  <si>
    <t>ZY23047229</t>
  </si>
  <si>
    <t>ZY23047230</t>
  </si>
  <si>
    <t>ZY23047231</t>
  </si>
  <si>
    <t>ZY23047232</t>
  </si>
  <si>
    <t>ZY23047233</t>
  </si>
  <si>
    <t>ZY23047234</t>
  </si>
  <si>
    <t>ZY23047235</t>
  </si>
  <si>
    <t>ZY23047236</t>
  </si>
  <si>
    <t>ZY23047237</t>
  </si>
  <si>
    <t>ZY23047238</t>
  </si>
  <si>
    <t>ZY23047239</t>
  </si>
  <si>
    <t>ZY23047240</t>
  </si>
  <si>
    <t>ZY23047241</t>
  </si>
  <si>
    <t>ZY23047242</t>
  </si>
  <si>
    <t>ZY23047243</t>
  </si>
  <si>
    <t>ZY23047244</t>
  </si>
  <si>
    <t>ZY23047245</t>
  </si>
  <si>
    <t>ZY23047246</t>
  </si>
  <si>
    <t>ZY23047247</t>
  </si>
  <si>
    <t>ZY23047248</t>
  </si>
  <si>
    <t>ZY23047249</t>
  </si>
  <si>
    <t>ZY23047250</t>
    <phoneticPr fontId="3" type="noConversion"/>
  </si>
  <si>
    <t>ZY23047251</t>
  </si>
  <si>
    <t>ZY23047252</t>
  </si>
  <si>
    <t>ZY23047253</t>
  </si>
  <si>
    <t>ZY23047254</t>
  </si>
  <si>
    <t>ZY23047255</t>
  </si>
  <si>
    <t>ZY23047256</t>
  </si>
  <si>
    <t>ZY23047257</t>
  </si>
  <si>
    <t>ZY23047258</t>
  </si>
  <si>
    <t>ZY23047259</t>
  </si>
  <si>
    <t>ZY23047260</t>
  </si>
  <si>
    <t>ZY23047261</t>
  </si>
  <si>
    <t>ZY23047262</t>
  </si>
  <si>
    <t>ZY23047263</t>
  </si>
  <si>
    <t>ZY23047264</t>
  </si>
  <si>
    <t>ZY23047265</t>
  </si>
  <si>
    <t>ZY23047266</t>
  </si>
  <si>
    <t>ZY23047267</t>
  </si>
  <si>
    <t>ZY23047268</t>
  </si>
  <si>
    <t>ZY23047269</t>
  </si>
  <si>
    <t>ZY23047270</t>
  </si>
  <si>
    <t>ZY23047271</t>
  </si>
  <si>
    <t>ZY23047272</t>
  </si>
  <si>
    <t>ZY23047273</t>
  </si>
  <si>
    <t>ZY23047274</t>
  </si>
  <si>
    <t>ZY23047275</t>
  </si>
  <si>
    <t>ZY23047276</t>
  </si>
  <si>
    <t>ZY23047277</t>
  </si>
  <si>
    <t>ZY23047278</t>
  </si>
  <si>
    <t>ZY23047279</t>
  </si>
  <si>
    <t>ZY23047280</t>
  </si>
  <si>
    <t>ZY23047281</t>
  </si>
  <si>
    <t>ZY23047282</t>
  </si>
  <si>
    <t>ZY23047283</t>
  </si>
  <si>
    <t>ZY23047284</t>
  </si>
  <si>
    <t>ZY23047285</t>
  </si>
  <si>
    <t>ZY23047286</t>
  </si>
  <si>
    <t>ZY23047287</t>
  </si>
  <si>
    <t>ZY23047288</t>
  </si>
  <si>
    <t>ZY23047289</t>
  </si>
  <si>
    <t>ZY23047290</t>
  </si>
  <si>
    <t>ZY23047291</t>
  </si>
  <si>
    <t>ZY23047292</t>
  </si>
  <si>
    <t>ZY23047293</t>
  </si>
  <si>
    <t>ZY23047294</t>
  </si>
  <si>
    <t>ZY23047295</t>
  </si>
  <si>
    <t>ZY23047296</t>
  </si>
  <si>
    <t>ZY23047297</t>
  </si>
  <si>
    <t>ZY23047298</t>
  </si>
  <si>
    <t>ZY23047299</t>
  </si>
  <si>
    <t>ZY23047300</t>
  </si>
  <si>
    <t>ZY23047301</t>
  </si>
  <si>
    <t>ZY23047302</t>
  </si>
  <si>
    <t>ZY23047303</t>
  </si>
  <si>
    <t>ZY23047304</t>
  </si>
  <si>
    <t>ZY23047305</t>
  </si>
  <si>
    <t>ZY23047306</t>
  </si>
  <si>
    <t>ZY23047307</t>
  </si>
  <si>
    <t>ZY23047308</t>
  </si>
  <si>
    <t>ZY23047309</t>
  </si>
  <si>
    <t>ZY23047310</t>
  </si>
  <si>
    <t>ZY23047311</t>
  </si>
  <si>
    <t>ZY23047312</t>
  </si>
  <si>
    <t>ZY23047313</t>
  </si>
  <si>
    <t>ZY23047314</t>
  </si>
  <si>
    <t>ZY23047315</t>
  </si>
  <si>
    <t>ZY23047316</t>
  </si>
  <si>
    <t>ZY23047317</t>
  </si>
  <si>
    <t>ZY23047319</t>
  </si>
  <si>
    <t>ZY23047320</t>
  </si>
  <si>
    <t>ZY23047321</t>
  </si>
  <si>
    <t>ZY23047322</t>
  </si>
  <si>
    <t>ZY23047323</t>
  </si>
  <si>
    <t>ZY23047324</t>
  </si>
  <si>
    <t>ZY23047325</t>
  </si>
  <si>
    <t>ZY23047326</t>
  </si>
  <si>
    <t>ZY23047327</t>
  </si>
  <si>
    <t>ZY23047328</t>
  </si>
  <si>
    <t>ZY23047329</t>
  </si>
  <si>
    <t>ZY23047330</t>
  </si>
  <si>
    <t>ZY23047331</t>
  </si>
  <si>
    <t>ZY23047332</t>
  </si>
  <si>
    <t>ZY23047333</t>
  </si>
  <si>
    <t>ZY23047334</t>
  </si>
  <si>
    <t>ZY23047335</t>
  </si>
  <si>
    <t>ZY23047336</t>
  </si>
  <si>
    <t>ZY23047337</t>
  </si>
  <si>
    <t>ZY23047338</t>
  </si>
  <si>
    <t>ZY23047339</t>
  </si>
  <si>
    <t>ZY23047340</t>
  </si>
  <si>
    <t>ZY23047341</t>
  </si>
  <si>
    <t>ZY23047342</t>
  </si>
  <si>
    <t>ZY23047343</t>
  </si>
  <si>
    <t>ZY23047344</t>
  </si>
  <si>
    <t>ZY23047345</t>
  </si>
  <si>
    <t>ZY23047346</t>
  </si>
  <si>
    <t>ZY23047347</t>
  </si>
  <si>
    <t>ZY23047348</t>
  </si>
  <si>
    <t>ZY23047349</t>
  </si>
  <si>
    <t>ZY23047350</t>
  </si>
  <si>
    <t>ZY23047351</t>
  </si>
  <si>
    <t>ZY23047352</t>
  </si>
  <si>
    <t>ZY23047353</t>
  </si>
  <si>
    <t>ZY23047354</t>
  </si>
  <si>
    <t>ZY23047355</t>
  </si>
  <si>
    <t>ZY23047356</t>
  </si>
  <si>
    <t>ZY23047357</t>
  </si>
  <si>
    <t>ZY23047358</t>
  </si>
  <si>
    <t>ZY23047359</t>
  </si>
  <si>
    <t>ZY23047360</t>
  </si>
  <si>
    <t>ZY23047361</t>
  </si>
  <si>
    <t>ZY23047362</t>
  </si>
  <si>
    <t>ZY23047363</t>
  </si>
  <si>
    <t>ZY23047364</t>
  </si>
  <si>
    <t>ZY23047365</t>
  </si>
  <si>
    <t>ZY23047366</t>
  </si>
  <si>
    <t>ZY23047367</t>
  </si>
  <si>
    <t>ZY23047368</t>
  </si>
  <si>
    <t>ZY23047369</t>
  </si>
  <si>
    <t>ZY23047370</t>
  </si>
  <si>
    <t>ZY23047371</t>
  </si>
  <si>
    <t>ZY23047372</t>
  </si>
  <si>
    <t>ZY23047373</t>
  </si>
  <si>
    <t>ZY23047374</t>
  </si>
  <si>
    <t>ZY23047375</t>
  </si>
  <si>
    <t>ZY23047376</t>
  </si>
  <si>
    <t>ZY23047377</t>
  </si>
  <si>
    <t>ZY23047378</t>
  </si>
  <si>
    <t>ZY23047379</t>
  </si>
  <si>
    <t>ZY23047380</t>
  </si>
  <si>
    <t>ZY23047381</t>
  </si>
  <si>
    <t>ZY23047382</t>
  </si>
  <si>
    <t>ZY23047383</t>
  </si>
  <si>
    <t>ZY23047384</t>
  </si>
  <si>
    <t>ZY23047385</t>
  </si>
  <si>
    <t>ZY23047386</t>
  </si>
  <si>
    <t>ZY23047387</t>
  </si>
  <si>
    <t>ZY23047388</t>
  </si>
  <si>
    <t>ZY23047389</t>
  </si>
  <si>
    <t>ZY23047390</t>
  </si>
  <si>
    <t>ZY23047391</t>
  </si>
  <si>
    <t>ZY23047392</t>
  </si>
  <si>
    <t>ZY23047393</t>
  </si>
  <si>
    <t>ZY23047394</t>
  </si>
  <si>
    <t>ZY23047395</t>
  </si>
  <si>
    <t>ZY23047396</t>
  </si>
  <si>
    <t>ZY23047397</t>
  </si>
  <si>
    <t>ZY23047398</t>
  </si>
  <si>
    <t>ZY23047399</t>
  </si>
  <si>
    <t>ZY23047400</t>
  </si>
  <si>
    <t>ZY23047401</t>
  </si>
  <si>
    <t>ZY23047402</t>
  </si>
  <si>
    <t>ZY23047403</t>
  </si>
  <si>
    <t>ZY23047404</t>
  </si>
  <si>
    <t>ZY23047405</t>
  </si>
  <si>
    <t>ZY23047406</t>
  </si>
  <si>
    <t>ZY23047407</t>
  </si>
  <si>
    <t>ZY23047408</t>
  </si>
  <si>
    <t>ZY23047409</t>
  </si>
  <si>
    <t>ZY23047410</t>
  </si>
  <si>
    <t>ZY23047411</t>
  </si>
  <si>
    <t>ZY23047412</t>
  </si>
  <si>
    <t>ZY23047413</t>
  </si>
  <si>
    <t>ZY23047414</t>
  </si>
  <si>
    <t>ZY23047415</t>
  </si>
  <si>
    <t>ZY23047416</t>
  </si>
  <si>
    <t>ZY23047417</t>
  </si>
  <si>
    <t>ZY23047418</t>
  </si>
  <si>
    <t>ZY23047419</t>
  </si>
  <si>
    <t>ZY23047420</t>
  </si>
  <si>
    <t>ZY23047421</t>
  </si>
  <si>
    <t>ZY23047422</t>
  </si>
  <si>
    <t>ZY23047423</t>
  </si>
  <si>
    <t>ZY23047424</t>
  </si>
  <si>
    <t>ZY23047425</t>
  </si>
  <si>
    <t>ZY23047426</t>
  </si>
  <si>
    <t>ZY23047427</t>
  </si>
  <si>
    <t>ZY23047428</t>
  </si>
  <si>
    <t>ZY23047429</t>
  </si>
  <si>
    <t>ZY23047430</t>
  </si>
  <si>
    <t>ZY23047431</t>
  </si>
  <si>
    <t>ZY23047432</t>
  </si>
  <si>
    <t>ZY23047433</t>
  </si>
  <si>
    <t>ZY23047434</t>
  </si>
  <si>
    <t>ZY23047435</t>
  </si>
  <si>
    <t>ZY23047436</t>
  </si>
  <si>
    <t>ZY23047437</t>
  </si>
  <si>
    <t>ZY23047438</t>
  </si>
  <si>
    <t>ZY23047439</t>
  </si>
  <si>
    <t>ZY23047440</t>
  </si>
  <si>
    <t>ZY23047441</t>
  </si>
  <si>
    <t>ZY23047442</t>
  </si>
  <si>
    <t>ZY23047443</t>
  </si>
  <si>
    <t>ZY23047444</t>
  </si>
  <si>
    <t>ZY23047445</t>
  </si>
  <si>
    <t>ZY23047446</t>
  </si>
  <si>
    <t>ZY23047447</t>
  </si>
  <si>
    <t>ZY23047448</t>
  </si>
  <si>
    <t>ZY23047449</t>
  </si>
  <si>
    <t>ZY23047450</t>
  </si>
  <si>
    <t>ZY23047451</t>
  </si>
  <si>
    <t>ZY23047452</t>
  </si>
  <si>
    <t>ZY23047453</t>
  </si>
  <si>
    <t>ZY23047454</t>
  </si>
  <si>
    <t>ZY23047455</t>
  </si>
  <si>
    <t>ZY23047456</t>
  </si>
  <si>
    <t>ZY23047457</t>
  </si>
  <si>
    <t>ZY23047458</t>
  </si>
  <si>
    <t>ZY23047459</t>
  </si>
  <si>
    <t>ZY23047460</t>
  </si>
  <si>
    <t>ZY23047461</t>
  </si>
  <si>
    <t>ZY23047462</t>
  </si>
  <si>
    <t>ZY23047463</t>
  </si>
  <si>
    <t>ZY23047464</t>
  </si>
  <si>
    <t>ZY23047465</t>
  </si>
  <si>
    <t>ZY23047466</t>
  </si>
  <si>
    <t>ZY23047467</t>
  </si>
  <si>
    <t>ZY23047468</t>
  </si>
  <si>
    <t>ZY23047469</t>
  </si>
  <si>
    <t>ZY23047470</t>
  </si>
  <si>
    <t>ZY23047471</t>
  </si>
  <si>
    <t>ZY23047472</t>
  </si>
  <si>
    <t>ZY23047473</t>
  </si>
  <si>
    <t>ZY23047474</t>
  </si>
  <si>
    <t>ZY23047475</t>
  </si>
  <si>
    <t>ZY23047476</t>
  </si>
  <si>
    <t>ZY23047477</t>
  </si>
  <si>
    <t>ZY23047478</t>
  </si>
  <si>
    <t>ZY23047479</t>
  </si>
  <si>
    <t>ZY23047480</t>
  </si>
  <si>
    <t>ZY23047481</t>
  </si>
  <si>
    <t>ZY23047482</t>
  </si>
  <si>
    <t>ZY23047483</t>
  </si>
  <si>
    <t>ZY23047484</t>
  </si>
  <si>
    <t>ZY23047485</t>
  </si>
  <si>
    <t>ZY23047486</t>
  </si>
  <si>
    <t>ZY23047487</t>
  </si>
  <si>
    <t>ZY23047488</t>
  </si>
  <si>
    <t>ZY23047489</t>
  </si>
  <si>
    <t>ZY23047490</t>
  </si>
  <si>
    <t>ZY23047491</t>
  </si>
  <si>
    <t>ZY23047492</t>
  </si>
  <si>
    <t>ZY23047493</t>
  </si>
  <si>
    <t>ZY23047494</t>
  </si>
  <si>
    <t>ZY23047495</t>
  </si>
  <si>
    <t>ZY23047496</t>
  </si>
  <si>
    <t>ZY23047497</t>
  </si>
  <si>
    <t>ZY23047498</t>
  </si>
  <si>
    <t>ZY23047499</t>
  </si>
  <si>
    <t>ZX57093950</t>
  </si>
  <si>
    <t>ZX57093951</t>
  </si>
  <si>
    <t>ZX57093952</t>
  </si>
  <si>
    <t>ZX57093953</t>
  </si>
  <si>
    <t>ZX57093954</t>
  </si>
  <si>
    <t>ZX57093955</t>
  </si>
  <si>
    <t>ZX57093956</t>
  </si>
  <si>
    <t>ZX57093957</t>
  </si>
  <si>
    <t>ZX57093958</t>
  </si>
  <si>
    <t>ZX57093959</t>
  </si>
  <si>
    <t>ZX57093960</t>
  </si>
  <si>
    <t>ZX57093961</t>
  </si>
  <si>
    <t>ZX57093962</t>
  </si>
  <si>
    <t>ZX57093963</t>
  </si>
  <si>
    <t>ZX57093964</t>
  </si>
  <si>
    <t>ZX57093965</t>
  </si>
  <si>
    <t>ZX57093966</t>
  </si>
  <si>
    <t>ZX57093967</t>
  </si>
  <si>
    <t>ZX57093968</t>
  </si>
  <si>
    <t>ZX57093969</t>
  </si>
  <si>
    <t>ZX57093971</t>
  </si>
  <si>
    <t>ZX57093972</t>
  </si>
  <si>
    <t>ZX57093973</t>
  </si>
  <si>
    <t>ZX57093974</t>
  </si>
  <si>
    <t>ZX57093975</t>
  </si>
  <si>
    <t>ZX57093976</t>
  </si>
  <si>
    <t>ZX57093977</t>
  </si>
  <si>
    <t>ZX57093978</t>
  </si>
  <si>
    <t>ZX57093979</t>
  </si>
  <si>
    <t>ZX57093980</t>
  </si>
  <si>
    <t>ZX57093981</t>
  </si>
  <si>
    <t>ZX57093982</t>
  </si>
  <si>
    <t>ZX57093983</t>
  </si>
  <si>
    <t>ZX57093984</t>
  </si>
  <si>
    <t>ZX57093985</t>
  </si>
  <si>
    <t>ZX57093986</t>
  </si>
  <si>
    <t>ZX57093987</t>
  </si>
  <si>
    <t>ZX57093988</t>
  </si>
  <si>
    <t>ZX57093989</t>
  </si>
  <si>
    <t>ZX57093990</t>
  </si>
  <si>
    <t>ZX57093991</t>
  </si>
  <si>
    <t>ZX57093992</t>
  </si>
  <si>
    <t>ZX57093993</t>
  </si>
  <si>
    <t>ZX57093994</t>
  </si>
  <si>
    <t>ZX57093995</t>
  </si>
  <si>
    <t>ZX57093996</t>
  </si>
  <si>
    <t>ZX57093997</t>
  </si>
  <si>
    <t>ZX57093998</t>
  </si>
  <si>
    <t>ZX57093999</t>
  </si>
  <si>
    <t>ZX57093900</t>
    <phoneticPr fontId="3" type="noConversion"/>
  </si>
  <si>
    <t>ZX57093901</t>
  </si>
  <si>
    <t>ZX57093902</t>
  </si>
  <si>
    <t>ZX57093903</t>
  </si>
  <si>
    <t>ZX57093904</t>
  </si>
  <si>
    <t>ZX57093905</t>
  </si>
  <si>
    <t>ZX57093906</t>
  </si>
  <si>
    <t>ZX57093907</t>
  </si>
  <si>
    <t>ZX57093908</t>
  </si>
  <si>
    <t>ZX57093909</t>
  </si>
  <si>
    <t>ZX57093910</t>
  </si>
  <si>
    <t>ZX57093911</t>
  </si>
  <si>
    <t>ZX57093912</t>
  </si>
  <si>
    <t>ZX57093913</t>
  </si>
  <si>
    <t>ZX57093914</t>
  </si>
  <si>
    <t>ZX57093915</t>
  </si>
  <si>
    <t>ZX57093916</t>
  </si>
  <si>
    <t>ZX57093917</t>
  </si>
  <si>
    <t>ZX57093918</t>
  </si>
  <si>
    <t>ZX57093919</t>
  </si>
  <si>
    <t>ZX57093920</t>
  </si>
  <si>
    <t>ZX57093921</t>
  </si>
  <si>
    <t>ZX57093922</t>
  </si>
  <si>
    <t>ZX57093923</t>
  </si>
  <si>
    <t>ZX57093924</t>
  </si>
  <si>
    <t>ZX57093925</t>
  </si>
  <si>
    <t>ZX57093926</t>
  </si>
  <si>
    <t>ZX57093927</t>
  </si>
  <si>
    <t>ZX57093928</t>
  </si>
  <si>
    <t>ZX57093929</t>
  </si>
  <si>
    <t>ZX57093930</t>
  </si>
  <si>
    <t>ZX57093931</t>
  </si>
  <si>
    <t>ZX57093932</t>
  </si>
  <si>
    <t>ZX57093933</t>
  </si>
  <si>
    <t>ZX57093934</t>
  </si>
  <si>
    <t>ZX57093935</t>
  </si>
  <si>
    <t>ZX57093936</t>
  </si>
  <si>
    <t>ZX57093937</t>
  </si>
  <si>
    <t>ZX57093938</t>
  </si>
  <si>
    <t>ZX57093939</t>
  </si>
  <si>
    <t>ZX57093940</t>
  </si>
  <si>
    <t>ZX57093941</t>
  </si>
  <si>
    <t>ZX57093942</t>
  </si>
  <si>
    <t>ZX57093943</t>
  </si>
  <si>
    <t>ZX57093944</t>
  </si>
  <si>
    <t>ZX57093945</t>
  </si>
  <si>
    <t>ZX57093946</t>
  </si>
  <si>
    <t>ZX57093947</t>
  </si>
  <si>
    <t>ZX57093948</t>
  </si>
  <si>
    <t>ZX57093949</t>
  </si>
  <si>
    <t>ZZ39642550</t>
    <phoneticPr fontId="3" type="noConversion"/>
  </si>
  <si>
    <t>ZZ39642551</t>
  </si>
  <si>
    <t>ZZ39642552</t>
  </si>
  <si>
    <t>ZZ39642553</t>
  </si>
  <si>
    <t>ZZ39642554</t>
  </si>
  <si>
    <t>ZZ39642555</t>
  </si>
  <si>
    <t>ZZ39642556</t>
  </si>
  <si>
    <t>ZZ39642557</t>
  </si>
  <si>
    <t>ZZ39642558</t>
  </si>
  <si>
    <t>ZZ39642559</t>
  </si>
  <si>
    <t>ZZ39642560</t>
  </si>
  <si>
    <t>ZZ39642561</t>
  </si>
  <si>
    <t>ZZ39642562</t>
  </si>
  <si>
    <t>ZZ39642563</t>
  </si>
  <si>
    <t>ZZ39642564</t>
  </si>
  <si>
    <t>ZZ39642565</t>
  </si>
  <si>
    <t>ZZ39642566</t>
  </si>
  <si>
    <t>ZZ39642567</t>
  </si>
  <si>
    <t>ZZ39642568</t>
  </si>
  <si>
    <t>ZZ39642569</t>
  </si>
  <si>
    <t>ZZ39642570</t>
  </si>
  <si>
    <t>ZZ39642571</t>
  </si>
  <si>
    <t>ZZ39642572</t>
  </si>
  <si>
    <t>ZZ39642573</t>
  </si>
  <si>
    <t>ZZ39642574</t>
  </si>
  <si>
    <t>ZZ39642575</t>
  </si>
  <si>
    <t>ZZ39642576</t>
  </si>
  <si>
    <t>ZZ39642577</t>
  </si>
  <si>
    <t>ZZ39642578</t>
  </si>
  <si>
    <t>ZZ39642579</t>
  </si>
  <si>
    <t>ZZ39642580</t>
  </si>
  <si>
    <t>ZZ39642581</t>
  </si>
  <si>
    <t>ZZ39642582</t>
  </si>
  <si>
    <t>ZZ39642583</t>
  </si>
  <si>
    <t>ZZ39642584</t>
  </si>
  <si>
    <t>ZZ39642585</t>
  </si>
  <si>
    <t>ZZ39642586</t>
  </si>
  <si>
    <t>ZZ39642587</t>
  </si>
  <si>
    <t>ZZ39642588</t>
  </si>
  <si>
    <t>ZZ39642589</t>
  </si>
  <si>
    <t>ZZ39642590</t>
  </si>
  <si>
    <t>ZZ39642591</t>
  </si>
  <si>
    <t>ZZ39642592</t>
  </si>
  <si>
    <t>ZZ39642593</t>
  </si>
  <si>
    <t>ZZ39642594</t>
  </si>
  <si>
    <t>ZZ39642595</t>
  </si>
  <si>
    <t>ZZ39642596</t>
  </si>
  <si>
    <t>ZZ39642597</t>
  </si>
  <si>
    <t>ZZ39642598</t>
  </si>
  <si>
    <t>ZZ39642599</t>
  </si>
  <si>
    <t>115-05~06</t>
    <phoneticPr fontId="3" type="noConversion"/>
  </si>
  <si>
    <t>輪胎</t>
    <phoneticPr fontId="3" type="noConversion"/>
  </si>
  <si>
    <t>林祐竹</t>
  </si>
  <si>
    <t>匯款</t>
  </si>
  <si>
    <t>1150504</t>
    <phoneticPr fontId="3" type="noConversion"/>
  </si>
  <si>
    <t>輪胎定位</t>
    <phoneticPr fontId="3" type="noConversion"/>
  </si>
  <si>
    <t>黃珮綺</t>
  </si>
  <si>
    <t>1150504</t>
    <phoneticPr fontId="3" type="noConversion"/>
  </si>
  <si>
    <t>629-1</t>
    <phoneticPr fontId="3" type="noConversion"/>
  </si>
  <si>
    <t>629-1</t>
    <phoneticPr fontId="3" type="noConversion"/>
  </si>
  <si>
    <t>國順龍華</t>
    <phoneticPr fontId="3" type="noConversion"/>
  </si>
  <si>
    <t>629-2</t>
    <phoneticPr fontId="3" type="noConversion"/>
  </si>
  <si>
    <t>輪胎</t>
    <phoneticPr fontId="3" type="noConversion"/>
  </si>
  <si>
    <t>工資</t>
    <phoneticPr fontId="3" type="noConversion"/>
  </si>
  <si>
    <t>鋼圈</t>
    <phoneticPr fontId="3" type="noConversion"/>
  </si>
  <si>
    <t>工資</t>
    <phoneticPr fontId="3" type="noConversion"/>
  </si>
  <si>
    <t>新峰開發股份有限公司</t>
    <phoneticPr fontId="3" type="noConversion"/>
  </si>
  <si>
    <t>AA75665907</t>
    <phoneticPr fontId="3" type="noConversion"/>
  </si>
  <si>
    <t>二收銀-(二聯式收銀機統一發票)</t>
  </si>
  <si>
    <t>日用品</t>
    <phoneticPr fontId="3" type="noConversion"/>
  </si>
  <si>
    <t>林祐竹</t>
    <phoneticPr fontId="3" type="noConversion"/>
  </si>
  <si>
    <t>作廢</t>
    <phoneticPr fontId="3" type="noConversion"/>
  </si>
  <si>
    <t>勞動部職業安全衛生署N&amp;M貿易第1櫃</t>
    <phoneticPr fontId="3" type="noConversion"/>
  </si>
  <si>
    <t>胡羽萱</t>
  </si>
  <si>
    <t>輪胎</t>
    <phoneticPr fontId="3" type="noConversion"/>
  </si>
  <si>
    <t>刷卡</t>
    <phoneticPr fontId="3" type="noConversion"/>
  </si>
  <si>
    <t>5589360091090288</t>
    <phoneticPr fontId="3" type="noConversion"/>
  </si>
  <si>
    <t>BLW-0151-汽車保險</t>
    <phoneticPr fontId="3" type="noConversion"/>
  </si>
  <si>
    <t>林祐竹</t>
    <phoneticPr fontId="3" type="noConversion"/>
  </si>
  <si>
    <t>BLW-0151-汽車強制險</t>
    <phoneticPr fontId="3" type="noConversion"/>
  </si>
  <si>
    <t>KEU-2727-汽車保險</t>
    <phoneticPr fontId="3" type="noConversion"/>
  </si>
  <si>
    <t>KEU-2727-汽車強制險</t>
    <phoneticPr fontId="3" type="noConversion"/>
  </si>
  <si>
    <t>BCH-9100-汽車保險</t>
    <phoneticPr fontId="3" type="noConversion"/>
  </si>
  <si>
    <t>BCH-9100-汽車強制險</t>
    <phoneticPr fontId="3" type="noConversion"/>
  </si>
  <si>
    <t>KEU-2727-汽車檢驗費</t>
    <phoneticPr fontId="3" type="noConversion"/>
  </si>
  <si>
    <t>郵資券</t>
    <phoneticPr fontId="3" type="noConversion"/>
  </si>
  <si>
    <t>林祐竹</t>
    <phoneticPr fontId="3" type="noConversion"/>
  </si>
  <si>
    <t>宏仁診所-陳婉玲</t>
    <phoneticPr fontId="3" type="noConversion"/>
  </si>
  <si>
    <t>1150504</t>
    <phoneticPr fontId="3" type="noConversion"/>
  </si>
  <si>
    <t>車亭竹南站</t>
    <phoneticPr fontId="3" type="noConversion"/>
  </si>
  <si>
    <t>BC27744362</t>
    <phoneticPr fontId="3" type="noConversion"/>
  </si>
  <si>
    <t>電子發票-(電子發票證明聯)</t>
  </si>
  <si>
    <t>柴油</t>
    <phoneticPr fontId="3" type="noConversion"/>
  </si>
  <si>
    <t>BC27744366</t>
    <phoneticPr fontId="3" type="noConversion"/>
  </si>
  <si>
    <t>1150501</t>
    <phoneticPr fontId="3" type="noConversion"/>
  </si>
  <si>
    <t>BC27735518</t>
    <phoneticPr fontId="3" type="noConversion"/>
  </si>
  <si>
    <t>車亭竹南二站</t>
    <phoneticPr fontId="3" type="noConversion"/>
  </si>
  <si>
    <t>BF99190077</t>
    <phoneticPr fontId="3" type="noConversion"/>
  </si>
  <si>
    <t>03-04</t>
    <phoneticPr fontId="3" type="noConversion"/>
  </si>
  <si>
    <t>ZE14302547</t>
  </si>
  <si>
    <t>ZE14300177</t>
  </si>
  <si>
    <t>1150505</t>
    <phoneticPr fontId="3" type="noConversion"/>
  </si>
  <si>
    <t>BF99205740</t>
    <phoneticPr fontId="3" type="noConversion"/>
  </si>
  <si>
    <t>1150504</t>
    <phoneticPr fontId="3" type="noConversion"/>
  </si>
  <si>
    <t>BF99205666</t>
    <phoneticPr fontId="3" type="noConversion"/>
  </si>
  <si>
    <t>115年華翊第3櫃商港服務費</t>
    <phoneticPr fontId="3" type="noConversion"/>
  </si>
  <si>
    <t>1150507</t>
    <phoneticPr fontId="3" type="noConversion"/>
  </si>
  <si>
    <t>工資</t>
    <phoneticPr fontId="3" type="noConversion"/>
  </si>
  <si>
    <t>匯款</t>
    <phoneticPr fontId="3" type="noConversion"/>
  </si>
  <si>
    <t>ABI11150634636</t>
  </si>
  <si>
    <t>在連偉那</t>
    <phoneticPr fontId="3" type="noConversion"/>
  </si>
  <si>
    <t>發票未來</t>
    <phoneticPr fontId="3" type="noConversion"/>
  </si>
  <si>
    <t>1150503</t>
    <phoneticPr fontId="3" type="noConversion"/>
  </si>
  <si>
    <t>台灣中油</t>
    <phoneticPr fontId="3" type="noConversion"/>
  </si>
  <si>
    <t>AR20070200</t>
    <phoneticPr fontId="3" type="noConversion"/>
  </si>
  <si>
    <t>95無鉛</t>
    <phoneticPr fontId="3" type="noConversion"/>
  </si>
  <si>
    <t>1150509</t>
    <phoneticPr fontId="3" type="noConversion"/>
  </si>
  <si>
    <t>輪胎定位</t>
    <phoneticPr fontId="3" type="noConversion"/>
  </si>
  <si>
    <t>收現</t>
    <phoneticPr fontId="3" type="noConversion"/>
  </si>
  <si>
    <t>1150508</t>
    <phoneticPr fontId="3" type="noConversion"/>
  </si>
  <si>
    <t>BF99206289</t>
    <phoneticPr fontId="3" type="noConversion"/>
  </si>
  <si>
    <t>柴油</t>
    <phoneticPr fontId="3" type="noConversion"/>
  </si>
  <si>
    <t>補胎</t>
    <phoneticPr fontId="3" type="noConversion"/>
  </si>
  <si>
    <t>刷卡</t>
    <phoneticPr fontId="3" type="noConversion"/>
  </si>
  <si>
    <t>4002118412475907</t>
    <phoneticPr fontId="3" type="noConversion"/>
  </si>
  <si>
    <t>1150511</t>
    <phoneticPr fontId="3" type="noConversion"/>
  </si>
  <si>
    <t>石二鍋</t>
    <phoneticPr fontId="3" type="noConversion"/>
  </si>
  <si>
    <t>BG63470947</t>
    <phoneticPr fontId="3" type="noConversion"/>
  </si>
  <si>
    <t>餐費</t>
    <phoneticPr fontId="3" type="noConversion"/>
  </si>
  <si>
    <t>來來龍鳳城</t>
    <phoneticPr fontId="3" type="noConversion"/>
  </si>
  <si>
    <t>AA74863017</t>
    <phoneticPr fontId="3" type="noConversion"/>
  </si>
  <si>
    <t>5242557139031682</t>
    <phoneticPr fontId="3" type="noConversion"/>
  </si>
  <si>
    <t>1150511</t>
    <phoneticPr fontId="3" type="noConversion"/>
  </si>
  <si>
    <t>BC27744767</t>
    <phoneticPr fontId="3" type="noConversion"/>
  </si>
  <si>
    <t>ZA65691630</t>
  </si>
  <si>
    <t>退折證明單-(折讓)</t>
  </si>
  <si>
    <t>輪胎</t>
  </si>
  <si>
    <t>1150502</t>
    <phoneticPr fontId="3" type="noConversion"/>
  </si>
  <si>
    <t>1150512</t>
    <phoneticPr fontId="3" type="noConversion"/>
  </si>
  <si>
    <t>建興加油站</t>
    <phoneticPr fontId="3" type="noConversion"/>
  </si>
  <si>
    <t>BD72999099</t>
    <phoneticPr fontId="3" type="noConversion"/>
  </si>
  <si>
    <t>1150513</t>
    <phoneticPr fontId="3" type="noConversion"/>
  </si>
  <si>
    <t>手套</t>
    <phoneticPr fontId="3" type="noConversion"/>
  </si>
  <si>
    <t>1150514</t>
    <phoneticPr fontId="3" type="noConversion"/>
  </si>
  <si>
    <t>5521973104911356</t>
    <phoneticPr fontId="3" type="noConversion"/>
  </si>
  <si>
    <t>1150513</t>
    <phoneticPr fontId="3" type="noConversion"/>
  </si>
  <si>
    <t>順豐速運</t>
    <phoneticPr fontId="3" type="noConversion"/>
  </si>
  <si>
    <t>BA87571186</t>
    <phoneticPr fontId="3" type="noConversion"/>
  </si>
  <si>
    <t>代墊稅金服務費</t>
    <phoneticPr fontId="3" type="noConversion"/>
  </si>
  <si>
    <t>BC27744921</t>
    <phoneticPr fontId="3" type="noConversion"/>
  </si>
  <si>
    <t>順豐運費</t>
    <phoneticPr fontId="3" type="noConversion"/>
  </si>
  <si>
    <t>順豐進口關稅</t>
    <phoneticPr fontId="3" type="noConversion"/>
  </si>
  <si>
    <t>1150513</t>
    <phoneticPr fontId="3" type="noConversion"/>
  </si>
  <si>
    <t>BF99191709</t>
    <phoneticPr fontId="3" type="noConversion"/>
  </si>
  <si>
    <t>1150512</t>
    <phoneticPr fontId="3" type="noConversion"/>
  </si>
  <si>
    <t>BK90301471</t>
    <phoneticPr fontId="3" type="noConversion"/>
  </si>
  <si>
    <t>輪胎</t>
    <phoneticPr fontId="3" type="noConversion"/>
  </si>
  <si>
    <t>1150515</t>
    <phoneticPr fontId="3" type="noConversion"/>
  </si>
  <si>
    <t>5521973701527951</t>
    <phoneticPr fontId="3" type="noConversion"/>
  </si>
  <si>
    <t>1150514</t>
    <phoneticPr fontId="3" type="noConversion"/>
  </si>
  <si>
    <t>福樂加油站</t>
    <phoneticPr fontId="3" type="noConversion"/>
  </si>
  <si>
    <t>AZ20325768</t>
    <phoneticPr fontId="3" type="noConversion"/>
  </si>
  <si>
    <t>BLW-0151驗車費</t>
    <phoneticPr fontId="3" type="noConversion"/>
  </si>
  <si>
    <t>BCH-9100驗車費</t>
    <phoneticPr fontId="3" type="noConversion"/>
  </si>
  <si>
    <t>1150518</t>
    <phoneticPr fontId="3" type="noConversion"/>
  </si>
  <si>
    <t>4705720202203603</t>
    <phoneticPr fontId="3" type="noConversion"/>
  </si>
  <si>
    <t>黃駿福活蝦有限公司</t>
    <phoneticPr fontId="3" type="noConversion"/>
  </si>
  <si>
    <t>BM43372355</t>
    <phoneticPr fontId="3" type="noConversion"/>
  </si>
  <si>
    <t>和牛涮</t>
    <phoneticPr fontId="3" type="noConversion"/>
  </si>
  <si>
    <t>BG62499223</t>
    <phoneticPr fontId="3" type="noConversion"/>
  </si>
  <si>
    <t>順億</t>
    <phoneticPr fontId="3" type="noConversion"/>
  </si>
  <si>
    <t>BA32165755</t>
    <phoneticPr fontId="3" type="noConversion"/>
  </si>
  <si>
    <t>爭鮮餐飲</t>
    <phoneticPr fontId="3" type="noConversion"/>
  </si>
  <si>
    <t>AQ77386535</t>
    <phoneticPr fontId="3" type="noConversion"/>
  </si>
  <si>
    <t>1150516</t>
    <phoneticPr fontId="3" type="noConversion"/>
  </si>
  <si>
    <t>國利加油站</t>
    <phoneticPr fontId="3" type="noConversion"/>
  </si>
  <si>
    <t>BC71436362</t>
    <phoneticPr fontId="3" type="noConversion"/>
  </si>
  <si>
    <t>95無鉛</t>
    <phoneticPr fontId="3" type="noConversion"/>
  </si>
  <si>
    <t>1150517</t>
    <phoneticPr fontId="3" type="noConversion"/>
  </si>
  <si>
    <t>振宇五金</t>
    <phoneticPr fontId="3" type="noConversion"/>
  </si>
  <si>
    <t>AN03273537</t>
    <phoneticPr fontId="3" type="noConversion"/>
  </si>
  <si>
    <t>店用耗材</t>
    <phoneticPr fontId="3" type="noConversion"/>
  </si>
  <si>
    <t>1150519</t>
    <phoneticPr fontId="3" type="noConversion"/>
  </si>
  <si>
    <t>工資</t>
    <phoneticPr fontId="3" type="noConversion"/>
  </si>
  <si>
    <t>1150516</t>
    <phoneticPr fontId="3" type="noConversion"/>
  </si>
  <si>
    <t>金典書局</t>
    <phoneticPr fontId="3" type="noConversion"/>
  </si>
  <si>
    <t>AA75135901</t>
    <phoneticPr fontId="3" type="noConversion"/>
  </si>
  <si>
    <t>文具</t>
    <phoneticPr fontId="3" type="noConversion"/>
  </si>
  <si>
    <t>1150518</t>
    <phoneticPr fontId="3" type="noConversion"/>
  </si>
  <si>
    <t>BC27756606</t>
    <phoneticPr fontId="3" type="noConversion"/>
  </si>
  <si>
    <t>92無鉛</t>
    <phoneticPr fontId="3" type="noConversion"/>
  </si>
  <si>
    <t>BC27745157</t>
    <phoneticPr fontId="3" type="noConversion"/>
  </si>
  <si>
    <t>柴油</t>
    <phoneticPr fontId="3" type="noConversion"/>
  </si>
  <si>
    <t>全國電子</t>
    <phoneticPr fontId="3" type="noConversion"/>
  </si>
  <si>
    <t>AZ49715415</t>
    <phoneticPr fontId="3" type="noConversion"/>
  </si>
  <si>
    <t>印表機</t>
    <phoneticPr fontId="3" type="noConversion"/>
  </si>
  <si>
    <t>1150520</t>
    <phoneticPr fontId="3" type="noConversion"/>
  </si>
  <si>
    <t>4688288020692606</t>
    <phoneticPr fontId="3" type="noConversion"/>
  </si>
  <si>
    <t>1150508</t>
    <phoneticPr fontId="3" type="noConversion"/>
  </si>
  <si>
    <t>百世拓1</t>
    <phoneticPr fontId="3" type="noConversion"/>
  </si>
  <si>
    <t>DAI31158123119</t>
    <phoneticPr fontId="3" type="noConversion"/>
  </si>
  <si>
    <t>稅費繳納證</t>
  </si>
  <si>
    <t>拆胎機</t>
    <phoneticPr fontId="3" type="noConversion"/>
  </si>
  <si>
    <t>1150515</t>
    <phoneticPr fontId="3" type="noConversion"/>
  </si>
  <si>
    <t>鴻洲</t>
    <phoneticPr fontId="3" type="noConversion"/>
  </si>
  <si>
    <t>BP97452407</t>
    <phoneticPr fontId="3" type="noConversion"/>
  </si>
  <si>
    <t>運費</t>
    <phoneticPr fontId="3" type="noConversion"/>
  </si>
  <si>
    <t>1150520</t>
    <phoneticPr fontId="3" type="noConversion"/>
  </si>
  <si>
    <t>BK90302064</t>
    <phoneticPr fontId="3" type="noConversion"/>
  </si>
  <si>
    <t>輪胎</t>
    <phoneticPr fontId="3" type="noConversion"/>
  </si>
  <si>
    <t>4182303502472962</t>
    <phoneticPr fontId="3" type="noConversion"/>
  </si>
  <si>
    <t>中古機器</t>
    <phoneticPr fontId="3" type="noConversion"/>
  </si>
  <si>
    <t>作廢</t>
    <phoneticPr fontId="3" type="noConversion"/>
  </si>
  <si>
    <t>補胎</t>
    <phoneticPr fontId="3" type="noConversion"/>
  </si>
  <si>
    <t>4162050102172609</t>
    <phoneticPr fontId="3" type="noConversion"/>
  </si>
  <si>
    <t>1150521</t>
    <phoneticPr fontId="3" type="noConversion"/>
  </si>
  <si>
    <t>1150520</t>
    <phoneticPr fontId="3" type="noConversion"/>
  </si>
  <si>
    <t>BF99192677</t>
    <phoneticPr fontId="3" type="noConversion"/>
  </si>
  <si>
    <t>柴油</t>
    <phoneticPr fontId="3" type="noConversion"/>
  </si>
  <si>
    <t>藏壽司</t>
    <phoneticPr fontId="3" type="noConversion"/>
  </si>
  <si>
    <t>AE60755726</t>
    <phoneticPr fontId="3" type="noConversion"/>
  </si>
  <si>
    <t>林祐竹</t>
    <phoneticPr fontId="3" type="noConversion"/>
  </si>
  <si>
    <t>BF99208555</t>
    <phoneticPr fontId="3" type="noConversion"/>
  </si>
  <si>
    <t>95無鉛</t>
    <phoneticPr fontId="3" type="noConversion"/>
  </si>
  <si>
    <t>哈佛牙醫-陳婉玲</t>
    <phoneticPr fontId="3" type="noConversion"/>
  </si>
  <si>
    <t>臺大醫院-胡振新</t>
    <phoneticPr fontId="3" type="noConversion"/>
  </si>
  <si>
    <t>1150521</t>
    <phoneticPr fontId="3" type="noConversion"/>
  </si>
  <si>
    <t>1150522</t>
    <phoneticPr fontId="3" type="noConversion"/>
  </si>
  <si>
    <t>BK90302243</t>
    <phoneticPr fontId="3" type="noConversion"/>
  </si>
  <si>
    <t>輪胎</t>
    <phoneticPr fontId="3" type="noConversion"/>
  </si>
  <si>
    <t>輪胎一批</t>
    <phoneticPr fontId="3" type="noConversion"/>
  </si>
  <si>
    <t>BK90302248</t>
    <phoneticPr fontId="3" type="noConversion"/>
  </si>
  <si>
    <t>115年翔株式第6櫃商港服務費</t>
    <phoneticPr fontId="3" type="noConversion"/>
  </si>
  <si>
    <t>鴻羽餐飲</t>
    <phoneticPr fontId="3" type="noConversion"/>
  </si>
  <si>
    <t>BM43845674</t>
    <phoneticPr fontId="3" type="noConversion"/>
  </si>
  <si>
    <t>1150519</t>
    <phoneticPr fontId="3" type="noConversion"/>
  </si>
  <si>
    <t>台灣中油</t>
    <phoneticPr fontId="3" type="noConversion"/>
  </si>
  <si>
    <t>AR47143749</t>
    <phoneticPr fontId="3" type="noConversion"/>
  </si>
  <si>
    <t>95無鉛</t>
    <phoneticPr fontId="3" type="noConversion"/>
  </si>
  <si>
    <t>115年上海拆胎機第一櫃商港服務費</t>
    <phoneticPr fontId="3" type="noConversion"/>
  </si>
  <si>
    <t>115年4月員工健保費</t>
    <phoneticPr fontId="3" type="noConversion"/>
  </si>
  <si>
    <t>1150523</t>
    <phoneticPr fontId="3" type="noConversion"/>
  </si>
  <si>
    <t>BC27757559</t>
    <phoneticPr fontId="3" type="noConversion"/>
  </si>
  <si>
    <t>BC27745344</t>
    <phoneticPr fontId="3" type="noConversion"/>
  </si>
  <si>
    <t>BC27737126</t>
    <phoneticPr fontId="3" type="noConversion"/>
  </si>
  <si>
    <t>1150527</t>
    <phoneticPr fontId="3" type="noConversion"/>
  </si>
  <si>
    <t>南北通二站</t>
    <phoneticPr fontId="3" type="noConversion"/>
  </si>
  <si>
    <t>BN79847232</t>
    <phoneticPr fontId="3" type="noConversion"/>
  </si>
  <si>
    <t>樂安消防</t>
    <phoneticPr fontId="3" type="noConversion"/>
  </si>
  <si>
    <t>BQ75659829</t>
    <phoneticPr fontId="3" type="noConversion"/>
  </si>
  <si>
    <t>消防器材</t>
    <phoneticPr fontId="3" type="noConversion"/>
  </si>
  <si>
    <t>114年度營利事業所得稅</t>
    <phoneticPr fontId="3" type="noConversion"/>
  </si>
  <si>
    <t>115年4月員工勞工退休金</t>
    <phoneticPr fontId="3" type="noConversion"/>
  </si>
  <si>
    <t>115年4月員工勞保費</t>
    <phoneticPr fontId="3" type="noConversion"/>
  </si>
  <si>
    <t>乾杯</t>
    <phoneticPr fontId="3" type="noConversion"/>
  </si>
  <si>
    <t>BD07456314</t>
    <phoneticPr fontId="3" type="noConversion"/>
  </si>
  <si>
    <t>1150529</t>
    <phoneticPr fontId="3" type="noConversion"/>
  </si>
  <si>
    <t>台灣中油</t>
    <phoneticPr fontId="3" type="noConversion"/>
  </si>
  <si>
    <t>02938995</t>
    <phoneticPr fontId="3" type="noConversion"/>
  </si>
  <si>
    <t>AR20660130</t>
    <phoneticPr fontId="3" type="noConversion"/>
  </si>
  <si>
    <t>去漬油</t>
    <phoneticPr fontId="3" type="noConversion"/>
  </si>
  <si>
    <t>BC27737499</t>
    <phoneticPr fontId="3" type="noConversion"/>
  </si>
  <si>
    <t>BF99193933</t>
    <phoneticPr fontId="3" type="noConversion"/>
  </si>
  <si>
    <t>1150528</t>
    <phoneticPr fontId="3" type="noConversion"/>
  </si>
  <si>
    <t>BC27745757</t>
    <phoneticPr fontId="3" type="noConversion"/>
  </si>
  <si>
    <t>郵票</t>
    <phoneticPr fontId="3" type="noConversion"/>
  </si>
  <si>
    <t>車牌貼紙</t>
    <phoneticPr fontId="3" type="noConversion"/>
  </si>
  <si>
    <t>餐費</t>
    <phoneticPr fontId="3" type="noConversion"/>
  </si>
  <si>
    <t>郵資</t>
    <phoneticPr fontId="3" type="noConversion"/>
  </si>
  <si>
    <t>One&amp;One燒肉 頭份</t>
    <phoneticPr fontId="3" type="noConversion"/>
  </si>
  <si>
    <t>BQ00287054</t>
    <phoneticPr fontId="3" type="noConversion"/>
  </si>
  <si>
    <t>13344458祥茂商行</t>
  </si>
  <si>
    <t>53260308</t>
    <phoneticPr fontId="3" type="noConversion"/>
  </si>
  <si>
    <t xml:space="preserve">86602558 </t>
    <phoneticPr fontId="3" type="noConversion"/>
  </si>
  <si>
    <t>08372030</t>
    <phoneticPr fontId="3" type="noConversion"/>
  </si>
  <si>
    <t>34960490</t>
    <phoneticPr fontId="3" type="noConversion"/>
  </si>
  <si>
    <t>82387121</t>
    <phoneticPr fontId="3" type="noConversion"/>
  </si>
  <si>
    <t>83485114</t>
    <phoneticPr fontId="3" type="noConversion"/>
  </si>
  <si>
    <t>97027687</t>
    <phoneticPr fontId="3" type="noConversion"/>
  </si>
  <si>
    <t>12766227</t>
    <phoneticPr fontId="3" type="noConversion"/>
  </si>
  <si>
    <t>九勁有限公司</t>
  </si>
  <si>
    <t>富邦產物保險股份有限公司</t>
  </si>
  <si>
    <t>首利得股份有限公司</t>
  </si>
  <si>
    <t>峰奇企業社</t>
  </si>
  <si>
    <t>明加輪胎</t>
  </si>
  <si>
    <t>有楙輪胎行</t>
  </si>
  <si>
    <t>山東登陸者輪胎有限公司</t>
  </si>
  <si>
    <t>烟台科創汽車科技有限公司</t>
  </si>
  <si>
    <t>元將輪胎行</t>
  </si>
  <si>
    <t>全立輪胎行</t>
  </si>
  <si>
    <t>正山鋼索五金行</t>
  </si>
  <si>
    <t>日興輪胎服務處</t>
  </si>
  <si>
    <t>志誠輪胎行</t>
  </si>
  <si>
    <t>通廣汽車保修設備有限公司</t>
  </si>
  <si>
    <t>熊大輪胎行</t>
  </si>
  <si>
    <t>樟樺輪胎行</t>
  </si>
  <si>
    <t>順通輪胎行</t>
  </si>
  <si>
    <t>東昇輪胎企業有限公司</t>
  </si>
  <si>
    <t>青島獅途輪胎有限公司</t>
  </si>
  <si>
    <t>山東郎牌汽车科技有限公司</t>
  </si>
  <si>
    <t>晉強企業社</t>
  </si>
  <si>
    <t>貞盈貿易股份有限公司</t>
  </si>
  <si>
    <t>友嘉汽車材料零件公司</t>
  </si>
  <si>
    <t>廣豐國際企業有限公司</t>
  </si>
  <si>
    <t>元賀交通有限公司</t>
  </si>
  <si>
    <t>語璽新能源科技</t>
  </si>
  <si>
    <t>青島巨石國際股份有限公司</t>
  </si>
  <si>
    <t>吉康企業有限公司</t>
  </si>
  <si>
    <t>山東百世威機械有限公司</t>
  </si>
  <si>
    <t>寬輾重車有限公司</t>
  </si>
  <si>
    <t>吳至宏</t>
  </si>
  <si>
    <t>上海財勃工具有限公司</t>
  </si>
  <si>
    <t>鴻洲國際物流</t>
  </si>
  <si>
    <t>青峰(上海)工具設備有限公司</t>
  </si>
  <si>
    <t>晨曦人力資源顧問有限公司</t>
  </si>
  <si>
    <t>莫孚動能</t>
  </si>
  <si>
    <t>福州金飛魚柴油機有限公司</t>
  </si>
  <si>
    <t>寶順昌企業有限公司</t>
  </si>
  <si>
    <t>鑫瑞發車體工業有限公司</t>
  </si>
  <si>
    <t>新政茂輪胎有限公司</t>
  </si>
  <si>
    <t>山東華翊重工機械集團有限公司</t>
  </si>
  <si>
    <t>青益輪胎行</t>
  </si>
  <si>
    <t>順麒輪胎行</t>
  </si>
  <si>
    <t>極致輪業社</t>
  </si>
  <si>
    <t>明宗輪胎行</t>
  </si>
  <si>
    <t>旭新油品有限公司</t>
  </si>
  <si>
    <t>萬祥輪胎行</t>
  </si>
  <si>
    <t>湖北獵鷹智能科技有限公司</t>
  </si>
  <si>
    <t>易拉寶搬運設備有限公司</t>
  </si>
  <si>
    <t>獻縣德普進出口有限公司</t>
  </si>
  <si>
    <t>祥江鋁梯企業有限公司</t>
  </si>
  <si>
    <t>吳先生</t>
  </si>
  <si>
    <t>翔株式會社</t>
  </si>
  <si>
    <t>美朋企業有限公司</t>
  </si>
  <si>
    <t>榮峰企業社</t>
  </si>
  <si>
    <t>宏佾重機械有限公司</t>
  </si>
  <si>
    <t>科普發電機</t>
  </si>
  <si>
    <t>隆祥工業有限公司</t>
  </si>
  <si>
    <t>上禾鋁業有限公司</t>
  </si>
  <si>
    <t>靜岡貿易有限公司</t>
  </si>
  <si>
    <t>苗栗電池有限公司</t>
  </si>
  <si>
    <t>鑫源汽車</t>
  </si>
  <si>
    <t>周先生</t>
  </si>
  <si>
    <t>新鋒通運有限公司</t>
  </si>
  <si>
    <t>鋒耘企業社</t>
  </si>
  <si>
    <t>大有報關股份有限公司</t>
  </si>
  <si>
    <t>N&amp;M貿易株式會社</t>
  </si>
  <si>
    <t>晉源運輸工程</t>
  </si>
  <si>
    <t>毅泰有限公司&gt;毅泰企業社</t>
  </si>
  <si>
    <t>新承船外機企業社</t>
  </si>
  <si>
    <t>祥茂商行</t>
  </si>
  <si>
    <t>27490310</t>
    <phoneticPr fontId="3" type="noConversion"/>
  </si>
  <si>
    <t>84606559</t>
    <phoneticPr fontId="3" type="noConversion"/>
  </si>
  <si>
    <t>29076513</t>
    <phoneticPr fontId="3" type="noConversion"/>
  </si>
  <si>
    <t>86775495</t>
    <phoneticPr fontId="3" type="noConversion"/>
  </si>
  <si>
    <t>94218564</t>
    <phoneticPr fontId="3" type="noConversion"/>
  </si>
  <si>
    <t>82996428</t>
    <phoneticPr fontId="3" type="noConversion"/>
  </si>
  <si>
    <t>28400409</t>
    <phoneticPr fontId="3" type="noConversion"/>
  </si>
  <si>
    <t>28093654</t>
    <phoneticPr fontId="3" type="noConversion"/>
  </si>
  <si>
    <t>58380400</t>
    <phoneticPr fontId="3" type="noConversion"/>
  </si>
  <si>
    <t>96831762</t>
    <phoneticPr fontId="3" type="noConversion"/>
  </si>
  <si>
    <t>22542535</t>
    <phoneticPr fontId="3" type="noConversion"/>
  </si>
  <si>
    <t>87208463</t>
    <phoneticPr fontId="3" type="noConversion"/>
  </si>
  <si>
    <t>13819932</t>
    <phoneticPr fontId="3" type="noConversion"/>
  </si>
  <si>
    <t>115年翔株式第9櫃貨櫃場吊櫃費</t>
    <phoneticPr fontId="3" type="noConversion"/>
  </si>
  <si>
    <t>115年N&amp;M第1櫃貨櫃場吊櫃費</t>
    <phoneticPr fontId="3" type="noConversion"/>
  </si>
  <si>
    <t>格立企業</t>
    <phoneticPr fontId="3" type="noConversion"/>
  </si>
  <si>
    <t>115年昆侖第14-16櫃審查費</t>
    <phoneticPr fontId="3" type="noConversion"/>
  </si>
  <si>
    <t>115年昆侖第14-16櫃服務費</t>
    <phoneticPr fontId="3" type="noConversion"/>
  </si>
  <si>
    <t>115年昆侖第14-16櫃資料使用費</t>
    <phoneticPr fontId="3" type="noConversion"/>
  </si>
  <si>
    <t>115年昆侖第14-16櫃海關規費</t>
    <phoneticPr fontId="3" type="noConversion"/>
  </si>
  <si>
    <t>115年昆侖第14-16櫃吊櫃費+文件費+燃油附加費</t>
    <phoneticPr fontId="3" type="noConversion"/>
  </si>
  <si>
    <t>501-RW驗車費</t>
    <phoneticPr fontId="3" type="noConversion"/>
  </si>
  <si>
    <t>新愛兒診所-胡允霏</t>
    <phoneticPr fontId="3" type="noConversion"/>
  </si>
  <si>
    <t>新愛兒診所-胡允澤</t>
    <phoneticPr fontId="3" type="noConversion"/>
  </si>
  <si>
    <t>進出口證明書簽證費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</si>
</sst>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#,##0.0;[Red]\-#,##0.0"/>
    <numFmt numFmtId="178" formatCode="0_ "/>
  </numFmts>
  <fonts count="30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微軟正黑體"/>
      <family val="2"/>
      <charset val="136"/>
    </font>
    <font>
      <b/>
      <sz val="16"/>
      <color rgb="FF0000FF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color theme="1"/>
      <name val="cwTeX 圓體"/>
      <family val="3"/>
      <charset val="136"/>
    </font>
    <font>
      <b/>
      <sz val="12"/>
      <color theme="9" tint="-0.499984740745262"/>
      <name val="微軟正黑體"/>
      <family val="2"/>
      <charset val="136"/>
    </font>
    <font>
      <sz val="12"/>
      <color rgb="FF92D050"/>
      <name val="微軟正黑體"/>
      <family val="2"/>
      <charset val="136"/>
    </font>
    <font>
      <sz val="12"/>
      <color theme="1"/>
      <name val="cwTeX 粗黑體"/>
      <family val="3"/>
      <charset val="136"/>
    </font>
    <font>
      <sz val="14"/>
      <color theme="1"/>
      <name val="cwTeX 粗黑體"/>
      <family val="3"/>
      <charset val="136"/>
    </font>
    <font>
      <sz val="16"/>
      <color theme="1"/>
      <name val="cwTeX 粗黑體"/>
      <family val="3"/>
      <charset val="136"/>
    </font>
    <font>
      <sz val="16"/>
      <color rgb="FFFF0000"/>
      <name val="cwTeX 粗黑體"/>
      <family val="3"/>
      <charset val="136"/>
    </font>
    <font>
      <b/>
      <sz val="28"/>
      <color rgb="FF0000FF"/>
      <name val="cwTeX 圓體"/>
      <family val="3"/>
      <charset val="136"/>
    </font>
    <font>
      <sz val="9"/>
      <name val="新細明體"/>
      <family val="2"/>
      <charset val="136"/>
      <scheme val="minor"/>
    </font>
    <font>
      <b/>
      <sz val="16"/>
      <color rgb="FF0000FF"/>
      <name val="cwTeX 圓體"/>
      <family val="3"/>
      <charset val="136"/>
    </font>
    <font>
      <b/>
      <sz val="12"/>
      <color theme="9" tint="-0.499984740745262"/>
      <name val="cwTeX 圓體"/>
      <family val="3"/>
      <charset val="136"/>
    </font>
    <font>
      <sz val="12"/>
      <color rgb="FF0000FF"/>
      <name val="cwTeX 圓體"/>
      <family val="3"/>
      <charset val="136"/>
    </font>
    <font>
      <b/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cwTeX 圓體"/>
      <family val="3"/>
      <charset val="136"/>
    </font>
    <font>
      <sz val="12"/>
      <color theme="1"/>
      <name val="新細明體"/>
      <family val="2"/>
      <scheme val="minor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6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2"/>
      <color rgb="FFFF0000"/>
      <name val="cwTeX 圓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20" fillId="0" borderId="0"/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28" fillId="0" borderId="0"/>
  </cellStyleXfs>
  <cellXfs count="12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Fill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38" fontId="2" fillId="0" borderId="0" xfId="0" applyNumberFormat="1" applyFont="1" applyAlignment="1">
      <alignment horizontal="right" vertical="center"/>
    </xf>
    <xf numFmtId="38" fontId="4" fillId="0" borderId="0" xfId="0" applyNumberFormat="1" applyFont="1" applyFill="1" applyAlignment="1">
      <alignment horizontal="right" vertical="center"/>
    </xf>
    <xf numFmtId="4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41" fontId="2" fillId="2" borderId="0" xfId="0" applyNumberFormat="1" applyFont="1" applyFill="1" applyAlignment="1">
      <alignment horizontal="left" vertical="center"/>
    </xf>
    <xf numFmtId="38" fontId="2" fillId="2" borderId="0" xfId="0" applyNumberFormat="1" applyFont="1" applyFill="1" applyAlignment="1">
      <alignment horizontal="right" vertical="center"/>
    </xf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38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NumberFormat="1" applyFont="1" applyFill="1" applyAlignment="1">
      <alignment vertical="center"/>
    </xf>
    <xf numFmtId="0" fontId="2" fillId="0" borderId="0" xfId="0" applyNumberFormat="1" applyFont="1" applyAlignment="1">
      <alignment vertical="center"/>
    </xf>
    <xf numFmtId="0" fontId="7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38" fontId="2" fillId="3" borderId="0" xfId="0" applyNumberFormat="1" applyFont="1" applyFill="1" applyAlignment="1">
      <alignment horizontal="right" vertical="center"/>
    </xf>
    <xf numFmtId="38" fontId="8" fillId="2" borderId="0" xfId="0" applyNumberFormat="1" applyFont="1" applyFill="1" applyAlignment="1">
      <alignment horizontal="right" vertical="center"/>
    </xf>
    <xf numFmtId="38" fontId="8" fillId="2" borderId="0" xfId="0" applyNumberFormat="1" applyFont="1" applyFill="1" applyAlignment="1">
      <alignment horizontal="center" vertical="center"/>
    </xf>
    <xf numFmtId="38" fontId="8" fillId="0" borderId="0" xfId="0" applyNumberFormat="1" applyFont="1" applyFill="1" applyAlignment="1">
      <alignment horizontal="right" vertical="center"/>
    </xf>
    <xf numFmtId="38" fontId="8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right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right" vertical="center"/>
    </xf>
    <xf numFmtId="49" fontId="7" fillId="0" borderId="0" xfId="0" applyNumberFormat="1" applyFont="1"/>
    <xf numFmtId="49" fontId="7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0" fontId="5" fillId="2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38" fontId="2" fillId="0" borderId="0" xfId="0" applyNumberFormat="1" applyFont="1" applyAlignment="1">
      <alignment horizontal="center" vertical="center"/>
    </xf>
    <xf numFmtId="38" fontId="2" fillId="3" borderId="0" xfId="0" applyNumberFormat="1" applyFont="1" applyFill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1" fontId="2" fillId="0" borderId="0" xfId="0" applyNumberFormat="1" applyFont="1" applyBorder="1" applyAlignment="1">
      <alignment horizontal="left" vertical="center"/>
    </xf>
    <xf numFmtId="177" fontId="2" fillId="0" borderId="0" xfId="0" applyNumberFormat="1" applyFont="1" applyAlignment="1">
      <alignment horizontal="right" vertical="center"/>
    </xf>
    <xf numFmtId="40" fontId="2" fillId="0" borderId="0" xfId="0" applyNumberFormat="1" applyFont="1" applyAlignment="1">
      <alignment horizontal="center" vertical="center"/>
    </xf>
    <xf numFmtId="41" fontId="2" fillId="2" borderId="0" xfId="0" applyNumberFormat="1" applyFont="1" applyFill="1" applyAlignment="1">
      <alignment vertical="center"/>
    </xf>
    <xf numFmtId="41" fontId="2" fillId="0" borderId="0" xfId="0" applyNumberFormat="1" applyFont="1" applyFill="1" applyAlignment="1">
      <alignment vertical="center"/>
    </xf>
    <xf numFmtId="41" fontId="2" fillId="0" borderId="0" xfId="0" applyNumberFormat="1" applyFont="1" applyAlignment="1">
      <alignment vertical="center"/>
    </xf>
    <xf numFmtId="49" fontId="0" fillId="0" borderId="0" xfId="0" applyNumberFormat="1"/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38" fontId="8" fillId="2" borderId="0" xfId="0" applyNumberFormat="1" applyFont="1" applyFill="1" applyAlignment="1">
      <alignment horizontal="left" vertical="center"/>
    </xf>
    <xf numFmtId="0" fontId="14" fillId="5" borderId="0" xfId="1" applyFont="1" applyFill="1" applyAlignment="1">
      <alignment horizontal="center" vertical="center"/>
    </xf>
    <xf numFmtId="0" fontId="16" fillId="6" borderId="0" xfId="1" applyFont="1" applyFill="1" applyAlignment="1">
      <alignment horizontal="left" vertical="center"/>
    </xf>
    <xf numFmtId="0" fontId="7" fillId="6" borderId="0" xfId="1" applyFont="1" applyFill="1" applyAlignment="1">
      <alignment horizontal="left" vertical="center"/>
    </xf>
    <xf numFmtId="49" fontId="7" fillId="6" borderId="0" xfId="1" applyNumberFormat="1" applyFont="1" applyFill="1" applyAlignment="1">
      <alignment horizontal="left" vertical="center"/>
    </xf>
    <xf numFmtId="41" fontId="7" fillId="6" borderId="0" xfId="1" applyNumberFormat="1" applyFont="1" applyFill="1" applyAlignment="1">
      <alignment horizontal="left" vertical="center"/>
    </xf>
    <xf numFmtId="0" fontId="7" fillId="6" borderId="0" xfId="1" applyFont="1" applyFill="1" applyAlignment="1">
      <alignment horizontal="center" vertical="center"/>
    </xf>
    <xf numFmtId="0" fontId="7" fillId="6" borderId="0" xfId="1" applyFont="1" applyFill="1">
      <alignment vertical="center"/>
    </xf>
    <xf numFmtId="0" fontId="18" fillId="6" borderId="0" xfId="1" applyFont="1" applyFill="1" applyAlignment="1">
      <alignment horizontal="center" vertical="center"/>
    </xf>
    <xf numFmtId="49" fontId="7" fillId="6" borderId="0" xfId="1" applyNumberFormat="1" applyFont="1" applyFill="1" applyAlignment="1">
      <alignment horizontal="center" vertical="center"/>
    </xf>
    <xf numFmtId="41" fontId="7" fillId="6" borderId="0" xfId="1" applyNumberFormat="1" applyFont="1" applyFill="1" applyAlignment="1">
      <alignment horizontal="center" vertical="center"/>
    </xf>
    <xf numFmtId="38" fontId="17" fillId="6" borderId="0" xfId="1" applyNumberFormat="1" applyFont="1" applyFill="1" applyAlignment="1">
      <alignment horizontal="center" vertical="center"/>
    </xf>
    <xf numFmtId="38" fontId="7" fillId="6" borderId="0" xfId="1" applyNumberFormat="1" applyFont="1" applyFill="1" applyAlignment="1">
      <alignment horizontal="center" vertical="center"/>
    </xf>
    <xf numFmtId="49" fontId="7" fillId="0" borderId="0" xfId="1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41" fontId="7" fillId="0" borderId="0" xfId="1" applyNumberFormat="1" applyFont="1" applyAlignment="1">
      <alignment horizontal="left" vertical="center"/>
    </xf>
    <xf numFmtId="38" fontId="17" fillId="0" borderId="0" xfId="1" applyNumberFormat="1" applyFont="1">
      <alignment vertical="center"/>
    </xf>
    <xf numFmtId="38" fontId="7" fillId="0" borderId="0" xfId="1" applyNumberFormat="1" applyFont="1" applyFill="1">
      <alignment vertical="center"/>
    </xf>
    <xf numFmtId="0" fontId="19" fillId="0" borderId="0" xfId="1" applyFont="1" applyFill="1" applyBorder="1" applyAlignment="1">
      <alignment vertical="center"/>
    </xf>
    <xf numFmtId="0" fontId="7" fillId="0" borderId="0" xfId="1" applyFont="1" applyFill="1" applyAlignment="1">
      <alignment horizontal="left" vertical="center"/>
    </xf>
    <xf numFmtId="38" fontId="17" fillId="0" borderId="0" xfId="1" applyNumberFormat="1" applyFont="1" applyFill="1">
      <alignment vertical="center"/>
    </xf>
    <xf numFmtId="0" fontId="7" fillId="0" borderId="0" xfId="2" applyFont="1" applyFill="1" applyAlignment="1">
      <alignment horizontal="left" vertical="center"/>
    </xf>
    <xf numFmtId="0" fontId="7" fillId="0" borderId="0" xfId="1" applyFont="1">
      <alignment vertical="center"/>
    </xf>
    <xf numFmtId="38" fontId="17" fillId="3" borderId="0" xfId="1" applyNumberFormat="1" applyFont="1" applyFill="1">
      <alignment vertical="center"/>
    </xf>
    <xf numFmtId="38" fontId="7" fillId="3" borderId="0" xfId="1" applyNumberFormat="1" applyFont="1" applyFill="1">
      <alignment vertical="center"/>
    </xf>
    <xf numFmtId="38" fontId="7" fillId="0" borderId="0" xfId="1" applyNumberFormat="1" applyFont="1">
      <alignment vertical="center"/>
    </xf>
    <xf numFmtId="0" fontId="7" fillId="0" borderId="0" xfId="1" applyFont="1" applyFill="1" applyAlignment="1">
      <alignment horizontal="center" vertical="center"/>
    </xf>
    <xf numFmtId="178" fontId="7" fillId="6" borderId="0" xfId="1" applyNumberFormat="1" applyFont="1" applyFill="1" applyAlignment="1">
      <alignment horizontal="left" vertical="center"/>
    </xf>
    <xf numFmtId="178" fontId="7" fillId="0" borderId="0" xfId="1" applyNumberFormat="1" applyFont="1" applyAlignment="1">
      <alignment horizontal="right" vertical="center"/>
    </xf>
    <xf numFmtId="178" fontId="7" fillId="0" borderId="0" xfId="1" applyNumberFormat="1" applyFont="1">
      <alignment vertical="center"/>
    </xf>
    <xf numFmtId="178" fontId="7" fillId="0" borderId="0" xfId="1" quotePrefix="1" applyNumberFormat="1" applyFont="1" applyAlignment="1">
      <alignment horizontal="right" vertical="center"/>
    </xf>
    <xf numFmtId="49" fontId="7" fillId="0" borderId="0" xfId="1" applyNumberFormat="1" applyFont="1" applyAlignment="1">
      <alignment horizontal="right" vertical="center"/>
    </xf>
    <xf numFmtId="0" fontId="21" fillId="7" borderId="0" xfId="1" applyFont="1" applyFill="1" applyBorder="1" applyAlignment="1">
      <alignment horizontal="right" vertical="center"/>
    </xf>
    <xf numFmtId="0" fontId="7" fillId="0" borderId="0" xfId="1" applyFont="1" applyAlignment="1">
      <alignment horizontal="right" vertical="center"/>
    </xf>
    <xf numFmtId="178" fontId="7" fillId="0" borderId="0" xfId="1" applyNumberFormat="1" applyFont="1" applyBorder="1" applyAlignment="1">
      <alignment horizontal="right" vertical="center"/>
    </xf>
    <xf numFmtId="178" fontId="7" fillId="0" borderId="1" xfId="1" applyNumberFormat="1" applyFont="1" applyBorder="1" applyAlignment="1">
      <alignment horizontal="right" vertical="center"/>
    </xf>
    <xf numFmtId="0" fontId="0" fillId="0" borderId="0" xfId="0" applyFill="1"/>
    <xf numFmtId="0" fontId="19" fillId="6" borderId="0" xfId="1" applyFont="1" applyFill="1" applyBorder="1" applyAlignment="1">
      <alignment vertical="center"/>
    </xf>
    <xf numFmtId="38" fontId="23" fillId="0" borderId="0" xfId="0" applyNumberFormat="1" applyFont="1" applyFill="1" applyAlignment="1">
      <alignment horizontal="right" vertical="center"/>
    </xf>
    <xf numFmtId="38" fontId="23" fillId="3" borderId="0" xfId="0" applyNumberFormat="1" applyFont="1" applyFill="1" applyAlignment="1">
      <alignment horizontal="right" vertical="center"/>
    </xf>
    <xf numFmtId="38" fontId="23" fillId="0" borderId="0" xfId="0" applyNumberFormat="1" applyFont="1" applyAlignment="1">
      <alignment horizontal="right" vertical="center"/>
    </xf>
    <xf numFmtId="38" fontId="4" fillId="2" borderId="0" xfId="0" applyNumberFormat="1" applyFont="1" applyFill="1" applyAlignment="1">
      <alignment horizontal="center" vertical="center"/>
    </xf>
    <xf numFmtId="41" fontId="2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/>
    </xf>
    <xf numFmtId="38" fontId="8" fillId="3" borderId="0" xfId="0" applyNumberFormat="1" applyFont="1" applyFill="1" applyAlignment="1">
      <alignment horizontal="right" vertical="center"/>
    </xf>
    <xf numFmtId="38" fontId="2" fillId="0" borderId="0" xfId="0" applyNumberFormat="1" applyFont="1"/>
    <xf numFmtId="38" fontId="26" fillId="0" borderId="0" xfId="0" applyNumberFormat="1" applyFont="1"/>
    <xf numFmtId="38" fontId="2" fillId="0" borderId="0" xfId="0" applyNumberFormat="1" applyFont="1" applyAlignment="1">
      <alignment horizontal="center"/>
    </xf>
    <xf numFmtId="38" fontId="2" fillId="0" borderId="0" xfId="4" applyNumberFormat="1" applyFont="1" applyAlignment="1">
      <alignment horizontal="center"/>
    </xf>
    <xf numFmtId="38" fontId="2" fillId="0" borderId="0" xfId="0" applyNumberFormat="1" applyFont="1" applyFill="1"/>
    <xf numFmtId="38" fontId="26" fillId="0" borderId="0" xfId="4" applyNumberFormat="1" applyFont="1" applyAlignment="1"/>
    <xf numFmtId="38" fontId="2" fillId="0" borderId="0" xfId="4" applyNumberFormat="1" applyFont="1" applyAlignment="1"/>
    <xf numFmtId="38" fontId="4" fillId="0" borderId="0" xfId="0" applyNumberFormat="1" applyFont="1"/>
    <xf numFmtId="38" fontId="4" fillId="0" borderId="0" xfId="0" applyNumberFormat="1" applyFont="1" applyFill="1"/>
    <xf numFmtId="38" fontId="2" fillId="3" borderId="0" xfId="0" applyNumberFormat="1" applyFont="1" applyFill="1"/>
    <xf numFmtId="38" fontId="2" fillId="8" borderId="0" xfId="0" applyNumberFormat="1" applyFont="1" applyFill="1" applyAlignment="1">
      <alignment horizontal="center"/>
    </xf>
    <xf numFmtId="38" fontId="26" fillId="8" borderId="0" xfId="0" applyNumberFormat="1" applyFont="1" applyFill="1"/>
    <xf numFmtId="38" fontId="2" fillId="0" borderId="0" xfId="5" applyNumberFormat="1" applyFont="1" applyAlignment="1">
      <alignment horizontal="center"/>
    </xf>
    <xf numFmtId="38" fontId="2" fillId="0" borderId="0" xfId="0" applyNumberFormat="1" applyFont="1" applyAlignment="1">
      <alignment vertical="center"/>
    </xf>
    <xf numFmtId="0" fontId="7" fillId="6" borderId="0" xfId="1" applyFont="1" applyFill="1" applyAlignment="1">
      <alignment vertical="center"/>
    </xf>
    <xf numFmtId="41" fontId="29" fillId="0" borderId="0" xfId="1" applyNumberFormat="1" applyFont="1" applyAlignment="1">
      <alignment horizontal="left" vertical="center"/>
    </xf>
    <xf numFmtId="49" fontId="2" fillId="0" borderId="0" xfId="0" applyNumberFormat="1" applyFont="1"/>
    <xf numFmtId="49" fontId="7" fillId="0" borderId="0" xfId="1" applyNumberFormat="1" applyFont="1" applyAlignment="1">
      <alignment horizontal="center" vertical="center"/>
    </xf>
    <xf numFmtId="38" fontId="2" fillId="5" borderId="0" xfId="0" applyNumberFormat="1" applyFont="1" applyFill="1"/>
    <xf numFmtId="38" fontId="2" fillId="5" borderId="0" xfId="4" applyNumberFormat="1" applyFont="1" applyFill="1" applyAlignment="1"/>
    <xf numFmtId="49" fontId="2" fillId="5" borderId="0" xfId="0" applyNumberFormat="1" applyFont="1" applyFill="1"/>
    <xf numFmtId="49" fontId="2" fillId="0" borderId="0" xfId="0" applyNumberFormat="1" applyFont="1" applyFill="1"/>
    <xf numFmtId="38" fontId="2" fillId="0" borderId="0" xfId="4" applyNumberFormat="1" applyFont="1" applyFill="1" applyAlignment="1"/>
    <xf numFmtId="0" fontId="7" fillId="3" borderId="0" xfId="1" applyFont="1" applyFill="1" applyAlignment="1">
      <alignment horizontal="left" vertical="center"/>
    </xf>
    <xf numFmtId="38" fontId="26" fillId="0" borderId="0" xfId="0" applyNumberFormat="1" applyFont="1" applyAlignment="1">
      <alignment horizontal="center" vertical="center"/>
    </xf>
  </cellXfs>
  <cellStyles count="6">
    <cellStyle name="一般" xfId="0" builtinId="0"/>
    <cellStyle name="一般 2" xfId="1"/>
    <cellStyle name="一般 2 2" xfId="2"/>
    <cellStyle name="一般 3" xfId="5"/>
    <cellStyle name="千分位" xfId="4" builtinId="3"/>
    <cellStyle name="千分位 2" xfId="3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11-11~12-&#37559;&#38917;-(&#20013;&#33775;&#20840;&#20305;)-(&#20013;&#33775;&#20840;&#23041;)(&#20840;&#23041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599;&#26085;&#26356;&#26032;&#20844;&#21496;&#20840;&#37096;&#36039;&#26009;&#27284;/1-&#32879;&#32239;/112&#24180;/112&#24180;&#30332;&#31080;/5-6&#26376;/112-05~06(&#20013;&#33775;&#20840;&#20305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客戶編輯設定自動代出"/>
      <sheetName val="廠商編輯設定自動代出"/>
      <sheetName val="工作人員.發票格式.KEY法說明"/>
      <sheetName val="銷項"/>
      <sheetName val="中華全佑27911467-營業稅扣抵"/>
      <sheetName val="中華全佑-費用扣抵"/>
      <sheetName val="私人收據"/>
      <sheetName val="上期留抵發票明細"/>
      <sheetName val="工作人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客戶編輯設定自動代出"/>
      <sheetName val="廠商編輯設定自動代出"/>
      <sheetName val="工作人員.發票格式.KEY法說明"/>
      <sheetName val="銷項"/>
      <sheetName val="中華全佑27911467-營業稅扣抵"/>
      <sheetName val="中華全佑-費用扣抵"/>
      <sheetName val="私人收據"/>
      <sheetName val="上期留抵發票明細"/>
      <sheetName val="工作表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C903"/>
  <sheetViews>
    <sheetView workbookViewId="0">
      <pane ySplit="1" topLeftCell="A680" activePane="bottomLeft" state="frozen"/>
      <selection pane="bottomLeft" activeCell="D695" sqref="D695"/>
    </sheetView>
  </sheetViews>
  <sheetFormatPr defaultColWidth="9" defaultRowHeight="15" x14ac:dyDescent="0.25"/>
  <cols>
    <col min="1" max="1" width="10.5" style="85" customWidth="1"/>
    <col min="2" max="2" width="11.875" style="85" customWidth="1"/>
    <col min="3" max="3" width="12.375" style="86" customWidth="1"/>
    <col min="4" max="16384" width="9" style="79"/>
  </cols>
  <sheetData>
    <row r="1" spans="1:3" s="59" customFormat="1" x14ac:dyDescent="0.25">
      <c r="A1" s="84" t="s">
        <v>363</v>
      </c>
      <c r="B1" s="84" t="s">
        <v>364</v>
      </c>
      <c r="C1" s="84" t="s">
        <v>365</v>
      </c>
    </row>
    <row r="2" spans="1:3" x14ac:dyDescent="0.25">
      <c r="A2" s="85">
        <v>1</v>
      </c>
      <c r="B2" s="85">
        <v>27911467</v>
      </c>
      <c r="C2" s="86" t="s">
        <v>366</v>
      </c>
    </row>
    <row r="3" spans="1:3" x14ac:dyDescent="0.25">
      <c r="A3" s="85">
        <v>2</v>
      </c>
      <c r="B3" s="85">
        <v>13356334</v>
      </c>
      <c r="C3" s="86" t="s">
        <v>135</v>
      </c>
    </row>
    <row r="4" spans="1:3" x14ac:dyDescent="0.25">
      <c r="A4" s="85">
        <v>3</v>
      </c>
      <c r="B4" s="85">
        <v>86328102</v>
      </c>
      <c r="C4" s="86" t="s">
        <v>367</v>
      </c>
    </row>
    <row r="5" spans="1:3" x14ac:dyDescent="0.25">
      <c r="A5" s="85">
        <v>4</v>
      </c>
      <c r="B5" s="85">
        <v>89323593</v>
      </c>
      <c r="C5" s="86" t="s">
        <v>368</v>
      </c>
    </row>
    <row r="6" spans="1:3" x14ac:dyDescent="0.25">
      <c r="A6" s="85">
        <v>6</v>
      </c>
      <c r="B6" s="85">
        <v>37008102</v>
      </c>
      <c r="C6" s="86" t="s">
        <v>369</v>
      </c>
    </row>
    <row r="7" spans="1:3" x14ac:dyDescent="0.25">
      <c r="A7" s="85">
        <v>7</v>
      </c>
      <c r="B7" s="85">
        <v>70700940</v>
      </c>
      <c r="C7" s="86" t="s">
        <v>370</v>
      </c>
    </row>
    <row r="8" spans="1:3" x14ac:dyDescent="0.25">
      <c r="A8" s="85">
        <v>8</v>
      </c>
      <c r="C8" s="86" t="s">
        <v>371</v>
      </c>
    </row>
    <row r="9" spans="1:3" x14ac:dyDescent="0.25">
      <c r="A9" s="85">
        <v>9</v>
      </c>
      <c r="B9" s="85">
        <v>78549932</v>
      </c>
      <c r="C9" s="86" t="s">
        <v>372</v>
      </c>
    </row>
    <row r="10" spans="1:3" x14ac:dyDescent="0.25">
      <c r="A10" s="85">
        <v>10</v>
      </c>
      <c r="B10" s="85">
        <v>98152228</v>
      </c>
      <c r="C10" s="86" t="s">
        <v>373</v>
      </c>
    </row>
    <row r="11" spans="1:3" x14ac:dyDescent="0.25">
      <c r="A11" s="85">
        <v>11</v>
      </c>
      <c r="B11" s="85">
        <v>94935622</v>
      </c>
      <c r="C11" s="86" t="s">
        <v>374</v>
      </c>
    </row>
    <row r="12" spans="1:3" x14ac:dyDescent="0.25">
      <c r="A12" s="85">
        <v>12</v>
      </c>
      <c r="B12" s="85">
        <v>80239244</v>
      </c>
      <c r="C12" s="86" t="s">
        <v>375</v>
      </c>
    </row>
    <row r="13" spans="1:3" x14ac:dyDescent="0.25">
      <c r="A13" s="85">
        <v>12</v>
      </c>
      <c r="B13" s="85">
        <v>84218410</v>
      </c>
      <c r="C13" s="86" t="s">
        <v>375</v>
      </c>
    </row>
    <row r="14" spans="1:3" x14ac:dyDescent="0.25">
      <c r="A14" s="85">
        <v>13</v>
      </c>
      <c r="B14" s="85">
        <v>28053034</v>
      </c>
      <c r="C14" s="86" t="s">
        <v>376</v>
      </c>
    </row>
    <row r="15" spans="1:3" x14ac:dyDescent="0.25">
      <c r="A15" s="85">
        <v>14</v>
      </c>
      <c r="B15" s="85">
        <v>80967051</v>
      </c>
      <c r="C15" s="86" t="s">
        <v>377</v>
      </c>
    </row>
    <row r="16" spans="1:3" x14ac:dyDescent="0.25">
      <c r="A16" s="85">
        <v>14</v>
      </c>
      <c r="B16" s="85">
        <v>53789414</v>
      </c>
      <c r="C16" s="86" t="s">
        <v>378</v>
      </c>
    </row>
    <row r="17" spans="1:3" x14ac:dyDescent="0.25">
      <c r="A17" s="85">
        <v>15</v>
      </c>
      <c r="B17" s="85">
        <v>92841607</v>
      </c>
      <c r="C17" s="86" t="s">
        <v>379</v>
      </c>
    </row>
    <row r="18" spans="1:3" x14ac:dyDescent="0.25">
      <c r="A18" s="85">
        <v>16</v>
      </c>
      <c r="B18" s="85">
        <v>23795614</v>
      </c>
      <c r="C18" s="86" t="s">
        <v>380</v>
      </c>
    </row>
    <row r="19" spans="1:3" x14ac:dyDescent="0.25">
      <c r="A19" s="85">
        <v>17</v>
      </c>
      <c r="B19" s="85">
        <v>45555665</v>
      </c>
      <c r="C19" s="86" t="s">
        <v>381</v>
      </c>
    </row>
    <row r="20" spans="1:3" x14ac:dyDescent="0.25">
      <c r="A20" s="85">
        <v>18</v>
      </c>
      <c r="B20" s="85">
        <v>84707607</v>
      </c>
      <c r="C20" s="86" t="s">
        <v>382</v>
      </c>
    </row>
    <row r="21" spans="1:3" x14ac:dyDescent="0.25">
      <c r="A21" s="85">
        <v>19</v>
      </c>
      <c r="B21" s="85">
        <v>41767672</v>
      </c>
      <c r="C21" s="86" t="s">
        <v>383</v>
      </c>
    </row>
    <row r="22" spans="1:3" x14ac:dyDescent="0.25">
      <c r="A22" s="85">
        <v>20</v>
      </c>
      <c r="B22" s="85">
        <v>49727802</v>
      </c>
      <c r="C22" s="86" t="s">
        <v>384</v>
      </c>
    </row>
    <row r="23" spans="1:3" x14ac:dyDescent="0.25">
      <c r="A23" s="85">
        <v>21</v>
      </c>
      <c r="B23" s="85">
        <v>84557403</v>
      </c>
      <c r="C23" s="86" t="s">
        <v>385</v>
      </c>
    </row>
    <row r="24" spans="1:3" x14ac:dyDescent="0.25">
      <c r="A24" s="85">
        <v>23</v>
      </c>
      <c r="B24" s="85">
        <v>24297586</v>
      </c>
      <c r="C24" s="86" t="s">
        <v>386</v>
      </c>
    </row>
    <row r="25" spans="1:3" x14ac:dyDescent="0.25">
      <c r="A25" s="85">
        <v>24</v>
      </c>
      <c r="B25" s="85">
        <v>19208705</v>
      </c>
      <c r="C25" s="86" t="s">
        <v>387</v>
      </c>
    </row>
    <row r="26" spans="1:3" x14ac:dyDescent="0.25">
      <c r="A26" s="85">
        <v>25</v>
      </c>
      <c r="B26" s="85">
        <v>28147455</v>
      </c>
      <c r="C26" s="86" t="s">
        <v>388</v>
      </c>
    </row>
    <row r="27" spans="1:3" x14ac:dyDescent="0.25">
      <c r="A27" s="85">
        <v>26</v>
      </c>
      <c r="B27" s="85">
        <v>49703344</v>
      </c>
      <c r="C27" s="86" t="s">
        <v>137</v>
      </c>
    </row>
    <row r="28" spans="1:3" x14ac:dyDescent="0.25">
      <c r="A28" s="85">
        <v>27</v>
      </c>
      <c r="B28" s="85">
        <v>76924952</v>
      </c>
      <c r="C28" s="86" t="s">
        <v>389</v>
      </c>
    </row>
    <row r="29" spans="1:3" x14ac:dyDescent="0.25">
      <c r="A29" s="85">
        <v>28</v>
      </c>
      <c r="B29" s="85">
        <v>16873022</v>
      </c>
      <c r="C29" s="86" t="s">
        <v>390</v>
      </c>
    </row>
    <row r="30" spans="1:3" x14ac:dyDescent="0.25">
      <c r="A30" s="85">
        <v>29</v>
      </c>
      <c r="B30" s="85">
        <v>13071978</v>
      </c>
      <c r="C30" s="86" t="s">
        <v>391</v>
      </c>
    </row>
    <row r="31" spans="1:3" x14ac:dyDescent="0.25">
      <c r="A31" s="85">
        <v>30</v>
      </c>
      <c r="B31" s="85">
        <v>23565845</v>
      </c>
      <c r="C31" s="86" t="s">
        <v>392</v>
      </c>
    </row>
    <row r="32" spans="1:3" x14ac:dyDescent="0.25">
      <c r="A32" s="85">
        <v>31</v>
      </c>
      <c r="B32" s="85">
        <v>97422913</v>
      </c>
      <c r="C32" s="86" t="s">
        <v>1345</v>
      </c>
    </row>
    <row r="33" spans="1:3" x14ac:dyDescent="0.25">
      <c r="A33" s="85">
        <v>32</v>
      </c>
      <c r="B33" s="85">
        <v>45311275</v>
      </c>
      <c r="C33" s="86" t="s">
        <v>394</v>
      </c>
    </row>
    <row r="34" spans="1:3" x14ac:dyDescent="0.25">
      <c r="A34" s="85">
        <v>33</v>
      </c>
      <c r="B34" s="85">
        <v>21871903</v>
      </c>
      <c r="C34" s="86" t="s">
        <v>395</v>
      </c>
    </row>
    <row r="35" spans="1:3" x14ac:dyDescent="0.25">
      <c r="A35" s="85">
        <v>34</v>
      </c>
      <c r="B35" s="85">
        <v>16699805</v>
      </c>
      <c r="C35" s="86" t="s">
        <v>396</v>
      </c>
    </row>
    <row r="36" spans="1:3" x14ac:dyDescent="0.25">
      <c r="A36" s="85">
        <v>35</v>
      </c>
      <c r="B36" s="85">
        <v>50542579</v>
      </c>
      <c r="C36" s="86" t="s">
        <v>397</v>
      </c>
    </row>
    <row r="37" spans="1:3" x14ac:dyDescent="0.25">
      <c r="A37" s="85">
        <v>36</v>
      </c>
      <c r="B37" s="85">
        <v>49389534</v>
      </c>
      <c r="C37" s="86" t="s">
        <v>398</v>
      </c>
    </row>
    <row r="38" spans="1:3" x14ac:dyDescent="0.25">
      <c r="A38" s="85">
        <v>37</v>
      </c>
      <c r="B38" s="85">
        <v>49817347</v>
      </c>
      <c r="C38" s="86" t="s">
        <v>399</v>
      </c>
    </row>
    <row r="39" spans="1:3" x14ac:dyDescent="0.25">
      <c r="A39" s="85">
        <v>38</v>
      </c>
      <c r="B39" s="85">
        <v>13422974</v>
      </c>
      <c r="C39" s="86" t="s">
        <v>400</v>
      </c>
    </row>
    <row r="40" spans="1:3" x14ac:dyDescent="0.25">
      <c r="A40" s="85">
        <v>39</v>
      </c>
      <c r="B40" s="85">
        <v>80140475</v>
      </c>
      <c r="C40" s="86" t="s">
        <v>401</v>
      </c>
    </row>
    <row r="41" spans="1:3" x14ac:dyDescent="0.25">
      <c r="A41" s="85">
        <v>39</v>
      </c>
      <c r="B41" s="85">
        <v>12716249</v>
      </c>
      <c r="C41" s="86" t="s">
        <v>402</v>
      </c>
    </row>
    <row r="42" spans="1:3" x14ac:dyDescent="0.25">
      <c r="A42" s="85">
        <v>39</v>
      </c>
      <c r="B42" s="85">
        <v>16680019</v>
      </c>
      <c r="C42" s="86" t="s">
        <v>403</v>
      </c>
    </row>
    <row r="43" spans="1:3" x14ac:dyDescent="0.25">
      <c r="A43" s="85">
        <v>39</v>
      </c>
      <c r="B43" s="85">
        <v>10059704</v>
      </c>
      <c r="C43" s="86" t="s">
        <v>404</v>
      </c>
    </row>
    <row r="44" spans="1:3" x14ac:dyDescent="0.25">
      <c r="A44" s="85">
        <v>40</v>
      </c>
      <c r="B44" s="85">
        <v>84978474</v>
      </c>
      <c r="C44" s="86" t="s">
        <v>405</v>
      </c>
    </row>
    <row r="45" spans="1:3" x14ac:dyDescent="0.25">
      <c r="A45" s="85">
        <v>41</v>
      </c>
      <c r="B45" s="85">
        <v>55908962</v>
      </c>
      <c r="C45" s="86" t="s">
        <v>406</v>
      </c>
    </row>
    <row r="46" spans="1:3" x14ac:dyDescent="0.25">
      <c r="A46" s="85">
        <v>42</v>
      </c>
      <c r="B46" s="85">
        <v>55764796</v>
      </c>
      <c r="C46" s="86" t="s">
        <v>407</v>
      </c>
    </row>
    <row r="47" spans="1:3" x14ac:dyDescent="0.25">
      <c r="A47" s="85">
        <v>43</v>
      </c>
      <c r="B47" s="85">
        <v>35830158</v>
      </c>
      <c r="C47" s="86" t="s">
        <v>408</v>
      </c>
    </row>
    <row r="48" spans="1:3" x14ac:dyDescent="0.25">
      <c r="A48" s="85">
        <v>44</v>
      </c>
      <c r="B48" s="85">
        <v>84834575</v>
      </c>
      <c r="C48" s="86" t="s">
        <v>409</v>
      </c>
    </row>
    <row r="49" spans="1:3" x14ac:dyDescent="0.25">
      <c r="A49" s="85">
        <v>45</v>
      </c>
      <c r="B49" s="85">
        <v>84834575</v>
      </c>
      <c r="C49" s="86" t="s">
        <v>410</v>
      </c>
    </row>
    <row r="50" spans="1:3" x14ac:dyDescent="0.25">
      <c r="A50" s="85">
        <v>46</v>
      </c>
      <c r="B50" s="85">
        <v>55908230</v>
      </c>
      <c r="C50" s="86" t="s">
        <v>411</v>
      </c>
    </row>
    <row r="51" spans="1:3" x14ac:dyDescent="0.25">
      <c r="A51" s="85">
        <v>47</v>
      </c>
      <c r="B51" s="85">
        <v>55942808</v>
      </c>
      <c r="C51" s="86" t="s">
        <v>412</v>
      </c>
    </row>
    <row r="52" spans="1:3" x14ac:dyDescent="0.25">
      <c r="A52" s="85">
        <v>48</v>
      </c>
      <c r="B52" s="85">
        <v>45366263</v>
      </c>
      <c r="C52" s="86" t="s">
        <v>413</v>
      </c>
    </row>
    <row r="53" spans="1:3" x14ac:dyDescent="0.25">
      <c r="A53" s="85">
        <v>49</v>
      </c>
      <c r="B53" s="85">
        <v>22493345</v>
      </c>
      <c r="C53" s="86" t="s">
        <v>414</v>
      </c>
    </row>
    <row r="54" spans="1:3" x14ac:dyDescent="0.25">
      <c r="A54" s="85">
        <v>50</v>
      </c>
      <c r="B54" s="85">
        <v>22496429</v>
      </c>
      <c r="C54" s="86" t="s">
        <v>415</v>
      </c>
    </row>
    <row r="55" spans="1:3" x14ac:dyDescent="0.25">
      <c r="A55" s="85">
        <v>51</v>
      </c>
      <c r="B55" s="85">
        <v>97422574</v>
      </c>
      <c r="C55" s="86" t="s">
        <v>416</v>
      </c>
    </row>
    <row r="56" spans="1:3" x14ac:dyDescent="0.25">
      <c r="A56" s="85">
        <v>52</v>
      </c>
      <c r="B56" s="85">
        <v>28873429</v>
      </c>
      <c r="C56" s="86" t="s">
        <v>417</v>
      </c>
    </row>
    <row r="57" spans="1:3" x14ac:dyDescent="0.25">
      <c r="A57" s="85">
        <v>53</v>
      </c>
      <c r="B57" s="85">
        <v>12928623</v>
      </c>
      <c r="C57" s="86" t="s">
        <v>126</v>
      </c>
    </row>
    <row r="58" spans="1:3" x14ac:dyDescent="0.25">
      <c r="A58" s="88" t="s">
        <v>1308</v>
      </c>
      <c r="B58" s="85">
        <v>54965579</v>
      </c>
      <c r="C58" s="86" t="s">
        <v>1310</v>
      </c>
    </row>
    <row r="59" spans="1:3" ht="16.5" customHeight="1" x14ac:dyDescent="0.25">
      <c r="A59" s="88" t="s">
        <v>1309</v>
      </c>
      <c r="B59" s="85">
        <v>89659962</v>
      </c>
      <c r="C59" s="86" t="s">
        <v>418</v>
      </c>
    </row>
    <row r="60" spans="1:3" x14ac:dyDescent="0.25">
      <c r="A60" s="85">
        <v>55</v>
      </c>
      <c r="B60" s="85">
        <v>33928331</v>
      </c>
      <c r="C60" s="86" t="s">
        <v>419</v>
      </c>
    </row>
    <row r="61" spans="1:3" x14ac:dyDescent="0.25">
      <c r="A61" s="85">
        <v>56</v>
      </c>
      <c r="B61" s="85">
        <v>22542535</v>
      </c>
      <c r="C61" s="86" t="s">
        <v>420</v>
      </c>
    </row>
    <row r="62" spans="1:3" x14ac:dyDescent="0.25">
      <c r="A62" s="85">
        <v>58</v>
      </c>
      <c r="B62" s="85">
        <v>13007548</v>
      </c>
      <c r="C62" s="86" t="s">
        <v>421</v>
      </c>
    </row>
    <row r="63" spans="1:3" x14ac:dyDescent="0.25">
      <c r="A63" s="85">
        <v>60</v>
      </c>
      <c r="B63" s="85">
        <v>45654692</v>
      </c>
      <c r="C63" s="86" t="s">
        <v>422</v>
      </c>
    </row>
    <row r="64" spans="1:3" x14ac:dyDescent="0.25">
      <c r="A64" s="85">
        <v>61</v>
      </c>
      <c r="B64" s="85">
        <v>50516214</v>
      </c>
      <c r="C64" s="86" t="s">
        <v>423</v>
      </c>
    </row>
    <row r="65" spans="1:3" x14ac:dyDescent="0.25">
      <c r="A65" s="85">
        <v>62</v>
      </c>
      <c r="B65" s="85">
        <v>28101628</v>
      </c>
      <c r="C65" s="86" t="s">
        <v>424</v>
      </c>
    </row>
    <row r="66" spans="1:3" x14ac:dyDescent="0.25">
      <c r="A66" s="85">
        <v>63</v>
      </c>
      <c r="B66" s="85">
        <v>50511800</v>
      </c>
      <c r="C66" s="86" t="s">
        <v>425</v>
      </c>
    </row>
    <row r="67" spans="1:3" x14ac:dyDescent="0.25">
      <c r="A67" s="85">
        <v>64</v>
      </c>
      <c r="B67" s="85">
        <v>21491798</v>
      </c>
      <c r="C67" s="86" t="s">
        <v>426</v>
      </c>
    </row>
    <row r="68" spans="1:3" x14ac:dyDescent="0.25">
      <c r="A68" s="85">
        <v>65</v>
      </c>
      <c r="B68" s="85">
        <v>39676282</v>
      </c>
      <c r="C68" s="86" t="s">
        <v>427</v>
      </c>
    </row>
    <row r="69" spans="1:3" x14ac:dyDescent="0.25">
      <c r="A69" s="85">
        <v>66</v>
      </c>
      <c r="B69" s="85">
        <v>16752907</v>
      </c>
      <c r="C69" s="86" t="s">
        <v>428</v>
      </c>
    </row>
    <row r="70" spans="1:3" x14ac:dyDescent="0.25">
      <c r="A70" s="85">
        <v>67</v>
      </c>
      <c r="B70" s="85">
        <v>45823965</v>
      </c>
      <c r="C70" s="86" t="s">
        <v>429</v>
      </c>
    </row>
    <row r="71" spans="1:3" x14ac:dyDescent="0.25">
      <c r="A71" s="85">
        <v>68</v>
      </c>
      <c r="B71" s="85">
        <v>98786399</v>
      </c>
      <c r="C71" s="86" t="s">
        <v>430</v>
      </c>
    </row>
    <row r="72" spans="1:3" x14ac:dyDescent="0.25">
      <c r="A72" s="85">
        <v>69</v>
      </c>
      <c r="B72" s="87" t="s">
        <v>431</v>
      </c>
      <c r="C72" s="86" t="s">
        <v>432</v>
      </c>
    </row>
    <row r="73" spans="1:3" x14ac:dyDescent="0.25">
      <c r="A73" s="85">
        <v>70</v>
      </c>
      <c r="B73" s="85">
        <v>49810267</v>
      </c>
      <c r="C73" s="86" t="s">
        <v>433</v>
      </c>
    </row>
    <row r="74" spans="1:3" x14ac:dyDescent="0.25">
      <c r="A74" s="85">
        <v>72</v>
      </c>
      <c r="B74" s="87" t="s">
        <v>434</v>
      </c>
      <c r="C74" s="86" t="s">
        <v>435</v>
      </c>
    </row>
    <row r="75" spans="1:3" x14ac:dyDescent="0.25">
      <c r="A75" s="85">
        <v>73</v>
      </c>
      <c r="B75" s="85">
        <v>24634341</v>
      </c>
      <c r="C75" s="86" t="s">
        <v>436</v>
      </c>
    </row>
    <row r="76" spans="1:3" x14ac:dyDescent="0.25">
      <c r="A76" s="85">
        <v>74</v>
      </c>
      <c r="B76" s="85">
        <v>50160585</v>
      </c>
      <c r="C76" s="86" t="s">
        <v>437</v>
      </c>
    </row>
    <row r="77" spans="1:3" x14ac:dyDescent="0.25">
      <c r="A77" s="85">
        <v>75</v>
      </c>
      <c r="B77" s="87" t="s">
        <v>431</v>
      </c>
      <c r="C77" s="86" t="s">
        <v>438</v>
      </c>
    </row>
    <row r="78" spans="1:3" x14ac:dyDescent="0.25">
      <c r="A78" s="85">
        <v>76</v>
      </c>
      <c r="B78" s="85">
        <v>22496429</v>
      </c>
      <c r="C78" s="86" t="s">
        <v>439</v>
      </c>
    </row>
    <row r="79" spans="1:3" x14ac:dyDescent="0.25">
      <c r="A79" s="85">
        <v>77</v>
      </c>
      <c r="B79" s="87" t="s">
        <v>440</v>
      </c>
      <c r="C79" s="86" t="s">
        <v>441</v>
      </c>
    </row>
    <row r="80" spans="1:3" x14ac:dyDescent="0.25">
      <c r="A80" s="85">
        <v>78</v>
      </c>
      <c r="B80" s="85">
        <v>84599473</v>
      </c>
      <c r="C80" s="86" t="s">
        <v>442</v>
      </c>
    </row>
    <row r="81" spans="1:3" x14ac:dyDescent="0.25">
      <c r="A81" s="85">
        <v>79</v>
      </c>
      <c r="B81" s="85">
        <v>22204680</v>
      </c>
      <c r="C81" s="86" t="s">
        <v>443</v>
      </c>
    </row>
    <row r="82" spans="1:3" x14ac:dyDescent="0.25">
      <c r="A82" s="85">
        <v>80</v>
      </c>
      <c r="B82" s="85">
        <v>84177092</v>
      </c>
      <c r="C82" s="86" t="s">
        <v>444</v>
      </c>
    </row>
    <row r="83" spans="1:3" x14ac:dyDescent="0.25">
      <c r="A83" s="85">
        <v>81</v>
      </c>
      <c r="B83" s="85">
        <v>45552013</v>
      </c>
      <c r="C83" s="86" t="s">
        <v>445</v>
      </c>
    </row>
    <row r="84" spans="1:3" x14ac:dyDescent="0.25">
      <c r="A84" s="85">
        <v>82</v>
      </c>
      <c r="B84" s="85">
        <v>86650880</v>
      </c>
      <c r="C84" s="86" t="s">
        <v>446</v>
      </c>
    </row>
    <row r="85" spans="1:3" x14ac:dyDescent="0.25">
      <c r="A85" s="85">
        <v>83</v>
      </c>
      <c r="B85" s="85">
        <v>47289215</v>
      </c>
      <c r="C85" s="86" t="s">
        <v>447</v>
      </c>
    </row>
    <row r="86" spans="1:3" x14ac:dyDescent="0.25">
      <c r="A86" s="88" t="s">
        <v>1360</v>
      </c>
      <c r="B86" s="85">
        <v>97419282</v>
      </c>
      <c r="C86" s="86" t="s">
        <v>448</v>
      </c>
    </row>
    <row r="87" spans="1:3" x14ac:dyDescent="0.25">
      <c r="A87" s="85">
        <v>85</v>
      </c>
      <c r="B87" s="85">
        <v>81916735</v>
      </c>
      <c r="C87" s="86" t="s">
        <v>449</v>
      </c>
    </row>
    <row r="88" spans="1:3" x14ac:dyDescent="0.25">
      <c r="A88" s="85">
        <v>86</v>
      </c>
      <c r="B88" s="85">
        <v>53987126</v>
      </c>
      <c r="C88" s="86" t="s">
        <v>450</v>
      </c>
    </row>
    <row r="89" spans="1:3" x14ac:dyDescent="0.25">
      <c r="A89" s="85">
        <v>87</v>
      </c>
      <c r="B89" s="85">
        <v>13040933</v>
      </c>
      <c r="C89" s="86" t="s">
        <v>451</v>
      </c>
    </row>
    <row r="90" spans="1:3" x14ac:dyDescent="0.25">
      <c r="A90" s="85">
        <v>88</v>
      </c>
      <c r="B90" s="85">
        <v>55796191</v>
      </c>
      <c r="C90" s="86" t="s">
        <v>452</v>
      </c>
    </row>
    <row r="91" spans="1:3" x14ac:dyDescent="0.25">
      <c r="A91" s="85">
        <v>89</v>
      </c>
      <c r="B91" s="85" t="s">
        <v>453</v>
      </c>
      <c r="C91" s="86" t="s">
        <v>454</v>
      </c>
    </row>
    <row r="92" spans="1:3" x14ac:dyDescent="0.25">
      <c r="A92" s="85">
        <v>90</v>
      </c>
      <c r="B92" s="85">
        <v>16042836</v>
      </c>
      <c r="C92" s="86" t="s">
        <v>455</v>
      </c>
    </row>
    <row r="93" spans="1:3" x14ac:dyDescent="0.25">
      <c r="A93" s="85">
        <v>91</v>
      </c>
      <c r="B93" s="85">
        <v>49741403</v>
      </c>
      <c r="C93" s="86" t="s">
        <v>456</v>
      </c>
    </row>
    <row r="94" spans="1:3" x14ac:dyDescent="0.25">
      <c r="A94" s="85">
        <v>92</v>
      </c>
      <c r="B94" s="85">
        <v>52205118</v>
      </c>
      <c r="C94" s="86" t="s">
        <v>457</v>
      </c>
    </row>
    <row r="95" spans="1:3" x14ac:dyDescent="0.25">
      <c r="A95" s="85">
        <v>93</v>
      </c>
      <c r="B95" s="85">
        <v>14429449</v>
      </c>
      <c r="C95" s="86" t="s">
        <v>458</v>
      </c>
    </row>
    <row r="96" spans="1:3" x14ac:dyDescent="0.25">
      <c r="A96" s="85">
        <v>94</v>
      </c>
      <c r="B96" s="85">
        <v>45373807</v>
      </c>
      <c r="C96" s="86" t="s">
        <v>459</v>
      </c>
    </row>
    <row r="97" spans="1:3" x14ac:dyDescent="0.25">
      <c r="A97" s="85">
        <v>95</v>
      </c>
      <c r="B97" s="85">
        <v>49003026</v>
      </c>
      <c r="C97" s="86" t="s">
        <v>460</v>
      </c>
    </row>
    <row r="98" spans="1:3" x14ac:dyDescent="0.25">
      <c r="A98" s="85">
        <v>96</v>
      </c>
      <c r="B98" s="85">
        <v>14227921</v>
      </c>
      <c r="C98" s="86" t="s">
        <v>461</v>
      </c>
    </row>
    <row r="99" spans="1:3" x14ac:dyDescent="0.25">
      <c r="A99" s="85">
        <v>98</v>
      </c>
      <c r="B99" s="85">
        <v>98967906</v>
      </c>
      <c r="C99" s="86" t="s">
        <v>462</v>
      </c>
    </row>
    <row r="100" spans="1:3" x14ac:dyDescent="0.25">
      <c r="A100" s="85">
        <v>101</v>
      </c>
      <c r="B100" s="85">
        <v>24392759</v>
      </c>
      <c r="C100" s="86" t="s">
        <v>463</v>
      </c>
    </row>
    <row r="101" spans="1:3" x14ac:dyDescent="0.25">
      <c r="A101" s="85">
        <v>105</v>
      </c>
      <c r="B101" s="85">
        <v>25205732</v>
      </c>
      <c r="C101" s="86" t="s">
        <v>464</v>
      </c>
    </row>
    <row r="102" spans="1:3" x14ac:dyDescent="0.25">
      <c r="A102" s="85">
        <v>106</v>
      </c>
      <c r="B102" s="85">
        <v>22404287</v>
      </c>
      <c r="C102" s="86" t="s">
        <v>465</v>
      </c>
    </row>
    <row r="103" spans="1:3" x14ac:dyDescent="0.25">
      <c r="A103" s="85">
        <v>107</v>
      </c>
      <c r="B103" s="85">
        <v>46181911</v>
      </c>
      <c r="C103" s="86" t="s">
        <v>466</v>
      </c>
    </row>
    <row r="104" spans="1:3" x14ac:dyDescent="0.25">
      <c r="A104" s="85">
        <v>108</v>
      </c>
      <c r="B104" s="85">
        <v>99905372</v>
      </c>
      <c r="C104" s="86" t="s">
        <v>467</v>
      </c>
    </row>
    <row r="105" spans="1:3" x14ac:dyDescent="0.25">
      <c r="A105" s="85">
        <v>109</v>
      </c>
      <c r="B105" s="85">
        <v>21550515</v>
      </c>
      <c r="C105" s="86" t="s">
        <v>468</v>
      </c>
    </row>
    <row r="106" spans="1:3" x14ac:dyDescent="0.25">
      <c r="A106" s="85">
        <v>110</v>
      </c>
      <c r="B106" s="85">
        <v>84316192</v>
      </c>
      <c r="C106" s="86" t="s">
        <v>469</v>
      </c>
    </row>
    <row r="107" spans="1:3" x14ac:dyDescent="0.25">
      <c r="A107" s="85">
        <v>111</v>
      </c>
      <c r="B107" s="85">
        <v>27641056</v>
      </c>
      <c r="C107" s="86" t="s">
        <v>470</v>
      </c>
    </row>
    <row r="108" spans="1:3" x14ac:dyDescent="0.25">
      <c r="A108" s="85">
        <v>112</v>
      </c>
      <c r="B108" s="87" t="s">
        <v>471</v>
      </c>
      <c r="C108" s="86" t="s">
        <v>472</v>
      </c>
    </row>
    <row r="109" spans="1:3" x14ac:dyDescent="0.25">
      <c r="A109" s="85">
        <v>113</v>
      </c>
      <c r="B109" s="85">
        <v>49726472</v>
      </c>
      <c r="C109" s="86" t="s">
        <v>473</v>
      </c>
    </row>
    <row r="110" spans="1:3" x14ac:dyDescent="0.25">
      <c r="A110" s="85">
        <v>114</v>
      </c>
      <c r="B110" s="85">
        <v>49726472</v>
      </c>
      <c r="C110" s="86" t="s">
        <v>474</v>
      </c>
    </row>
    <row r="111" spans="1:3" x14ac:dyDescent="0.25">
      <c r="A111" s="85">
        <v>115</v>
      </c>
      <c r="B111" s="85">
        <v>20195849</v>
      </c>
      <c r="C111" s="86" t="s">
        <v>475</v>
      </c>
    </row>
    <row r="112" spans="1:3" x14ac:dyDescent="0.25">
      <c r="A112" s="85">
        <v>116</v>
      </c>
      <c r="B112" s="85">
        <v>27662349</v>
      </c>
      <c r="C112" s="86" t="s">
        <v>476</v>
      </c>
    </row>
    <row r="113" spans="1:3" x14ac:dyDescent="0.25">
      <c r="A113" s="85">
        <v>117</v>
      </c>
      <c r="B113" s="85">
        <v>49781050</v>
      </c>
      <c r="C113" s="86" t="s">
        <v>477</v>
      </c>
    </row>
    <row r="114" spans="1:3" x14ac:dyDescent="0.25">
      <c r="A114" s="85">
        <v>118</v>
      </c>
      <c r="B114" s="85">
        <v>70591422</v>
      </c>
      <c r="C114" s="86" t="s">
        <v>478</v>
      </c>
    </row>
    <row r="115" spans="1:3" x14ac:dyDescent="0.25">
      <c r="A115" s="85">
        <v>119</v>
      </c>
      <c r="B115" s="85">
        <v>24247329</v>
      </c>
      <c r="C115" s="86" t="s">
        <v>479</v>
      </c>
    </row>
    <row r="116" spans="1:3" x14ac:dyDescent="0.25">
      <c r="A116" s="85">
        <v>120</v>
      </c>
      <c r="B116" s="85">
        <v>83355604</v>
      </c>
      <c r="C116" s="86" t="s">
        <v>480</v>
      </c>
    </row>
    <row r="117" spans="1:3" x14ac:dyDescent="0.25">
      <c r="A117" s="85">
        <v>121</v>
      </c>
      <c r="B117" s="85">
        <v>99674061</v>
      </c>
      <c r="C117" s="86" t="s">
        <v>481</v>
      </c>
    </row>
    <row r="118" spans="1:3" x14ac:dyDescent="0.25">
      <c r="A118" s="85">
        <v>122</v>
      </c>
      <c r="B118" s="85">
        <v>80126874</v>
      </c>
      <c r="C118" s="86" t="s">
        <v>482</v>
      </c>
    </row>
    <row r="119" spans="1:3" x14ac:dyDescent="0.25">
      <c r="A119" s="85">
        <v>123</v>
      </c>
      <c r="B119" s="85">
        <v>84881268</v>
      </c>
      <c r="C119" s="86" t="s">
        <v>483</v>
      </c>
    </row>
    <row r="120" spans="1:3" x14ac:dyDescent="0.25">
      <c r="A120" s="85">
        <v>124</v>
      </c>
      <c r="B120" s="85">
        <v>12275995</v>
      </c>
      <c r="C120" s="86" t="s">
        <v>484</v>
      </c>
    </row>
    <row r="121" spans="1:3" x14ac:dyDescent="0.25">
      <c r="A121" s="85">
        <v>125</v>
      </c>
      <c r="B121" s="85">
        <v>16926082</v>
      </c>
      <c r="C121" s="86" t="s">
        <v>64</v>
      </c>
    </row>
    <row r="122" spans="1:3" x14ac:dyDescent="0.25">
      <c r="A122" s="85">
        <v>126</v>
      </c>
      <c r="B122" s="85">
        <v>86927660</v>
      </c>
      <c r="C122" s="86" t="s">
        <v>485</v>
      </c>
    </row>
    <row r="123" spans="1:3" x14ac:dyDescent="0.25">
      <c r="A123" s="85">
        <v>127</v>
      </c>
      <c r="B123" s="85">
        <v>96857452</v>
      </c>
      <c r="C123" s="86" t="s">
        <v>486</v>
      </c>
    </row>
    <row r="124" spans="1:3" x14ac:dyDescent="0.25">
      <c r="A124" s="85">
        <v>129</v>
      </c>
      <c r="B124" s="85">
        <v>54547597</v>
      </c>
      <c r="C124" s="86" t="s">
        <v>487</v>
      </c>
    </row>
    <row r="125" spans="1:3" x14ac:dyDescent="0.25">
      <c r="A125" s="85">
        <v>131</v>
      </c>
      <c r="B125" s="85">
        <v>99870367</v>
      </c>
      <c r="C125" s="86" t="s">
        <v>488</v>
      </c>
    </row>
    <row r="126" spans="1:3" x14ac:dyDescent="0.25">
      <c r="A126" s="85">
        <v>132</v>
      </c>
      <c r="B126" s="85">
        <v>50401705</v>
      </c>
      <c r="C126" s="86" t="s">
        <v>489</v>
      </c>
    </row>
    <row r="127" spans="1:3" x14ac:dyDescent="0.25">
      <c r="A127" s="85">
        <v>133</v>
      </c>
      <c r="B127" s="85">
        <v>49744871</v>
      </c>
      <c r="C127" s="86" t="s">
        <v>490</v>
      </c>
    </row>
    <row r="128" spans="1:3" x14ac:dyDescent="0.25">
      <c r="A128" s="85">
        <v>134</v>
      </c>
      <c r="B128" s="85">
        <v>27821058</v>
      </c>
      <c r="C128" s="86" t="s">
        <v>491</v>
      </c>
    </row>
    <row r="129" spans="1:3" x14ac:dyDescent="0.25">
      <c r="A129" s="85">
        <v>135</v>
      </c>
      <c r="B129" s="88" t="s">
        <v>492</v>
      </c>
      <c r="C129" s="86" t="s">
        <v>493</v>
      </c>
    </row>
    <row r="130" spans="1:3" x14ac:dyDescent="0.25">
      <c r="A130" s="85">
        <v>136</v>
      </c>
      <c r="B130" s="85">
        <v>49725543</v>
      </c>
      <c r="C130" s="86" t="s">
        <v>494</v>
      </c>
    </row>
    <row r="131" spans="1:3" x14ac:dyDescent="0.25">
      <c r="A131" s="85">
        <v>137</v>
      </c>
      <c r="B131" s="85">
        <v>53798954</v>
      </c>
      <c r="C131" s="86" t="s">
        <v>495</v>
      </c>
    </row>
    <row r="132" spans="1:3" x14ac:dyDescent="0.25">
      <c r="A132" s="85">
        <v>138</v>
      </c>
      <c r="B132" s="85">
        <v>89987022</v>
      </c>
      <c r="C132" s="86" t="s">
        <v>496</v>
      </c>
    </row>
    <row r="133" spans="1:3" x14ac:dyDescent="0.25">
      <c r="A133" s="85">
        <v>139</v>
      </c>
      <c r="B133" s="85">
        <v>47217640</v>
      </c>
      <c r="C133" s="86" t="s">
        <v>497</v>
      </c>
    </row>
    <row r="134" spans="1:3" x14ac:dyDescent="0.25">
      <c r="A134" s="85">
        <v>140</v>
      </c>
      <c r="B134" s="85">
        <v>99661740</v>
      </c>
      <c r="C134" s="86" t="s">
        <v>498</v>
      </c>
    </row>
    <row r="135" spans="1:3" x14ac:dyDescent="0.25">
      <c r="A135" s="85">
        <v>141</v>
      </c>
      <c r="B135" s="85">
        <v>99661740</v>
      </c>
      <c r="C135" s="86" t="s">
        <v>499</v>
      </c>
    </row>
    <row r="136" spans="1:3" x14ac:dyDescent="0.25">
      <c r="A136" s="85">
        <v>142</v>
      </c>
      <c r="B136" s="85">
        <v>80453736</v>
      </c>
      <c r="C136" s="86" t="s">
        <v>500</v>
      </c>
    </row>
    <row r="137" spans="1:3" x14ac:dyDescent="0.25">
      <c r="A137" s="85">
        <v>145</v>
      </c>
      <c r="B137" s="85">
        <v>49726472</v>
      </c>
      <c r="C137" s="86" t="s">
        <v>501</v>
      </c>
    </row>
    <row r="138" spans="1:3" x14ac:dyDescent="0.25">
      <c r="A138" s="85">
        <v>146</v>
      </c>
      <c r="B138" s="85">
        <v>34546135</v>
      </c>
      <c r="C138" s="86" t="s">
        <v>502</v>
      </c>
    </row>
    <row r="139" spans="1:3" x14ac:dyDescent="0.25">
      <c r="A139" s="85">
        <v>147</v>
      </c>
      <c r="B139" s="85">
        <v>55028880</v>
      </c>
      <c r="C139" s="86" t="s">
        <v>503</v>
      </c>
    </row>
    <row r="140" spans="1:3" x14ac:dyDescent="0.25">
      <c r="A140" s="85">
        <v>148</v>
      </c>
      <c r="B140" s="85">
        <v>81047602</v>
      </c>
      <c r="C140" s="86" t="s">
        <v>504</v>
      </c>
    </row>
    <row r="141" spans="1:3" x14ac:dyDescent="0.25">
      <c r="A141" s="85">
        <v>150</v>
      </c>
      <c r="B141" s="85">
        <v>50548757</v>
      </c>
      <c r="C141" s="86" t="s">
        <v>505</v>
      </c>
    </row>
    <row r="142" spans="1:3" x14ac:dyDescent="0.25">
      <c r="A142" s="85">
        <v>151</v>
      </c>
      <c r="B142" s="85">
        <v>45681282</v>
      </c>
      <c r="C142" s="86" t="s">
        <v>506</v>
      </c>
    </row>
    <row r="143" spans="1:3" x14ac:dyDescent="0.25">
      <c r="A143" s="85">
        <v>152</v>
      </c>
      <c r="B143" s="85">
        <v>16948059</v>
      </c>
      <c r="C143" s="86" t="s">
        <v>507</v>
      </c>
    </row>
    <row r="144" spans="1:3" x14ac:dyDescent="0.25">
      <c r="A144" s="85">
        <v>153</v>
      </c>
      <c r="B144" s="85">
        <v>14223235</v>
      </c>
      <c r="C144" s="86" t="s">
        <v>508</v>
      </c>
    </row>
    <row r="145" spans="1:3" x14ac:dyDescent="0.25">
      <c r="A145" s="85">
        <v>154</v>
      </c>
      <c r="B145" s="85">
        <v>16327679</v>
      </c>
      <c r="C145" s="86" t="s">
        <v>509</v>
      </c>
    </row>
    <row r="146" spans="1:3" x14ac:dyDescent="0.25">
      <c r="A146" s="85">
        <v>155</v>
      </c>
      <c r="B146" s="85">
        <v>21891231</v>
      </c>
      <c r="C146" s="86" t="s">
        <v>510</v>
      </c>
    </row>
    <row r="147" spans="1:3" x14ac:dyDescent="0.25">
      <c r="A147" s="85">
        <v>157</v>
      </c>
      <c r="B147" s="85">
        <v>24286764</v>
      </c>
      <c r="C147" s="86" t="s">
        <v>511</v>
      </c>
    </row>
    <row r="148" spans="1:3" x14ac:dyDescent="0.25">
      <c r="A148" s="85">
        <v>158</v>
      </c>
      <c r="B148" s="85">
        <v>97295992</v>
      </c>
      <c r="C148" s="86" t="s">
        <v>512</v>
      </c>
    </row>
    <row r="149" spans="1:3" x14ac:dyDescent="0.25">
      <c r="A149" s="85">
        <v>159</v>
      </c>
      <c r="B149" s="85">
        <v>13355166</v>
      </c>
      <c r="C149" s="86" t="s">
        <v>513</v>
      </c>
    </row>
    <row r="150" spans="1:3" x14ac:dyDescent="0.25">
      <c r="A150" s="85">
        <v>160</v>
      </c>
      <c r="B150" s="85">
        <v>23269056</v>
      </c>
      <c r="C150" s="86" t="s">
        <v>514</v>
      </c>
    </row>
    <row r="151" spans="1:3" x14ac:dyDescent="0.25">
      <c r="A151" s="85">
        <v>161</v>
      </c>
      <c r="B151" s="85">
        <v>21439647</v>
      </c>
      <c r="C151" s="86" t="s">
        <v>515</v>
      </c>
    </row>
    <row r="152" spans="1:3" x14ac:dyDescent="0.25">
      <c r="A152" s="85">
        <v>163</v>
      </c>
      <c r="B152" s="85">
        <v>88809823</v>
      </c>
      <c r="C152" s="86" t="s">
        <v>516</v>
      </c>
    </row>
    <row r="153" spans="1:3" x14ac:dyDescent="0.25">
      <c r="A153" s="85">
        <v>164</v>
      </c>
      <c r="B153" s="85">
        <v>16358623</v>
      </c>
      <c r="C153" s="86" t="s">
        <v>517</v>
      </c>
    </row>
    <row r="154" spans="1:3" x14ac:dyDescent="0.25">
      <c r="A154" s="85">
        <v>164</v>
      </c>
      <c r="B154" s="85">
        <v>81096758</v>
      </c>
      <c r="C154" s="86" t="s">
        <v>518</v>
      </c>
    </row>
    <row r="155" spans="1:3" x14ac:dyDescent="0.25">
      <c r="A155" s="85">
        <v>165</v>
      </c>
      <c r="B155" s="85">
        <v>28458788</v>
      </c>
      <c r="C155" s="86" t="s">
        <v>519</v>
      </c>
    </row>
    <row r="156" spans="1:3" x14ac:dyDescent="0.25">
      <c r="A156" s="85">
        <v>166</v>
      </c>
      <c r="B156" s="85">
        <v>12662709</v>
      </c>
      <c r="C156" s="86" t="s">
        <v>520</v>
      </c>
    </row>
    <row r="157" spans="1:3" x14ac:dyDescent="0.25">
      <c r="A157" s="85">
        <v>167</v>
      </c>
      <c r="B157" s="85">
        <v>49709635</v>
      </c>
      <c r="C157" s="86" t="s">
        <v>521</v>
      </c>
    </row>
    <row r="158" spans="1:3" x14ac:dyDescent="0.25">
      <c r="A158" s="85">
        <v>168</v>
      </c>
      <c r="B158" s="85">
        <v>49720343</v>
      </c>
      <c r="C158" s="86" t="s">
        <v>522</v>
      </c>
    </row>
    <row r="159" spans="1:3" x14ac:dyDescent="0.25">
      <c r="A159" s="85">
        <v>169</v>
      </c>
      <c r="B159" s="85">
        <v>97871761</v>
      </c>
      <c r="C159" s="86" t="s">
        <v>523</v>
      </c>
    </row>
    <row r="160" spans="1:3" x14ac:dyDescent="0.25">
      <c r="A160" s="85">
        <v>170</v>
      </c>
      <c r="B160" s="85">
        <v>17189479</v>
      </c>
      <c r="C160" s="86" t="s">
        <v>524</v>
      </c>
    </row>
    <row r="161" spans="1:3" x14ac:dyDescent="0.25">
      <c r="A161" s="85">
        <v>171</v>
      </c>
      <c r="B161" s="85">
        <v>16719507</v>
      </c>
      <c r="C161" s="86" t="s">
        <v>525</v>
      </c>
    </row>
    <row r="162" spans="1:3" x14ac:dyDescent="0.25">
      <c r="A162" s="85">
        <v>172</v>
      </c>
      <c r="B162" s="85">
        <v>35466307</v>
      </c>
      <c r="C162" s="86" t="s">
        <v>526</v>
      </c>
    </row>
    <row r="163" spans="1:3" x14ac:dyDescent="0.25">
      <c r="A163" s="85">
        <v>173</v>
      </c>
      <c r="B163" s="85">
        <v>70642864</v>
      </c>
      <c r="C163" s="86" t="s">
        <v>527</v>
      </c>
    </row>
    <row r="164" spans="1:3" x14ac:dyDescent="0.25">
      <c r="A164" s="85">
        <v>174</v>
      </c>
      <c r="B164" s="85">
        <v>16062017</v>
      </c>
      <c r="C164" s="86" t="s">
        <v>528</v>
      </c>
    </row>
    <row r="165" spans="1:3" x14ac:dyDescent="0.25">
      <c r="A165" s="85">
        <v>175</v>
      </c>
      <c r="B165" s="85">
        <v>97224771</v>
      </c>
      <c r="C165" s="86" t="s">
        <v>529</v>
      </c>
    </row>
    <row r="166" spans="1:3" x14ac:dyDescent="0.25">
      <c r="A166" s="85">
        <v>176</v>
      </c>
      <c r="B166" s="85">
        <v>19214805</v>
      </c>
      <c r="C166" s="86" t="s">
        <v>530</v>
      </c>
    </row>
    <row r="167" spans="1:3" x14ac:dyDescent="0.25">
      <c r="A167" s="85">
        <v>177</v>
      </c>
      <c r="B167" s="85">
        <v>86925403</v>
      </c>
      <c r="C167" s="86" t="s">
        <v>531</v>
      </c>
    </row>
    <row r="168" spans="1:3" x14ac:dyDescent="0.25">
      <c r="A168" s="85">
        <v>179</v>
      </c>
      <c r="B168" s="85">
        <v>87448695</v>
      </c>
      <c r="C168" s="86" t="s">
        <v>532</v>
      </c>
    </row>
    <row r="169" spans="1:3" x14ac:dyDescent="0.25">
      <c r="A169" s="85">
        <v>180</v>
      </c>
      <c r="B169" s="85">
        <v>42776004</v>
      </c>
      <c r="C169" s="86" t="s">
        <v>533</v>
      </c>
    </row>
    <row r="170" spans="1:3" x14ac:dyDescent="0.25">
      <c r="A170" s="85">
        <v>181</v>
      </c>
      <c r="B170" s="85">
        <v>19198951</v>
      </c>
      <c r="C170" s="86" t="s">
        <v>534</v>
      </c>
    </row>
    <row r="171" spans="1:3" x14ac:dyDescent="0.25">
      <c r="A171" s="85">
        <v>182</v>
      </c>
      <c r="B171" s="85">
        <v>28075537</v>
      </c>
      <c r="C171" s="86" t="s">
        <v>125</v>
      </c>
    </row>
    <row r="172" spans="1:3" x14ac:dyDescent="0.25">
      <c r="A172" s="85">
        <v>183</v>
      </c>
      <c r="B172" s="85">
        <v>46183811</v>
      </c>
      <c r="C172" s="86" t="s">
        <v>535</v>
      </c>
    </row>
    <row r="173" spans="1:3" x14ac:dyDescent="0.25">
      <c r="A173" s="85">
        <v>184</v>
      </c>
      <c r="B173" s="85">
        <v>47027395</v>
      </c>
      <c r="C173" s="86" t="s">
        <v>536</v>
      </c>
    </row>
    <row r="174" spans="1:3" x14ac:dyDescent="0.25">
      <c r="A174" s="85">
        <v>185</v>
      </c>
      <c r="B174" s="85">
        <v>16416617</v>
      </c>
      <c r="C174" s="86" t="s">
        <v>537</v>
      </c>
    </row>
    <row r="175" spans="1:3" x14ac:dyDescent="0.25">
      <c r="A175" s="85">
        <v>187</v>
      </c>
      <c r="B175" s="85">
        <v>50525065</v>
      </c>
      <c r="C175" s="86" t="s">
        <v>538</v>
      </c>
    </row>
    <row r="176" spans="1:3" x14ac:dyDescent="0.25">
      <c r="A176" s="85">
        <v>188</v>
      </c>
      <c r="B176" s="85">
        <v>16450972</v>
      </c>
      <c r="C176" s="86" t="s">
        <v>539</v>
      </c>
    </row>
    <row r="177" spans="1:3" x14ac:dyDescent="0.25">
      <c r="A177" s="85">
        <v>189</v>
      </c>
      <c r="B177" s="85">
        <v>49671271</v>
      </c>
      <c r="C177" s="86" t="s">
        <v>540</v>
      </c>
    </row>
    <row r="178" spans="1:3" x14ac:dyDescent="0.25">
      <c r="A178" s="85">
        <v>190</v>
      </c>
      <c r="B178" s="85">
        <v>65803299</v>
      </c>
      <c r="C178" s="86" t="s">
        <v>541</v>
      </c>
    </row>
    <row r="179" spans="1:3" x14ac:dyDescent="0.25">
      <c r="A179" s="85">
        <v>190</v>
      </c>
      <c r="B179" s="85">
        <v>16909231</v>
      </c>
      <c r="C179" s="86" t="s">
        <v>542</v>
      </c>
    </row>
    <row r="180" spans="1:3" x14ac:dyDescent="0.25">
      <c r="A180" s="85">
        <v>191</v>
      </c>
      <c r="B180" s="85">
        <v>13340880</v>
      </c>
      <c r="C180" s="86" t="s">
        <v>543</v>
      </c>
    </row>
    <row r="181" spans="1:3" x14ac:dyDescent="0.25">
      <c r="A181" s="85">
        <v>192</v>
      </c>
      <c r="B181" s="85">
        <v>99661381</v>
      </c>
      <c r="C181" s="86" t="s">
        <v>544</v>
      </c>
    </row>
    <row r="182" spans="1:3" x14ac:dyDescent="0.25">
      <c r="A182" s="85">
        <v>194</v>
      </c>
      <c r="B182" s="85">
        <v>13342439</v>
      </c>
      <c r="C182" s="86" t="s">
        <v>545</v>
      </c>
    </row>
    <row r="183" spans="1:3" x14ac:dyDescent="0.25">
      <c r="A183" s="85">
        <v>195</v>
      </c>
      <c r="B183" s="85">
        <v>19852654</v>
      </c>
      <c r="C183" s="86" t="s">
        <v>546</v>
      </c>
    </row>
    <row r="184" spans="1:3" x14ac:dyDescent="0.25">
      <c r="A184" s="85">
        <v>197</v>
      </c>
      <c r="B184" s="85">
        <v>50547997</v>
      </c>
      <c r="C184" s="86" t="s">
        <v>547</v>
      </c>
    </row>
    <row r="185" spans="1:3" x14ac:dyDescent="0.25">
      <c r="A185" s="85">
        <v>198</v>
      </c>
      <c r="B185" s="85">
        <v>16672926</v>
      </c>
      <c r="C185" s="86" t="s">
        <v>548</v>
      </c>
    </row>
    <row r="186" spans="1:3" x14ac:dyDescent="0.25">
      <c r="A186" s="85">
        <v>199</v>
      </c>
      <c r="B186" s="85">
        <v>28912035</v>
      </c>
      <c r="C186" s="86" t="s">
        <v>549</v>
      </c>
    </row>
    <row r="187" spans="1:3" x14ac:dyDescent="0.25">
      <c r="A187" s="85">
        <v>201</v>
      </c>
      <c r="B187" s="85">
        <v>47201372</v>
      </c>
      <c r="C187" s="86" t="s">
        <v>550</v>
      </c>
    </row>
    <row r="188" spans="1:3" x14ac:dyDescent="0.25">
      <c r="A188" s="85">
        <v>202</v>
      </c>
      <c r="B188" s="85">
        <v>50520815</v>
      </c>
      <c r="C188" s="86" t="s">
        <v>551</v>
      </c>
    </row>
    <row r="189" spans="1:3" x14ac:dyDescent="0.25">
      <c r="A189" s="85">
        <v>203</v>
      </c>
      <c r="B189" s="85">
        <v>84982863</v>
      </c>
      <c r="C189" s="86" t="s">
        <v>552</v>
      </c>
    </row>
    <row r="190" spans="1:3" x14ac:dyDescent="0.25">
      <c r="A190" s="85">
        <v>204</v>
      </c>
      <c r="B190" s="85">
        <v>84397363</v>
      </c>
      <c r="C190" s="86" t="s">
        <v>553</v>
      </c>
    </row>
    <row r="191" spans="1:3" x14ac:dyDescent="0.25">
      <c r="A191" s="85">
        <v>205</v>
      </c>
      <c r="B191" s="85">
        <v>49714460</v>
      </c>
      <c r="C191" s="86" t="s">
        <v>554</v>
      </c>
    </row>
    <row r="192" spans="1:3" x14ac:dyDescent="0.25">
      <c r="A192" s="85">
        <v>206</v>
      </c>
      <c r="B192" s="85">
        <v>47244061</v>
      </c>
      <c r="C192" s="86" t="s">
        <v>555</v>
      </c>
    </row>
    <row r="193" spans="1:3" x14ac:dyDescent="0.25">
      <c r="A193" s="85">
        <v>207</v>
      </c>
      <c r="B193" s="85">
        <v>50515159</v>
      </c>
      <c r="C193" s="86" t="s">
        <v>556</v>
      </c>
    </row>
    <row r="194" spans="1:3" x14ac:dyDescent="0.25">
      <c r="A194" s="85">
        <v>208</v>
      </c>
      <c r="B194" s="85">
        <v>21404020</v>
      </c>
      <c r="C194" s="86" t="s">
        <v>557</v>
      </c>
    </row>
    <row r="195" spans="1:3" x14ac:dyDescent="0.25">
      <c r="A195" s="85">
        <v>209</v>
      </c>
      <c r="B195" s="85">
        <v>76929231</v>
      </c>
      <c r="C195" s="86" t="s">
        <v>558</v>
      </c>
    </row>
    <row r="196" spans="1:3" x14ac:dyDescent="0.25">
      <c r="A196" s="85">
        <v>210</v>
      </c>
      <c r="B196" s="85">
        <v>49726472</v>
      </c>
      <c r="C196" s="86" t="s">
        <v>559</v>
      </c>
    </row>
    <row r="197" spans="1:3" x14ac:dyDescent="0.25">
      <c r="A197" s="85">
        <v>211</v>
      </c>
      <c r="B197" s="85">
        <v>22481158</v>
      </c>
      <c r="C197" s="86" t="s">
        <v>560</v>
      </c>
    </row>
    <row r="198" spans="1:3" x14ac:dyDescent="0.25">
      <c r="A198" s="85">
        <v>212</v>
      </c>
      <c r="B198" s="85">
        <v>23884453</v>
      </c>
      <c r="C198" s="86" t="s">
        <v>561</v>
      </c>
    </row>
    <row r="199" spans="1:3" x14ac:dyDescent="0.25">
      <c r="A199" s="85">
        <v>214</v>
      </c>
      <c r="B199" s="85">
        <v>22663404</v>
      </c>
      <c r="C199" s="86" t="s">
        <v>562</v>
      </c>
    </row>
    <row r="200" spans="1:3" x14ac:dyDescent="0.25">
      <c r="A200" s="85">
        <v>215</v>
      </c>
      <c r="B200" s="85">
        <v>50514362</v>
      </c>
      <c r="C200" s="86" t="s">
        <v>563</v>
      </c>
    </row>
    <row r="201" spans="1:3" x14ac:dyDescent="0.25">
      <c r="A201" s="85">
        <v>217</v>
      </c>
      <c r="B201" s="85">
        <v>44994505</v>
      </c>
      <c r="C201" s="86" t="s">
        <v>564</v>
      </c>
    </row>
    <row r="202" spans="1:3" x14ac:dyDescent="0.25">
      <c r="A202" s="85">
        <v>218</v>
      </c>
      <c r="B202" s="85">
        <v>49679317</v>
      </c>
      <c r="C202" s="86" t="s">
        <v>565</v>
      </c>
    </row>
    <row r="203" spans="1:3" x14ac:dyDescent="0.25">
      <c r="A203" s="85">
        <v>219</v>
      </c>
      <c r="B203" s="85">
        <v>16553490</v>
      </c>
      <c r="C203" s="86" t="s">
        <v>566</v>
      </c>
    </row>
    <row r="204" spans="1:3" x14ac:dyDescent="0.25">
      <c r="A204" s="85">
        <v>220</v>
      </c>
      <c r="B204" s="85">
        <v>66964238</v>
      </c>
      <c r="C204" s="86" t="s">
        <v>567</v>
      </c>
    </row>
    <row r="205" spans="1:3" x14ac:dyDescent="0.25">
      <c r="A205" s="85">
        <v>222</v>
      </c>
      <c r="B205" s="85">
        <v>86072306</v>
      </c>
      <c r="C205" s="86" t="s">
        <v>568</v>
      </c>
    </row>
    <row r="206" spans="1:3" x14ac:dyDescent="0.25">
      <c r="A206" s="85">
        <v>223</v>
      </c>
      <c r="B206" s="85">
        <v>25031260</v>
      </c>
      <c r="C206" s="86" t="s">
        <v>569</v>
      </c>
    </row>
    <row r="207" spans="1:3" x14ac:dyDescent="0.25">
      <c r="A207" s="85">
        <v>224</v>
      </c>
      <c r="B207" s="85">
        <v>20912716</v>
      </c>
      <c r="C207" s="86" t="s">
        <v>570</v>
      </c>
    </row>
    <row r="208" spans="1:3" x14ac:dyDescent="0.25">
      <c r="A208" s="85">
        <v>226</v>
      </c>
      <c r="B208" s="85">
        <v>17802449</v>
      </c>
      <c r="C208" s="86" t="s">
        <v>571</v>
      </c>
    </row>
    <row r="209" spans="1:3" x14ac:dyDescent="0.25">
      <c r="A209" s="85">
        <v>230</v>
      </c>
      <c r="B209" s="85">
        <v>41524207</v>
      </c>
      <c r="C209" s="86" t="s">
        <v>572</v>
      </c>
    </row>
    <row r="210" spans="1:3" x14ac:dyDescent="0.25">
      <c r="A210" s="85">
        <v>231</v>
      </c>
      <c r="B210" s="85">
        <v>45634155</v>
      </c>
      <c r="C210" s="86" t="s">
        <v>573</v>
      </c>
    </row>
    <row r="211" spans="1:3" x14ac:dyDescent="0.25">
      <c r="A211" s="85">
        <v>232</v>
      </c>
      <c r="B211" s="87" t="s">
        <v>574</v>
      </c>
      <c r="C211" s="86" t="s">
        <v>575</v>
      </c>
    </row>
    <row r="212" spans="1:3" x14ac:dyDescent="0.25">
      <c r="A212" s="85">
        <v>233</v>
      </c>
      <c r="B212" s="85">
        <v>89901833</v>
      </c>
      <c r="C212" s="86" t="s">
        <v>576</v>
      </c>
    </row>
    <row r="213" spans="1:3" x14ac:dyDescent="0.25">
      <c r="A213" s="85">
        <v>236</v>
      </c>
      <c r="B213" s="85">
        <v>34492763</v>
      </c>
      <c r="C213" s="86" t="s">
        <v>577</v>
      </c>
    </row>
    <row r="214" spans="1:3" x14ac:dyDescent="0.25">
      <c r="A214" s="85">
        <v>238</v>
      </c>
      <c r="B214" s="85">
        <v>9156762</v>
      </c>
      <c r="C214" s="86" t="s">
        <v>578</v>
      </c>
    </row>
    <row r="215" spans="1:3" x14ac:dyDescent="0.25">
      <c r="A215" s="85">
        <v>239</v>
      </c>
      <c r="B215" s="85">
        <v>70627266</v>
      </c>
      <c r="C215" s="86" t="s">
        <v>579</v>
      </c>
    </row>
    <row r="216" spans="1:3" x14ac:dyDescent="0.25">
      <c r="A216" s="85">
        <v>240</v>
      </c>
      <c r="B216" s="85">
        <v>27796071</v>
      </c>
      <c r="C216" s="86" t="s">
        <v>32</v>
      </c>
    </row>
    <row r="217" spans="1:3" x14ac:dyDescent="0.25">
      <c r="A217" s="85">
        <v>241</v>
      </c>
      <c r="B217" s="85">
        <v>80144388</v>
      </c>
      <c r="C217" s="86" t="s">
        <v>580</v>
      </c>
    </row>
    <row r="218" spans="1:3" x14ac:dyDescent="0.25">
      <c r="A218" s="85">
        <v>242</v>
      </c>
      <c r="B218" s="85">
        <v>45726730</v>
      </c>
      <c r="C218" s="86" t="s">
        <v>581</v>
      </c>
    </row>
    <row r="219" spans="1:3" x14ac:dyDescent="0.25">
      <c r="A219" s="85">
        <v>243</v>
      </c>
      <c r="B219" s="85">
        <v>23204998</v>
      </c>
      <c r="C219" s="86" t="s">
        <v>582</v>
      </c>
    </row>
    <row r="220" spans="1:3" x14ac:dyDescent="0.25">
      <c r="A220" s="85">
        <v>244</v>
      </c>
      <c r="B220" s="85">
        <v>96921150</v>
      </c>
      <c r="C220" s="86" t="s">
        <v>583</v>
      </c>
    </row>
    <row r="221" spans="1:3" x14ac:dyDescent="0.25">
      <c r="A221" s="85">
        <v>245</v>
      </c>
      <c r="B221" s="85">
        <v>14219289</v>
      </c>
      <c r="C221" s="86" t="s">
        <v>584</v>
      </c>
    </row>
    <row r="222" spans="1:3" x14ac:dyDescent="0.25">
      <c r="A222" s="85">
        <v>246</v>
      </c>
      <c r="B222" s="85">
        <v>37512355</v>
      </c>
      <c r="C222" s="86" t="s">
        <v>585</v>
      </c>
    </row>
    <row r="223" spans="1:3" x14ac:dyDescent="0.25">
      <c r="A223" s="85">
        <v>248</v>
      </c>
      <c r="B223" s="85">
        <v>86618778</v>
      </c>
      <c r="C223" s="86" t="s">
        <v>586</v>
      </c>
    </row>
    <row r="224" spans="1:3" x14ac:dyDescent="0.25">
      <c r="A224" s="85">
        <v>249</v>
      </c>
      <c r="B224" s="85">
        <v>16948059</v>
      </c>
      <c r="C224" s="86" t="s">
        <v>587</v>
      </c>
    </row>
    <row r="225" spans="1:3" x14ac:dyDescent="0.25">
      <c r="A225" s="85">
        <v>250</v>
      </c>
      <c r="B225" s="85">
        <v>70684060</v>
      </c>
      <c r="C225" s="86" t="s">
        <v>588</v>
      </c>
    </row>
    <row r="226" spans="1:3" x14ac:dyDescent="0.25">
      <c r="A226" s="85">
        <v>251</v>
      </c>
      <c r="B226" s="85">
        <v>45539933</v>
      </c>
      <c r="C226" s="86" t="s">
        <v>589</v>
      </c>
    </row>
    <row r="227" spans="1:3" x14ac:dyDescent="0.25">
      <c r="A227" s="85">
        <v>252</v>
      </c>
      <c r="B227" s="85">
        <v>16533615</v>
      </c>
      <c r="C227" s="86" t="s">
        <v>590</v>
      </c>
    </row>
    <row r="228" spans="1:3" x14ac:dyDescent="0.25">
      <c r="A228" s="85">
        <v>253</v>
      </c>
      <c r="B228" s="85">
        <v>80751427</v>
      </c>
      <c r="C228" s="86" t="s">
        <v>591</v>
      </c>
    </row>
    <row r="229" spans="1:3" x14ac:dyDescent="0.25">
      <c r="A229" s="85">
        <v>254</v>
      </c>
      <c r="B229" s="85">
        <v>80713304</v>
      </c>
      <c r="C229" s="86" t="s">
        <v>592</v>
      </c>
    </row>
    <row r="230" spans="1:3" x14ac:dyDescent="0.25">
      <c r="A230" s="85">
        <v>255</v>
      </c>
      <c r="B230" s="85">
        <v>79989417</v>
      </c>
      <c r="C230" s="86" t="s">
        <v>593</v>
      </c>
    </row>
    <row r="231" spans="1:3" x14ac:dyDescent="0.25">
      <c r="A231" s="85">
        <v>256</v>
      </c>
      <c r="B231" s="85">
        <v>49786576</v>
      </c>
      <c r="C231" s="86" t="s">
        <v>594</v>
      </c>
    </row>
    <row r="232" spans="1:3" x14ac:dyDescent="0.25">
      <c r="A232" s="85">
        <v>257</v>
      </c>
      <c r="B232" s="85">
        <v>45403485</v>
      </c>
      <c r="C232" s="86" t="s">
        <v>595</v>
      </c>
    </row>
    <row r="233" spans="1:3" x14ac:dyDescent="0.25">
      <c r="A233" s="85">
        <v>258</v>
      </c>
      <c r="B233" s="85">
        <v>89806985</v>
      </c>
      <c r="C233" s="86" t="s">
        <v>596</v>
      </c>
    </row>
    <row r="234" spans="1:3" x14ac:dyDescent="0.25">
      <c r="A234" s="85">
        <v>259</v>
      </c>
      <c r="B234" s="85">
        <v>47244061</v>
      </c>
      <c r="C234" s="86" t="s">
        <v>597</v>
      </c>
    </row>
    <row r="235" spans="1:3" x14ac:dyDescent="0.25">
      <c r="A235" s="85">
        <v>260</v>
      </c>
      <c r="B235" s="85">
        <v>19213313</v>
      </c>
      <c r="C235" s="86" t="s">
        <v>598</v>
      </c>
    </row>
    <row r="236" spans="1:3" x14ac:dyDescent="0.25">
      <c r="A236" s="85">
        <v>263</v>
      </c>
      <c r="B236" s="85">
        <v>49777942</v>
      </c>
      <c r="C236" s="86" t="s">
        <v>599</v>
      </c>
    </row>
    <row r="237" spans="1:3" x14ac:dyDescent="0.25">
      <c r="A237" s="85">
        <v>264</v>
      </c>
      <c r="B237" s="85">
        <v>47015449</v>
      </c>
      <c r="C237" s="86" t="s">
        <v>600</v>
      </c>
    </row>
    <row r="238" spans="1:3" x14ac:dyDescent="0.25">
      <c r="A238" s="85">
        <v>265</v>
      </c>
      <c r="B238" s="85">
        <v>50514807</v>
      </c>
      <c r="C238" s="86" t="s">
        <v>601</v>
      </c>
    </row>
    <row r="239" spans="1:3" x14ac:dyDescent="0.25">
      <c r="A239" s="85">
        <v>266</v>
      </c>
      <c r="B239" s="85">
        <v>89433923</v>
      </c>
      <c r="C239" s="86" t="s">
        <v>602</v>
      </c>
    </row>
    <row r="240" spans="1:3" x14ac:dyDescent="0.25">
      <c r="A240" s="85">
        <v>267</v>
      </c>
      <c r="B240" s="85">
        <v>52278358</v>
      </c>
      <c r="C240" s="86" t="s">
        <v>603</v>
      </c>
    </row>
    <row r="241" spans="1:3" x14ac:dyDescent="0.25">
      <c r="A241" s="85">
        <v>268</v>
      </c>
      <c r="B241" s="85">
        <v>88815825</v>
      </c>
      <c r="C241" s="86" t="s">
        <v>604</v>
      </c>
    </row>
    <row r="242" spans="1:3" x14ac:dyDescent="0.25">
      <c r="A242" s="85">
        <v>269</v>
      </c>
      <c r="B242" s="85">
        <v>97300427</v>
      </c>
      <c r="C242" s="86" t="s">
        <v>605</v>
      </c>
    </row>
    <row r="243" spans="1:3" x14ac:dyDescent="0.25">
      <c r="A243" s="85">
        <v>271</v>
      </c>
      <c r="B243" s="85">
        <v>89498994</v>
      </c>
      <c r="C243" s="86" t="s">
        <v>606</v>
      </c>
    </row>
    <row r="244" spans="1:3" x14ac:dyDescent="0.25">
      <c r="A244" s="85">
        <v>273</v>
      </c>
      <c r="B244" s="85">
        <v>23840218</v>
      </c>
      <c r="C244" s="86" t="s">
        <v>607</v>
      </c>
    </row>
    <row r="245" spans="1:3" x14ac:dyDescent="0.25">
      <c r="A245" s="85">
        <v>276</v>
      </c>
      <c r="B245" s="85">
        <v>50550367</v>
      </c>
      <c r="C245" s="86" t="s">
        <v>608</v>
      </c>
    </row>
    <row r="246" spans="1:3" x14ac:dyDescent="0.25">
      <c r="A246" s="85">
        <v>277</v>
      </c>
      <c r="B246" s="85">
        <v>86756173</v>
      </c>
      <c r="C246" s="86" t="s">
        <v>609</v>
      </c>
    </row>
    <row r="247" spans="1:3" x14ac:dyDescent="0.25">
      <c r="A247" s="85">
        <v>278</v>
      </c>
      <c r="B247" s="85">
        <v>70693032</v>
      </c>
      <c r="C247" s="86" t="s">
        <v>610</v>
      </c>
    </row>
    <row r="248" spans="1:3" x14ac:dyDescent="0.25">
      <c r="A248" s="85">
        <v>279</v>
      </c>
      <c r="B248" s="85">
        <v>25215041</v>
      </c>
      <c r="C248" s="86" t="s">
        <v>611</v>
      </c>
    </row>
    <row r="249" spans="1:3" x14ac:dyDescent="0.25">
      <c r="A249" s="85">
        <v>280</v>
      </c>
      <c r="B249" s="85">
        <v>44987217</v>
      </c>
      <c r="C249" s="86" t="s">
        <v>612</v>
      </c>
    </row>
    <row r="250" spans="1:3" x14ac:dyDescent="0.25">
      <c r="A250" s="85">
        <v>281</v>
      </c>
      <c r="B250" s="85">
        <v>24385595</v>
      </c>
      <c r="C250" s="86" t="s">
        <v>613</v>
      </c>
    </row>
    <row r="251" spans="1:3" x14ac:dyDescent="0.25">
      <c r="A251" s="85">
        <v>282</v>
      </c>
      <c r="B251" s="85">
        <v>66873309</v>
      </c>
      <c r="C251" s="86" t="s">
        <v>614</v>
      </c>
    </row>
    <row r="252" spans="1:3" x14ac:dyDescent="0.25">
      <c r="A252" s="85">
        <v>283</v>
      </c>
      <c r="B252" s="85">
        <v>39870440</v>
      </c>
      <c r="C252" s="86" t="s">
        <v>615</v>
      </c>
    </row>
    <row r="253" spans="1:3" x14ac:dyDescent="0.25">
      <c r="A253" s="85">
        <v>284</v>
      </c>
      <c r="B253" s="85">
        <v>16358623</v>
      </c>
      <c r="C253" s="86" t="s">
        <v>616</v>
      </c>
    </row>
    <row r="254" spans="1:3" x14ac:dyDescent="0.25">
      <c r="A254" s="85">
        <v>285</v>
      </c>
      <c r="B254" s="85">
        <v>45496580</v>
      </c>
      <c r="C254" s="86" t="s">
        <v>617</v>
      </c>
    </row>
    <row r="255" spans="1:3" x14ac:dyDescent="0.25">
      <c r="A255" s="85">
        <v>286</v>
      </c>
      <c r="B255" s="85">
        <v>97224771</v>
      </c>
      <c r="C255" s="86" t="s">
        <v>618</v>
      </c>
    </row>
    <row r="256" spans="1:3" x14ac:dyDescent="0.25">
      <c r="A256" s="85">
        <v>288</v>
      </c>
      <c r="B256" s="85">
        <v>27232159</v>
      </c>
      <c r="C256" s="86" t="s">
        <v>619</v>
      </c>
    </row>
    <row r="257" spans="1:3" x14ac:dyDescent="0.25">
      <c r="A257" s="85">
        <v>289</v>
      </c>
      <c r="B257" s="85">
        <v>22504357</v>
      </c>
      <c r="C257" s="86" t="s">
        <v>620</v>
      </c>
    </row>
    <row r="258" spans="1:3" x14ac:dyDescent="0.25">
      <c r="A258" s="85">
        <v>289</v>
      </c>
      <c r="B258" s="85">
        <v>56235211</v>
      </c>
      <c r="C258" s="86" t="s">
        <v>621</v>
      </c>
    </row>
    <row r="259" spans="1:3" x14ac:dyDescent="0.25">
      <c r="A259" s="85">
        <v>290</v>
      </c>
      <c r="B259" s="85">
        <v>49502304</v>
      </c>
      <c r="C259" s="86" t="s">
        <v>622</v>
      </c>
    </row>
    <row r="260" spans="1:3" x14ac:dyDescent="0.25">
      <c r="A260" s="85">
        <v>292</v>
      </c>
      <c r="B260" s="85">
        <v>80571678</v>
      </c>
      <c r="C260" s="86" t="s">
        <v>623</v>
      </c>
    </row>
    <row r="261" spans="1:3" x14ac:dyDescent="0.25">
      <c r="A261" s="85">
        <v>293</v>
      </c>
      <c r="B261" s="85">
        <v>54107704</v>
      </c>
      <c r="C261" s="86" t="s">
        <v>624</v>
      </c>
    </row>
    <row r="262" spans="1:3" x14ac:dyDescent="0.25">
      <c r="A262" s="85">
        <v>295</v>
      </c>
      <c r="B262" s="85">
        <v>46802405</v>
      </c>
      <c r="C262" s="86" t="s">
        <v>625</v>
      </c>
    </row>
    <row r="263" spans="1:3" x14ac:dyDescent="0.25">
      <c r="A263" s="85">
        <v>296</v>
      </c>
      <c r="B263" s="85">
        <v>49389534</v>
      </c>
      <c r="C263" s="86" t="s">
        <v>626</v>
      </c>
    </row>
    <row r="264" spans="1:3" x14ac:dyDescent="0.25">
      <c r="A264" s="85">
        <v>297</v>
      </c>
      <c r="B264" s="85">
        <v>88814706</v>
      </c>
      <c r="C264" s="86" t="s">
        <v>627</v>
      </c>
    </row>
    <row r="265" spans="1:3" x14ac:dyDescent="0.25">
      <c r="A265" s="85">
        <v>298</v>
      </c>
      <c r="B265" s="85">
        <v>14814007</v>
      </c>
      <c r="C265" s="86" t="s">
        <v>628</v>
      </c>
    </row>
    <row r="266" spans="1:3" x14ac:dyDescent="0.25">
      <c r="A266" s="85">
        <v>299</v>
      </c>
      <c r="B266" s="85">
        <v>66895134</v>
      </c>
      <c r="C266" s="86" t="s">
        <v>629</v>
      </c>
    </row>
    <row r="267" spans="1:3" x14ac:dyDescent="0.25">
      <c r="A267" s="85">
        <v>299</v>
      </c>
      <c r="B267" s="85">
        <v>18217754</v>
      </c>
      <c r="C267" s="86" t="s">
        <v>630</v>
      </c>
    </row>
    <row r="268" spans="1:3" x14ac:dyDescent="0.25">
      <c r="A268" s="85">
        <v>300</v>
      </c>
      <c r="B268" s="85">
        <v>16015958</v>
      </c>
      <c r="C268" s="86" t="s">
        <v>631</v>
      </c>
    </row>
    <row r="269" spans="1:3" x14ac:dyDescent="0.25">
      <c r="A269" s="85">
        <v>301</v>
      </c>
      <c r="B269" s="85">
        <v>94931549</v>
      </c>
      <c r="C269" s="86" t="s">
        <v>632</v>
      </c>
    </row>
    <row r="270" spans="1:3" x14ac:dyDescent="0.25">
      <c r="A270" s="85">
        <v>302</v>
      </c>
      <c r="B270" s="85">
        <v>22312288</v>
      </c>
      <c r="C270" s="86" t="s">
        <v>633</v>
      </c>
    </row>
    <row r="271" spans="1:3" x14ac:dyDescent="0.25">
      <c r="A271" s="85">
        <v>303</v>
      </c>
      <c r="B271" s="85">
        <v>57092802</v>
      </c>
      <c r="C271" s="86" t="s">
        <v>634</v>
      </c>
    </row>
    <row r="272" spans="1:3" x14ac:dyDescent="0.25">
      <c r="A272" s="85">
        <v>304</v>
      </c>
      <c r="B272" s="85">
        <v>45633607</v>
      </c>
      <c r="C272" s="86" t="s">
        <v>635</v>
      </c>
    </row>
    <row r="273" spans="1:3" x14ac:dyDescent="0.25">
      <c r="A273" s="85">
        <v>305</v>
      </c>
      <c r="B273" s="85">
        <v>31343332</v>
      </c>
      <c r="C273" s="86" t="s">
        <v>636</v>
      </c>
    </row>
    <row r="274" spans="1:3" x14ac:dyDescent="0.25">
      <c r="A274" s="85">
        <v>306</v>
      </c>
      <c r="B274" s="85">
        <v>2941892</v>
      </c>
      <c r="C274" s="86" t="s">
        <v>637</v>
      </c>
    </row>
    <row r="275" spans="1:3" x14ac:dyDescent="0.25">
      <c r="A275" s="85">
        <v>307</v>
      </c>
      <c r="B275" s="85">
        <v>84978474</v>
      </c>
      <c r="C275" s="86" t="s">
        <v>638</v>
      </c>
    </row>
    <row r="276" spans="1:3" x14ac:dyDescent="0.25">
      <c r="A276" s="85">
        <v>308</v>
      </c>
      <c r="B276" s="85">
        <v>14219788</v>
      </c>
      <c r="C276" s="86" t="s">
        <v>639</v>
      </c>
    </row>
    <row r="277" spans="1:3" x14ac:dyDescent="0.25">
      <c r="A277" s="85">
        <v>309</v>
      </c>
      <c r="B277" s="85">
        <v>52278358</v>
      </c>
      <c r="C277" s="86" t="s">
        <v>640</v>
      </c>
    </row>
    <row r="278" spans="1:3" x14ac:dyDescent="0.25">
      <c r="A278" s="85">
        <v>311</v>
      </c>
      <c r="B278" s="85">
        <v>79980078</v>
      </c>
      <c r="C278" s="86" t="s">
        <v>641</v>
      </c>
    </row>
    <row r="279" spans="1:3" x14ac:dyDescent="0.25">
      <c r="A279" s="85">
        <v>312</v>
      </c>
      <c r="B279" s="85">
        <v>25072542</v>
      </c>
      <c r="C279" s="86" t="s">
        <v>642</v>
      </c>
    </row>
    <row r="280" spans="1:3" x14ac:dyDescent="0.25">
      <c r="A280" s="85">
        <v>313</v>
      </c>
      <c r="B280" s="85">
        <v>84978474</v>
      </c>
      <c r="C280" s="86" t="s">
        <v>643</v>
      </c>
    </row>
    <row r="281" spans="1:3" x14ac:dyDescent="0.25">
      <c r="A281" s="85">
        <v>314</v>
      </c>
      <c r="B281" s="85">
        <v>19201323</v>
      </c>
      <c r="C281" s="86" t="s">
        <v>644</v>
      </c>
    </row>
    <row r="282" spans="1:3" x14ac:dyDescent="0.25">
      <c r="A282" s="85">
        <v>315</v>
      </c>
      <c r="B282" s="85">
        <v>97224771</v>
      </c>
      <c r="C282" s="86" t="s">
        <v>645</v>
      </c>
    </row>
    <row r="283" spans="1:3" x14ac:dyDescent="0.25">
      <c r="A283" s="85">
        <v>316</v>
      </c>
      <c r="B283" s="85">
        <v>84710188</v>
      </c>
      <c r="C283" s="86" t="s">
        <v>646</v>
      </c>
    </row>
    <row r="284" spans="1:3" x14ac:dyDescent="0.25">
      <c r="A284" s="85">
        <v>317</v>
      </c>
      <c r="B284" s="85">
        <v>84442509</v>
      </c>
      <c r="C284" s="86" t="s">
        <v>647</v>
      </c>
    </row>
    <row r="285" spans="1:3" x14ac:dyDescent="0.25">
      <c r="A285" s="85">
        <v>318</v>
      </c>
      <c r="B285" s="85">
        <v>70812945</v>
      </c>
      <c r="C285" s="86" t="s">
        <v>648</v>
      </c>
    </row>
    <row r="286" spans="1:3" x14ac:dyDescent="0.25">
      <c r="A286" s="85">
        <v>319</v>
      </c>
      <c r="B286" s="85">
        <v>62156002</v>
      </c>
      <c r="C286" s="86" t="s">
        <v>649</v>
      </c>
    </row>
    <row r="287" spans="1:3" x14ac:dyDescent="0.25">
      <c r="A287" s="85">
        <v>320</v>
      </c>
      <c r="B287" s="85">
        <v>38983121</v>
      </c>
      <c r="C287" s="86" t="s">
        <v>650</v>
      </c>
    </row>
    <row r="288" spans="1:3" x14ac:dyDescent="0.25">
      <c r="A288" s="85">
        <v>321</v>
      </c>
      <c r="B288" s="85">
        <v>76926683</v>
      </c>
      <c r="C288" s="86" t="s">
        <v>87</v>
      </c>
    </row>
    <row r="289" spans="1:3" x14ac:dyDescent="0.25">
      <c r="A289" s="85">
        <v>324</v>
      </c>
      <c r="B289" s="85">
        <v>84580214</v>
      </c>
      <c r="C289" s="86" t="s">
        <v>651</v>
      </c>
    </row>
    <row r="290" spans="1:3" x14ac:dyDescent="0.25">
      <c r="A290" s="85">
        <v>325</v>
      </c>
      <c r="B290" s="85">
        <v>24477671</v>
      </c>
      <c r="C290" s="86" t="s">
        <v>652</v>
      </c>
    </row>
    <row r="291" spans="1:3" x14ac:dyDescent="0.25">
      <c r="A291" s="85">
        <v>327</v>
      </c>
      <c r="B291" s="85">
        <v>29125211</v>
      </c>
      <c r="C291" s="86" t="s">
        <v>653</v>
      </c>
    </row>
    <row r="292" spans="1:3" x14ac:dyDescent="0.25">
      <c r="A292" s="85">
        <v>328</v>
      </c>
      <c r="B292" s="85">
        <v>84253817</v>
      </c>
      <c r="C292" s="86" t="s">
        <v>654</v>
      </c>
    </row>
    <row r="293" spans="1:3" x14ac:dyDescent="0.25">
      <c r="A293" s="85">
        <v>329</v>
      </c>
      <c r="B293" s="85">
        <v>23209121</v>
      </c>
      <c r="C293" s="86" t="s">
        <v>655</v>
      </c>
    </row>
    <row r="294" spans="1:3" x14ac:dyDescent="0.25">
      <c r="A294" s="85">
        <v>330</v>
      </c>
      <c r="B294" s="85">
        <v>70520314</v>
      </c>
      <c r="C294" s="86" t="s">
        <v>656</v>
      </c>
    </row>
    <row r="295" spans="1:3" x14ac:dyDescent="0.25">
      <c r="A295" s="85">
        <v>331</v>
      </c>
      <c r="B295" s="85">
        <v>46688903</v>
      </c>
      <c r="C295" s="86" t="s">
        <v>657</v>
      </c>
    </row>
    <row r="296" spans="1:3" x14ac:dyDescent="0.25">
      <c r="A296" s="85">
        <v>332</v>
      </c>
      <c r="B296" s="85">
        <v>35466307</v>
      </c>
      <c r="C296" s="86" t="s">
        <v>658</v>
      </c>
    </row>
    <row r="297" spans="1:3" x14ac:dyDescent="0.25">
      <c r="A297" s="85">
        <v>333</v>
      </c>
      <c r="B297" s="85">
        <v>27418824</v>
      </c>
      <c r="C297" s="86" t="s">
        <v>659</v>
      </c>
    </row>
    <row r="298" spans="1:3" x14ac:dyDescent="0.25">
      <c r="A298" s="85">
        <v>333</v>
      </c>
      <c r="B298" s="85">
        <v>28726258</v>
      </c>
      <c r="C298" s="86" t="s">
        <v>660</v>
      </c>
    </row>
    <row r="299" spans="1:3" x14ac:dyDescent="0.25">
      <c r="A299" s="85">
        <v>334</v>
      </c>
      <c r="B299" s="85">
        <v>28013435</v>
      </c>
      <c r="C299" s="86" t="s">
        <v>661</v>
      </c>
    </row>
    <row r="300" spans="1:3" x14ac:dyDescent="0.25">
      <c r="A300" s="85">
        <v>334</v>
      </c>
      <c r="B300" s="85">
        <v>34656174</v>
      </c>
      <c r="C300" s="86" t="s">
        <v>662</v>
      </c>
    </row>
    <row r="301" spans="1:3" x14ac:dyDescent="0.25">
      <c r="A301" s="85">
        <v>336</v>
      </c>
      <c r="B301" s="85">
        <v>96994792</v>
      </c>
      <c r="C301" s="86" t="s">
        <v>663</v>
      </c>
    </row>
    <row r="302" spans="1:3" x14ac:dyDescent="0.25">
      <c r="A302" s="85">
        <v>337</v>
      </c>
      <c r="B302" s="85">
        <v>12743479</v>
      </c>
      <c r="C302" s="86" t="s">
        <v>664</v>
      </c>
    </row>
    <row r="303" spans="1:3" x14ac:dyDescent="0.25">
      <c r="A303" s="85">
        <v>338</v>
      </c>
      <c r="B303" s="85">
        <v>27440190</v>
      </c>
      <c r="C303" s="86" t="s">
        <v>665</v>
      </c>
    </row>
    <row r="304" spans="1:3" x14ac:dyDescent="0.25">
      <c r="A304" s="85">
        <v>339</v>
      </c>
      <c r="B304" s="85">
        <v>76923481</v>
      </c>
      <c r="C304" s="86" t="s">
        <v>666</v>
      </c>
    </row>
    <row r="305" spans="1:3" x14ac:dyDescent="0.25">
      <c r="A305" s="85">
        <v>340</v>
      </c>
      <c r="B305" s="85">
        <v>70508819</v>
      </c>
      <c r="C305" s="86" t="s">
        <v>667</v>
      </c>
    </row>
    <row r="306" spans="1:3" x14ac:dyDescent="0.25">
      <c r="A306" s="85">
        <v>341</v>
      </c>
      <c r="B306" s="85">
        <v>22429533</v>
      </c>
      <c r="C306" s="86" t="s">
        <v>668</v>
      </c>
    </row>
    <row r="307" spans="1:3" x14ac:dyDescent="0.25">
      <c r="A307" s="85">
        <v>341</v>
      </c>
      <c r="B307" s="85">
        <v>27592288</v>
      </c>
      <c r="C307" s="86" t="s">
        <v>669</v>
      </c>
    </row>
    <row r="308" spans="1:3" x14ac:dyDescent="0.25">
      <c r="A308" s="85">
        <v>342</v>
      </c>
      <c r="B308" s="85">
        <v>49727789</v>
      </c>
      <c r="C308" s="86" t="s">
        <v>670</v>
      </c>
    </row>
    <row r="309" spans="1:3" x14ac:dyDescent="0.25">
      <c r="A309" s="85">
        <v>343</v>
      </c>
      <c r="B309" s="85">
        <v>25215387</v>
      </c>
      <c r="C309" s="86" t="s">
        <v>671</v>
      </c>
    </row>
    <row r="310" spans="1:3" x14ac:dyDescent="0.25">
      <c r="A310" s="85">
        <v>344</v>
      </c>
      <c r="B310" s="85">
        <v>49988720</v>
      </c>
      <c r="C310" s="86" t="s">
        <v>672</v>
      </c>
    </row>
    <row r="311" spans="1:3" x14ac:dyDescent="0.25">
      <c r="A311" s="85">
        <v>344</v>
      </c>
      <c r="B311" s="85">
        <v>30132936</v>
      </c>
      <c r="C311" s="86" t="s">
        <v>673</v>
      </c>
    </row>
    <row r="312" spans="1:3" x14ac:dyDescent="0.25">
      <c r="A312" s="85">
        <v>345</v>
      </c>
      <c r="B312" s="85">
        <v>84710482</v>
      </c>
      <c r="C312" s="86" t="s">
        <v>674</v>
      </c>
    </row>
    <row r="313" spans="1:3" x14ac:dyDescent="0.25">
      <c r="A313" s="85">
        <v>346</v>
      </c>
      <c r="B313" s="85">
        <v>84592485</v>
      </c>
      <c r="C313" s="86" t="s">
        <v>675</v>
      </c>
    </row>
    <row r="314" spans="1:3" x14ac:dyDescent="0.25">
      <c r="A314" s="85">
        <v>347</v>
      </c>
      <c r="B314" s="85">
        <v>47130927</v>
      </c>
      <c r="C314" s="86" t="s">
        <v>676</v>
      </c>
    </row>
    <row r="315" spans="1:3" x14ac:dyDescent="0.25">
      <c r="A315" s="85">
        <v>348</v>
      </c>
      <c r="B315" s="85">
        <v>36437999</v>
      </c>
      <c r="C315" s="86" t="s">
        <v>677</v>
      </c>
    </row>
    <row r="316" spans="1:3" x14ac:dyDescent="0.25">
      <c r="A316" s="85">
        <v>349</v>
      </c>
      <c r="B316" s="85">
        <v>96972431</v>
      </c>
      <c r="C316" s="86" t="s">
        <v>678</v>
      </c>
    </row>
    <row r="317" spans="1:3" x14ac:dyDescent="0.25">
      <c r="A317" s="85">
        <v>350</v>
      </c>
      <c r="B317" s="85">
        <v>50085480</v>
      </c>
      <c r="C317" s="86" t="s">
        <v>679</v>
      </c>
    </row>
    <row r="318" spans="1:3" x14ac:dyDescent="0.25">
      <c r="A318" s="85">
        <v>351</v>
      </c>
      <c r="B318" s="85">
        <v>9822528</v>
      </c>
      <c r="C318" s="86" t="s">
        <v>680</v>
      </c>
    </row>
    <row r="319" spans="1:3" x14ac:dyDescent="0.25">
      <c r="A319" s="85">
        <v>352</v>
      </c>
      <c r="B319" s="85">
        <v>72387495</v>
      </c>
      <c r="C319" s="86" t="s">
        <v>681</v>
      </c>
    </row>
    <row r="320" spans="1:3" x14ac:dyDescent="0.25">
      <c r="A320" s="85">
        <v>353</v>
      </c>
      <c r="B320" s="85">
        <v>89641865</v>
      </c>
      <c r="C320" s="86" t="s">
        <v>682</v>
      </c>
    </row>
    <row r="321" spans="1:3" x14ac:dyDescent="0.25">
      <c r="A321" s="85">
        <v>354</v>
      </c>
      <c r="B321" s="85">
        <v>49809260</v>
      </c>
      <c r="C321" s="86" t="s">
        <v>683</v>
      </c>
    </row>
    <row r="322" spans="1:3" x14ac:dyDescent="0.25">
      <c r="A322" s="85">
        <v>355</v>
      </c>
      <c r="B322" s="85">
        <v>44989221</v>
      </c>
      <c r="C322" s="86" t="s">
        <v>684</v>
      </c>
    </row>
    <row r="323" spans="1:3" x14ac:dyDescent="0.25">
      <c r="A323" s="85">
        <v>356</v>
      </c>
      <c r="B323" s="85">
        <v>84710666</v>
      </c>
      <c r="C323" s="86" t="s">
        <v>685</v>
      </c>
    </row>
    <row r="324" spans="1:3" x14ac:dyDescent="0.25">
      <c r="A324" s="85">
        <v>357</v>
      </c>
      <c r="B324" s="85">
        <v>16358623</v>
      </c>
      <c r="C324" s="86" t="s">
        <v>686</v>
      </c>
    </row>
    <row r="325" spans="1:3" x14ac:dyDescent="0.25">
      <c r="A325" s="85">
        <v>358</v>
      </c>
      <c r="B325" s="85">
        <v>16741894</v>
      </c>
      <c r="C325" s="86" t="s">
        <v>687</v>
      </c>
    </row>
    <row r="326" spans="1:3" x14ac:dyDescent="0.25">
      <c r="A326" s="85">
        <v>359</v>
      </c>
      <c r="B326" s="85">
        <v>83344564</v>
      </c>
      <c r="C326" s="86" t="s">
        <v>688</v>
      </c>
    </row>
    <row r="327" spans="1:3" x14ac:dyDescent="0.25">
      <c r="A327" s="85">
        <v>360</v>
      </c>
      <c r="B327" s="85">
        <v>49389534</v>
      </c>
      <c r="C327" s="86" t="s">
        <v>689</v>
      </c>
    </row>
    <row r="328" spans="1:3" x14ac:dyDescent="0.25">
      <c r="A328" s="85">
        <v>361</v>
      </c>
      <c r="B328" s="85">
        <v>22984709</v>
      </c>
      <c r="C328" s="86" t="s">
        <v>690</v>
      </c>
    </row>
    <row r="329" spans="1:3" x14ac:dyDescent="0.25">
      <c r="A329" s="85">
        <v>362</v>
      </c>
      <c r="B329" s="85">
        <v>16502401</v>
      </c>
      <c r="C329" s="86" t="s">
        <v>691</v>
      </c>
    </row>
    <row r="330" spans="1:3" x14ac:dyDescent="0.25">
      <c r="A330" s="85">
        <v>363</v>
      </c>
      <c r="B330" s="85">
        <v>16276088</v>
      </c>
      <c r="C330" s="86" t="s">
        <v>692</v>
      </c>
    </row>
    <row r="331" spans="1:3" x14ac:dyDescent="0.25">
      <c r="A331" s="85">
        <v>364</v>
      </c>
      <c r="B331" s="85">
        <v>76918086</v>
      </c>
      <c r="C331" s="86" t="s">
        <v>693</v>
      </c>
    </row>
    <row r="332" spans="1:3" x14ac:dyDescent="0.25">
      <c r="A332" s="85">
        <v>365</v>
      </c>
      <c r="B332" s="85">
        <v>47036964</v>
      </c>
      <c r="C332" s="86" t="s">
        <v>694</v>
      </c>
    </row>
    <row r="333" spans="1:3" x14ac:dyDescent="0.25">
      <c r="A333" s="85">
        <v>367</v>
      </c>
      <c r="B333" s="85">
        <v>8372030</v>
      </c>
      <c r="C333" s="86" t="s">
        <v>695</v>
      </c>
    </row>
    <row r="334" spans="1:3" x14ac:dyDescent="0.25">
      <c r="A334" s="85">
        <v>368</v>
      </c>
      <c r="B334" s="85">
        <v>23674581</v>
      </c>
      <c r="C334" s="86" t="s">
        <v>696</v>
      </c>
    </row>
    <row r="335" spans="1:3" x14ac:dyDescent="0.25">
      <c r="A335" s="85">
        <v>369</v>
      </c>
      <c r="B335" s="85">
        <v>50085480</v>
      </c>
      <c r="C335" s="86" t="s">
        <v>697</v>
      </c>
    </row>
    <row r="336" spans="1:3" x14ac:dyDescent="0.25">
      <c r="A336" s="85">
        <v>370</v>
      </c>
      <c r="B336" s="85">
        <v>89230526</v>
      </c>
      <c r="C336" s="86" t="s">
        <v>698</v>
      </c>
    </row>
    <row r="337" spans="1:3" x14ac:dyDescent="0.25">
      <c r="A337" s="85">
        <v>371</v>
      </c>
      <c r="B337" s="85">
        <v>86365345</v>
      </c>
      <c r="C337" s="86" t="s">
        <v>699</v>
      </c>
    </row>
    <row r="338" spans="1:3" x14ac:dyDescent="0.25">
      <c r="A338" s="85">
        <v>372</v>
      </c>
      <c r="B338" s="85">
        <v>22702841</v>
      </c>
      <c r="C338" s="86" t="s">
        <v>700</v>
      </c>
    </row>
    <row r="339" spans="1:3" x14ac:dyDescent="0.25">
      <c r="A339" s="85">
        <v>373</v>
      </c>
      <c r="B339" s="85">
        <v>23790786</v>
      </c>
      <c r="C339" s="86" t="s">
        <v>701</v>
      </c>
    </row>
    <row r="340" spans="1:3" x14ac:dyDescent="0.25">
      <c r="A340" s="85">
        <v>374</v>
      </c>
      <c r="B340" s="85">
        <v>50255007</v>
      </c>
      <c r="C340" s="86" t="s">
        <v>702</v>
      </c>
    </row>
    <row r="341" spans="1:3" x14ac:dyDescent="0.25">
      <c r="A341" s="85">
        <v>375</v>
      </c>
      <c r="B341" s="85">
        <v>49726472</v>
      </c>
      <c r="C341" s="86" t="s">
        <v>703</v>
      </c>
    </row>
    <row r="342" spans="1:3" x14ac:dyDescent="0.25">
      <c r="A342" s="85">
        <v>376</v>
      </c>
      <c r="B342" s="85">
        <v>46524803</v>
      </c>
      <c r="C342" s="86" t="s">
        <v>704</v>
      </c>
    </row>
    <row r="343" spans="1:3" x14ac:dyDescent="0.25">
      <c r="A343" s="85">
        <v>377</v>
      </c>
      <c r="B343" s="85">
        <v>9720477</v>
      </c>
      <c r="C343" s="86" t="s">
        <v>705</v>
      </c>
    </row>
    <row r="344" spans="1:3" x14ac:dyDescent="0.25">
      <c r="A344" s="85">
        <v>378</v>
      </c>
      <c r="B344" s="85">
        <v>97189795</v>
      </c>
      <c r="C344" s="86" t="s">
        <v>706</v>
      </c>
    </row>
    <row r="345" spans="1:3" x14ac:dyDescent="0.25">
      <c r="A345" s="85">
        <v>379</v>
      </c>
      <c r="B345" s="85">
        <v>12912122</v>
      </c>
      <c r="C345" s="86" t="s">
        <v>707</v>
      </c>
    </row>
    <row r="346" spans="1:3" x14ac:dyDescent="0.25">
      <c r="A346" s="85">
        <v>380</v>
      </c>
      <c r="B346" s="85">
        <v>66603729</v>
      </c>
      <c r="C346" s="86" t="s">
        <v>708</v>
      </c>
    </row>
    <row r="347" spans="1:3" x14ac:dyDescent="0.25">
      <c r="A347" s="85">
        <v>381</v>
      </c>
      <c r="B347" s="85">
        <v>36913487</v>
      </c>
      <c r="C347" s="86" t="s">
        <v>709</v>
      </c>
    </row>
    <row r="348" spans="1:3" x14ac:dyDescent="0.25">
      <c r="A348" s="85">
        <v>382</v>
      </c>
      <c r="B348" s="85">
        <v>66881954</v>
      </c>
      <c r="C348" s="86" t="s">
        <v>710</v>
      </c>
    </row>
    <row r="349" spans="1:3" x14ac:dyDescent="0.25">
      <c r="A349" s="85">
        <v>383</v>
      </c>
      <c r="B349" s="85">
        <v>16720841</v>
      </c>
      <c r="C349" s="86" t="s">
        <v>711</v>
      </c>
    </row>
    <row r="350" spans="1:3" x14ac:dyDescent="0.25">
      <c r="A350" s="85">
        <v>384</v>
      </c>
      <c r="B350" s="85">
        <v>25167218</v>
      </c>
      <c r="C350" s="86" t="s">
        <v>712</v>
      </c>
    </row>
    <row r="351" spans="1:3" x14ac:dyDescent="0.25">
      <c r="A351" s="85">
        <v>385</v>
      </c>
      <c r="B351" s="87" t="s">
        <v>713</v>
      </c>
      <c r="C351" s="86" t="s">
        <v>714</v>
      </c>
    </row>
    <row r="352" spans="1:3" x14ac:dyDescent="0.25">
      <c r="A352" s="85">
        <v>386</v>
      </c>
      <c r="B352" s="85">
        <v>80968045</v>
      </c>
      <c r="C352" s="86" t="s">
        <v>715</v>
      </c>
    </row>
    <row r="353" spans="1:3" x14ac:dyDescent="0.25">
      <c r="A353" s="85">
        <v>387</v>
      </c>
      <c r="B353" s="85">
        <v>97035504</v>
      </c>
      <c r="C353" s="86" t="s">
        <v>716</v>
      </c>
    </row>
    <row r="354" spans="1:3" x14ac:dyDescent="0.25">
      <c r="A354" s="85">
        <v>388</v>
      </c>
      <c r="B354" s="85">
        <v>97035504</v>
      </c>
      <c r="C354" s="86" t="s">
        <v>717</v>
      </c>
    </row>
    <row r="355" spans="1:3" x14ac:dyDescent="0.25">
      <c r="A355" s="85">
        <v>389</v>
      </c>
      <c r="B355" s="85">
        <v>11458709</v>
      </c>
      <c r="C355" s="86" t="s">
        <v>718</v>
      </c>
    </row>
    <row r="356" spans="1:3" x14ac:dyDescent="0.25">
      <c r="A356" s="85">
        <v>390</v>
      </c>
      <c r="B356" s="85">
        <v>28141451</v>
      </c>
      <c r="C356" s="86" t="s">
        <v>719</v>
      </c>
    </row>
    <row r="357" spans="1:3" x14ac:dyDescent="0.25">
      <c r="A357" s="85">
        <v>391</v>
      </c>
      <c r="B357" s="85">
        <v>47228225</v>
      </c>
      <c r="C357" s="86" t="s">
        <v>720</v>
      </c>
    </row>
    <row r="358" spans="1:3" x14ac:dyDescent="0.25">
      <c r="A358" s="85">
        <v>392</v>
      </c>
      <c r="B358" s="85">
        <v>27856458</v>
      </c>
      <c r="C358" s="86" t="s">
        <v>721</v>
      </c>
    </row>
    <row r="359" spans="1:3" x14ac:dyDescent="0.25">
      <c r="A359" s="85">
        <v>393</v>
      </c>
      <c r="B359" s="85">
        <v>89526226</v>
      </c>
      <c r="C359" s="86" t="s">
        <v>722</v>
      </c>
    </row>
    <row r="360" spans="1:3" x14ac:dyDescent="0.25">
      <c r="A360" s="85">
        <v>394</v>
      </c>
      <c r="B360" s="85">
        <v>88809231</v>
      </c>
      <c r="C360" s="86" t="s">
        <v>723</v>
      </c>
    </row>
    <row r="361" spans="1:3" x14ac:dyDescent="0.25">
      <c r="A361" s="85">
        <v>395</v>
      </c>
      <c r="B361" s="85">
        <v>49182800</v>
      </c>
      <c r="C361" s="86" t="s">
        <v>724</v>
      </c>
    </row>
    <row r="362" spans="1:3" x14ac:dyDescent="0.25">
      <c r="A362" s="85">
        <v>396</v>
      </c>
      <c r="B362" s="85">
        <v>26156816</v>
      </c>
      <c r="C362" s="86" t="s">
        <v>725</v>
      </c>
    </row>
    <row r="363" spans="1:3" x14ac:dyDescent="0.25">
      <c r="A363" s="85">
        <v>398</v>
      </c>
      <c r="B363" s="85">
        <v>54256942</v>
      </c>
      <c r="C363" s="86" t="s">
        <v>726</v>
      </c>
    </row>
    <row r="364" spans="1:3" x14ac:dyDescent="0.25">
      <c r="A364" s="85">
        <v>398</v>
      </c>
      <c r="B364" s="85">
        <v>53370163</v>
      </c>
      <c r="C364" s="86" t="s">
        <v>727</v>
      </c>
    </row>
    <row r="365" spans="1:3" x14ac:dyDescent="0.25">
      <c r="A365" s="85">
        <v>398</v>
      </c>
      <c r="B365" s="85">
        <v>49726472</v>
      </c>
      <c r="C365" s="86" t="s">
        <v>728</v>
      </c>
    </row>
    <row r="366" spans="1:3" x14ac:dyDescent="0.25">
      <c r="A366" s="85">
        <v>399</v>
      </c>
      <c r="B366" s="85">
        <v>66514753</v>
      </c>
      <c r="C366" s="86" t="s">
        <v>729</v>
      </c>
    </row>
    <row r="367" spans="1:3" x14ac:dyDescent="0.25">
      <c r="A367" s="85">
        <v>400</v>
      </c>
      <c r="B367" s="85">
        <v>25217809</v>
      </c>
      <c r="C367" s="86" t="s">
        <v>730</v>
      </c>
    </row>
    <row r="368" spans="1:3" x14ac:dyDescent="0.25">
      <c r="A368" s="85">
        <v>401</v>
      </c>
      <c r="B368" s="85">
        <v>12278584</v>
      </c>
      <c r="C368" s="86" t="s">
        <v>731</v>
      </c>
    </row>
    <row r="369" spans="1:3" x14ac:dyDescent="0.25">
      <c r="A369" s="85">
        <v>402</v>
      </c>
      <c r="B369" s="85">
        <v>49329234</v>
      </c>
      <c r="C369" s="86" t="s">
        <v>732</v>
      </c>
    </row>
    <row r="370" spans="1:3" x14ac:dyDescent="0.25">
      <c r="A370" s="85">
        <v>403</v>
      </c>
      <c r="B370" s="85">
        <v>49389534</v>
      </c>
      <c r="C370" s="86" t="s">
        <v>733</v>
      </c>
    </row>
    <row r="371" spans="1:3" x14ac:dyDescent="0.25">
      <c r="A371" s="85">
        <v>405</v>
      </c>
      <c r="B371" s="85">
        <v>43731651</v>
      </c>
      <c r="C371" s="86" t="s">
        <v>734</v>
      </c>
    </row>
    <row r="372" spans="1:3" x14ac:dyDescent="0.25">
      <c r="A372" s="85">
        <v>407</v>
      </c>
      <c r="B372" s="85">
        <v>47126655</v>
      </c>
      <c r="C372" s="86" t="s">
        <v>735</v>
      </c>
    </row>
    <row r="373" spans="1:3" x14ac:dyDescent="0.25">
      <c r="A373" s="85">
        <v>408</v>
      </c>
      <c r="B373" s="85">
        <v>83349168</v>
      </c>
      <c r="C373" s="86" t="s">
        <v>736</v>
      </c>
    </row>
    <row r="374" spans="1:3" x14ac:dyDescent="0.25">
      <c r="A374" s="85">
        <v>409</v>
      </c>
      <c r="B374" s="85">
        <v>25224301</v>
      </c>
      <c r="C374" s="86" t="s">
        <v>737</v>
      </c>
    </row>
    <row r="375" spans="1:3" x14ac:dyDescent="0.25">
      <c r="A375" s="85">
        <v>410</v>
      </c>
      <c r="B375" s="85">
        <v>50255007</v>
      </c>
      <c r="C375" s="86" t="s">
        <v>738</v>
      </c>
    </row>
    <row r="376" spans="1:3" x14ac:dyDescent="0.25">
      <c r="A376" s="85">
        <v>411</v>
      </c>
      <c r="B376" s="85">
        <v>50085480</v>
      </c>
      <c r="C376" s="86" t="s">
        <v>739</v>
      </c>
    </row>
    <row r="377" spans="1:3" x14ac:dyDescent="0.25">
      <c r="A377" s="85">
        <v>412</v>
      </c>
      <c r="B377" s="85">
        <v>54714659</v>
      </c>
      <c r="C377" s="86" t="s">
        <v>740</v>
      </c>
    </row>
    <row r="378" spans="1:3" x14ac:dyDescent="0.25">
      <c r="A378" s="85">
        <v>412</v>
      </c>
      <c r="B378" s="85">
        <v>70681470</v>
      </c>
      <c r="C378" s="86" t="s">
        <v>741</v>
      </c>
    </row>
    <row r="379" spans="1:3" x14ac:dyDescent="0.25">
      <c r="A379" s="85">
        <v>412</v>
      </c>
      <c r="B379" s="85">
        <v>33374900</v>
      </c>
      <c r="C379" s="86" t="s">
        <v>742</v>
      </c>
    </row>
    <row r="380" spans="1:3" x14ac:dyDescent="0.25">
      <c r="A380" s="85">
        <v>413</v>
      </c>
      <c r="B380" s="85">
        <v>16015958</v>
      </c>
      <c r="C380" s="86" t="s">
        <v>743</v>
      </c>
    </row>
    <row r="381" spans="1:3" x14ac:dyDescent="0.25">
      <c r="A381" s="85">
        <v>414</v>
      </c>
      <c r="B381" s="85">
        <v>83341546</v>
      </c>
      <c r="C381" s="86" t="s">
        <v>744</v>
      </c>
    </row>
    <row r="382" spans="1:3" x14ac:dyDescent="0.25">
      <c r="A382" s="85">
        <v>415</v>
      </c>
      <c r="B382" s="85">
        <v>97040035</v>
      </c>
      <c r="C382" s="86" t="s">
        <v>745</v>
      </c>
    </row>
    <row r="383" spans="1:3" x14ac:dyDescent="0.25">
      <c r="A383" s="85">
        <v>416</v>
      </c>
      <c r="B383" s="85">
        <v>50400804</v>
      </c>
      <c r="C383" s="86" t="s">
        <v>746</v>
      </c>
    </row>
    <row r="384" spans="1:3" x14ac:dyDescent="0.25">
      <c r="A384" s="85">
        <v>417</v>
      </c>
      <c r="B384" s="85">
        <v>92845414</v>
      </c>
      <c r="C384" s="86" t="s">
        <v>747</v>
      </c>
    </row>
    <row r="385" spans="1:3" x14ac:dyDescent="0.25">
      <c r="A385" s="85">
        <v>418</v>
      </c>
      <c r="B385" s="85">
        <v>49739954</v>
      </c>
      <c r="C385" s="86" t="s">
        <v>748</v>
      </c>
    </row>
    <row r="386" spans="1:3" x14ac:dyDescent="0.25">
      <c r="A386" s="85">
        <v>419</v>
      </c>
      <c r="B386" s="85">
        <v>23491909</v>
      </c>
      <c r="C386" s="86" t="s">
        <v>749</v>
      </c>
    </row>
    <row r="387" spans="1:3" x14ac:dyDescent="0.25">
      <c r="A387" s="85">
        <v>420</v>
      </c>
      <c r="B387" s="85">
        <v>28527244</v>
      </c>
      <c r="C387" s="86" t="s">
        <v>750</v>
      </c>
    </row>
    <row r="388" spans="1:3" x14ac:dyDescent="0.25">
      <c r="A388" s="85">
        <v>421</v>
      </c>
      <c r="B388" s="85">
        <v>70682345</v>
      </c>
      <c r="C388" s="86" t="s">
        <v>751</v>
      </c>
    </row>
    <row r="389" spans="1:3" x14ac:dyDescent="0.25">
      <c r="A389" s="85">
        <v>422</v>
      </c>
      <c r="B389" s="85">
        <v>14220976</v>
      </c>
      <c r="C389" s="86" t="s">
        <v>752</v>
      </c>
    </row>
    <row r="390" spans="1:3" x14ac:dyDescent="0.25">
      <c r="A390" s="85">
        <v>423</v>
      </c>
      <c r="B390" s="85">
        <v>25034978</v>
      </c>
      <c r="C390" s="86" t="s">
        <v>753</v>
      </c>
    </row>
    <row r="391" spans="1:3" x14ac:dyDescent="0.25">
      <c r="A391" s="85">
        <v>424</v>
      </c>
      <c r="B391" s="85">
        <v>22137613</v>
      </c>
      <c r="C391" s="86" t="s">
        <v>754</v>
      </c>
    </row>
    <row r="392" spans="1:3" x14ac:dyDescent="0.25">
      <c r="A392" s="85">
        <v>425</v>
      </c>
      <c r="B392" s="85">
        <v>12003208</v>
      </c>
      <c r="C392" s="86" t="s">
        <v>755</v>
      </c>
    </row>
    <row r="393" spans="1:3" x14ac:dyDescent="0.25">
      <c r="A393" s="85">
        <v>426</v>
      </c>
      <c r="B393" s="85">
        <v>49389534</v>
      </c>
      <c r="C393" s="86" t="s">
        <v>756</v>
      </c>
    </row>
    <row r="394" spans="1:3" x14ac:dyDescent="0.25">
      <c r="A394" s="85">
        <v>427</v>
      </c>
      <c r="B394" s="85">
        <v>16691206</v>
      </c>
      <c r="C394" s="86" t="s">
        <v>757</v>
      </c>
    </row>
    <row r="395" spans="1:3" x14ac:dyDescent="0.25">
      <c r="A395" s="85">
        <v>428</v>
      </c>
      <c r="B395" s="85">
        <v>53878675</v>
      </c>
      <c r="C395" s="86" t="s">
        <v>758</v>
      </c>
    </row>
    <row r="396" spans="1:3" x14ac:dyDescent="0.25">
      <c r="A396" s="85">
        <v>429</v>
      </c>
      <c r="B396" s="85">
        <v>80616513</v>
      </c>
      <c r="C396" s="86" t="s">
        <v>759</v>
      </c>
    </row>
    <row r="397" spans="1:3" x14ac:dyDescent="0.25">
      <c r="A397" s="85">
        <v>430</v>
      </c>
      <c r="B397" s="85">
        <v>82044913</v>
      </c>
      <c r="C397" s="86" t="s">
        <v>760</v>
      </c>
    </row>
    <row r="398" spans="1:3" x14ac:dyDescent="0.25">
      <c r="A398" s="85">
        <v>431</v>
      </c>
      <c r="B398" s="85">
        <v>49726472</v>
      </c>
      <c r="C398" s="86" t="s">
        <v>761</v>
      </c>
    </row>
    <row r="399" spans="1:3" x14ac:dyDescent="0.25">
      <c r="A399" s="85">
        <v>432</v>
      </c>
      <c r="B399" s="85">
        <v>16042836</v>
      </c>
      <c r="C399" s="86" t="s">
        <v>762</v>
      </c>
    </row>
    <row r="400" spans="1:3" x14ac:dyDescent="0.25">
      <c r="A400" s="85">
        <v>433</v>
      </c>
      <c r="B400" s="85">
        <v>49733804</v>
      </c>
      <c r="C400" s="86" t="s">
        <v>763</v>
      </c>
    </row>
    <row r="401" spans="1:3" x14ac:dyDescent="0.25">
      <c r="A401" s="85">
        <v>434</v>
      </c>
      <c r="B401" s="85">
        <v>28578279</v>
      </c>
      <c r="C401" s="86" t="s">
        <v>764</v>
      </c>
    </row>
    <row r="402" spans="1:3" x14ac:dyDescent="0.25">
      <c r="A402" s="85">
        <v>435</v>
      </c>
      <c r="B402" s="85">
        <v>25204109</v>
      </c>
      <c r="C402" s="86" t="s">
        <v>765</v>
      </c>
    </row>
    <row r="403" spans="1:3" x14ac:dyDescent="0.25">
      <c r="A403" s="85">
        <v>436</v>
      </c>
      <c r="B403" s="85">
        <v>86010267</v>
      </c>
      <c r="C403" s="86" t="s">
        <v>766</v>
      </c>
    </row>
    <row r="404" spans="1:3" x14ac:dyDescent="0.25">
      <c r="A404" s="85">
        <v>438</v>
      </c>
      <c r="B404" s="85">
        <v>16870989</v>
      </c>
      <c r="C404" s="86" t="s">
        <v>767</v>
      </c>
    </row>
    <row r="405" spans="1:3" x14ac:dyDescent="0.25">
      <c r="A405" s="85">
        <v>439</v>
      </c>
      <c r="B405" s="85">
        <v>84978474</v>
      </c>
      <c r="C405" s="86" t="s">
        <v>768</v>
      </c>
    </row>
    <row r="406" spans="1:3" x14ac:dyDescent="0.25">
      <c r="A406" s="85">
        <v>441</v>
      </c>
      <c r="B406" s="85">
        <v>55854380</v>
      </c>
      <c r="C406" s="86" t="s">
        <v>769</v>
      </c>
    </row>
    <row r="407" spans="1:3" x14ac:dyDescent="0.25">
      <c r="A407" s="85">
        <v>443</v>
      </c>
      <c r="B407" s="85">
        <v>50681255</v>
      </c>
      <c r="C407" s="86" t="s">
        <v>770</v>
      </c>
    </row>
    <row r="408" spans="1:3" x14ac:dyDescent="0.25">
      <c r="A408" s="85">
        <v>444</v>
      </c>
      <c r="B408" s="85">
        <v>89903017</v>
      </c>
      <c r="C408" s="86" t="s">
        <v>771</v>
      </c>
    </row>
    <row r="409" spans="1:3" x14ac:dyDescent="0.25">
      <c r="A409" s="85">
        <v>445</v>
      </c>
      <c r="B409" s="85">
        <v>50085480</v>
      </c>
      <c r="C409" s="86" t="s">
        <v>772</v>
      </c>
    </row>
    <row r="410" spans="1:3" x14ac:dyDescent="0.25">
      <c r="A410" s="85">
        <v>446</v>
      </c>
      <c r="B410" s="85">
        <v>84706234</v>
      </c>
      <c r="C410" s="86" t="s">
        <v>773</v>
      </c>
    </row>
    <row r="411" spans="1:3" x14ac:dyDescent="0.25">
      <c r="A411" s="85">
        <v>448</v>
      </c>
      <c r="B411" s="85">
        <v>33928331</v>
      </c>
      <c r="C411" s="86" t="s">
        <v>774</v>
      </c>
    </row>
    <row r="412" spans="1:3" x14ac:dyDescent="0.25">
      <c r="A412" s="85">
        <v>449</v>
      </c>
      <c r="B412" s="85">
        <v>83608100</v>
      </c>
      <c r="C412" s="86" t="s">
        <v>775</v>
      </c>
    </row>
    <row r="413" spans="1:3" x14ac:dyDescent="0.25">
      <c r="A413" s="85">
        <v>450</v>
      </c>
      <c r="B413" s="85">
        <v>16869364</v>
      </c>
      <c r="C413" s="86" t="s">
        <v>776</v>
      </c>
    </row>
    <row r="414" spans="1:3" x14ac:dyDescent="0.25">
      <c r="A414" s="85">
        <v>451</v>
      </c>
      <c r="B414" s="85">
        <v>97537014</v>
      </c>
      <c r="C414" s="86" t="s">
        <v>777</v>
      </c>
    </row>
    <row r="415" spans="1:3" x14ac:dyDescent="0.25">
      <c r="A415" s="85">
        <v>452</v>
      </c>
      <c r="B415" s="85">
        <v>29158090</v>
      </c>
      <c r="C415" s="86" t="s">
        <v>778</v>
      </c>
    </row>
    <row r="416" spans="1:3" x14ac:dyDescent="0.25">
      <c r="A416" s="85">
        <v>453</v>
      </c>
      <c r="B416" s="85">
        <v>27269036</v>
      </c>
      <c r="C416" s="86" t="s">
        <v>779</v>
      </c>
    </row>
    <row r="417" spans="1:3" x14ac:dyDescent="0.25">
      <c r="A417" s="85">
        <v>454</v>
      </c>
      <c r="B417" s="85">
        <v>50085480</v>
      </c>
      <c r="C417" s="86" t="s">
        <v>780</v>
      </c>
    </row>
    <row r="418" spans="1:3" x14ac:dyDescent="0.25">
      <c r="A418" s="85">
        <v>455</v>
      </c>
      <c r="B418" s="85">
        <v>53378073</v>
      </c>
      <c r="C418" s="86" t="s">
        <v>781</v>
      </c>
    </row>
    <row r="419" spans="1:3" x14ac:dyDescent="0.25">
      <c r="A419" s="85">
        <v>456</v>
      </c>
      <c r="B419" s="85">
        <v>70528379</v>
      </c>
      <c r="C419" s="86" t="s">
        <v>782</v>
      </c>
    </row>
    <row r="420" spans="1:3" x14ac:dyDescent="0.25">
      <c r="A420" s="85">
        <v>457</v>
      </c>
      <c r="B420" s="85">
        <v>97035504</v>
      </c>
      <c r="C420" s="86" t="s">
        <v>783</v>
      </c>
    </row>
    <row r="421" spans="1:3" x14ac:dyDescent="0.25">
      <c r="A421" s="85">
        <v>458</v>
      </c>
      <c r="B421" s="85">
        <v>89433923</v>
      </c>
      <c r="C421" s="86" t="s">
        <v>784</v>
      </c>
    </row>
    <row r="422" spans="1:3" x14ac:dyDescent="0.25">
      <c r="A422" s="85">
        <v>459</v>
      </c>
      <c r="B422" s="85">
        <v>12832253</v>
      </c>
      <c r="C422" s="86" t="s">
        <v>785</v>
      </c>
    </row>
    <row r="423" spans="1:3" x14ac:dyDescent="0.25">
      <c r="A423" s="85">
        <v>460</v>
      </c>
      <c r="B423" s="85">
        <v>28094909</v>
      </c>
      <c r="C423" s="86" t="s">
        <v>786</v>
      </c>
    </row>
    <row r="424" spans="1:3" x14ac:dyDescent="0.25">
      <c r="A424" s="85">
        <v>461</v>
      </c>
      <c r="B424" s="85">
        <v>97005136</v>
      </c>
      <c r="C424" s="86" t="s">
        <v>787</v>
      </c>
    </row>
    <row r="425" spans="1:3" x14ac:dyDescent="0.25">
      <c r="A425" s="85">
        <v>462</v>
      </c>
      <c r="B425" s="85">
        <v>86250202</v>
      </c>
      <c r="C425" s="86" t="s">
        <v>788</v>
      </c>
    </row>
    <row r="426" spans="1:3" x14ac:dyDescent="0.25">
      <c r="A426" s="85">
        <v>463</v>
      </c>
      <c r="B426" s="85">
        <v>86948877</v>
      </c>
      <c r="C426" s="86" t="s">
        <v>789</v>
      </c>
    </row>
    <row r="427" spans="1:3" x14ac:dyDescent="0.25">
      <c r="A427" s="85">
        <v>464</v>
      </c>
      <c r="B427" s="85">
        <v>17348650</v>
      </c>
      <c r="C427" s="86" t="s">
        <v>790</v>
      </c>
    </row>
    <row r="428" spans="1:3" x14ac:dyDescent="0.25">
      <c r="A428" s="85">
        <v>465</v>
      </c>
      <c r="B428" s="85">
        <v>97269214</v>
      </c>
      <c r="C428" s="86" t="s">
        <v>791</v>
      </c>
    </row>
    <row r="429" spans="1:3" x14ac:dyDescent="0.25">
      <c r="A429" s="85">
        <v>466</v>
      </c>
      <c r="B429" s="85">
        <v>16309659</v>
      </c>
      <c r="C429" s="86" t="s">
        <v>792</v>
      </c>
    </row>
    <row r="430" spans="1:3" x14ac:dyDescent="0.25">
      <c r="A430" s="85">
        <v>467</v>
      </c>
      <c r="B430" s="85">
        <v>89502673</v>
      </c>
      <c r="C430" s="86" t="s">
        <v>793</v>
      </c>
    </row>
    <row r="431" spans="1:3" x14ac:dyDescent="0.25">
      <c r="A431" s="85">
        <v>468</v>
      </c>
      <c r="B431" s="85">
        <v>42686025</v>
      </c>
      <c r="C431" s="86" t="s">
        <v>794</v>
      </c>
    </row>
    <row r="432" spans="1:3" x14ac:dyDescent="0.25">
      <c r="A432" s="85">
        <v>469</v>
      </c>
      <c r="B432" s="85">
        <v>49777366</v>
      </c>
      <c r="C432" s="86" t="s">
        <v>795</v>
      </c>
    </row>
    <row r="433" spans="1:3" x14ac:dyDescent="0.25">
      <c r="A433" s="85">
        <v>470</v>
      </c>
      <c r="B433" s="85">
        <v>28500548</v>
      </c>
      <c r="C433" s="86" t="s">
        <v>796</v>
      </c>
    </row>
    <row r="434" spans="1:3" x14ac:dyDescent="0.25">
      <c r="A434" s="85">
        <v>471</v>
      </c>
      <c r="B434" s="85">
        <v>82044913</v>
      </c>
      <c r="C434" s="86" t="s">
        <v>797</v>
      </c>
    </row>
    <row r="435" spans="1:3" x14ac:dyDescent="0.25">
      <c r="A435" s="85">
        <v>472</v>
      </c>
      <c r="B435" s="85">
        <v>50526439</v>
      </c>
      <c r="C435" s="86" t="s">
        <v>798</v>
      </c>
    </row>
    <row r="436" spans="1:3" x14ac:dyDescent="0.25">
      <c r="A436" s="85">
        <v>473</v>
      </c>
      <c r="B436" s="85">
        <v>49258934</v>
      </c>
      <c r="C436" s="86" t="s">
        <v>799</v>
      </c>
    </row>
    <row r="437" spans="1:3" x14ac:dyDescent="0.25">
      <c r="A437" s="85">
        <v>474</v>
      </c>
      <c r="B437" s="85">
        <v>83341763</v>
      </c>
      <c r="C437" s="86" t="s">
        <v>800</v>
      </c>
    </row>
    <row r="438" spans="1:3" x14ac:dyDescent="0.25">
      <c r="A438" s="85">
        <v>475</v>
      </c>
      <c r="B438" s="85">
        <v>53287691</v>
      </c>
      <c r="C438" s="86" t="s">
        <v>801</v>
      </c>
    </row>
    <row r="439" spans="1:3" x14ac:dyDescent="0.25">
      <c r="A439" s="85">
        <v>476</v>
      </c>
      <c r="B439" s="85">
        <v>59141483</v>
      </c>
      <c r="C439" s="86" t="s">
        <v>802</v>
      </c>
    </row>
    <row r="440" spans="1:3" x14ac:dyDescent="0.25">
      <c r="A440" s="85">
        <v>477</v>
      </c>
      <c r="B440" s="85">
        <v>84347391</v>
      </c>
      <c r="C440" s="86" t="s">
        <v>803</v>
      </c>
    </row>
    <row r="441" spans="1:3" x14ac:dyDescent="0.25">
      <c r="A441" s="85">
        <v>478</v>
      </c>
      <c r="B441" s="85">
        <v>16268215</v>
      </c>
      <c r="C441" s="86" t="s">
        <v>804</v>
      </c>
    </row>
    <row r="442" spans="1:3" x14ac:dyDescent="0.25">
      <c r="A442" s="85">
        <v>479</v>
      </c>
      <c r="B442" s="85">
        <v>80675391</v>
      </c>
      <c r="C442" s="86" t="s">
        <v>805</v>
      </c>
    </row>
    <row r="443" spans="1:3" x14ac:dyDescent="0.25">
      <c r="A443" s="85">
        <v>480</v>
      </c>
      <c r="B443" s="85">
        <v>84983069</v>
      </c>
      <c r="C443" s="86" t="s">
        <v>806</v>
      </c>
    </row>
    <row r="444" spans="1:3" x14ac:dyDescent="0.25">
      <c r="A444" s="85">
        <v>481</v>
      </c>
      <c r="B444" s="85">
        <v>50402704</v>
      </c>
      <c r="C444" s="86" t="s">
        <v>807</v>
      </c>
    </row>
    <row r="445" spans="1:3" x14ac:dyDescent="0.25">
      <c r="A445" s="85">
        <v>482</v>
      </c>
      <c r="B445" s="85">
        <v>54903639</v>
      </c>
      <c r="C445" s="86" t="s">
        <v>808</v>
      </c>
    </row>
    <row r="446" spans="1:3" x14ac:dyDescent="0.25">
      <c r="A446" s="85">
        <v>483</v>
      </c>
      <c r="B446" s="87" t="s">
        <v>809</v>
      </c>
      <c r="C446" s="86" t="s">
        <v>810</v>
      </c>
    </row>
    <row r="447" spans="1:3" x14ac:dyDescent="0.25">
      <c r="A447" s="85">
        <v>484</v>
      </c>
      <c r="B447" s="85">
        <v>28500414</v>
      </c>
      <c r="C447" s="86" t="s">
        <v>811</v>
      </c>
    </row>
    <row r="448" spans="1:3" x14ac:dyDescent="0.25">
      <c r="A448" s="85">
        <v>485</v>
      </c>
      <c r="B448" s="85">
        <v>49726472</v>
      </c>
      <c r="C448" s="86" t="s">
        <v>812</v>
      </c>
    </row>
    <row r="449" spans="1:3" x14ac:dyDescent="0.25">
      <c r="A449" s="85">
        <v>486</v>
      </c>
      <c r="B449" s="85">
        <v>86685760</v>
      </c>
      <c r="C449" s="86" t="s">
        <v>813</v>
      </c>
    </row>
    <row r="450" spans="1:3" x14ac:dyDescent="0.25">
      <c r="A450" s="85">
        <v>487</v>
      </c>
      <c r="B450" s="85">
        <v>49777366</v>
      </c>
      <c r="C450" s="86" t="s">
        <v>814</v>
      </c>
    </row>
    <row r="451" spans="1:3" x14ac:dyDescent="0.25">
      <c r="A451" s="85">
        <v>488</v>
      </c>
      <c r="B451" s="85">
        <v>39674670</v>
      </c>
      <c r="C451" s="86" t="s">
        <v>815</v>
      </c>
    </row>
    <row r="452" spans="1:3" x14ac:dyDescent="0.25">
      <c r="A452" s="85">
        <v>489</v>
      </c>
      <c r="B452" s="85">
        <v>25025561</v>
      </c>
      <c r="C452" s="86" t="s">
        <v>816</v>
      </c>
    </row>
    <row r="453" spans="1:3" x14ac:dyDescent="0.25">
      <c r="A453" s="85">
        <v>490</v>
      </c>
      <c r="B453" s="85">
        <v>84690388</v>
      </c>
      <c r="C453" s="86" t="s">
        <v>817</v>
      </c>
    </row>
    <row r="454" spans="1:3" x14ac:dyDescent="0.25">
      <c r="A454" s="85">
        <v>491</v>
      </c>
      <c r="B454" s="85">
        <v>45660322</v>
      </c>
      <c r="C454" s="86" t="s">
        <v>818</v>
      </c>
    </row>
    <row r="455" spans="1:3" x14ac:dyDescent="0.25">
      <c r="A455" s="85">
        <v>492</v>
      </c>
      <c r="B455" s="85">
        <v>53395615</v>
      </c>
      <c r="C455" s="86" t="s">
        <v>819</v>
      </c>
    </row>
    <row r="456" spans="1:3" x14ac:dyDescent="0.25">
      <c r="A456" s="85">
        <v>493</v>
      </c>
      <c r="B456" s="85">
        <v>50401607</v>
      </c>
      <c r="C456" s="86" t="s">
        <v>820</v>
      </c>
    </row>
    <row r="457" spans="1:3" x14ac:dyDescent="0.25">
      <c r="A457" s="85">
        <v>494</v>
      </c>
      <c r="B457" s="85">
        <v>89490661</v>
      </c>
      <c r="C457" s="86" t="s">
        <v>821</v>
      </c>
    </row>
    <row r="458" spans="1:3" x14ac:dyDescent="0.25">
      <c r="A458" s="85">
        <v>496</v>
      </c>
      <c r="B458" s="85">
        <v>47159867</v>
      </c>
      <c r="C458" s="86" t="s">
        <v>822</v>
      </c>
    </row>
    <row r="459" spans="1:3" x14ac:dyDescent="0.25">
      <c r="A459" s="85">
        <v>497</v>
      </c>
      <c r="B459" s="85">
        <v>86813006</v>
      </c>
      <c r="C459" s="86" t="s">
        <v>823</v>
      </c>
    </row>
    <row r="460" spans="1:3" x14ac:dyDescent="0.25">
      <c r="A460" s="85">
        <v>498</v>
      </c>
      <c r="B460" s="85">
        <v>28636995</v>
      </c>
      <c r="C460" s="86" t="s">
        <v>824</v>
      </c>
    </row>
    <row r="461" spans="1:3" x14ac:dyDescent="0.25">
      <c r="A461" s="85">
        <v>499</v>
      </c>
      <c r="B461" s="85">
        <v>89240284</v>
      </c>
      <c r="C461" s="86" t="s">
        <v>825</v>
      </c>
    </row>
    <row r="462" spans="1:3" x14ac:dyDescent="0.25">
      <c r="A462" s="85">
        <v>500</v>
      </c>
      <c r="B462" s="85">
        <v>31735338</v>
      </c>
      <c r="C462" s="86" t="s">
        <v>826</v>
      </c>
    </row>
    <row r="463" spans="1:3" x14ac:dyDescent="0.25">
      <c r="A463" s="85">
        <v>501</v>
      </c>
      <c r="B463" s="85">
        <v>77039284</v>
      </c>
      <c r="C463" s="86" t="s">
        <v>827</v>
      </c>
    </row>
    <row r="464" spans="1:3" x14ac:dyDescent="0.25">
      <c r="A464" s="85">
        <v>502</v>
      </c>
      <c r="B464" s="85">
        <v>25096397</v>
      </c>
      <c r="C464" s="86" t="s">
        <v>828</v>
      </c>
    </row>
    <row r="465" spans="1:3" x14ac:dyDescent="0.25">
      <c r="A465" s="85">
        <v>503</v>
      </c>
      <c r="B465" s="85">
        <v>49389534</v>
      </c>
      <c r="C465" s="86" t="s">
        <v>829</v>
      </c>
    </row>
    <row r="466" spans="1:3" x14ac:dyDescent="0.25">
      <c r="A466" s="85">
        <v>504</v>
      </c>
      <c r="B466" s="85">
        <v>23842433</v>
      </c>
      <c r="C466" s="86" t="s">
        <v>830</v>
      </c>
    </row>
    <row r="467" spans="1:3" x14ac:dyDescent="0.25">
      <c r="A467" s="85">
        <v>505</v>
      </c>
      <c r="B467" s="85">
        <v>66800931</v>
      </c>
      <c r="C467" s="86" t="s">
        <v>831</v>
      </c>
    </row>
    <row r="468" spans="1:3" x14ac:dyDescent="0.25">
      <c r="A468" s="85">
        <v>506</v>
      </c>
      <c r="B468" s="85">
        <v>16067961</v>
      </c>
      <c r="C468" s="86" t="s">
        <v>832</v>
      </c>
    </row>
    <row r="469" spans="1:3" x14ac:dyDescent="0.25">
      <c r="A469" s="85">
        <v>507</v>
      </c>
      <c r="B469" s="85">
        <v>29086548</v>
      </c>
      <c r="C469" s="86" t="s">
        <v>833</v>
      </c>
    </row>
    <row r="470" spans="1:3" x14ac:dyDescent="0.25">
      <c r="A470" s="85">
        <v>508</v>
      </c>
      <c r="B470" s="85">
        <v>89794329</v>
      </c>
      <c r="C470" s="86" t="s">
        <v>834</v>
      </c>
    </row>
    <row r="471" spans="1:3" x14ac:dyDescent="0.25">
      <c r="A471" s="85">
        <v>509</v>
      </c>
      <c r="B471" s="85">
        <v>55895657</v>
      </c>
      <c r="C471" s="86" t="s">
        <v>835</v>
      </c>
    </row>
    <row r="472" spans="1:3" x14ac:dyDescent="0.25">
      <c r="A472" s="85">
        <v>510</v>
      </c>
      <c r="B472" s="85">
        <v>84983069</v>
      </c>
      <c r="C472" s="86" t="s">
        <v>836</v>
      </c>
    </row>
    <row r="473" spans="1:3" x14ac:dyDescent="0.25">
      <c r="A473" s="85">
        <v>511</v>
      </c>
      <c r="B473" s="85">
        <v>16902877</v>
      </c>
      <c r="C473" s="86" t="s">
        <v>837</v>
      </c>
    </row>
    <row r="474" spans="1:3" x14ac:dyDescent="0.25">
      <c r="A474" s="85">
        <v>513</v>
      </c>
      <c r="B474" s="85">
        <v>80709907</v>
      </c>
      <c r="C474" s="86" t="s">
        <v>838</v>
      </c>
    </row>
    <row r="475" spans="1:3" x14ac:dyDescent="0.25">
      <c r="A475" s="85">
        <v>514</v>
      </c>
      <c r="B475" s="85">
        <v>16798087</v>
      </c>
      <c r="C475" s="86" t="s">
        <v>839</v>
      </c>
    </row>
    <row r="476" spans="1:3" x14ac:dyDescent="0.25">
      <c r="A476" s="85">
        <v>515</v>
      </c>
      <c r="B476" s="85">
        <v>49699502</v>
      </c>
      <c r="C476" s="86" t="s">
        <v>840</v>
      </c>
    </row>
    <row r="477" spans="1:3" x14ac:dyDescent="0.25">
      <c r="A477" s="85">
        <v>516</v>
      </c>
      <c r="B477" s="85">
        <v>30327849</v>
      </c>
      <c r="C477" s="86" t="s">
        <v>841</v>
      </c>
    </row>
    <row r="478" spans="1:3" x14ac:dyDescent="0.25">
      <c r="A478" s="85">
        <v>517</v>
      </c>
      <c r="B478" s="85">
        <v>22790443</v>
      </c>
      <c r="C478" s="86" t="s">
        <v>842</v>
      </c>
    </row>
    <row r="479" spans="1:3" x14ac:dyDescent="0.25">
      <c r="A479" s="85">
        <v>518</v>
      </c>
      <c r="B479" s="85">
        <v>49695421</v>
      </c>
      <c r="C479" s="86" t="s">
        <v>843</v>
      </c>
    </row>
    <row r="480" spans="1:3" x14ac:dyDescent="0.25">
      <c r="A480" s="85">
        <v>519</v>
      </c>
      <c r="B480" s="85">
        <v>83548595</v>
      </c>
      <c r="C480" s="86" t="s">
        <v>844</v>
      </c>
    </row>
    <row r="481" spans="1:3" x14ac:dyDescent="0.25">
      <c r="A481" s="85">
        <v>520</v>
      </c>
      <c r="B481" s="85">
        <v>50085480</v>
      </c>
      <c r="C481" s="86" t="s">
        <v>845</v>
      </c>
    </row>
    <row r="482" spans="1:3" x14ac:dyDescent="0.25">
      <c r="A482" s="85">
        <v>521</v>
      </c>
      <c r="B482" s="85">
        <v>27922106</v>
      </c>
      <c r="C482" s="86" t="s">
        <v>846</v>
      </c>
    </row>
    <row r="483" spans="1:3" x14ac:dyDescent="0.25">
      <c r="A483" s="85">
        <v>522</v>
      </c>
      <c r="B483" s="85">
        <v>13027066</v>
      </c>
      <c r="C483" s="86" t="s">
        <v>847</v>
      </c>
    </row>
    <row r="484" spans="1:3" x14ac:dyDescent="0.25">
      <c r="A484" s="85">
        <v>523</v>
      </c>
      <c r="B484" s="85">
        <v>97009576</v>
      </c>
      <c r="C484" s="86" t="s">
        <v>848</v>
      </c>
    </row>
    <row r="485" spans="1:3" x14ac:dyDescent="0.25">
      <c r="A485" s="85">
        <v>525</v>
      </c>
      <c r="B485" s="85">
        <v>16327679</v>
      </c>
      <c r="C485" s="86" t="s">
        <v>849</v>
      </c>
    </row>
    <row r="486" spans="1:3" x14ac:dyDescent="0.25">
      <c r="A486" s="85">
        <v>526</v>
      </c>
      <c r="B486" s="85">
        <v>86686310</v>
      </c>
      <c r="C486" s="86" t="s">
        <v>850</v>
      </c>
    </row>
    <row r="487" spans="1:3" x14ac:dyDescent="0.25">
      <c r="A487" s="85">
        <v>527</v>
      </c>
      <c r="B487" s="85">
        <v>70669130</v>
      </c>
      <c r="C487" s="86" t="s">
        <v>851</v>
      </c>
    </row>
    <row r="488" spans="1:3" x14ac:dyDescent="0.25">
      <c r="A488" s="85">
        <v>528</v>
      </c>
      <c r="B488" s="85">
        <v>53052759</v>
      </c>
      <c r="C488" s="86" t="s">
        <v>852</v>
      </c>
    </row>
    <row r="489" spans="1:3" x14ac:dyDescent="0.25">
      <c r="A489" s="85">
        <v>529</v>
      </c>
      <c r="B489" s="85">
        <v>93907839</v>
      </c>
      <c r="C489" s="86" t="s">
        <v>853</v>
      </c>
    </row>
    <row r="490" spans="1:3" x14ac:dyDescent="0.25">
      <c r="A490" s="85">
        <v>530</v>
      </c>
      <c r="B490" s="85">
        <v>84709491</v>
      </c>
      <c r="C490" s="86" t="s">
        <v>854</v>
      </c>
    </row>
    <row r="491" spans="1:3" x14ac:dyDescent="0.25">
      <c r="A491" s="85">
        <v>531</v>
      </c>
      <c r="B491" s="85">
        <v>28772230</v>
      </c>
      <c r="C491" s="86" t="s">
        <v>855</v>
      </c>
    </row>
    <row r="492" spans="1:3" x14ac:dyDescent="0.25">
      <c r="A492" s="85">
        <v>532</v>
      </c>
      <c r="B492" s="85">
        <v>99895199</v>
      </c>
      <c r="C492" s="86" t="s">
        <v>856</v>
      </c>
    </row>
    <row r="493" spans="1:3" x14ac:dyDescent="0.25">
      <c r="A493" s="85">
        <v>533</v>
      </c>
      <c r="B493" s="85">
        <v>88490431</v>
      </c>
      <c r="C493" s="86" t="s">
        <v>857</v>
      </c>
    </row>
    <row r="494" spans="1:3" x14ac:dyDescent="0.25">
      <c r="A494" s="85">
        <v>534</v>
      </c>
      <c r="B494" s="85">
        <v>16321838</v>
      </c>
      <c r="C494" s="86" t="s">
        <v>858</v>
      </c>
    </row>
    <row r="495" spans="1:3" x14ac:dyDescent="0.25">
      <c r="A495" s="85">
        <v>535</v>
      </c>
      <c r="B495" s="85">
        <v>97224771</v>
      </c>
      <c r="C495" s="86" t="s">
        <v>859</v>
      </c>
    </row>
    <row r="496" spans="1:3" x14ac:dyDescent="0.25">
      <c r="A496" s="85">
        <v>536</v>
      </c>
      <c r="B496" s="85">
        <v>16661266</v>
      </c>
      <c r="C496" s="86" t="s">
        <v>860</v>
      </c>
    </row>
    <row r="497" spans="1:3" x14ac:dyDescent="0.25">
      <c r="A497" s="85">
        <v>537</v>
      </c>
      <c r="B497" s="85">
        <v>12791788</v>
      </c>
      <c r="C497" s="86" t="s">
        <v>119</v>
      </c>
    </row>
    <row r="498" spans="1:3" x14ac:dyDescent="0.25">
      <c r="A498" s="85">
        <v>539</v>
      </c>
      <c r="B498" s="85">
        <v>83355843</v>
      </c>
      <c r="C498" s="86" t="s">
        <v>861</v>
      </c>
    </row>
    <row r="499" spans="1:3" x14ac:dyDescent="0.25">
      <c r="A499" s="85">
        <v>541</v>
      </c>
      <c r="B499" s="85">
        <v>47192009</v>
      </c>
      <c r="C499" s="86" t="s">
        <v>862</v>
      </c>
    </row>
    <row r="500" spans="1:3" x14ac:dyDescent="0.25">
      <c r="A500" s="85">
        <v>542</v>
      </c>
      <c r="B500" s="85">
        <v>35884479</v>
      </c>
      <c r="C500" s="86" t="s">
        <v>863</v>
      </c>
    </row>
    <row r="501" spans="1:3" x14ac:dyDescent="0.25">
      <c r="A501" s="85">
        <v>543</v>
      </c>
      <c r="B501" s="85">
        <v>70461032</v>
      </c>
      <c r="C501" s="86" t="s">
        <v>864</v>
      </c>
    </row>
    <row r="502" spans="1:3" x14ac:dyDescent="0.25">
      <c r="A502" s="85">
        <v>544</v>
      </c>
      <c r="B502" s="87" t="s">
        <v>865</v>
      </c>
      <c r="C502" s="86" t="s">
        <v>866</v>
      </c>
    </row>
    <row r="503" spans="1:3" x14ac:dyDescent="0.25">
      <c r="A503" s="85">
        <v>545</v>
      </c>
      <c r="B503" s="85">
        <v>97224771</v>
      </c>
      <c r="C503" s="86" t="s">
        <v>867</v>
      </c>
    </row>
    <row r="504" spans="1:3" x14ac:dyDescent="0.25">
      <c r="A504" s="85">
        <v>546</v>
      </c>
      <c r="B504" s="85">
        <v>97224771</v>
      </c>
      <c r="C504" s="86" t="s">
        <v>868</v>
      </c>
    </row>
    <row r="505" spans="1:3" x14ac:dyDescent="0.25">
      <c r="A505" s="85">
        <v>547</v>
      </c>
      <c r="B505" s="85">
        <v>50070206</v>
      </c>
      <c r="C505" s="86" t="s">
        <v>869</v>
      </c>
    </row>
    <row r="506" spans="1:3" x14ac:dyDescent="0.25">
      <c r="A506" s="85">
        <v>548</v>
      </c>
      <c r="B506" s="85">
        <v>89903902</v>
      </c>
      <c r="C506" s="86" t="s">
        <v>870</v>
      </c>
    </row>
    <row r="507" spans="1:3" x14ac:dyDescent="0.25">
      <c r="A507" s="85">
        <v>549</v>
      </c>
      <c r="B507" s="85">
        <v>16206112</v>
      </c>
      <c r="C507" s="86" t="s">
        <v>871</v>
      </c>
    </row>
    <row r="508" spans="1:3" x14ac:dyDescent="0.25">
      <c r="A508" s="85">
        <v>550</v>
      </c>
      <c r="B508" s="85">
        <v>97224771</v>
      </c>
      <c r="C508" s="86" t="s">
        <v>872</v>
      </c>
    </row>
    <row r="509" spans="1:3" x14ac:dyDescent="0.25">
      <c r="A509" s="85">
        <v>551</v>
      </c>
      <c r="B509" s="85">
        <v>49705309</v>
      </c>
      <c r="C509" s="86" t="s">
        <v>873</v>
      </c>
    </row>
    <row r="510" spans="1:3" x14ac:dyDescent="0.25">
      <c r="A510" s="85">
        <v>552</v>
      </c>
      <c r="B510" s="85">
        <v>34115163</v>
      </c>
      <c r="C510" s="86" t="s">
        <v>874</v>
      </c>
    </row>
    <row r="511" spans="1:3" x14ac:dyDescent="0.25">
      <c r="A511" s="85">
        <v>553</v>
      </c>
      <c r="B511" s="85">
        <v>89850840</v>
      </c>
      <c r="C511" s="86" t="s">
        <v>875</v>
      </c>
    </row>
    <row r="512" spans="1:3" x14ac:dyDescent="0.25">
      <c r="A512" s="85">
        <v>554</v>
      </c>
      <c r="B512" s="85">
        <v>53977605</v>
      </c>
      <c r="C512" s="86" t="s">
        <v>876</v>
      </c>
    </row>
    <row r="513" spans="1:3" x14ac:dyDescent="0.25">
      <c r="A513" s="85">
        <v>555</v>
      </c>
      <c r="B513" s="85">
        <v>28083924</v>
      </c>
      <c r="C513" s="86" t="s">
        <v>877</v>
      </c>
    </row>
    <row r="514" spans="1:3" x14ac:dyDescent="0.25">
      <c r="A514" s="85">
        <v>556</v>
      </c>
      <c r="B514" s="85">
        <v>21879659</v>
      </c>
      <c r="C514" s="86" t="s">
        <v>878</v>
      </c>
    </row>
    <row r="515" spans="1:3" x14ac:dyDescent="0.25">
      <c r="A515" s="85">
        <v>558</v>
      </c>
      <c r="B515" s="85">
        <v>50143806</v>
      </c>
      <c r="C515" s="86" t="s">
        <v>879</v>
      </c>
    </row>
    <row r="516" spans="1:3" x14ac:dyDescent="0.25">
      <c r="A516" s="85">
        <v>559</v>
      </c>
      <c r="B516" s="85">
        <v>49762954</v>
      </c>
      <c r="C516" s="86" t="s">
        <v>880</v>
      </c>
    </row>
    <row r="517" spans="1:3" x14ac:dyDescent="0.25">
      <c r="A517" s="85">
        <v>560</v>
      </c>
      <c r="B517" s="85">
        <v>92843295</v>
      </c>
      <c r="C517" s="86" t="s">
        <v>881</v>
      </c>
    </row>
    <row r="518" spans="1:3" x14ac:dyDescent="0.25">
      <c r="A518" s="85">
        <v>562</v>
      </c>
      <c r="B518" s="85">
        <v>84711742</v>
      </c>
      <c r="C518" s="86" t="s">
        <v>882</v>
      </c>
    </row>
    <row r="519" spans="1:3" x14ac:dyDescent="0.25">
      <c r="A519" s="85">
        <v>563</v>
      </c>
      <c r="B519" s="85">
        <v>16507855</v>
      </c>
      <c r="C519" s="86" t="s">
        <v>883</v>
      </c>
    </row>
    <row r="520" spans="1:3" x14ac:dyDescent="0.25">
      <c r="A520" s="85">
        <v>564</v>
      </c>
      <c r="B520" s="85">
        <v>22973013</v>
      </c>
      <c r="C520" s="86" t="s">
        <v>884</v>
      </c>
    </row>
    <row r="521" spans="1:3" x14ac:dyDescent="0.25">
      <c r="A521" s="85">
        <v>565</v>
      </c>
      <c r="B521" s="85">
        <v>83341052</v>
      </c>
      <c r="C521" s="86" t="s">
        <v>98</v>
      </c>
    </row>
    <row r="522" spans="1:3" x14ac:dyDescent="0.25">
      <c r="A522" s="85">
        <v>566</v>
      </c>
      <c r="B522" s="85">
        <v>19858340</v>
      </c>
      <c r="C522" s="86" t="s">
        <v>885</v>
      </c>
    </row>
    <row r="523" spans="1:3" x14ac:dyDescent="0.25">
      <c r="A523" s="85">
        <v>567</v>
      </c>
      <c r="B523" s="85">
        <v>91992275</v>
      </c>
      <c r="C523" s="86" t="s">
        <v>886</v>
      </c>
    </row>
    <row r="524" spans="1:3" x14ac:dyDescent="0.25">
      <c r="A524" s="85">
        <v>568</v>
      </c>
      <c r="B524" s="85">
        <v>39869324</v>
      </c>
      <c r="C524" s="86" t="s">
        <v>887</v>
      </c>
    </row>
    <row r="525" spans="1:3" x14ac:dyDescent="0.25">
      <c r="A525" s="85">
        <v>569</v>
      </c>
      <c r="B525" s="85">
        <v>97224771</v>
      </c>
      <c r="C525" s="86" t="s">
        <v>888</v>
      </c>
    </row>
    <row r="526" spans="1:3" x14ac:dyDescent="0.25">
      <c r="A526" s="85">
        <v>570</v>
      </c>
      <c r="B526" s="85">
        <v>22995255</v>
      </c>
      <c r="C526" s="86" t="s">
        <v>889</v>
      </c>
    </row>
    <row r="527" spans="1:3" x14ac:dyDescent="0.25">
      <c r="A527" s="85">
        <v>571</v>
      </c>
      <c r="B527" s="85">
        <v>89213651</v>
      </c>
      <c r="C527" s="86" t="s">
        <v>890</v>
      </c>
    </row>
    <row r="528" spans="1:3" x14ac:dyDescent="0.25">
      <c r="A528" s="85">
        <v>572</v>
      </c>
      <c r="B528" s="85">
        <v>50501922</v>
      </c>
      <c r="C528" s="86" t="s">
        <v>891</v>
      </c>
    </row>
    <row r="529" spans="1:3" x14ac:dyDescent="0.25">
      <c r="A529" s="85">
        <v>573</v>
      </c>
      <c r="B529" s="85">
        <v>97224771</v>
      </c>
      <c r="C529" s="86" t="s">
        <v>892</v>
      </c>
    </row>
    <row r="530" spans="1:3" x14ac:dyDescent="0.25">
      <c r="A530" s="85">
        <v>575</v>
      </c>
      <c r="B530" s="85">
        <v>70604051</v>
      </c>
      <c r="C530" s="86" t="s">
        <v>893</v>
      </c>
    </row>
    <row r="531" spans="1:3" x14ac:dyDescent="0.25">
      <c r="A531" s="85">
        <v>576</v>
      </c>
      <c r="B531" s="85">
        <v>45424708</v>
      </c>
      <c r="C531" s="86" t="s">
        <v>894</v>
      </c>
    </row>
    <row r="532" spans="1:3" x14ac:dyDescent="0.25">
      <c r="A532" s="85">
        <v>577</v>
      </c>
      <c r="B532" s="85">
        <v>8695876</v>
      </c>
      <c r="C532" s="86" t="s">
        <v>895</v>
      </c>
    </row>
    <row r="533" spans="1:3" x14ac:dyDescent="0.25">
      <c r="A533" s="85">
        <v>578</v>
      </c>
      <c r="B533" s="85">
        <v>16379900</v>
      </c>
      <c r="C533" s="86" t="s">
        <v>896</v>
      </c>
    </row>
    <row r="534" spans="1:3" x14ac:dyDescent="0.25">
      <c r="A534" s="85">
        <v>579</v>
      </c>
      <c r="B534" s="85">
        <v>80453736</v>
      </c>
      <c r="C534" s="86" t="s">
        <v>897</v>
      </c>
    </row>
    <row r="535" spans="1:3" x14ac:dyDescent="0.25">
      <c r="A535" s="85">
        <v>580</v>
      </c>
      <c r="B535" s="85">
        <v>16379900</v>
      </c>
      <c r="C535" s="86" t="s">
        <v>898</v>
      </c>
    </row>
    <row r="536" spans="1:3" x14ac:dyDescent="0.25">
      <c r="A536" s="85">
        <v>581</v>
      </c>
      <c r="B536" s="85">
        <v>16389858</v>
      </c>
      <c r="C536" s="86" t="s">
        <v>899</v>
      </c>
    </row>
    <row r="537" spans="1:3" x14ac:dyDescent="0.25">
      <c r="A537" s="85">
        <v>582</v>
      </c>
      <c r="B537" s="85">
        <v>66831028</v>
      </c>
      <c r="C537" s="86" t="s">
        <v>900</v>
      </c>
    </row>
    <row r="538" spans="1:3" x14ac:dyDescent="0.25">
      <c r="A538" s="85">
        <v>583</v>
      </c>
      <c r="B538" s="85">
        <v>97234433</v>
      </c>
      <c r="C538" s="86" t="s">
        <v>901</v>
      </c>
    </row>
    <row r="539" spans="1:3" x14ac:dyDescent="0.25">
      <c r="A539" s="85">
        <v>584</v>
      </c>
      <c r="B539" s="85">
        <v>39989600</v>
      </c>
      <c r="C539" s="86" t="s">
        <v>902</v>
      </c>
    </row>
    <row r="540" spans="1:3" x14ac:dyDescent="0.25">
      <c r="A540" s="85">
        <v>585</v>
      </c>
      <c r="B540" s="85">
        <v>80053794</v>
      </c>
      <c r="C540" s="86" t="s">
        <v>903</v>
      </c>
    </row>
    <row r="541" spans="1:3" x14ac:dyDescent="0.25">
      <c r="A541" s="85">
        <v>586</v>
      </c>
      <c r="B541" s="85">
        <v>49703203</v>
      </c>
      <c r="C541" s="86" t="s">
        <v>904</v>
      </c>
    </row>
    <row r="542" spans="1:3" x14ac:dyDescent="0.25">
      <c r="A542" s="85">
        <v>587</v>
      </c>
      <c r="B542" s="85">
        <v>89552011</v>
      </c>
      <c r="C542" s="86" t="s">
        <v>905</v>
      </c>
    </row>
    <row r="543" spans="1:3" x14ac:dyDescent="0.25">
      <c r="A543" s="85">
        <v>588</v>
      </c>
      <c r="B543" s="85">
        <v>33928331</v>
      </c>
      <c r="C543" s="86" t="s">
        <v>906</v>
      </c>
    </row>
    <row r="544" spans="1:3" x14ac:dyDescent="0.25">
      <c r="A544" s="85">
        <v>589</v>
      </c>
      <c r="B544" s="85">
        <v>24377440</v>
      </c>
      <c r="C544" s="86" t="s">
        <v>907</v>
      </c>
    </row>
    <row r="545" spans="1:3" x14ac:dyDescent="0.25">
      <c r="A545" s="85">
        <v>591</v>
      </c>
      <c r="B545" s="85">
        <v>49681448</v>
      </c>
      <c r="C545" s="86" t="s">
        <v>908</v>
      </c>
    </row>
    <row r="546" spans="1:3" x14ac:dyDescent="0.25">
      <c r="A546" s="85">
        <v>592</v>
      </c>
      <c r="B546" s="85">
        <v>86928794</v>
      </c>
      <c r="C546" s="86" t="s">
        <v>909</v>
      </c>
    </row>
    <row r="547" spans="1:3" x14ac:dyDescent="0.25">
      <c r="A547" s="85">
        <v>593</v>
      </c>
      <c r="B547" s="85">
        <v>86859261</v>
      </c>
      <c r="C547" s="86" t="s">
        <v>910</v>
      </c>
    </row>
    <row r="548" spans="1:3" x14ac:dyDescent="0.25">
      <c r="A548" s="85">
        <v>594</v>
      </c>
      <c r="B548" s="85">
        <v>50531334</v>
      </c>
      <c r="C548" s="86" t="s">
        <v>911</v>
      </c>
    </row>
    <row r="549" spans="1:3" x14ac:dyDescent="0.25">
      <c r="A549" s="85">
        <v>595</v>
      </c>
      <c r="B549" s="85">
        <v>25203663</v>
      </c>
      <c r="C549" s="86" t="s">
        <v>912</v>
      </c>
    </row>
    <row r="550" spans="1:3" x14ac:dyDescent="0.25">
      <c r="A550" s="85">
        <v>596</v>
      </c>
      <c r="B550" s="85">
        <v>84250348</v>
      </c>
      <c r="C550" s="86" t="s">
        <v>913</v>
      </c>
    </row>
    <row r="551" spans="1:3" x14ac:dyDescent="0.25">
      <c r="A551" s="85">
        <v>597</v>
      </c>
      <c r="B551" s="85">
        <v>19868109</v>
      </c>
      <c r="C551" s="86" t="s">
        <v>914</v>
      </c>
    </row>
    <row r="552" spans="1:3" x14ac:dyDescent="0.25">
      <c r="A552" s="85">
        <v>598</v>
      </c>
      <c r="B552" s="87" t="s">
        <v>915</v>
      </c>
      <c r="C552" s="86" t="s">
        <v>916</v>
      </c>
    </row>
    <row r="553" spans="1:3" x14ac:dyDescent="0.25">
      <c r="A553" s="85">
        <v>599</v>
      </c>
      <c r="B553" s="85">
        <v>28154413</v>
      </c>
      <c r="C553" s="86" t="s">
        <v>917</v>
      </c>
    </row>
    <row r="554" spans="1:3" x14ac:dyDescent="0.25">
      <c r="A554" s="85">
        <v>600</v>
      </c>
      <c r="B554" s="85">
        <v>14228843</v>
      </c>
      <c r="C554" s="86" t="s">
        <v>918</v>
      </c>
    </row>
    <row r="555" spans="1:3" x14ac:dyDescent="0.25">
      <c r="A555" s="85">
        <v>601</v>
      </c>
      <c r="B555" s="85">
        <v>49732333</v>
      </c>
      <c r="C555" s="86" t="s">
        <v>919</v>
      </c>
    </row>
    <row r="556" spans="1:3" x14ac:dyDescent="0.25">
      <c r="A556" s="85">
        <v>602</v>
      </c>
      <c r="B556" s="85">
        <v>50248219</v>
      </c>
      <c r="C556" s="86" t="s">
        <v>920</v>
      </c>
    </row>
    <row r="557" spans="1:3" x14ac:dyDescent="0.25">
      <c r="A557" s="85">
        <v>603</v>
      </c>
      <c r="B557" s="85">
        <v>97224771</v>
      </c>
      <c r="C557" s="86" t="s">
        <v>921</v>
      </c>
    </row>
    <row r="558" spans="1:3" x14ac:dyDescent="0.25">
      <c r="A558" s="85">
        <v>604</v>
      </c>
      <c r="B558" s="85">
        <v>89217283</v>
      </c>
      <c r="C558" s="86" t="s">
        <v>922</v>
      </c>
    </row>
    <row r="559" spans="1:3" x14ac:dyDescent="0.25">
      <c r="A559" s="85">
        <v>605</v>
      </c>
      <c r="B559" s="85">
        <v>86948638</v>
      </c>
      <c r="C559" s="86" t="s">
        <v>923</v>
      </c>
    </row>
    <row r="560" spans="1:3" x14ac:dyDescent="0.25">
      <c r="A560" s="85">
        <v>606</v>
      </c>
      <c r="B560" s="85">
        <v>84978474</v>
      </c>
      <c r="C560" s="86" t="s">
        <v>924</v>
      </c>
    </row>
    <row r="561" spans="1:3" x14ac:dyDescent="0.25">
      <c r="A561" s="85">
        <v>607</v>
      </c>
      <c r="B561" s="85">
        <v>89386196</v>
      </c>
      <c r="C561" s="86" t="s">
        <v>925</v>
      </c>
    </row>
    <row r="562" spans="1:3" x14ac:dyDescent="0.25">
      <c r="A562" s="85">
        <v>608</v>
      </c>
      <c r="B562" s="85">
        <v>43622035</v>
      </c>
      <c r="C562" s="86" t="s">
        <v>926</v>
      </c>
    </row>
    <row r="563" spans="1:3" x14ac:dyDescent="0.25">
      <c r="A563" s="85">
        <v>609</v>
      </c>
      <c r="B563" s="85">
        <v>86983297</v>
      </c>
      <c r="C563" s="86" t="s">
        <v>927</v>
      </c>
    </row>
    <row r="564" spans="1:3" x14ac:dyDescent="0.25">
      <c r="A564" s="85">
        <v>610</v>
      </c>
      <c r="B564" s="85">
        <v>27793258</v>
      </c>
      <c r="C564" s="86" t="s">
        <v>928</v>
      </c>
    </row>
    <row r="565" spans="1:3" x14ac:dyDescent="0.25">
      <c r="A565" s="85">
        <v>611</v>
      </c>
      <c r="B565" s="85">
        <v>53064798</v>
      </c>
      <c r="C565" s="86" t="s">
        <v>929</v>
      </c>
    </row>
    <row r="566" spans="1:3" x14ac:dyDescent="0.25">
      <c r="A566" s="85">
        <v>612</v>
      </c>
      <c r="B566" s="85">
        <v>89685672</v>
      </c>
      <c r="C566" s="86" t="s">
        <v>930</v>
      </c>
    </row>
    <row r="567" spans="1:3" x14ac:dyDescent="0.25">
      <c r="A567" s="85">
        <v>613</v>
      </c>
      <c r="B567" s="85">
        <v>54790776</v>
      </c>
      <c r="C567" s="86" t="s">
        <v>931</v>
      </c>
    </row>
    <row r="568" spans="1:3" x14ac:dyDescent="0.25">
      <c r="A568" s="85">
        <v>615</v>
      </c>
      <c r="B568" s="85">
        <v>54809661</v>
      </c>
      <c r="C568" s="86" t="s">
        <v>932</v>
      </c>
    </row>
    <row r="569" spans="1:3" x14ac:dyDescent="0.25">
      <c r="A569" s="85">
        <v>616</v>
      </c>
      <c r="B569" s="87" t="s">
        <v>933</v>
      </c>
      <c r="C569" s="86" t="s">
        <v>934</v>
      </c>
    </row>
    <row r="570" spans="1:3" x14ac:dyDescent="0.25">
      <c r="A570" s="85">
        <v>617</v>
      </c>
      <c r="B570" s="85">
        <v>54520627</v>
      </c>
      <c r="C570" s="86" t="s">
        <v>935</v>
      </c>
    </row>
    <row r="571" spans="1:3" x14ac:dyDescent="0.25">
      <c r="A571" s="85">
        <v>618</v>
      </c>
      <c r="B571" s="85">
        <v>22062325</v>
      </c>
      <c r="C571" s="86" t="s">
        <v>936</v>
      </c>
    </row>
    <row r="572" spans="1:3" x14ac:dyDescent="0.25">
      <c r="A572" s="85">
        <v>620</v>
      </c>
      <c r="B572" s="85">
        <v>37805227</v>
      </c>
      <c r="C572" s="86" t="s">
        <v>937</v>
      </c>
    </row>
    <row r="573" spans="1:3" x14ac:dyDescent="0.25">
      <c r="A573" s="85">
        <v>621</v>
      </c>
      <c r="B573" s="85">
        <v>92859818</v>
      </c>
      <c r="C573" s="86" t="s">
        <v>938</v>
      </c>
    </row>
    <row r="574" spans="1:3" x14ac:dyDescent="0.25">
      <c r="A574" s="85">
        <v>624</v>
      </c>
      <c r="B574" s="85">
        <v>42776813</v>
      </c>
      <c r="C574" s="86" t="s">
        <v>939</v>
      </c>
    </row>
    <row r="575" spans="1:3" x14ac:dyDescent="0.25">
      <c r="A575" s="85">
        <v>625</v>
      </c>
      <c r="B575" s="85">
        <v>84866935</v>
      </c>
      <c r="C575" s="86" t="s">
        <v>940</v>
      </c>
    </row>
    <row r="576" spans="1:3" x14ac:dyDescent="0.25">
      <c r="A576" s="85">
        <v>626</v>
      </c>
      <c r="B576" s="85">
        <v>84195774</v>
      </c>
      <c r="C576" s="86" t="s">
        <v>941</v>
      </c>
    </row>
    <row r="577" spans="1:3" x14ac:dyDescent="0.25">
      <c r="A577" s="85">
        <v>627</v>
      </c>
      <c r="B577" s="85">
        <v>23950024</v>
      </c>
      <c r="C577" s="86" t="s">
        <v>942</v>
      </c>
    </row>
    <row r="578" spans="1:3" x14ac:dyDescent="0.25">
      <c r="A578" s="85">
        <v>628</v>
      </c>
      <c r="B578" s="85">
        <v>47251457</v>
      </c>
      <c r="C578" s="86" t="s">
        <v>943</v>
      </c>
    </row>
    <row r="579" spans="1:3" x14ac:dyDescent="0.25">
      <c r="A579" s="85" t="s">
        <v>2024</v>
      </c>
      <c r="B579" s="85">
        <v>90783671</v>
      </c>
      <c r="C579" s="86" t="s">
        <v>2025</v>
      </c>
    </row>
    <row r="580" spans="1:3" x14ac:dyDescent="0.25">
      <c r="A580" s="85" t="s">
        <v>2026</v>
      </c>
      <c r="B580" s="85">
        <v>24255827</v>
      </c>
      <c r="C580" s="86" t="s">
        <v>1347</v>
      </c>
    </row>
    <row r="581" spans="1:3" x14ac:dyDescent="0.25">
      <c r="A581" s="85">
        <v>631</v>
      </c>
      <c r="B581" s="85">
        <v>16630047</v>
      </c>
      <c r="C581" s="86" t="s">
        <v>944</v>
      </c>
    </row>
    <row r="582" spans="1:3" x14ac:dyDescent="0.25">
      <c r="A582" s="85">
        <v>632</v>
      </c>
      <c r="B582" s="85">
        <v>16630047</v>
      </c>
      <c r="C582" s="86" t="s">
        <v>945</v>
      </c>
    </row>
    <row r="583" spans="1:3" x14ac:dyDescent="0.25">
      <c r="A583" s="85">
        <v>633</v>
      </c>
      <c r="B583" s="85">
        <v>19869058</v>
      </c>
      <c r="C583" s="86" t="s">
        <v>946</v>
      </c>
    </row>
    <row r="584" spans="1:3" x14ac:dyDescent="0.25">
      <c r="A584" s="85">
        <v>634</v>
      </c>
      <c r="B584" s="85">
        <v>35466307</v>
      </c>
      <c r="C584" s="86" t="s">
        <v>947</v>
      </c>
    </row>
    <row r="585" spans="1:3" x14ac:dyDescent="0.25">
      <c r="A585" s="85">
        <v>635</v>
      </c>
      <c r="B585" s="85">
        <v>27922106</v>
      </c>
      <c r="C585" s="86" t="s">
        <v>948</v>
      </c>
    </row>
    <row r="586" spans="1:3" x14ac:dyDescent="0.25">
      <c r="A586" s="85">
        <v>636</v>
      </c>
      <c r="B586" s="85">
        <v>27922106</v>
      </c>
      <c r="C586" s="86" t="s">
        <v>949</v>
      </c>
    </row>
    <row r="587" spans="1:3" x14ac:dyDescent="0.25">
      <c r="A587" s="85">
        <v>637</v>
      </c>
      <c r="B587" s="85">
        <v>27922106</v>
      </c>
      <c r="C587" s="86" t="s">
        <v>950</v>
      </c>
    </row>
    <row r="588" spans="1:3" x14ac:dyDescent="0.25">
      <c r="A588" s="85">
        <v>638</v>
      </c>
      <c r="B588" s="85">
        <v>27922106</v>
      </c>
      <c r="C588" s="86" t="s">
        <v>951</v>
      </c>
    </row>
    <row r="589" spans="1:3" x14ac:dyDescent="0.25">
      <c r="A589" s="85">
        <v>639</v>
      </c>
      <c r="B589" s="85">
        <v>27922106</v>
      </c>
      <c r="C589" s="86" t="s">
        <v>952</v>
      </c>
    </row>
    <row r="590" spans="1:3" x14ac:dyDescent="0.25">
      <c r="A590" s="85">
        <v>640</v>
      </c>
      <c r="B590" s="85">
        <v>49726472</v>
      </c>
      <c r="C590" s="86" t="s">
        <v>953</v>
      </c>
    </row>
    <row r="591" spans="1:3" x14ac:dyDescent="0.25">
      <c r="A591" s="85">
        <v>642</v>
      </c>
      <c r="B591" s="85">
        <v>13819932</v>
      </c>
      <c r="C591" s="86" t="s">
        <v>954</v>
      </c>
    </row>
    <row r="592" spans="1:3" x14ac:dyDescent="0.25">
      <c r="A592" s="85">
        <v>644</v>
      </c>
      <c r="B592" s="85">
        <v>16294516</v>
      </c>
      <c r="C592" s="86" t="s">
        <v>955</v>
      </c>
    </row>
    <row r="593" spans="1:3" x14ac:dyDescent="0.25">
      <c r="A593" s="85">
        <v>645</v>
      </c>
      <c r="B593" s="85">
        <v>89507403</v>
      </c>
      <c r="C593" s="86" t="s">
        <v>956</v>
      </c>
    </row>
    <row r="594" spans="1:3" x14ac:dyDescent="0.25">
      <c r="A594" s="85">
        <v>646</v>
      </c>
      <c r="B594" s="85">
        <v>38818283</v>
      </c>
      <c r="C594" s="86" t="s">
        <v>153</v>
      </c>
    </row>
    <row r="595" spans="1:3" x14ac:dyDescent="0.25">
      <c r="A595" s="85">
        <v>648</v>
      </c>
      <c r="B595" s="85">
        <v>89728291</v>
      </c>
      <c r="C595" s="86" t="s">
        <v>957</v>
      </c>
    </row>
    <row r="596" spans="1:3" x14ac:dyDescent="0.25">
      <c r="A596" s="85">
        <v>649</v>
      </c>
      <c r="B596" s="85">
        <v>86861225</v>
      </c>
      <c r="C596" s="86" t="s">
        <v>958</v>
      </c>
    </row>
    <row r="597" spans="1:3" x14ac:dyDescent="0.25">
      <c r="A597" s="85">
        <v>650</v>
      </c>
      <c r="B597" s="85">
        <v>99844495</v>
      </c>
      <c r="C597" s="86" t="s">
        <v>959</v>
      </c>
    </row>
    <row r="598" spans="1:3" x14ac:dyDescent="0.25">
      <c r="A598" s="85">
        <v>651</v>
      </c>
      <c r="B598" s="85">
        <v>50070206</v>
      </c>
      <c r="C598" s="86" t="s">
        <v>960</v>
      </c>
    </row>
    <row r="599" spans="1:3" x14ac:dyDescent="0.25">
      <c r="A599" s="85">
        <v>652</v>
      </c>
      <c r="B599" s="85">
        <v>24615885</v>
      </c>
      <c r="C599" s="86" t="s">
        <v>961</v>
      </c>
    </row>
    <row r="600" spans="1:3" x14ac:dyDescent="0.25">
      <c r="A600" s="85">
        <v>653</v>
      </c>
      <c r="B600" s="85">
        <v>28888106</v>
      </c>
      <c r="C600" s="86" t="s">
        <v>962</v>
      </c>
    </row>
    <row r="601" spans="1:3" x14ac:dyDescent="0.25">
      <c r="A601" s="85">
        <v>654</v>
      </c>
      <c r="B601" s="85">
        <v>28722730</v>
      </c>
      <c r="C601" s="86" t="s">
        <v>963</v>
      </c>
    </row>
    <row r="602" spans="1:3" x14ac:dyDescent="0.25">
      <c r="A602" s="85">
        <v>655</v>
      </c>
      <c r="B602" s="85">
        <v>34920929</v>
      </c>
      <c r="C602" s="86" t="s">
        <v>964</v>
      </c>
    </row>
    <row r="603" spans="1:3" x14ac:dyDescent="0.25">
      <c r="A603" s="85">
        <v>656</v>
      </c>
      <c r="B603" s="85">
        <v>83354561</v>
      </c>
      <c r="C603" s="86" t="s">
        <v>965</v>
      </c>
    </row>
    <row r="604" spans="1:3" x14ac:dyDescent="0.25">
      <c r="A604" s="85">
        <v>657</v>
      </c>
      <c r="B604" s="85">
        <v>97006830</v>
      </c>
      <c r="C604" s="86" t="s">
        <v>966</v>
      </c>
    </row>
    <row r="605" spans="1:3" x14ac:dyDescent="0.25">
      <c r="A605" s="85" t="s">
        <v>967</v>
      </c>
      <c r="B605" s="85">
        <v>26161923</v>
      </c>
      <c r="C605" s="86" t="s">
        <v>968</v>
      </c>
    </row>
    <row r="606" spans="1:3" x14ac:dyDescent="0.25">
      <c r="A606" s="85">
        <v>659</v>
      </c>
      <c r="B606" s="85">
        <v>13351485</v>
      </c>
      <c r="C606" s="86" t="s">
        <v>969</v>
      </c>
    </row>
    <row r="607" spans="1:3" x14ac:dyDescent="0.25">
      <c r="A607" s="85">
        <v>660</v>
      </c>
      <c r="B607" s="85">
        <v>22962584</v>
      </c>
      <c r="C607" s="86" t="s">
        <v>970</v>
      </c>
    </row>
    <row r="608" spans="1:3" x14ac:dyDescent="0.25">
      <c r="A608" s="85">
        <v>661</v>
      </c>
      <c r="B608" s="85">
        <v>23357207</v>
      </c>
      <c r="C608" s="86" t="s">
        <v>971</v>
      </c>
    </row>
    <row r="609" spans="1:3" x14ac:dyDescent="0.25">
      <c r="A609" s="85">
        <v>662</v>
      </c>
      <c r="B609" s="85">
        <v>13007857</v>
      </c>
      <c r="C609" s="86" t="s">
        <v>972</v>
      </c>
    </row>
    <row r="610" spans="1:3" x14ac:dyDescent="0.25">
      <c r="A610" s="85">
        <v>663</v>
      </c>
      <c r="B610" s="85">
        <v>16247140</v>
      </c>
      <c r="C610" s="86" t="s">
        <v>973</v>
      </c>
    </row>
    <row r="611" spans="1:3" x14ac:dyDescent="0.25">
      <c r="A611" s="85">
        <v>664</v>
      </c>
      <c r="B611" s="85">
        <v>4228083</v>
      </c>
      <c r="C611" s="86" t="s">
        <v>974</v>
      </c>
    </row>
    <row r="612" spans="1:3" x14ac:dyDescent="0.25">
      <c r="A612" s="85">
        <v>665</v>
      </c>
      <c r="B612" s="85">
        <v>28101459</v>
      </c>
      <c r="C612" s="86" t="s">
        <v>975</v>
      </c>
    </row>
    <row r="613" spans="1:3" x14ac:dyDescent="0.25">
      <c r="A613" s="85">
        <v>666</v>
      </c>
      <c r="B613" s="85">
        <v>39876893</v>
      </c>
      <c r="C613" s="86" t="s">
        <v>976</v>
      </c>
    </row>
    <row r="614" spans="1:3" x14ac:dyDescent="0.25">
      <c r="A614" s="85">
        <v>667</v>
      </c>
      <c r="B614" s="85">
        <v>50167308</v>
      </c>
      <c r="C614" s="86" t="s">
        <v>533</v>
      </c>
    </row>
    <row r="615" spans="1:3" x14ac:dyDescent="0.25">
      <c r="A615" s="85" t="s">
        <v>977</v>
      </c>
      <c r="B615" s="85">
        <v>42961280</v>
      </c>
      <c r="C615" s="86" t="s">
        <v>978</v>
      </c>
    </row>
    <row r="616" spans="1:3" x14ac:dyDescent="0.25">
      <c r="A616" s="85">
        <v>669</v>
      </c>
      <c r="B616" s="85">
        <v>27688853</v>
      </c>
      <c r="C616" s="86" t="s">
        <v>979</v>
      </c>
    </row>
    <row r="617" spans="1:3" x14ac:dyDescent="0.25">
      <c r="A617" s="85">
        <v>671</v>
      </c>
      <c r="B617" s="85">
        <v>25214628</v>
      </c>
      <c r="C617" s="86" t="s">
        <v>980</v>
      </c>
    </row>
    <row r="618" spans="1:3" x14ac:dyDescent="0.25">
      <c r="A618" s="85">
        <v>672</v>
      </c>
      <c r="B618" s="85">
        <v>28915011</v>
      </c>
      <c r="C618" s="86" t="s">
        <v>981</v>
      </c>
    </row>
    <row r="619" spans="1:3" x14ac:dyDescent="0.25">
      <c r="A619" s="85">
        <v>672</v>
      </c>
      <c r="B619" s="85">
        <v>25017994</v>
      </c>
      <c r="C619" s="86" t="s">
        <v>982</v>
      </c>
    </row>
    <row r="620" spans="1:3" x14ac:dyDescent="0.25">
      <c r="A620" s="85">
        <v>674</v>
      </c>
      <c r="B620" s="85">
        <v>81241084</v>
      </c>
      <c r="C620" s="86" t="s">
        <v>158</v>
      </c>
    </row>
    <row r="621" spans="1:3" x14ac:dyDescent="0.25">
      <c r="A621" s="85">
        <v>675</v>
      </c>
      <c r="B621" s="85">
        <v>24652868</v>
      </c>
      <c r="C621" s="86" t="s">
        <v>983</v>
      </c>
    </row>
    <row r="622" spans="1:3" x14ac:dyDescent="0.25">
      <c r="A622" s="85">
        <v>676</v>
      </c>
      <c r="B622" s="85">
        <v>50541699</v>
      </c>
      <c r="C622" s="86" t="s">
        <v>984</v>
      </c>
    </row>
    <row r="623" spans="1:3" x14ac:dyDescent="0.25">
      <c r="A623" s="85">
        <v>677</v>
      </c>
      <c r="B623" s="85">
        <v>50070206</v>
      </c>
      <c r="C623" s="86" t="s">
        <v>985</v>
      </c>
    </row>
    <row r="624" spans="1:3" x14ac:dyDescent="0.25">
      <c r="A624" s="85">
        <v>678</v>
      </c>
      <c r="B624" s="85">
        <v>53261067</v>
      </c>
      <c r="C624" s="86" t="s">
        <v>986</v>
      </c>
    </row>
    <row r="625" spans="1:3" x14ac:dyDescent="0.25">
      <c r="A625" s="85">
        <v>679</v>
      </c>
      <c r="B625" s="85">
        <v>49695421</v>
      </c>
      <c r="C625" s="86" t="s">
        <v>987</v>
      </c>
    </row>
    <row r="626" spans="1:3" x14ac:dyDescent="0.25">
      <c r="A626" s="85">
        <v>680</v>
      </c>
      <c r="B626" s="85">
        <v>70701862</v>
      </c>
      <c r="C626" s="86" t="s">
        <v>988</v>
      </c>
    </row>
    <row r="627" spans="1:3" x14ac:dyDescent="0.25">
      <c r="A627" s="85">
        <v>681</v>
      </c>
      <c r="B627" s="85">
        <v>27394230</v>
      </c>
      <c r="C627" s="86" t="s">
        <v>989</v>
      </c>
    </row>
    <row r="628" spans="1:3" x14ac:dyDescent="0.25">
      <c r="A628" s="85">
        <v>683</v>
      </c>
      <c r="B628" s="85">
        <v>50400804</v>
      </c>
      <c r="C628" s="86" t="s">
        <v>990</v>
      </c>
    </row>
    <row r="629" spans="1:3" x14ac:dyDescent="0.25">
      <c r="A629" s="85">
        <v>684</v>
      </c>
      <c r="B629" s="85">
        <v>26803222</v>
      </c>
      <c r="C629" s="86" t="s">
        <v>991</v>
      </c>
    </row>
    <row r="630" spans="1:3" x14ac:dyDescent="0.25">
      <c r="A630" s="85">
        <v>685</v>
      </c>
      <c r="B630" s="87" t="s">
        <v>992</v>
      </c>
      <c r="C630" s="86" t="s">
        <v>993</v>
      </c>
    </row>
    <row r="631" spans="1:3" x14ac:dyDescent="0.25">
      <c r="A631" s="85">
        <v>687</v>
      </c>
      <c r="B631" s="85">
        <v>10978153</v>
      </c>
      <c r="C631" s="86" t="s">
        <v>994</v>
      </c>
    </row>
    <row r="632" spans="1:3" x14ac:dyDescent="0.25">
      <c r="A632" s="85">
        <v>688</v>
      </c>
      <c r="B632" s="85">
        <v>66312742</v>
      </c>
      <c r="C632" s="86" t="s">
        <v>995</v>
      </c>
    </row>
    <row r="633" spans="1:3" x14ac:dyDescent="0.25">
      <c r="A633" s="85">
        <v>689</v>
      </c>
      <c r="B633" s="85">
        <v>46814704</v>
      </c>
      <c r="C633" s="86" t="s">
        <v>996</v>
      </c>
    </row>
    <row r="634" spans="1:3" x14ac:dyDescent="0.25">
      <c r="A634" s="85">
        <v>690</v>
      </c>
      <c r="B634" s="85">
        <v>47138081</v>
      </c>
      <c r="C634" s="86" t="s">
        <v>997</v>
      </c>
    </row>
    <row r="635" spans="1:3" x14ac:dyDescent="0.25">
      <c r="A635" s="85">
        <v>693</v>
      </c>
      <c r="B635" s="85">
        <v>23042122</v>
      </c>
      <c r="C635" s="86" t="s">
        <v>998</v>
      </c>
    </row>
    <row r="636" spans="1:3" x14ac:dyDescent="0.25">
      <c r="A636" s="85">
        <v>694</v>
      </c>
      <c r="B636" s="85">
        <v>50033619</v>
      </c>
      <c r="C636" s="86" t="s">
        <v>999</v>
      </c>
    </row>
    <row r="637" spans="1:3" x14ac:dyDescent="0.25">
      <c r="A637" s="85">
        <v>696</v>
      </c>
      <c r="B637" s="85">
        <v>24865237</v>
      </c>
      <c r="C637" s="86" t="s">
        <v>1000</v>
      </c>
    </row>
    <row r="638" spans="1:3" x14ac:dyDescent="0.25">
      <c r="A638" s="85">
        <v>697</v>
      </c>
      <c r="B638" s="85">
        <v>87944060</v>
      </c>
      <c r="C638" s="86" t="s">
        <v>1001</v>
      </c>
    </row>
    <row r="639" spans="1:3" x14ac:dyDescent="0.25">
      <c r="A639" s="85">
        <v>699</v>
      </c>
      <c r="B639" s="85">
        <v>84590297</v>
      </c>
      <c r="C639" s="86" t="s">
        <v>1002</v>
      </c>
    </row>
    <row r="640" spans="1:3" x14ac:dyDescent="0.25">
      <c r="A640" s="85">
        <v>701</v>
      </c>
      <c r="B640" s="85">
        <v>53973137</v>
      </c>
      <c r="C640" s="86" t="s">
        <v>1003</v>
      </c>
    </row>
    <row r="641" spans="1:3" x14ac:dyDescent="0.25">
      <c r="A641" s="85">
        <v>702</v>
      </c>
      <c r="B641" s="85">
        <v>46804706</v>
      </c>
      <c r="C641" s="86" t="s">
        <v>1004</v>
      </c>
    </row>
    <row r="642" spans="1:3" x14ac:dyDescent="0.25">
      <c r="A642" s="85">
        <v>703</v>
      </c>
      <c r="B642" s="85">
        <v>23260055</v>
      </c>
      <c r="C642" s="86" t="s">
        <v>1005</v>
      </c>
    </row>
    <row r="643" spans="1:3" x14ac:dyDescent="0.25">
      <c r="A643" s="85">
        <v>704</v>
      </c>
      <c r="B643" s="85">
        <v>56621939</v>
      </c>
      <c r="C643" s="86" t="s">
        <v>1006</v>
      </c>
    </row>
    <row r="644" spans="1:3" x14ac:dyDescent="0.25">
      <c r="A644" s="85">
        <v>705</v>
      </c>
      <c r="B644" s="85">
        <v>28156475</v>
      </c>
      <c r="C644" s="86" t="s">
        <v>1007</v>
      </c>
    </row>
    <row r="645" spans="1:3" x14ac:dyDescent="0.25">
      <c r="A645" s="85">
        <v>706</v>
      </c>
      <c r="B645" s="87" t="s">
        <v>1008</v>
      </c>
      <c r="C645" s="86" t="s">
        <v>1009</v>
      </c>
    </row>
    <row r="646" spans="1:3" x14ac:dyDescent="0.25">
      <c r="A646" s="85">
        <v>707</v>
      </c>
      <c r="B646" s="85">
        <v>28931552</v>
      </c>
      <c r="C646" s="86" t="s">
        <v>1010</v>
      </c>
    </row>
    <row r="647" spans="1:3" x14ac:dyDescent="0.25">
      <c r="A647" s="85">
        <v>708</v>
      </c>
      <c r="B647" s="85">
        <v>16941767</v>
      </c>
      <c r="C647" s="86" t="s">
        <v>1011</v>
      </c>
    </row>
    <row r="648" spans="1:3" x14ac:dyDescent="0.25">
      <c r="A648" s="85" t="s">
        <v>1348</v>
      </c>
      <c r="B648" s="85">
        <v>48062778</v>
      </c>
      <c r="C648" s="86" t="s">
        <v>1012</v>
      </c>
    </row>
    <row r="649" spans="1:3" x14ac:dyDescent="0.25">
      <c r="A649" s="85">
        <v>711</v>
      </c>
      <c r="B649" s="85">
        <v>70621903</v>
      </c>
      <c r="C649" s="86" t="s">
        <v>1013</v>
      </c>
    </row>
    <row r="650" spans="1:3" x14ac:dyDescent="0.25">
      <c r="A650" s="85">
        <v>713</v>
      </c>
      <c r="B650" s="85">
        <v>14978710</v>
      </c>
      <c r="C650" s="86" t="s">
        <v>1014</v>
      </c>
    </row>
    <row r="651" spans="1:3" x14ac:dyDescent="0.25">
      <c r="A651" s="85">
        <v>713</v>
      </c>
      <c r="B651" s="85">
        <v>53959352</v>
      </c>
      <c r="C651" s="86" t="s">
        <v>1015</v>
      </c>
    </row>
    <row r="652" spans="1:3" x14ac:dyDescent="0.25">
      <c r="A652" s="85">
        <v>713</v>
      </c>
      <c r="B652" s="85">
        <v>60314589</v>
      </c>
      <c r="C652" s="86" t="s">
        <v>1016</v>
      </c>
    </row>
    <row r="653" spans="1:3" x14ac:dyDescent="0.25">
      <c r="A653" s="85">
        <v>714</v>
      </c>
      <c r="B653" s="85">
        <v>47401694</v>
      </c>
      <c r="C653" s="86" t="s">
        <v>1017</v>
      </c>
    </row>
    <row r="654" spans="1:3" x14ac:dyDescent="0.25">
      <c r="A654" s="85">
        <v>715</v>
      </c>
      <c r="B654" s="85">
        <v>53488162</v>
      </c>
      <c r="C654" s="86" t="s">
        <v>1018</v>
      </c>
    </row>
    <row r="655" spans="1:3" x14ac:dyDescent="0.25">
      <c r="A655" s="85">
        <v>717</v>
      </c>
      <c r="B655" s="85">
        <v>12780332</v>
      </c>
      <c r="C655" s="86" t="s">
        <v>1019</v>
      </c>
    </row>
    <row r="656" spans="1:3" x14ac:dyDescent="0.25">
      <c r="A656" s="85">
        <v>718</v>
      </c>
      <c r="B656" s="85">
        <v>22945170</v>
      </c>
      <c r="C656" s="86" t="s">
        <v>1020</v>
      </c>
    </row>
    <row r="657" spans="1:3" x14ac:dyDescent="0.25">
      <c r="A657" s="85">
        <v>719</v>
      </c>
      <c r="B657" s="85">
        <v>28385842</v>
      </c>
      <c r="C657" s="86" t="s">
        <v>1021</v>
      </c>
    </row>
    <row r="658" spans="1:3" x14ac:dyDescent="0.25">
      <c r="A658" s="85">
        <v>720</v>
      </c>
      <c r="B658" s="85">
        <v>28779326</v>
      </c>
      <c r="C658" s="86" t="s">
        <v>1022</v>
      </c>
    </row>
    <row r="659" spans="1:3" x14ac:dyDescent="0.25">
      <c r="A659" s="85">
        <v>724</v>
      </c>
      <c r="B659" s="85">
        <v>25218764</v>
      </c>
      <c r="C659" s="86" t="s">
        <v>1023</v>
      </c>
    </row>
    <row r="660" spans="1:3" x14ac:dyDescent="0.25">
      <c r="A660" s="85">
        <v>725</v>
      </c>
      <c r="B660" s="85">
        <v>58242603</v>
      </c>
      <c r="C660" s="86" t="s">
        <v>1023</v>
      </c>
    </row>
    <row r="661" spans="1:3" x14ac:dyDescent="0.25">
      <c r="A661" s="85">
        <v>728</v>
      </c>
      <c r="B661" s="85">
        <v>49034506</v>
      </c>
      <c r="C661" s="86" t="s">
        <v>1024</v>
      </c>
    </row>
    <row r="662" spans="1:3" x14ac:dyDescent="0.25">
      <c r="A662" s="85">
        <v>729</v>
      </c>
      <c r="B662" s="85">
        <v>49034506</v>
      </c>
      <c r="C662" s="86" t="s">
        <v>1024</v>
      </c>
    </row>
    <row r="663" spans="1:3" x14ac:dyDescent="0.25">
      <c r="A663" s="85">
        <v>730</v>
      </c>
      <c r="B663" s="85">
        <v>49034506</v>
      </c>
      <c r="C663" s="86" t="s">
        <v>1025</v>
      </c>
    </row>
    <row r="664" spans="1:3" x14ac:dyDescent="0.25">
      <c r="A664" s="85">
        <v>731</v>
      </c>
      <c r="B664" s="85">
        <v>54929716</v>
      </c>
      <c r="C664" s="86" t="s">
        <v>1026</v>
      </c>
    </row>
    <row r="665" spans="1:3" x14ac:dyDescent="0.25">
      <c r="A665" s="85">
        <v>733</v>
      </c>
      <c r="B665" s="85">
        <v>84443205</v>
      </c>
      <c r="C665" s="86" t="s">
        <v>857</v>
      </c>
    </row>
    <row r="666" spans="1:3" x14ac:dyDescent="0.25">
      <c r="A666" s="85">
        <v>734</v>
      </c>
      <c r="B666" s="85">
        <v>47277647</v>
      </c>
      <c r="C666" s="86" t="s">
        <v>1027</v>
      </c>
    </row>
    <row r="667" spans="1:3" x14ac:dyDescent="0.25">
      <c r="A667" s="85">
        <v>735</v>
      </c>
      <c r="B667" s="85">
        <v>53642003</v>
      </c>
      <c r="C667" s="86" t="s">
        <v>1028</v>
      </c>
    </row>
    <row r="668" spans="1:3" x14ac:dyDescent="0.25">
      <c r="A668" s="85" t="s">
        <v>1260</v>
      </c>
      <c r="B668" s="85">
        <v>84632326</v>
      </c>
      <c r="C668" s="86" t="s">
        <v>1029</v>
      </c>
    </row>
    <row r="669" spans="1:3" x14ac:dyDescent="0.25">
      <c r="A669" s="85">
        <v>740</v>
      </c>
      <c r="B669" s="85">
        <v>86773551</v>
      </c>
      <c r="C669" s="86" t="s">
        <v>1030</v>
      </c>
    </row>
    <row r="670" spans="1:3" x14ac:dyDescent="0.25">
      <c r="A670" s="85">
        <v>743</v>
      </c>
      <c r="B670" s="85">
        <v>84897156</v>
      </c>
      <c r="C670" s="86" t="s">
        <v>1031</v>
      </c>
    </row>
    <row r="671" spans="1:3" x14ac:dyDescent="0.25">
      <c r="A671" s="85">
        <v>744</v>
      </c>
      <c r="B671" s="85">
        <v>16897896</v>
      </c>
      <c r="C671" s="86" t="s">
        <v>1032</v>
      </c>
    </row>
    <row r="672" spans="1:3" x14ac:dyDescent="0.25">
      <c r="A672" s="85">
        <v>749</v>
      </c>
      <c r="B672" s="85">
        <v>72650827</v>
      </c>
      <c r="C672" s="86" t="s">
        <v>1033</v>
      </c>
    </row>
    <row r="673" spans="1:3" x14ac:dyDescent="0.25">
      <c r="A673" s="85">
        <v>750</v>
      </c>
      <c r="B673" s="85">
        <v>48400379</v>
      </c>
      <c r="C673" s="86" t="s">
        <v>1034</v>
      </c>
    </row>
    <row r="674" spans="1:3" x14ac:dyDescent="0.25">
      <c r="A674" s="85">
        <v>751</v>
      </c>
      <c r="B674" s="85">
        <v>42758651</v>
      </c>
      <c r="C674" s="86" t="s">
        <v>1035</v>
      </c>
    </row>
    <row r="675" spans="1:3" x14ac:dyDescent="0.25">
      <c r="A675" s="85">
        <v>753</v>
      </c>
      <c r="B675" s="85">
        <v>24865237</v>
      </c>
      <c r="C675" s="86" t="s">
        <v>1000</v>
      </c>
    </row>
    <row r="676" spans="1:3" x14ac:dyDescent="0.25">
      <c r="A676" s="85">
        <v>756</v>
      </c>
      <c r="B676" s="85">
        <v>86120068</v>
      </c>
      <c r="C676" s="86" t="s">
        <v>1036</v>
      </c>
    </row>
    <row r="677" spans="1:3" x14ac:dyDescent="0.25">
      <c r="A677" s="85" t="s">
        <v>1037</v>
      </c>
      <c r="B677" s="85">
        <v>42050419</v>
      </c>
      <c r="C677" s="86" t="s">
        <v>1038</v>
      </c>
    </row>
    <row r="678" spans="1:3" x14ac:dyDescent="0.25">
      <c r="A678" s="85" t="s">
        <v>1039</v>
      </c>
      <c r="B678" s="85">
        <v>16935075</v>
      </c>
      <c r="C678" s="86" t="s">
        <v>1040</v>
      </c>
    </row>
    <row r="679" spans="1:3" x14ac:dyDescent="0.25">
      <c r="A679" s="85">
        <v>758</v>
      </c>
      <c r="B679" s="85">
        <v>25243476</v>
      </c>
      <c r="C679" s="86" t="s">
        <v>1041</v>
      </c>
    </row>
    <row r="680" spans="1:3" x14ac:dyDescent="0.25">
      <c r="A680" s="85">
        <v>759</v>
      </c>
      <c r="B680" s="85">
        <v>12874491</v>
      </c>
      <c r="C680" s="86" t="s">
        <v>1042</v>
      </c>
    </row>
    <row r="681" spans="1:3" x14ac:dyDescent="0.25">
      <c r="A681" s="85">
        <v>760</v>
      </c>
      <c r="B681" s="85">
        <v>12719822</v>
      </c>
      <c r="C681" s="86" t="s">
        <v>1043</v>
      </c>
    </row>
    <row r="682" spans="1:3" x14ac:dyDescent="0.25">
      <c r="A682" s="85">
        <v>761</v>
      </c>
      <c r="B682" s="85">
        <v>88812355</v>
      </c>
      <c r="C682" s="86" t="s">
        <v>1044</v>
      </c>
    </row>
    <row r="683" spans="1:3" x14ac:dyDescent="0.25">
      <c r="A683" s="85">
        <v>765</v>
      </c>
      <c r="B683" s="85">
        <v>70750455</v>
      </c>
      <c r="C683" s="86" t="s">
        <v>1045</v>
      </c>
    </row>
    <row r="684" spans="1:3" x14ac:dyDescent="0.25">
      <c r="A684" s="85">
        <v>766</v>
      </c>
      <c r="B684" s="85">
        <v>47139315</v>
      </c>
      <c r="C684" s="86" t="s">
        <v>1046</v>
      </c>
    </row>
    <row r="685" spans="1:3" x14ac:dyDescent="0.25">
      <c r="A685" s="85">
        <v>767</v>
      </c>
      <c r="B685" s="85">
        <v>22598018</v>
      </c>
      <c r="C685" s="86" t="s">
        <v>1047</v>
      </c>
    </row>
    <row r="686" spans="1:3" x14ac:dyDescent="0.25">
      <c r="A686" s="85">
        <v>768</v>
      </c>
      <c r="B686" s="85">
        <v>54095876</v>
      </c>
      <c r="C686" s="86" t="s">
        <v>1048</v>
      </c>
    </row>
    <row r="687" spans="1:3" x14ac:dyDescent="0.25">
      <c r="A687" s="85">
        <v>773</v>
      </c>
      <c r="B687" s="89">
        <v>24638607</v>
      </c>
      <c r="C687" s="86" t="s">
        <v>1049</v>
      </c>
    </row>
    <row r="688" spans="1:3" x14ac:dyDescent="0.25">
      <c r="A688" s="85">
        <v>775</v>
      </c>
      <c r="B688" s="85">
        <v>12749608</v>
      </c>
      <c r="C688" s="86" t="s">
        <v>1050</v>
      </c>
    </row>
    <row r="689" spans="1:3" x14ac:dyDescent="0.25">
      <c r="A689" s="85">
        <v>780</v>
      </c>
      <c r="B689" s="88">
        <v>83408476</v>
      </c>
      <c r="C689" s="86" t="s">
        <v>1051</v>
      </c>
    </row>
    <row r="690" spans="1:3" x14ac:dyDescent="0.25">
      <c r="A690" s="85">
        <v>783</v>
      </c>
      <c r="B690" s="85" t="s">
        <v>1052</v>
      </c>
      <c r="C690" s="86" t="s">
        <v>83</v>
      </c>
    </row>
    <row r="691" spans="1:3" x14ac:dyDescent="0.25">
      <c r="A691" s="85">
        <v>784</v>
      </c>
      <c r="B691" s="90">
        <v>53352812</v>
      </c>
      <c r="C691" s="70" t="s">
        <v>1053</v>
      </c>
    </row>
    <row r="692" spans="1:3" x14ac:dyDescent="0.25">
      <c r="A692" s="85">
        <v>785</v>
      </c>
      <c r="B692" s="91">
        <v>53352812</v>
      </c>
      <c r="C692" s="86" t="s">
        <v>1053</v>
      </c>
    </row>
    <row r="693" spans="1:3" x14ac:dyDescent="0.25">
      <c r="A693" s="85">
        <v>795</v>
      </c>
      <c r="B693" s="92">
        <v>54909768</v>
      </c>
      <c r="C693" s="86" t="s">
        <v>1054</v>
      </c>
    </row>
    <row r="694" spans="1:3" x14ac:dyDescent="0.25">
      <c r="A694" s="85">
        <v>798</v>
      </c>
      <c r="B694" s="85">
        <v>46647951</v>
      </c>
      <c r="C694" s="86" t="s">
        <v>1055</v>
      </c>
    </row>
    <row r="695" spans="1:3" x14ac:dyDescent="0.25">
      <c r="A695" s="85">
        <v>803</v>
      </c>
      <c r="B695" s="85">
        <v>23209229</v>
      </c>
      <c r="C695" s="86" t="s">
        <v>2331</v>
      </c>
    </row>
    <row r="696" spans="1:3" x14ac:dyDescent="0.25">
      <c r="A696" s="85">
        <v>804</v>
      </c>
      <c r="B696" s="85">
        <v>42780773</v>
      </c>
      <c r="C696" s="86" t="s">
        <v>1056</v>
      </c>
    </row>
    <row r="697" spans="1:3" x14ac:dyDescent="0.25">
      <c r="A697" s="85">
        <v>806</v>
      </c>
      <c r="B697" s="85">
        <v>54163732</v>
      </c>
      <c r="C697" s="86" t="s">
        <v>1057</v>
      </c>
    </row>
    <row r="698" spans="1:3" x14ac:dyDescent="0.25">
      <c r="A698" s="85">
        <v>808</v>
      </c>
      <c r="B698" s="85">
        <v>45502099</v>
      </c>
      <c r="C698" s="86" t="s">
        <v>1058</v>
      </c>
    </row>
    <row r="699" spans="1:3" x14ac:dyDescent="0.25">
      <c r="A699" s="85">
        <v>810</v>
      </c>
      <c r="B699" s="85">
        <v>23779966</v>
      </c>
      <c r="C699" s="86" t="s">
        <v>1059</v>
      </c>
    </row>
    <row r="700" spans="1:3" x14ac:dyDescent="0.25">
      <c r="A700" s="85">
        <v>811</v>
      </c>
      <c r="B700" s="85">
        <v>54965579</v>
      </c>
      <c r="C700" s="86" t="s">
        <v>1060</v>
      </c>
    </row>
    <row r="701" spans="1:3" x14ac:dyDescent="0.25">
      <c r="A701" s="85">
        <v>813</v>
      </c>
      <c r="B701" s="85">
        <v>27873415</v>
      </c>
      <c r="C701" s="86" t="s">
        <v>1061</v>
      </c>
    </row>
    <row r="702" spans="1:3" x14ac:dyDescent="0.25">
      <c r="A702" s="85">
        <v>814</v>
      </c>
      <c r="B702" s="85">
        <v>86990662</v>
      </c>
      <c r="C702" s="86" t="s">
        <v>1062</v>
      </c>
    </row>
    <row r="703" spans="1:3" x14ac:dyDescent="0.25">
      <c r="A703" s="85">
        <v>815</v>
      </c>
      <c r="B703" s="85">
        <v>53146004</v>
      </c>
      <c r="C703" s="86" t="s">
        <v>1063</v>
      </c>
    </row>
    <row r="704" spans="1:3" x14ac:dyDescent="0.25">
      <c r="A704" s="85">
        <v>816</v>
      </c>
      <c r="B704" s="85">
        <v>24259680</v>
      </c>
      <c r="C704" s="86" t="s">
        <v>1064</v>
      </c>
    </row>
    <row r="705" spans="1:3" x14ac:dyDescent="0.25">
      <c r="A705" s="85" t="s">
        <v>1297</v>
      </c>
      <c r="B705" s="85">
        <v>80453736</v>
      </c>
      <c r="C705" s="86" t="s">
        <v>1065</v>
      </c>
    </row>
    <row r="706" spans="1:3" x14ac:dyDescent="0.25">
      <c r="A706" s="85">
        <v>821</v>
      </c>
      <c r="B706" s="85">
        <v>26849542</v>
      </c>
      <c r="C706" s="86" t="s">
        <v>1066</v>
      </c>
    </row>
    <row r="707" spans="1:3" x14ac:dyDescent="0.25">
      <c r="A707" s="85">
        <v>823</v>
      </c>
      <c r="B707" s="85">
        <v>99769290</v>
      </c>
      <c r="C707" s="86" t="s">
        <v>1067</v>
      </c>
    </row>
    <row r="708" spans="1:3" x14ac:dyDescent="0.25">
      <c r="A708" s="85">
        <v>824</v>
      </c>
      <c r="B708" s="85">
        <v>49034506</v>
      </c>
      <c r="C708" s="86" t="s">
        <v>1068</v>
      </c>
    </row>
    <row r="709" spans="1:3" x14ac:dyDescent="0.25">
      <c r="A709" s="85">
        <v>826</v>
      </c>
      <c r="B709" s="85">
        <v>89700266</v>
      </c>
      <c r="C709" s="86" t="s">
        <v>1069</v>
      </c>
    </row>
    <row r="710" spans="1:3" x14ac:dyDescent="0.25">
      <c r="A710" s="85">
        <v>828</v>
      </c>
      <c r="B710" s="85">
        <v>23266086</v>
      </c>
      <c r="C710" s="86" t="s">
        <v>1070</v>
      </c>
    </row>
    <row r="711" spans="1:3" x14ac:dyDescent="0.25">
      <c r="A711" s="85" t="s">
        <v>1071</v>
      </c>
      <c r="B711" s="85">
        <v>20748835</v>
      </c>
      <c r="C711" s="86" t="s">
        <v>1072</v>
      </c>
    </row>
    <row r="712" spans="1:3" x14ac:dyDescent="0.25">
      <c r="A712" s="85">
        <v>831</v>
      </c>
      <c r="B712" s="85">
        <v>22064421</v>
      </c>
      <c r="C712" s="86" t="s">
        <v>1073</v>
      </c>
    </row>
    <row r="713" spans="1:3" x14ac:dyDescent="0.25">
      <c r="A713" s="85">
        <v>833</v>
      </c>
      <c r="B713" s="85">
        <v>89246908</v>
      </c>
      <c r="C713" s="86" t="s">
        <v>1074</v>
      </c>
    </row>
    <row r="714" spans="1:3" x14ac:dyDescent="0.25">
      <c r="A714" s="85">
        <v>836</v>
      </c>
      <c r="B714" s="85">
        <v>16416617</v>
      </c>
      <c r="C714" s="86" t="s">
        <v>1075</v>
      </c>
    </row>
    <row r="715" spans="1:3" x14ac:dyDescent="0.25">
      <c r="A715" s="85">
        <v>838</v>
      </c>
      <c r="B715" s="85">
        <v>49389534</v>
      </c>
      <c r="C715" s="86" t="s">
        <v>1076</v>
      </c>
    </row>
    <row r="716" spans="1:3" x14ac:dyDescent="0.25">
      <c r="A716" s="85">
        <v>839</v>
      </c>
      <c r="B716" s="85">
        <v>66834685</v>
      </c>
      <c r="C716" s="86" t="s">
        <v>1077</v>
      </c>
    </row>
    <row r="717" spans="1:3" x14ac:dyDescent="0.25">
      <c r="A717" s="85">
        <v>841</v>
      </c>
      <c r="B717" s="85">
        <v>20135300</v>
      </c>
      <c r="C717" s="86" t="s">
        <v>1078</v>
      </c>
    </row>
    <row r="718" spans="1:3" x14ac:dyDescent="0.25">
      <c r="A718" s="85">
        <v>843</v>
      </c>
      <c r="B718" s="85">
        <v>66820269</v>
      </c>
      <c r="C718" s="85" t="s">
        <v>1079</v>
      </c>
    </row>
    <row r="719" spans="1:3" x14ac:dyDescent="0.25">
      <c r="A719" s="85">
        <v>847</v>
      </c>
      <c r="B719" s="85">
        <v>53175400</v>
      </c>
      <c r="C719" s="86" t="s">
        <v>1080</v>
      </c>
    </row>
    <row r="720" spans="1:3" x14ac:dyDescent="0.25">
      <c r="A720" s="85">
        <v>855</v>
      </c>
      <c r="B720" s="85">
        <v>42049188</v>
      </c>
      <c r="C720" s="86" t="s">
        <v>1081</v>
      </c>
    </row>
    <row r="721" spans="1:3" x14ac:dyDescent="0.25">
      <c r="A721" s="85">
        <v>856</v>
      </c>
      <c r="B721" s="85">
        <v>16264288</v>
      </c>
      <c r="C721" s="86" t="s">
        <v>1082</v>
      </c>
    </row>
    <row r="722" spans="1:3" x14ac:dyDescent="0.25">
      <c r="A722" s="85">
        <v>869</v>
      </c>
      <c r="B722" s="85">
        <v>47065284</v>
      </c>
      <c r="C722" s="86" t="s">
        <v>1083</v>
      </c>
    </row>
    <row r="723" spans="1:3" x14ac:dyDescent="0.25">
      <c r="A723" s="85">
        <v>878</v>
      </c>
      <c r="B723" s="85">
        <v>34666649</v>
      </c>
      <c r="C723" s="86" t="s">
        <v>1084</v>
      </c>
    </row>
    <row r="724" spans="1:3" x14ac:dyDescent="0.25">
      <c r="A724" s="85">
        <v>879</v>
      </c>
      <c r="B724" s="85">
        <v>88809767</v>
      </c>
      <c r="C724" s="86" t="s">
        <v>1085</v>
      </c>
    </row>
    <row r="725" spans="1:3" x14ac:dyDescent="0.25">
      <c r="A725" s="85">
        <v>880</v>
      </c>
      <c r="B725" s="85">
        <v>54104811</v>
      </c>
      <c r="C725" s="86" t="s">
        <v>1086</v>
      </c>
    </row>
    <row r="726" spans="1:3" x14ac:dyDescent="0.25">
      <c r="A726" s="85">
        <v>882</v>
      </c>
      <c r="B726" s="85">
        <v>64946691</v>
      </c>
      <c r="C726" s="86" t="s">
        <v>1087</v>
      </c>
    </row>
    <row r="727" spans="1:3" x14ac:dyDescent="0.25">
      <c r="A727" s="85" t="s">
        <v>1088</v>
      </c>
      <c r="B727" s="85">
        <v>50830775</v>
      </c>
      <c r="C727" s="86" t="s">
        <v>1089</v>
      </c>
    </row>
    <row r="728" spans="1:3" x14ac:dyDescent="0.25">
      <c r="A728" s="85">
        <v>890</v>
      </c>
      <c r="B728" s="85">
        <v>67956377</v>
      </c>
      <c r="C728" s="86" t="s">
        <v>1090</v>
      </c>
    </row>
    <row r="729" spans="1:3" x14ac:dyDescent="0.25">
      <c r="A729" s="85" t="s">
        <v>1091</v>
      </c>
      <c r="B729" s="85">
        <v>89773719</v>
      </c>
      <c r="C729" s="86" t="s">
        <v>1092</v>
      </c>
    </row>
    <row r="730" spans="1:3" x14ac:dyDescent="0.25">
      <c r="A730" s="85" t="s">
        <v>1093</v>
      </c>
      <c r="B730" s="85">
        <v>84998577</v>
      </c>
      <c r="C730" s="86" t="s">
        <v>1094</v>
      </c>
    </row>
    <row r="731" spans="1:3" x14ac:dyDescent="0.25">
      <c r="A731" s="85" t="s">
        <v>1095</v>
      </c>
      <c r="B731" s="85">
        <v>50065800</v>
      </c>
      <c r="C731" s="86" t="s">
        <v>1096</v>
      </c>
    </row>
    <row r="732" spans="1:3" x14ac:dyDescent="0.25">
      <c r="A732" s="85" t="s">
        <v>1097</v>
      </c>
      <c r="B732" s="85">
        <v>84450107</v>
      </c>
      <c r="C732" s="86" t="s">
        <v>1098</v>
      </c>
    </row>
    <row r="733" spans="1:3" x14ac:dyDescent="0.25">
      <c r="A733" s="85" t="s">
        <v>1099</v>
      </c>
      <c r="B733" s="85">
        <v>27776194</v>
      </c>
      <c r="C733" s="86" t="s">
        <v>1100</v>
      </c>
    </row>
    <row r="734" spans="1:3" x14ac:dyDescent="0.25">
      <c r="A734" s="85" t="s">
        <v>1101</v>
      </c>
      <c r="B734" s="85">
        <v>53167470</v>
      </c>
      <c r="C734" s="86" t="s">
        <v>25</v>
      </c>
    </row>
    <row r="735" spans="1:3" x14ac:dyDescent="0.25">
      <c r="A735" s="85" t="s">
        <v>1102</v>
      </c>
      <c r="B735" s="85">
        <v>47122503</v>
      </c>
      <c r="C735" s="86" t="s">
        <v>26</v>
      </c>
    </row>
    <row r="736" spans="1:3" x14ac:dyDescent="0.25">
      <c r="A736" s="85" t="s">
        <v>1103</v>
      </c>
      <c r="B736" s="85">
        <v>89323593</v>
      </c>
      <c r="C736" s="86" t="s">
        <v>1104</v>
      </c>
    </row>
    <row r="737" spans="1:3" x14ac:dyDescent="0.25">
      <c r="A737" s="85" t="s">
        <v>1105</v>
      </c>
      <c r="B737" s="85">
        <v>50519818</v>
      </c>
      <c r="C737" s="86" t="s">
        <v>1106</v>
      </c>
    </row>
    <row r="738" spans="1:3" x14ac:dyDescent="0.25">
      <c r="A738" s="85" t="s">
        <v>1107</v>
      </c>
      <c r="B738" s="85">
        <v>28772230</v>
      </c>
      <c r="C738" s="86" t="s">
        <v>855</v>
      </c>
    </row>
    <row r="739" spans="1:3" x14ac:dyDescent="0.25">
      <c r="A739" s="85" t="s">
        <v>1108</v>
      </c>
      <c r="B739" s="85">
        <v>27373565</v>
      </c>
      <c r="C739" s="86" t="s">
        <v>1109</v>
      </c>
    </row>
    <row r="740" spans="1:3" x14ac:dyDescent="0.25">
      <c r="A740" s="85" t="s">
        <v>1110</v>
      </c>
      <c r="B740" s="85">
        <v>19200443</v>
      </c>
      <c r="C740" s="86" t="s">
        <v>1111</v>
      </c>
    </row>
    <row r="741" spans="1:3" x14ac:dyDescent="0.25">
      <c r="A741" s="85" t="s">
        <v>1112</v>
      </c>
      <c r="B741" s="85">
        <v>26853329</v>
      </c>
      <c r="C741" s="86" t="s">
        <v>1113</v>
      </c>
    </row>
    <row r="742" spans="1:3" x14ac:dyDescent="0.25">
      <c r="A742" s="85" t="s">
        <v>1114</v>
      </c>
      <c r="B742" s="85">
        <v>54505935</v>
      </c>
      <c r="C742" s="86" t="s">
        <v>1111</v>
      </c>
    </row>
    <row r="743" spans="1:3" x14ac:dyDescent="0.25">
      <c r="A743" s="85" t="s">
        <v>1115</v>
      </c>
      <c r="B743" s="87">
        <v>58587459</v>
      </c>
      <c r="C743" s="86" t="s">
        <v>1116</v>
      </c>
    </row>
    <row r="744" spans="1:3" x14ac:dyDescent="0.25">
      <c r="A744" s="85" t="s">
        <v>1117</v>
      </c>
      <c r="B744" s="85" t="s">
        <v>1118</v>
      </c>
      <c r="C744" s="86" t="s">
        <v>1119</v>
      </c>
    </row>
    <row r="745" spans="1:3" x14ac:dyDescent="0.25">
      <c r="A745" s="85" t="s">
        <v>1120</v>
      </c>
      <c r="B745" s="85">
        <v>80669525</v>
      </c>
      <c r="C745" s="86" t="s">
        <v>1121</v>
      </c>
    </row>
    <row r="746" spans="1:3" x14ac:dyDescent="0.25">
      <c r="A746" s="85" t="s">
        <v>1122</v>
      </c>
      <c r="B746" s="85">
        <v>70635104</v>
      </c>
      <c r="C746" s="86" t="s">
        <v>1123</v>
      </c>
    </row>
    <row r="747" spans="1:3" x14ac:dyDescent="0.25">
      <c r="A747" s="85" t="s">
        <v>1124</v>
      </c>
      <c r="B747" s="85">
        <v>42754959</v>
      </c>
      <c r="C747" s="86" t="s">
        <v>1125</v>
      </c>
    </row>
    <row r="748" spans="1:3" x14ac:dyDescent="0.25">
      <c r="A748" s="85" t="s">
        <v>1126</v>
      </c>
      <c r="B748" s="85">
        <v>66602215</v>
      </c>
      <c r="C748" s="86" t="s">
        <v>1127</v>
      </c>
    </row>
    <row r="749" spans="1:3" x14ac:dyDescent="0.25">
      <c r="A749" s="85" t="s">
        <v>1128</v>
      </c>
      <c r="B749" s="85">
        <v>86284667</v>
      </c>
      <c r="C749" s="86" t="s">
        <v>1129</v>
      </c>
    </row>
    <row r="750" spans="1:3" x14ac:dyDescent="0.25">
      <c r="A750" s="85" t="s">
        <v>1130</v>
      </c>
      <c r="B750" s="85">
        <v>28087914</v>
      </c>
      <c r="C750" s="86" t="s">
        <v>1131</v>
      </c>
    </row>
    <row r="751" spans="1:3" x14ac:dyDescent="0.25">
      <c r="A751" s="85">
        <v>901</v>
      </c>
      <c r="B751" s="85">
        <v>84547216</v>
      </c>
      <c r="C751" s="86" t="s">
        <v>1132</v>
      </c>
    </row>
    <row r="752" spans="1:3" x14ac:dyDescent="0.25">
      <c r="A752" s="85">
        <v>852</v>
      </c>
      <c r="B752" s="85">
        <v>28513902</v>
      </c>
      <c r="C752" s="86" t="s">
        <v>1133</v>
      </c>
    </row>
    <row r="753" spans="1:3" x14ac:dyDescent="0.25">
      <c r="A753" s="85" t="s">
        <v>1134</v>
      </c>
      <c r="B753" s="85">
        <v>97269214</v>
      </c>
      <c r="C753" s="86" t="s">
        <v>791</v>
      </c>
    </row>
    <row r="754" spans="1:3" x14ac:dyDescent="0.25">
      <c r="A754" s="85">
        <v>905</v>
      </c>
      <c r="B754" s="85">
        <v>49389534</v>
      </c>
      <c r="C754" s="86" t="s">
        <v>1135</v>
      </c>
    </row>
    <row r="755" spans="1:3" x14ac:dyDescent="0.25">
      <c r="A755" s="85" t="s">
        <v>1136</v>
      </c>
      <c r="B755" s="85">
        <v>10571648</v>
      </c>
      <c r="C755" s="86" t="s">
        <v>1137</v>
      </c>
    </row>
    <row r="756" spans="1:3" x14ac:dyDescent="0.25">
      <c r="A756" s="85">
        <v>782</v>
      </c>
      <c r="B756" s="85">
        <v>34931355</v>
      </c>
      <c r="C756" s="86" t="s">
        <v>1138</v>
      </c>
    </row>
    <row r="757" spans="1:3" x14ac:dyDescent="0.25">
      <c r="A757" s="85">
        <v>886</v>
      </c>
      <c r="B757" s="85">
        <v>55875414</v>
      </c>
      <c r="C757" s="86" t="s">
        <v>1139</v>
      </c>
    </row>
    <row r="758" spans="1:3" x14ac:dyDescent="0.25">
      <c r="A758" s="85">
        <v>817</v>
      </c>
      <c r="B758" s="85">
        <v>80453736</v>
      </c>
      <c r="C758" s="86" t="s">
        <v>1140</v>
      </c>
    </row>
    <row r="759" spans="1:3" x14ac:dyDescent="0.25">
      <c r="A759" s="85" t="s">
        <v>1141</v>
      </c>
      <c r="B759" s="85">
        <v>23674581</v>
      </c>
      <c r="C759" s="86" t="s">
        <v>696</v>
      </c>
    </row>
    <row r="760" spans="1:3" x14ac:dyDescent="0.25">
      <c r="A760" s="85" t="s">
        <v>1142</v>
      </c>
      <c r="B760" s="85">
        <v>84253817</v>
      </c>
      <c r="C760" s="86" t="s">
        <v>654</v>
      </c>
    </row>
    <row r="761" spans="1:3" x14ac:dyDescent="0.25">
      <c r="A761" s="85">
        <v>722</v>
      </c>
      <c r="B761" s="85">
        <v>49726846</v>
      </c>
      <c r="C761" s="86" t="s">
        <v>1143</v>
      </c>
    </row>
    <row r="762" spans="1:3" x14ac:dyDescent="0.25">
      <c r="A762" s="85">
        <v>738</v>
      </c>
      <c r="B762" s="88">
        <v>55895657</v>
      </c>
      <c r="C762" s="86" t="s">
        <v>1144</v>
      </c>
    </row>
    <row r="763" spans="1:3" x14ac:dyDescent="0.25">
      <c r="A763" s="85">
        <v>723</v>
      </c>
      <c r="B763" s="85" t="s">
        <v>1145</v>
      </c>
      <c r="C763" s="86" t="s">
        <v>1146</v>
      </c>
    </row>
    <row r="764" spans="1:3" x14ac:dyDescent="0.25">
      <c r="A764" s="85">
        <v>902</v>
      </c>
      <c r="B764" s="85">
        <v>12909055</v>
      </c>
      <c r="C764" s="86" t="s">
        <v>1147</v>
      </c>
    </row>
    <row r="765" spans="1:3" x14ac:dyDescent="0.25">
      <c r="A765" s="85">
        <v>900</v>
      </c>
      <c r="B765" s="85">
        <v>16665782</v>
      </c>
      <c r="C765" s="86" t="s">
        <v>1148</v>
      </c>
    </row>
    <row r="766" spans="1:3" x14ac:dyDescent="0.25">
      <c r="A766" s="85">
        <v>900</v>
      </c>
      <c r="B766" s="85">
        <v>16665782</v>
      </c>
      <c r="C766" s="86" t="s">
        <v>1148</v>
      </c>
    </row>
    <row r="767" spans="1:3" x14ac:dyDescent="0.25">
      <c r="A767" s="85" t="s">
        <v>1149</v>
      </c>
      <c r="B767" s="85">
        <v>53288116</v>
      </c>
      <c r="C767" s="86" t="s">
        <v>1150</v>
      </c>
    </row>
    <row r="768" spans="1:3" x14ac:dyDescent="0.25">
      <c r="A768" s="85">
        <v>802</v>
      </c>
      <c r="B768" s="85">
        <v>57531302</v>
      </c>
      <c r="C768" s="86" t="s">
        <v>1151</v>
      </c>
    </row>
    <row r="769" spans="1:3" x14ac:dyDescent="0.25">
      <c r="A769" s="85" t="s">
        <v>1152</v>
      </c>
      <c r="B769" s="85">
        <v>80140475</v>
      </c>
      <c r="C769" s="86" t="s">
        <v>1153</v>
      </c>
    </row>
    <row r="770" spans="1:3" x14ac:dyDescent="0.25">
      <c r="A770" s="85">
        <v>848</v>
      </c>
      <c r="B770" s="85">
        <v>86545234</v>
      </c>
      <c r="C770" s="86" t="s">
        <v>1154</v>
      </c>
    </row>
    <row r="771" spans="1:3" x14ac:dyDescent="0.25">
      <c r="A771" s="85" t="s">
        <v>1155</v>
      </c>
      <c r="B771" s="85">
        <v>70750455</v>
      </c>
      <c r="C771" s="86" t="s">
        <v>1045</v>
      </c>
    </row>
    <row r="772" spans="1:3" x14ac:dyDescent="0.25">
      <c r="A772" s="85" t="s">
        <v>1156</v>
      </c>
      <c r="C772" s="86" t="s">
        <v>371</v>
      </c>
    </row>
    <row r="773" spans="1:3" x14ac:dyDescent="0.25">
      <c r="A773" s="85" t="s">
        <v>1157</v>
      </c>
      <c r="B773" s="85">
        <v>28772230</v>
      </c>
      <c r="C773" s="86" t="s">
        <v>855</v>
      </c>
    </row>
    <row r="774" spans="1:3" x14ac:dyDescent="0.25">
      <c r="A774" s="85" t="s">
        <v>1158</v>
      </c>
      <c r="B774" s="85">
        <v>28500414</v>
      </c>
      <c r="C774" s="86" t="s">
        <v>811</v>
      </c>
    </row>
    <row r="775" spans="1:3" x14ac:dyDescent="0.25">
      <c r="A775" s="85" t="s">
        <v>1159</v>
      </c>
      <c r="B775" s="85">
        <v>31735338</v>
      </c>
      <c r="C775" s="86" t="s">
        <v>1160</v>
      </c>
    </row>
    <row r="776" spans="1:3" x14ac:dyDescent="0.25">
      <c r="A776" s="85">
        <v>790</v>
      </c>
      <c r="B776" s="85">
        <v>12771565</v>
      </c>
      <c r="C776" s="86" t="s">
        <v>1161</v>
      </c>
    </row>
    <row r="777" spans="1:3" x14ac:dyDescent="0.25">
      <c r="A777" s="85" t="s">
        <v>1162</v>
      </c>
      <c r="B777" s="85">
        <v>246398607</v>
      </c>
      <c r="C777" s="86" t="s">
        <v>1163</v>
      </c>
    </row>
    <row r="778" spans="1:3" x14ac:dyDescent="0.25">
      <c r="A778" s="85">
        <v>21</v>
      </c>
      <c r="B778" s="85">
        <v>84557403</v>
      </c>
      <c r="C778" s="86" t="s">
        <v>385</v>
      </c>
    </row>
    <row r="779" spans="1:3" x14ac:dyDescent="0.25">
      <c r="A779" s="85">
        <v>825</v>
      </c>
      <c r="B779" s="85">
        <v>89344083</v>
      </c>
      <c r="C779" s="86" t="s">
        <v>1164</v>
      </c>
    </row>
    <row r="780" spans="1:3" x14ac:dyDescent="0.25">
      <c r="A780" s="85" t="s">
        <v>1165</v>
      </c>
      <c r="B780" s="85">
        <v>42948180</v>
      </c>
      <c r="C780" s="86" t="s">
        <v>968</v>
      </c>
    </row>
    <row r="781" spans="1:3" x14ac:dyDescent="0.25">
      <c r="A781" s="85" t="s">
        <v>1166</v>
      </c>
      <c r="B781" s="85">
        <v>42087020</v>
      </c>
      <c r="C781" s="86" t="s">
        <v>1150</v>
      </c>
    </row>
    <row r="782" spans="1:3" x14ac:dyDescent="0.25">
      <c r="A782" s="85" t="s">
        <v>1167</v>
      </c>
      <c r="B782" s="85">
        <v>78010124</v>
      </c>
      <c r="C782" s="86" t="s">
        <v>383</v>
      </c>
    </row>
    <row r="783" spans="1:3" x14ac:dyDescent="0.25">
      <c r="A783" s="85">
        <v>835</v>
      </c>
      <c r="B783" s="85">
        <v>83446817</v>
      </c>
      <c r="C783" s="86" t="s">
        <v>1168</v>
      </c>
    </row>
    <row r="784" spans="1:3" x14ac:dyDescent="0.25">
      <c r="A784" s="85" t="s">
        <v>1169</v>
      </c>
      <c r="B784" s="85">
        <v>84592485</v>
      </c>
      <c r="C784" s="86" t="s">
        <v>675</v>
      </c>
    </row>
    <row r="785" spans="1:3" x14ac:dyDescent="0.25">
      <c r="A785" s="85">
        <v>834</v>
      </c>
      <c r="B785" s="85">
        <v>78606004</v>
      </c>
      <c r="C785" s="86" t="s">
        <v>1170</v>
      </c>
    </row>
    <row r="786" spans="1:3" x14ac:dyDescent="0.25">
      <c r="A786" s="85" t="s">
        <v>1171</v>
      </c>
      <c r="B786" s="88">
        <v>89323593</v>
      </c>
      <c r="C786" s="86" t="s">
        <v>368</v>
      </c>
    </row>
    <row r="787" spans="1:3" x14ac:dyDescent="0.25">
      <c r="A787" s="85" t="s">
        <v>1172</v>
      </c>
      <c r="B787" s="85" t="s">
        <v>1052</v>
      </c>
      <c r="C787" s="86" t="s">
        <v>83</v>
      </c>
    </row>
    <row r="788" spans="1:3" x14ac:dyDescent="0.25">
      <c r="A788" s="85">
        <v>788</v>
      </c>
      <c r="B788" s="85">
        <v>53908256</v>
      </c>
      <c r="C788" s="86" t="s">
        <v>1173</v>
      </c>
    </row>
    <row r="789" spans="1:3" x14ac:dyDescent="0.25">
      <c r="A789" s="85">
        <v>619</v>
      </c>
      <c r="B789" s="85">
        <v>83537387</v>
      </c>
      <c r="C789" s="86" t="s">
        <v>1174</v>
      </c>
    </row>
    <row r="790" spans="1:3" x14ac:dyDescent="0.25">
      <c r="A790" s="85">
        <v>807</v>
      </c>
      <c r="B790" s="85">
        <v>87320825</v>
      </c>
      <c r="C790" s="86" t="s">
        <v>1175</v>
      </c>
    </row>
    <row r="791" spans="1:3" x14ac:dyDescent="0.25">
      <c r="A791" s="85" t="s">
        <v>1176</v>
      </c>
      <c r="B791" s="85">
        <v>80126874</v>
      </c>
      <c r="C791" s="86" t="s">
        <v>482</v>
      </c>
    </row>
    <row r="792" spans="1:3" x14ac:dyDescent="0.25">
      <c r="A792" s="85" t="s">
        <v>1177</v>
      </c>
      <c r="B792" s="85">
        <v>53908256</v>
      </c>
      <c r="C792" s="86" t="s">
        <v>1173</v>
      </c>
    </row>
    <row r="793" spans="1:3" x14ac:dyDescent="0.25">
      <c r="A793" s="85" t="s">
        <v>1178</v>
      </c>
      <c r="B793" s="85">
        <v>84557403</v>
      </c>
      <c r="C793" s="86" t="s">
        <v>385</v>
      </c>
    </row>
    <row r="794" spans="1:3" x14ac:dyDescent="0.25">
      <c r="A794" s="85" t="s">
        <v>1179</v>
      </c>
      <c r="B794" s="85">
        <v>84866935</v>
      </c>
      <c r="C794" s="86" t="s">
        <v>1180</v>
      </c>
    </row>
    <row r="795" spans="1:3" x14ac:dyDescent="0.25">
      <c r="A795" s="85" t="s">
        <v>1181</v>
      </c>
      <c r="B795" s="85">
        <v>89386196</v>
      </c>
      <c r="C795" s="86" t="s">
        <v>925</v>
      </c>
    </row>
    <row r="796" spans="1:3" x14ac:dyDescent="0.25">
      <c r="A796" s="85" t="s">
        <v>1182</v>
      </c>
      <c r="B796" s="85">
        <v>76918086</v>
      </c>
      <c r="C796" s="86" t="s">
        <v>693</v>
      </c>
    </row>
    <row r="797" spans="1:3" x14ac:dyDescent="0.25">
      <c r="A797" s="85">
        <v>896</v>
      </c>
      <c r="B797" s="85">
        <v>28087914</v>
      </c>
      <c r="C797" s="86" t="s">
        <v>1131</v>
      </c>
    </row>
    <row r="798" spans="1:3" x14ac:dyDescent="0.25">
      <c r="A798" s="85">
        <v>849</v>
      </c>
      <c r="B798" s="85">
        <v>16984961</v>
      </c>
      <c r="C798" s="86" t="s">
        <v>1183</v>
      </c>
    </row>
    <row r="799" spans="1:3" x14ac:dyDescent="0.25">
      <c r="A799" s="85" t="s">
        <v>1184</v>
      </c>
      <c r="B799" s="85">
        <v>12909055</v>
      </c>
      <c r="C799" s="86" t="s">
        <v>1147</v>
      </c>
    </row>
    <row r="800" spans="1:3" x14ac:dyDescent="0.25">
      <c r="A800" s="85" t="s">
        <v>1185</v>
      </c>
      <c r="B800" s="85">
        <v>23042122</v>
      </c>
      <c r="C800" s="86" t="s">
        <v>998</v>
      </c>
    </row>
    <row r="801" spans="1:3" x14ac:dyDescent="0.25">
      <c r="A801" s="85" t="s">
        <v>1186</v>
      </c>
      <c r="B801" s="85">
        <v>78606004</v>
      </c>
      <c r="C801" s="86" t="s">
        <v>1170</v>
      </c>
    </row>
    <row r="802" spans="1:3" x14ac:dyDescent="0.25">
      <c r="A802" s="85" t="s">
        <v>1187</v>
      </c>
      <c r="B802" s="85">
        <v>54809661</v>
      </c>
      <c r="C802" s="86" t="s">
        <v>932</v>
      </c>
    </row>
    <row r="803" spans="1:3" x14ac:dyDescent="0.25">
      <c r="A803" s="85" t="s">
        <v>1188</v>
      </c>
      <c r="B803" s="85">
        <v>19858340</v>
      </c>
      <c r="C803" s="86" t="s">
        <v>885</v>
      </c>
    </row>
    <row r="804" spans="1:3" x14ac:dyDescent="0.25">
      <c r="A804" s="85" t="s">
        <v>1189</v>
      </c>
      <c r="B804" s="85">
        <v>45431308</v>
      </c>
      <c r="C804" s="86" t="s">
        <v>393</v>
      </c>
    </row>
    <row r="805" spans="1:3" x14ac:dyDescent="0.25">
      <c r="A805" s="85" t="s">
        <v>1190</v>
      </c>
      <c r="B805" s="85">
        <v>53395615</v>
      </c>
      <c r="C805" s="86" t="s">
        <v>819</v>
      </c>
    </row>
    <row r="806" spans="1:3" x14ac:dyDescent="0.25">
      <c r="A806" s="85" t="s">
        <v>1191</v>
      </c>
      <c r="B806" s="85">
        <v>50248219</v>
      </c>
      <c r="C806" s="86" t="s">
        <v>920</v>
      </c>
    </row>
    <row r="807" spans="1:3" x14ac:dyDescent="0.25">
      <c r="A807" s="85" t="s">
        <v>1192</v>
      </c>
      <c r="B807" s="85">
        <v>49705309</v>
      </c>
      <c r="C807" s="86" t="s">
        <v>873</v>
      </c>
    </row>
    <row r="808" spans="1:3" x14ac:dyDescent="0.25">
      <c r="A808" s="85" t="s">
        <v>1193</v>
      </c>
      <c r="B808" s="85">
        <v>50542579</v>
      </c>
      <c r="C808" s="86" t="s">
        <v>978</v>
      </c>
    </row>
    <row r="809" spans="1:3" x14ac:dyDescent="0.25">
      <c r="A809" s="85">
        <v>670</v>
      </c>
      <c r="B809" s="85">
        <v>92950273</v>
      </c>
      <c r="C809" s="86" t="s">
        <v>1194</v>
      </c>
    </row>
    <row r="810" spans="1:3" x14ac:dyDescent="0.25">
      <c r="A810" s="85" t="s">
        <v>1195</v>
      </c>
      <c r="B810" s="85">
        <v>34715618</v>
      </c>
      <c r="C810" s="86" t="s">
        <v>1196</v>
      </c>
    </row>
    <row r="811" spans="1:3" x14ac:dyDescent="0.25">
      <c r="A811" s="85" t="s">
        <v>1197</v>
      </c>
      <c r="B811" s="85">
        <v>57092802</v>
      </c>
      <c r="C811" s="86" t="s">
        <v>634</v>
      </c>
    </row>
    <row r="812" spans="1:3" x14ac:dyDescent="0.25">
      <c r="A812" s="85" t="s">
        <v>1198</v>
      </c>
      <c r="B812" s="85">
        <v>21550515</v>
      </c>
      <c r="C812" s="86" t="s">
        <v>468</v>
      </c>
    </row>
    <row r="813" spans="1:3" x14ac:dyDescent="0.25">
      <c r="A813" s="85" t="s">
        <v>1199</v>
      </c>
      <c r="B813" s="85">
        <v>70591422</v>
      </c>
      <c r="C813" s="86" t="s">
        <v>478</v>
      </c>
    </row>
    <row r="814" spans="1:3" x14ac:dyDescent="0.25">
      <c r="A814" s="85" t="s">
        <v>1189</v>
      </c>
      <c r="B814" s="85">
        <v>45431308</v>
      </c>
      <c r="C814" s="86" t="s">
        <v>393</v>
      </c>
    </row>
    <row r="815" spans="1:3" x14ac:dyDescent="0.25">
      <c r="A815" s="85">
        <v>853</v>
      </c>
      <c r="B815" s="85">
        <v>97350930</v>
      </c>
      <c r="C815" s="86" t="s">
        <v>1200</v>
      </c>
    </row>
    <row r="816" spans="1:3" x14ac:dyDescent="0.25">
      <c r="A816" s="85">
        <v>854</v>
      </c>
      <c r="B816" s="85">
        <v>20187545</v>
      </c>
      <c r="C816" s="86" t="s">
        <v>1201</v>
      </c>
    </row>
    <row r="817" spans="1:3" x14ac:dyDescent="0.25">
      <c r="A817" s="85" t="s">
        <v>1202</v>
      </c>
      <c r="B817" s="85">
        <v>25014488</v>
      </c>
      <c r="C817" s="86" t="s">
        <v>1203</v>
      </c>
    </row>
    <row r="818" spans="1:3" x14ac:dyDescent="0.25">
      <c r="A818" s="85" t="s">
        <v>1204</v>
      </c>
      <c r="B818" s="85">
        <v>72468270</v>
      </c>
      <c r="C818" s="86" t="s">
        <v>1205</v>
      </c>
    </row>
    <row r="819" spans="1:3" x14ac:dyDescent="0.25">
      <c r="A819" s="85" t="s">
        <v>1206</v>
      </c>
      <c r="B819" s="85">
        <v>59046328</v>
      </c>
      <c r="C819" s="86" t="s">
        <v>1207</v>
      </c>
    </row>
    <row r="820" spans="1:3" x14ac:dyDescent="0.25">
      <c r="A820" s="85">
        <v>865</v>
      </c>
      <c r="B820" s="85">
        <v>35884479</v>
      </c>
      <c r="C820" s="86" t="s">
        <v>1208</v>
      </c>
    </row>
    <row r="821" spans="1:3" x14ac:dyDescent="0.25">
      <c r="A821" s="85" t="s">
        <v>1209</v>
      </c>
      <c r="B821" s="85">
        <v>16206112</v>
      </c>
      <c r="C821" s="86" t="s">
        <v>871</v>
      </c>
    </row>
    <row r="822" spans="1:3" x14ac:dyDescent="0.25">
      <c r="A822" s="85" t="s">
        <v>1210</v>
      </c>
      <c r="B822" s="85">
        <v>41095233</v>
      </c>
      <c r="C822" s="86" t="s">
        <v>1211</v>
      </c>
    </row>
    <row r="823" spans="1:3" x14ac:dyDescent="0.25">
      <c r="A823" s="85" t="s">
        <v>1212</v>
      </c>
      <c r="B823" s="85">
        <v>41095233</v>
      </c>
      <c r="C823" s="86" t="s">
        <v>1211</v>
      </c>
    </row>
    <row r="824" spans="1:3" x14ac:dyDescent="0.25">
      <c r="A824" s="85">
        <v>861</v>
      </c>
      <c r="B824" s="85">
        <v>84091216</v>
      </c>
      <c r="C824" s="86" t="s">
        <v>1213</v>
      </c>
    </row>
    <row r="825" spans="1:3" x14ac:dyDescent="0.25">
      <c r="A825" s="85" t="s">
        <v>1214</v>
      </c>
      <c r="B825" s="85">
        <v>50033619</v>
      </c>
      <c r="C825" s="86" t="s">
        <v>999</v>
      </c>
    </row>
    <row r="826" spans="1:3" x14ac:dyDescent="0.25">
      <c r="A826" s="85" t="s">
        <v>1215</v>
      </c>
      <c r="B826" s="85">
        <v>28912035</v>
      </c>
      <c r="C826" s="86" t="s">
        <v>549</v>
      </c>
    </row>
    <row r="827" spans="1:3" x14ac:dyDescent="0.25">
      <c r="A827" s="85" t="s">
        <v>1216</v>
      </c>
      <c r="B827" s="85">
        <v>27922106</v>
      </c>
      <c r="C827" s="86" t="s">
        <v>846</v>
      </c>
    </row>
    <row r="828" spans="1:3" x14ac:dyDescent="0.25">
      <c r="A828" s="85">
        <v>875</v>
      </c>
      <c r="B828" s="85">
        <v>16015958</v>
      </c>
      <c r="C828" s="86" t="s">
        <v>1217</v>
      </c>
    </row>
    <row r="829" spans="1:3" x14ac:dyDescent="0.25">
      <c r="A829" s="85">
        <v>868</v>
      </c>
      <c r="B829" s="85">
        <v>86284667</v>
      </c>
      <c r="C829" s="86" t="s">
        <v>43</v>
      </c>
    </row>
    <row r="830" spans="1:3" x14ac:dyDescent="0.25">
      <c r="A830" s="85">
        <v>872</v>
      </c>
      <c r="B830" s="85">
        <v>27922106</v>
      </c>
      <c r="C830" s="86" t="s">
        <v>1218</v>
      </c>
    </row>
    <row r="831" spans="1:3" x14ac:dyDescent="0.25">
      <c r="A831" s="85" t="s">
        <v>1219</v>
      </c>
      <c r="B831" s="85">
        <v>49777366</v>
      </c>
      <c r="C831" s="86" t="s">
        <v>795</v>
      </c>
    </row>
    <row r="832" spans="1:3" x14ac:dyDescent="0.25">
      <c r="A832" s="85" t="s">
        <v>1220</v>
      </c>
      <c r="B832" s="85">
        <v>50160585</v>
      </c>
      <c r="C832" s="86" t="s">
        <v>437</v>
      </c>
    </row>
    <row r="833" spans="1:3" x14ac:dyDescent="0.25">
      <c r="A833" s="85" t="s">
        <v>1221</v>
      </c>
      <c r="B833" s="85">
        <v>49809260</v>
      </c>
      <c r="C833" s="86" t="s">
        <v>683</v>
      </c>
    </row>
    <row r="834" spans="1:3" x14ac:dyDescent="0.25">
      <c r="A834" s="85">
        <v>876</v>
      </c>
      <c r="B834" s="85">
        <v>28953680</v>
      </c>
      <c r="C834" s="86" t="s">
        <v>1222</v>
      </c>
    </row>
    <row r="835" spans="1:3" x14ac:dyDescent="0.25">
      <c r="A835" s="85">
        <v>763</v>
      </c>
      <c r="B835" s="85">
        <v>25438660</v>
      </c>
      <c r="C835" s="86" t="s">
        <v>1223</v>
      </c>
    </row>
    <row r="836" spans="1:3" x14ac:dyDescent="0.25">
      <c r="A836" s="85" t="s">
        <v>1224</v>
      </c>
      <c r="B836" s="85">
        <v>23674581</v>
      </c>
      <c r="C836" s="86" t="s">
        <v>696</v>
      </c>
    </row>
    <row r="837" spans="1:3" x14ac:dyDescent="0.25">
      <c r="A837" s="85" t="s">
        <v>1225</v>
      </c>
      <c r="B837" s="85">
        <v>54095876</v>
      </c>
      <c r="C837" s="86" t="s">
        <v>1048</v>
      </c>
    </row>
    <row r="838" spans="1:3" x14ac:dyDescent="0.25">
      <c r="A838" s="85" t="s">
        <v>1226</v>
      </c>
      <c r="B838" s="85">
        <v>84177092</v>
      </c>
      <c r="C838" s="86" t="s">
        <v>444</v>
      </c>
    </row>
    <row r="839" spans="1:3" x14ac:dyDescent="0.25">
      <c r="A839" s="85" t="s">
        <v>1227</v>
      </c>
      <c r="B839" s="85">
        <v>79952447</v>
      </c>
      <c r="C839" s="86" t="s">
        <v>1228</v>
      </c>
    </row>
    <row r="840" spans="1:3" x14ac:dyDescent="0.25">
      <c r="A840" s="85" t="s">
        <v>1229</v>
      </c>
      <c r="B840" s="85">
        <v>56710849</v>
      </c>
      <c r="C840" s="86" t="s">
        <v>1230</v>
      </c>
    </row>
    <row r="841" spans="1:3" x14ac:dyDescent="0.25">
      <c r="A841" s="85">
        <v>936</v>
      </c>
      <c r="B841" s="85">
        <v>76481909</v>
      </c>
      <c r="C841" s="86" t="s">
        <v>1231</v>
      </c>
    </row>
    <row r="842" spans="1:3" x14ac:dyDescent="0.25">
      <c r="A842" s="85">
        <v>924</v>
      </c>
      <c r="B842" s="85">
        <v>53882039</v>
      </c>
      <c r="C842" s="86" t="s">
        <v>1232</v>
      </c>
    </row>
    <row r="843" spans="1:3" x14ac:dyDescent="0.25">
      <c r="A843" s="85">
        <v>932</v>
      </c>
      <c r="B843" s="85">
        <v>50547286</v>
      </c>
      <c r="C843" s="86" t="s">
        <v>1233</v>
      </c>
    </row>
    <row r="844" spans="1:3" x14ac:dyDescent="0.25">
      <c r="A844" s="85">
        <v>929</v>
      </c>
      <c r="B844" s="85">
        <v>36530171</v>
      </c>
      <c r="C844" s="86" t="s">
        <v>1234</v>
      </c>
    </row>
    <row r="845" spans="1:3" x14ac:dyDescent="0.25">
      <c r="A845" s="85">
        <v>899</v>
      </c>
      <c r="B845" s="85">
        <v>89701217</v>
      </c>
      <c r="C845" s="86" t="s">
        <v>1235</v>
      </c>
    </row>
    <row r="846" spans="1:3" x14ac:dyDescent="0.25">
      <c r="A846" s="85">
        <v>898</v>
      </c>
      <c r="B846" s="85">
        <v>16230844</v>
      </c>
      <c r="C846" s="86" t="s">
        <v>1236</v>
      </c>
    </row>
    <row r="847" spans="1:3" x14ac:dyDescent="0.25">
      <c r="A847" s="85">
        <v>894</v>
      </c>
      <c r="B847" s="85">
        <v>82829885</v>
      </c>
      <c r="C847" s="86" t="s">
        <v>1237</v>
      </c>
    </row>
    <row r="848" spans="1:3" x14ac:dyDescent="0.25">
      <c r="A848" s="85">
        <v>885</v>
      </c>
      <c r="B848" s="85">
        <v>91097502</v>
      </c>
      <c r="C848" s="86" t="s">
        <v>1238</v>
      </c>
    </row>
    <row r="849" spans="1:3" x14ac:dyDescent="0.25">
      <c r="A849" s="85">
        <v>914</v>
      </c>
      <c r="B849" s="85">
        <v>54603318</v>
      </c>
      <c r="C849" s="86" t="s">
        <v>1239</v>
      </c>
    </row>
    <row r="850" spans="1:3" x14ac:dyDescent="0.25">
      <c r="A850" s="85">
        <v>949</v>
      </c>
      <c r="B850" s="85" t="s">
        <v>1240</v>
      </c>
      <c r="C850" s="86" t="s">
        <v>1241</v>
      </c>
    </row>
    <row r="851" spans="1:3" x14ac:dyDescent="0.25">
      <c r="A851" s="85">
        <v>796</v>
      </c>
      <c r="B851" s="85">
        <v>97240478</v>
      </c>
      <c r="C851" s="86" t="s">
        <v>1242</v>
      </c>
    </row>
    <row r="852" spans="1:3" x14ac:dyDescent="0.25">
      <c r="A852" s="85" t="s">
        <v>1243</v>
      </c>
      <c r="B852" s="85">
        <v>90072975</v>
      </c>
      <c r="C852" s="86" t="s">
        <v>1244</v>
      </c>
    </row>
    <row r="853" spans="1:3" x14ac:dyDescent="0.25">
      <c r="A853" s="85" t="s">
        <v>1245</v>
      </c>
      <c r="B853" s="85">
        <v>87261229</v>
      </c>
      <c r="C853" s="86" t="s">
        <v>1246</v>
      </c>
    </row>
    <row r="854" spans="1:3" x14ac:dyDescent="0.25">
      <c r="A854" s="85">
        <v>904</v>
      </c>
      <c r="B854" s="85">
        <v>54968800</v>
      </c>
      <c r="C854" s="86" t="s">
        <v>1247</v>
      </c>
    </row>
    <row r="855" spans="1:3" x14ac:dyDescent="0.25">
      <c r="A855" s="85">
        <v>946</v>
      </c>
      <c r="B855" s="85">
        <v>89379596</v>
      </c>
      <c r="C855" s="86" t="s">
        <v>1248</v>
      </c>
    </row>
    <row r="856" spans="1:3" x14ac:dyDescent="0.25">
      <c r="A856" s="85" t="s">
        <v>1249</v>
      </c>
      <c r="B856" s="85">
        <v>97422913</v>
      </c>
      <c r="C856" s="86" t="s">
        <v>1250</v>
      </c>
    </row>
    <row r="857" spans="1:3" x14ac:dyDescent="0.25">
      <c r="A857" s="85">
        <v>944</v>
      </c>
      <c r="B857" s="85">
        <v>28155757</v>
      </c>
      <c r="C857" s="86" t="s">
        <v>1251</v>
      </c>
    </row>
    <row r="858" spans="1:3" x14ac:dyDescent="0.25">
      <c r="A858" s="85">
        <v>928</v>
      </c>
      <c r="B858" s="85">
        <v>86933537</v>
      </c>
      <c r="C858" s="86" t="s">
        <v>1252</v>
      </c>
    </row>
    <row r="859" spans="1:3" x14ac:dyDescent="0.25">
      <c r="A859" s="85">
        <v>953</v>
      </c>
      <c r="B859" s="85">
        <v>45734534</v>
      </c>
      <c r="C859" s="86" t="s">
        <v>1253</v>
      </c>
    </row>
    <row r="860" spans="1:3" x14ac:dyDescent="0.25">
      <c r="A860" s="85" t="s">
        <v>1261</v>
      </c>
      <c r="B860" s="85">
        <v>42951868</v>
      </c>
      <c r="C860" s="86" t="s">
        <v>1029</v>
      </c>
    </row>
    <row r="861" spans="1:3" x14ac:dyDescent="0.25">
      <c r="A861" s="85" t="s">
        <v>1353</v>
      </c>
      <c r="B861" s="85">
        <v>84177261</v>
      </c>
      <c r="C861" s="86" t="s">
        <v>1262</v>
      </c>
    </row>
    <row r="862" spans="1:3" x14ac:dyDescent="0.25">
      <c r="A862" s="85">
        <v>961</v>
      </c>
      <c r="B862" s="85">
        <v>86285080</v>
      </c>
      <c r="C862" s="86" t="s">
        <v>1264</v>
      </c>
    </row>
    <row r="863" spans="1:3" x14ac:dyDescent="0.25">
      <c r="A863" s="85">
        <v>969</v>
      </c>
      <c r="B863" s="85">
        <v>22681304</v>
      </c>
      <c r="C863" s="86" t="s">
        <v>1270</v>
      </c>
    </row>
    <row r="864" spans="1:3" x14ac:dyDescent="0.25">
      <c r="A864" s="85" t="s">
        <v>1271</v>
      </c>
      <c r="B864" s="85">
        <v>13340312</v>
      </c>
      <c r="C864" s="86" t="s">
        <v>1272</v>
      </c>
    </row>
    <row r="865" spans="1:3" x14ac:dyDescent="0.25">
      <c r="A865" s="85" t="s">
        <v>1273</v>
      </c>
      <c r="B865" s="85">
        <v>22679341</v>
      </c>
      <c r="C865" s="86" t="s">
        <v>1274</v>
      </c>
    </row>
    <row r="866" spans="1:3" x14ac:dyDescent="0.25">
      <c r="A866" s="85" t="s">
        <v>1275</v>
      </c>
      <c r="B866" s="85">
        <v>88720617</v>
      </c>
      <c r="C866" s="86" t="s">
        <v>1276</v>
      </c>
    </row>
    <row r="867" spans="1:3" x14ac:dyDescent="0.25">
      <c r="A867" s="85">
        <v>963</v>
      </c>
      <c r="B867" s="85">
        <v>99884593</v>
      </c>
      <c r="C867" s="86" t="s">
        <v>1277</v>
      </c>
    </row>
    <row r="868" spans="1:3" x14ac:dyDescent="0.25">
      <c r="A868" s="85">
        <v>910</v>
      </c>
      <c r="B868" s="85">
        <v>79952447</v>
      </c>
      <c r="C868" s="86" t="s">
        <v>1278</v>
      </c>
    </row>
    <row r="869" spans="1:3" x14ac:dyDescent="0.25">
      <c r="A869" s="85">
        <v>966</v>
      </c>
      <c r="B869" s="85">
        <v>90404382</v>
      </c>
      <c r="C869" s="86" t="s">
        <v>1279</v>
      </c>
    </row>
    <row r="870" spans="1:3" x14ac:dyDescent="0.25">
      <c r="A870" s="85" t="s">
        <v>1282</v>
      </c>
      <c r="B870" s="87" t="s">
        <v>440</v>
      </c>
      <c r="C870" s="86" t="s">
        <v>441</v>
      </c>
    </row>
    <row r="871" spans="1:3" x14ac:dyDescent="0.25">
      <c r="A871" s="85">
        <v>970</v>
      </c>
      <c r="B871" s="85">
        <v>87208463</v>
      </c>
      <c r="C871" s="86" t="s">
        <v>1283</v>
      </c>
    </row>
    <row r="872" spans="1:3" x14ac:dyDescent="0.25">
      <c r="A872" s="85">
        <v>846</v>
      </c>
      <c r="B872" s="85">
        <v>16505456</v>
      </c>
      <c r="C872" s="86" t="s">
        <v>1284</v>
      </c>
    </row>
    <row r="873" spans="1:3" x14ac:dyDescent="0.25">
      <c r="A873" s="85">
        <v>668</v>
      </c>
      <c r="B873" s="85">
        <v>50542579</v>
      </c>
      <c r="C873" s="85" t="s">
        <v>1285</v>
      </c>
    </row>
    <row r="874" spans="1:3" x14ac:dyDescent="0.25">
      <c r="A874" s="85">
        <v>745</v>
      </c>
      <c r="B874" s="88" t="s">
        <v>1286</v>
      </c>
      <c r="C874" s="86" t="s">
        <v>1287</v>
      </c>
    </row>
    <row r="875" spans="1:3" x14ac:dyDescent="0.25">
      <c r="A875" s="85">
        <v>975</v>
      </c>
      <c r="B875" s="85">
        <v>24403242</v>
      </c>
      <c r="C875" s="86" t="s">
        <v>1288</v>
      </c>
    </row>
    <row r="876" spans="1:3" x14ac:dyDescent="0.25">
      <c r="A876" s="85" t="s">
        <v>1289</v>
      </c>
      <c r="B876" s="85">
        <v>42951868</v>
      </c>
      <c r="C876" s="86" t="s">
        <v>1290</v>
      </c>
    </row>
    <row r="877" spans="1:3" x14ac:dyDescent="0.25">
      <c r="A877" s="85" t="s">
        <v>1292</v>
      </c>
      <c r="B877" s="85">
        <v>84632326</v>
      </c>
      <c r="C877" s="86" t="s">
        <v>1291</v>
      </c>
    </row>
    <row r="878" spans="1:3" x14ac:dyDescent="0.25">
      <c r="A878" s="85">
        <v>915</v>
      </c>
      <c r="B878" s="85">
        <v>91357611</v>
      </c>
      <c r="C878" s="86" t="s">
        <v>1293</v>
      </c>
    </row>
    <row r="879" spans="1:3" x14ac:dyDescent="0.25">
      <c r="A879" s="85">
        <v>978</v>
      </c>
      <c r="B879" s="85">
        <v>47399281</v>
      </c>
      <c r="C879" s="86" t="s">
        <v>1294</v>
      </c>
    </row>
    <row r="880" spans="1:3" x14ac:dyDescent="0.25">
      <c r="A880" s="85">
        <v>981</v>
      </c>
      <c r="B880" s="85">
        <v>89899077</v>
      </c>
      <c r="C880" s="86" t="s">
        <v>1295</v>
      </c>
    </row>
    <row r="881" spans="1:3" x14ac:dyDescent="0.25">
      <c r="A881" s="85">
        <v>941</v>
      </c>
      <c r="B881" s="85">
        <v>85088553</v>
      </c>
      <c r="C881" s="86" t="s">
        <v>1296</v>
      </c>
    </row>
    <row r="882" spans="1:3" x14ac:dyDescent="0.25">
      <c r="A882" s="85">
        <v>959</v>
      </c>
      <c r="B882" s="85">
        <v>66630731</v>
      </c>
      <c r="C882" s="86" t="s">
        <v>1306</v>
      </c>
    </row>
    <row r="883" spans="1:3" x14ac:dyDescent="0.25">
      <c r="A883" s="85">
        <v>1031</v>
      </c>
      <c r="B883" s="85">
        <v>83589954</v>
      </c>
      <c r="C883" s="86" t="s">
        <v>1307</v>
      </c>
    </row>
    <row r="884" spans="1:3" x14ac:dyDescent="0.25">
      <c r="A884" s="85">
        <v>888</v>
      </c>
      <c r="B884" s="85">
        <v>45188084</v>
      </c>
      <c r="C884" s="86" t="s">
        <v>1311</v>
      </c>
    </row>
    <row r="885" spans="1:3" x14ac:dyDescent="0.25">
      <c r="A885" s="85">
        <v>658</v>
      </c>
      <c r="B885" s="85">
        <v>26161923</v>
      </c>
      <c r="C885" s="86" t="s">
        <v>1312</v>
      </c>
    </row>
    <row r="886" spans="1:3" x14ac:dyDescent="0.25">
      <c r="A886" s="85">
        <v>851</v>
      </c>
      <c r="B886" s="85">
        <v>9223158</v>
      </c>
      <c r="C886" s="86" t="s">
        <v>1313</v>
      </c>
    </row>
    <row r="887" spans="1:3" x14ac:dyDescent="0.25">
      <c r="A887" s="85">
        <v>956</v>
      </c>
      <c r="B887" s="85">
        <v>56058806</v>
      </c>
      <c r="C887" s="86" t="s">
        <v>1314</v>
      </c>
    </row>
    <row r="888" spans="1:3" x14ac:dyDescent="0.25">
      <c r="A888" s="85">
        <v>943</v>
      </c>
      <c r="B888" s="85">
        <v>56660545</v>
      </c>
      <c r="C888" s="86" t="s">
        <v>1315</v>
      </c>
    </row>
    <row r="889" spans="1:3" x14ac:dyDescent="0.25">
      <c r="A889" s="85">
        <v>954</v>
      </c>
      <c r="B889" s="85">
        <v>45699277</v>
      </c>
      <c r="C889" s="86" t="s">
        <v>1316</v>
      </c>
    </row>
    <row r="890" spans="1:3" x14ac:dyDescent="0.25">
      <c r="A890" s="85">
        <v>947</v>
      </c>
      <c r="B890" s="85">
        <v>53390647</v>
      </c>
      <c r="C890" s="86" t="s">
        <v>1317</v>
      </c>
    </row>
    <row r="891" spans="1:3" x14ac:dyDescent="0.25">
      <c r="A891" s="85">
        <v>972</v>
      </c>
      <c r="B891" s="85">
        <v>84797591</v>
      </c>
      <c r="C891" s="86" t="s">
        <v>1333</v>
      </c>
    </row>
    <row r="892" spans="1:3" x14ac:dyDescent="0.25">
      <c r="A892" s="85">
        <v>1038</v>
      </c>
      <c r="B892" s="85">
        <v>16207575</v>
      </c>
      <c r="C892" s="86" t="s">
        <v>1334</v>
      </c>
    </row>
    <row r="893" spans="1:3" x14ac:dyDescent="0.25">
      <c r="A893" s="85">
        <v>977</v>
      </c>
      <c r="B893" s="85">
        <v>34960490</v>
      </c>
      <c r="C893" s="86" t="s">
        <v>1335</v>
      </c>
    </row>
    <row r="894" spans="1:3" x14ac:dyDescent="0.25">
      <c r="A894" s="85">
        <v>1039</v>
      </c>
      <c r="B894" s="85">
        <v>78815115</v>
      </c>
      <c r="C894" s="86" t="s">
        <v>1336</v>
      </c>
    </row>
    <row r="895" spans="1:3" x14ac:dyDescent="0.25">
      <c r="A895" s="85">
        <v>1040</v>
      </c>
      <c r="B895" s="85">
        <v>17683350</v>
      </c>
      <c r="C895" s="86" t="s">
        <v>1340</v>
      </c>
    </row>
    <row r="896" spans="1:3" x14ac:dyDescent="0.25">
      <c r="A896" s="85" t="s">
        <v>1341</v>
      </c>
      <c r="B896" s="85">
        <v>90072980</v>
      </c>
      <c r="C896" s="86" t="s">
        <v>1342</v>
      </c>
    </row>
    <row r="897" spans="1:3" x14ac:dyDescent="0.25">
      <c r="A897" s="85">
        <v>1052</v>
      </c>
      <c r="B897" s="85">
        <v>12766227</v>
      </c>
      <c r="C897" s="86" t="s">
        <v>1346</v>
      </c>
    </row>
    <row r="898" spans="1:3" x14ac:dyDescent="0.25">
      <c r="A898" s="85" t="s">
        <v>1349</v>
      </c>
      <c r="B898" s="85">
        <v>84866935</v>
      </c>
      <c r="C898" s="85" t="s">
        <v>1350</v>
      </c>
    </row>
    <row r="899" spans="1:3" x14ac:dyDescent="0.25">
      <c r="A899" s="85">
        <v>1042</v>
      </c>
      <c r="B899" s="85">
        <v>59303796</v>
      </c>
      <c r="C899" s="86" t="s">
        <v>1351</v>
      </c>
    </row>
    <row r="900" spans="1:3" x14ac:dyDescent="0.25">
      <c r="A900" s="85">
        <v>1049</v>
      </c>
      <c r="B900" s="85">
        <v>70867440</v>
      </c>
      <c r="C900" s="86" t="s">
        <v>1352</v>
      </c>
    </row>
    <row r="901" spans="1:3" x14ac:dyDescent="0.25">
      <c r="A901" s="85">
        <v>1046</v>
      </c>
      <c r="B901" s="85">
        <v>53273401</v>
      </c>
      <c r="C901" s="86" t="s">
        <v>1361</v>
      </c>
    </row>
    <row r="902" spans="1:3" x14ac:dyDescent="0.25">
      <c r="A902" s="85" t="s">
        <v>1362</v>
      </c>
      <c r="B902" s="86">
        <v>25266738</v>
      </c>
      <c r="C902" s="86" t="s">
        <v>1364</v>
      </c>
    </row>
    <row r="903" spans="1:3" x14ac:dyDescent="0.25">
      <c r="A903" s="85">
        <v>736</v>
      </c>
      <c r="B903" s="85">
        <v>42951868</v>
      </c>
      <c r="C903" s="86" t="s">
        <v>1363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C260"/>
  <sheetViews>
    <sheetView topLeftCell="A185" workbookViewId="0">
      <selection activeCell="E201" sqref="E201"/>
    </sheetView>
  </sheetViews>
  <sheetFormatPr defaultColWidth="9" defaultRowHeight="15" x14ac:dyDescent="0.2"/>
  <cols>
    <col min="1" max="1" width="4.5" style="22" bestFit="1" customWidth="1"/>
    <col min="2" max="2" width="24" style="22" bestFit="1" customWidth="1"/>
    <col min="3" max="3" width="24" style="33" customWidth="1"/>
    <col min="4" max="16384" width="9" style="22"/>
  </cols>
  <sheetData>
    <row r="1" spans="1:3" x14ac:dyDescent="0.2">
      <c r="A1" s="22" t="s">
        <v>177</v>
      </c>
      <c r="B1" s="22" t="s">
        <v>178</v>
      </c>
      <c r="C1" s="33" t="s">
        <v>179</v>
      </c>
    </row>
    <row r="2" spans="1:3" x14ac:dyDescent="0.2">
      <c r="A2" s="22">
        <v>3</v>
      </c>
      <c r="B2" s="22" t="s">
        <v>9</v>
      </c>
      <c r="C2" s="33" t="s">
        <v>180</v>
      </c>
    </row>
    <row r="3" spans="1:3" x14ac:dyDescent="0.2">
      <c r="A3" s="22">
        <v>4</v>
      </c>
      <c r="B3" s="22" t="s">
        <v>10</v>
      </c>
      <c r="C3" s="33" t="s">
        <v>181</v>
      </c>
    </row>
    <row r="4" spans="1:3" x14ac:dyDescent="0.2">
      <c r="A4" s="22">
        <v>5</v>
      </c>
      <c r="B4" s="22" t="s">
        <v>11</v>
      </c>
      <c r="C4" s="33" t="s">
        <v>182</v>
      </c>
    </row>
    <row r="5" spans="1:3" x14ac:dyDescent="0.2">
      <c r="A5" s="22">
        <v>6</v>
      </c>
      <c r="B5" s="22" t="s">
        <v>12</v>
      </c>
      <c r="C5" s="33" t="s">
        <v>182</v>
      </c>
    </row>
    <row r="6" spans="1:3" x14ac:dyDescent="0.2">
      <c r="A6" s="22">
        <v>7</v>
      </c>
      <c r="B6" s="22" t="s">
        <v>13</v>
      </c>
      <c r="C6" s="33" t="s">
        <v>182</v>
      </c>
    </row>
    <row r="7" spans="1:3" x14ac:dyDescent="0.2">
      <c r="A7" s="22">
        <v>8</v>
      </c>
      <c r="B7" s="22" t="s">
        <v>14</v>
      </c>
      <c r="C7" s="33" t="s">
        <v>183</v>
      </c>
    </row>
    <row r="8" spans="1:3" x14ac:dyDescent="0.2">
      <c r="A8" s="22">
        <v>9</v>
      </c>
      <c r="B8" s="22" t="s">
        <v>15</v>
      </c>
      <c r="C8" s="33" t="s">
        <v>184</v>
      </c>
    </row>
    <row r="9" spans="1:3" x14ac:dyDescent="0.2">
      <c r="A9" s="22">
        <v>10</v>
      </c>
      <c r="B9" s="22" t="s">
        <v>16</v>
      </c>
      <c r="C9" s="33" t="s">
        <v>269</v>
      </c>
    </row>
    <row r="10" spans="1:3" x14ac:dyDescent="0.2">
      <c r="A10" s="22">
        <v>11</v>
      </c>
      <c r="B10" s="22" t="s">
        <v>17</v>
      </c>
      <c r="C10" s="33" t="s">
        <v>185</v>
      </c>
    </row>
    <row r="11" spans="1:3" x14ac:dyDescent="0.2">
      <c r="A11" s="22">
        <v>12</v>
      </c>
      <c r="B11" s="22" t="s">
        <v>18</v>
      </c>
      <c r="C11" s="33" t="s">
        <v>186</v>
      </c>
    </row>
    <row r="12" spans="1:3" x14ac:dyDescent="0.2">
      <c r="A12" s="22">
        <v>13</v>
      </c>
      <c r="B12" s="22" t="s">
        <v>19</v>
      </c>
      <c r="C12" s="33" t="s">
        <v>187</v>
      </c>
    </row>
    <row r="13" spans="1:3" x14ac:dyDescent="0.2">
      <c r="A13" s="22">
        <v>14</v>
      </c>
      <c r="B13" s="22" t="s">
        <v>20</v>
      </c>
      <c r="C13" s="33" t="s">
        <v>188</v>
      </c>
    </row>
    <row r="14" spans="1:3" x14ac:dyDescent="0.2">
      <c r="A14" s="22">
        <v>15</v>
      </c>
      <c r="B14" s="22" t="s">
        <v>21</v>
      </c>
      <c r="C14" s="33">
        <v>24609032</v>
      </c>
    </row>
    <row r="15" spans="1:3" x14ac:dyDescent="0.2">
      <c r="A15" s="22">
        <v>16</v>
      </c>
      <c r="B15" s="22" t="s">
        <v>22</v>
      </c>
      <c r="C15" s="33" t="s">
        <v>189</v>
      </c>
    </row>
    <row r="16" spans="1:3" x14ac:dyDescent="0.2">
      <c r="A16" s="22">
        <v>17</v>
      </c>
      <c r="B16" s="22" t="s">
        <v>23</v>
      </c>
      <c r="C16" s="33" t="s">
        <v>190</v>
      </c>
    </row>
    <row r="17" spans="1:3" x14ac:dyDescent="0.2">
      <c r="A17" s="22">
        <v>18</v>
      </c>
      <c r="B17" s="22" t="s">
        <v>24</v>
      </c>
      <c r="C17" s="33" t="s">
        <v>1263</v>
      </c>
    </row>
    <row r="18" spans="1:3" x14ac:dyDescent="0.2">
      <c r="A18" s="22">
        <v>19</v>
      </c>
      <c r="B18" s="22" t="s">
        <v>25</v>
      </c>
      <c r="C18" s="33">
        <v>53167470</v>
      </c>
    </row>
    <row r="19" spans="1:3" x14ac:dyDescent="0.2">
      <c r="A19" s="22">
        <v>20</v>
      </c>
      <c r="B19" s="22" t="s">
        <v>26</v>
      </c>
      <c r="C19" s="33" t="s">
        <v>191</v>
      </c>
    </row>
    <row r="20" spans="1:3" x14ac:dyDescent="0.2">
      <c r="A20" s="22">
        <v>21</v>
      </c>
      <c r="B20" s="22" t="s">
        <v>27</v>
      </c>
      <c r="C20" s="33" t="s">
        <v>192</v>
      </c>
    </row>
    <row r="21" spans="1:3" x14ac:dyDescent="0.2">
      <c r="A21" s="22">
        <v>22</v>
      </c>
      <c r="B21" s="22" t="s">
        <v>28</v>
      </c>
      <c r="C21" s="33" t="s">
        <v>193</v>
      </c>
    </row>
    <row r="22" spans="1:3" x14ac:dyDescent="0.2">
      <c r="A22" s="22">
        <v>23</v>
      </c>
      <c r="B22" s="22" t="s">
        <v>29</v>
      </c>
      <c r="C22" s="33" t="s">
        <v>194</v>
      </c>
    </row>
    <row r="23" spans="1:3" x14ac:dyDescent="0.2">
      <c r="A23" s="22">
        <v>24</v>
      </c>
      <c r="B23" s="22" t="s">
        <v>30</v>
      </c>
      <c r="C23" s="33" t="s">
        <v>195</v>
      </c>
    </row>
    <row r="24" spans="1:3" x14ac:dyDescent="0.2">
      <c r="A24" s="22">
        <v>25</v>
      </c>
      <c r="B24" s="22" t="s">
        <v>31</v>
      </c>
      <c r="C24" s="33" t="s">
        <v>195</v>
      </c>
    </row>
    <row r="25" spans="1:3" x14ac:dyDescent="0.2">
      <c r="A25" s="22">
        <v>26</v>
      </c>
      <c r="B25" s="22" t="s">
        <v>32</v>
      </c>
      <c r="C25" s="33" t="s">
        <v>196</v>
      </c>
    </row>
    <row r="26" spans="1:3" x14ac:dyDescent="0.2">
      <c r="A26" s="22">
        <v>27</v>
      </c>
      <c r="B26" s="22" t="s">
        <v>33</v>
      </c>
      <c r="C26" s="33" t="s">
        <v>197</v>
      </c>
    </row>
    <row r="27" spans="1:3" x14ac:dyDescent="0.2">
      <c r="A27" s="22">
        <v>28</v>
      </c>
      <c r="B27" s="22" t="s">
        <v>34</v>
      </c>
      <c r="C27" s="33" t="s">
        <v>198</v>
      </c>
    </row>
    <row r="28" spans="1:3" x14ac:dyDescent="0.2">
      <c r="A28" s="22">
        <v>29</v>
      </c>
      <c r="B28" s="22" t="s">
        <v>35</v>
      </c>
      <c r="C28" s="33" t="s">
        <v>199</v>
      </c>
    </row>
    <row r="29" spans="1:3" x14ac:dyDescent="0.2">
      <c r="A29" s="22">
        <v>30</v>
      </c>
      <c r="B29" s="22" t="s">
        <v>36</v>
      </c>
      <c r="C29" s="33" t="s">
        <v>200</v>
      </c>
    </row>
    <row r="30" spans="1:3" x14ac:dyDescent="0.2">
      <c r="A30" s="22">
        <v>31</v>
      </c>
      <c r="B30" s="22" t="s">
        <v>37</v>
      </c>
      <c r="C30" s="33" t="s">
        <v>7</v>
      </c>
    </row>
    <row r="31" spans="1:3" x14ac:dyDescent="0.2">
      <c r="A31" s="22">
        <v>32</v>
      </c>
      <c r="B31" s="22" t="s">
        <v>38</v>
      </c>
      <c r="C31" s="33" t="s">
        <v>201</v>
      </c>
    </row>
    <row r="32" spans="1:3" x14ac:dyDescent="0.2">
      <c r="A32" s="22">
        <v>33</v>
      </c>
      <c r="B32" s="22" t="s">
        <v>39</v>
      </c>
      <c r="C32" s="33" t="s">
        <v>202</v>
      </c>
    </row>
    <row r="33" spans="1:3" x14ac:dyDescent="0.2">
      <c r="A33" s="22">
        <v>34</v>
      </c>
      <c r="B33" s="22" t="s">
        <v>40</v>
      </c>
      <c r="C33" s="33" t="s">
        <v>203</v>
      </c>
    </row>
    <row r="34" spans="1:3" x14ac:dyDescent="0.2">
      <c r="A34" s="22">
        <v>35</v>
      </c>
      <c r="B34" s="22" t="s">
        <v>41</v>
      </c>
      <c r="C34" s="33" t="s">
        <v>204</v>
      </c>
    </row>
    <row r="35" spans="1:3" x14ac:dyDescent="0.2">
      <c r="A35" s="22">
        <v>36</v>
      </c>
      <c r="B35" s="22" t="s">
        <v>42</v>
      </c>
      <c r="C35" s="33" t="s">
        <v>205</v>
      </c>
    </row>
    <row r="36" spans="1:3" x14ac:dyDescent="0.2">
      <c r="A36" s="22">
        <v>37</v>
      </c>
      <c r="B36" s="22" t="s">
        <v>43</v>
      </c>
      <c r="C36" s="33" t="s">
        <v>206</v>
      </c>
    </row>
    <row r="37" spans="1:3" x14ac:dyDescent="0.2">
      <c r="A37" s="22">
        <v>38</v>
      </c>
      <c r="B37" s="22" t="s">
        <v>44</v>
      </c>
      <c r="C37" s="33" t="s">
        <v>207</v>
      </c>
    </row>
    <row r="38" spans="1:3" x14ac:dyDescent="0.2">
      <c r="A38" s="22">
        <v>39</v>
      </c>
      <c r="B38" s="22" t="s">
        <v>45</v>
      </c>
      <c r="C38" s="33" t="s">
        <v>208</v>
      </c>
    </row>
    <row r="39" spans="1:3" x14ac:dyDescent="0.2">
      <c r="A39" s="22">
        <v>40</v>
      </c>
      <c r="B39" s="22" t="s">
        <v>46</v>
      </c>
      <c r="C39" s="33" t="s">
        <v>7</v>
      </c>
    </row>
    <row r="40" spans="1:3" x14ac:dyDescent="0.2">
      <c r="A40" s="22">
        <v>41</v>
      </c>
      <c r="B40" s="22" t="s">
        <v>47</v>
      </c>
      <c r="C40" s="33" t="s">
        <v>209</v>
      </c>
    </row>
    <row r="41" spans="1:3" x14ac:dyDescent="0.2">
      <c r="A41" s="22">
        <v>42</v>
      </c>
      <c r="B41" s="22" t="s">
        <v>48</v>
      </c>
      <c r="C41" s="33" t="s">
        <v>210</v>
      </c>
    </row>
    <row r="42" spans="1:3" x14ac:dyDescent="0.2">
      <c r="A42" s="22">
        <v>43</v>
      </c>
      <c r="B42" s="22" t="s">
        <v>49</v>
      </c>
      <c r="C42" s="33" t="s">
        <v>211</v>
      </c>
    </row>
    <row r="43" spans="1:3" x14ac:dyDescent="0.2">
      <c r="A43" s="22">
        <v>44</v>
      </c>
      <c r="B43" s="22" t="s">
        <v>50</v>
      </c>
      <c r="C43" s="33" t="s">
        <v>269</v>
      </c>
    </row>
    <row r="44" spans="1:3" x14ac:dyDescent="0.2">
      <c r="A44" s="22">
        <v>45</v>
      </c>
      <c r="B44" s="22" t="s">
        <v>51</v>
      </c>
      <c r="C44" s="33" t="s">
        <v>212</v>
      </c>
    </row>
    <row r="45" spans="1:3" x14ac:dyDescent="0.2">
      <c r="A45" s="22">
        <v>46</v>
      </c>
      <c r="B45" s="22" t="s">
        <v>52</v>
      </c>
      <c r="C45" s="33" t="s">
        <v>7</v>
      </c>
    </row>
    <row r="46" spans="1:3" x14ac:dyDescent="0.2">
      <c r="A46" s="22">
        <v>47</v>
      </c>
      <c r="B46" s="22" t="s">
        <v>53</v>
      </c>
      <c r="C46" s="33" t="s">
        <v>213</v>
      </c>
    </row>
    <row r="47" spans="1:3" x14ac:dyDescent="0.2">
      <c r="A47" s="22">
        <v>48</v>
      </c>
      <c r="B47" s="22" t="s">
        <v>54</v>
      </c>
      <c r="C47" s="33" t="s">
        <v>214</v>
      </c>
    </row>
    <row r="48" spans="1:3" x14ac:dyDescent="0.2">
      <c r="A48" s="22">
        <v>49</v>
      </c>
      <c r="B48" s="22" t="s">
        <v>55</v>
      </c>
      <c r="C48" s="33" t="s">
        <v>215</v>
      </c>
    </row>
    <row r="49" spans="1:3" x14ac:dyDescent="0.2">
      <c r="A49" s="22">
        <v>50</v>
      </c>
      <c r="B49" s="22" t="s">
        <v>56</v>
      </c>
      <c r="C49" s="33" t="s">
        <v>216</v>
      </c>
    </row>
    <row r="50" spans="1:3" x14ac:dyDescent="0.2">
      <c r="A50" s="22">
        <v>51</v>
      </c>
      <c r="B50" s="22" t="s">
        <v>57</v>
      </c>
      <c r="C50" s="33" t="s">
        <v>217</v>
      </c>
    </row>
    <row r="51" spans="1:3" x14ac:dyDescent="0.2">
      <c r="A51" s="22">
        <v>52</v>
      </c>
      <c r="B51" s="22" t="s">
        <v>58</v>
      </c>
      <c r="C51" s="33" t="s">
        <v>217</v>
      </c>
    </row>
    <row r="52" spans="1:3" x14ac:dyDescent="0.2">
      <c r="A52" s="22">
        <v>53</v>
      </c>
      <c r="B52" s="22" t="s">
        <v>59</v>
      </c>
      <c r="C52" s="33" t="s">
        <v>218</v>
      </c>
    </row>
    <row r="53" spans="1:3" x14ac:dyDescent="0.2">
      <c r="A53" s="22">
        <v>54</v>
      </c>
      <c r="B53" s="22" t="s">
        <v>60</v>
      </c>
      <c r="C53" s="33" t="s">
        <v>219</v>
      </c>
    </row>
    <row r="54" spans="1:3" x14ac:dyDescent="0.2">
      <c r="A54" s="22">
        <v>55</v>
      </c>
      <c r="B54" s="22" t="s">
        <v>61</v>
      </c>
      <c r="C54" s="33" t="s">
        <v>220</v>
      </c>
    </row>
    <row r="55" spans="1:3" x14ac:dyDescent="0.2">
      <c r="A55" s="22">
        <v>56</v>
      </c>
      <c r="B55" s="22" t="s">
        <v>62</v>
      </c>
      <c r="C55" s="33" t="s">
        <v>221</v>
      </c>
    </row>
    <row r="56" spans="1:3" x14ac:dyDescent="0.2">
      <c r="A56" s="22">
        <v>57</v>
      </c>
      <c r="B56" s="22" t="s">
        <v>63</v>
      </c>
      <c r="C56" s="33" t="s">
        <v>222</v>
      </c>
    </row>
    <row r="57" spans="1:3" x14ac:dyDescent="0.2">
      <c r="A57" s="22">
        <v>58</v>
      </c>
      <c r="B57" s="22" t="s">
        <v>64</v>
      </c>
      <c r="C57" s="33" t="s">
        <v>223</v>
      </c>
    </row>
    <row r="58" spans="1:3" x14ac:dyDescent="0.2">
      <c r="A58" s="22">
        <v>59</v>
      </c>
      <c r="B58" s="22" t="s">
        <v>65</v>
      </c>
      <c r="C58" s="33" t="s">
        <v>224</v>
      </c>
    </row>
    <row r="59" spans="1:3" x14ac:dyDescent="0.2">
      <c r="A59" s="22">
        <v>60</v>
      </c>
      <c r="B59" s="22" t="s">
        <v>66</v>
      </c>
      <c r="C59" s="33" t="s">
        <v>225</v>
      </c>
    </row>
    <row r="60" spans="1:3" x14ac:dyDescent="0.2">
      <c r="A60" s="22">
        <v>61</v>
      </c>
      <c r="B60" s="22" t="s">
        <v>67</v>
      </c>
      <c r="C60" s="33" t="s">
        <v>226</v>
      </c>
    </row>
    <row r="61" spans="1:3" x14ac:dyDescent="0.2">
      <c r="A61" s="22">
        <v>62</v>
      </c>
      <c r="B61" s="22" t="s">
        <v>68</v>
      </c>
      <c r="C61" s="33" t="s">
        <v>227</v>
      </c>
    </row>
    <row r="62" spans="1:3" x14ac:dyDescent="0.2">
      <c r="A62" s="22">
        <v>63</v>
      </c>
      <c r="B62" s="22" t="s">
        <v>69</v>
      </c>
      <c r="C62" s="33" t="s">
        <v>228</v>
      </c>
    </row>
    <row r="63" spans="1:3" x14ac:dyDescent="0.2">
      <c r="A63" s="22">
        <v>64</v>
      </c>
      <c r="B63" s="22" t="s">
        <v>70</v>
      </c>
      <c r="C63" s="33" t="s">
        <v>229</v>
      </c>
    </row>
    <row r="64" spans="1:3" x14ac:dyDescent="0.2">
      <c r="A64" s="22">
        <v>65</v>
      </c>
      <c r="B64" s="22" t="s">
        <v>71</v>
      </c>
      <c r="C64" s="33" t="s">
        <v>230</v>
      </c>
    </row>
    <row r="65" spans="1:3" x14ac:dyDescent="0.2">
      <c r="A65" s="22">
        <v>66</v>
      </c>
      <c r="B65" s="22" t="s">
        <v>57</v>
      </c>
      <c r="C65" s="33" t="s">
        <v>7</v>
      </c>
    </row>
    <row r="66" spans="1:3" x14ac:dyDescent="0.2">
      <c r="A66" s="22">
        <v>67</v>
      </c>
      <c r="B66" s="22" t="s">
        <v>72</v>
      </c>
      <c r="C66" s="33" t="s">
        <v>231</v>
      </c>
    </row>
    <row r="67" spans="1:3" x14ac:dyDescent="0.2">
      <c r="A67" s="22">
        <v>68</v>
      </c>
      <c r="B67" s="22" t="s">
        <v>73</v>
      </c>
      <c r="C67" s="33" t="s">
        <v>7</v>
      </c>
    </row>
    <row r="68" spans="1:3" x14ac:dyDescent="0.2">
      <c r="A68" s="22">
        <v>69</v>
      </c>
      <c r="B68" s="22" t="s">
        <v>74</v>
      </c>
      <c r="C68" s="33" t="s">
        <v>232</v>
      </c>
    </row>
    <row r="69" spans="1:3" x14ac:dyDescent="0.2">
      <c r="A69" s="22">
        <v>70</v>
      </c>
      <c r="B69" s="22" t="s">
        <v>75</v>
      </c>
      <c r="C69" s="33" t="s">
        <v>7</v>
      </c>
    </row>
    <row r="70" spans="1:3" x14ac:dyDescent="0.2">
      <c r="A70" s="22">
        <v>71</v>
      </c>
      <c r="B70" s="22" t="s">
        <v>76</v>
      </c>
      <c r="C70" s="33" t="s">
        <v>7</v>
      </c>
    </row>
    <row r="71" spans="1:3" x14ac:dyDescent="0.2">
      <c r="A71" s="22">
        <v>72</v>
      </c>
      <c r="B71" s="22" t="s">
        <v>77</v>
      </c>
      <c r="C71" s="33" t="s">
        <v>7</v>
      </c>
    </row>
    <row r="72" spans="1:3" x14ac:dyDescent="0.2">
      <c r="A72" s="22">
        <v>73</v>
      </c>
      <c r="B72" s="22" t="s">
        <v>78</v>
      </c>
      <c r="C72" s="33" t="s">
        <v>7</v>
      </c>
    </row>
    <row r="73" spans="1:3" x14ac:dyDescent="0.2">
      <c r="A73" s="22">
        <v>74</v>
      </c>
      <c r="B73" s="22" t="s">
        <v>79</v>
      </c>
      <c r="C73" s="33" t="s">
        <v>7</v>
      </c>
    </row>
    <row r="74" spans="1:3" x14ac:dyDescent="0.2">
      <c r="A74" s="22">
        <v>75</v>
      </c>
      <c r="B74" s="22" t="s">
        <v>80</v>
      </c>
      <c r="C74" s="33" t="s">
        <v>7</v>
      </c>
    </row>
    <row r="75" spans="1:3" x14ac:dyDescent="0.2">
      <c r="A75" s="22">
        <v>76</v>
      </c>
      <c r="B75" s="22" t="s">
        <v>81</v>
      </c>
      <c r="C75" s="33" t="s">
        <v>269</v>
      </c>
    </row>
    <row r="76" spans="1:3" x14ac:dyDescent="0.2">
      <c r="A76" s="22">
        <v>77</v>
      </c>
      <c r="B76" s="22" t="s">
        <v>82</v>
      </c>
      <c r="C76" s="34"/>
    </row>
    <row r="77" spans="1:3" x14ac:dyDescent="0.2">
      <c r="A77" s="22">
        <v>78</v>
      </c>
      <c r="B77" s="22" t="s">
        <v>83</v>
      </c>
      <c r="C77" s="34" t="s">
        <v>290</v>
      </c>
    </row>
    <row r="78" spans="1:3" x14ac:dyDescent="0.2">
      <c r="A78" s="22">
        <v>79</v>
      </c>
      <c r="B78" s="22" t="s">
        <v>84</v>
      </c>
      <c r="C78" s="33" t="s">
        <v>233</v>
      </c>
    </row>
    <row r="79" spans="1:3" x14ac:dyDescent="0.2">
      <c r="A79" s="22">
        <v>80</v>
      </c>
      <c r="B79" s="22" t="s">
        <v>85</v>
      </c>
      <c r="C79" s="33" t="s">
        <v>234</v>
      </c>
    </row>
    <row r="80" spans="1:3" x14ac:dyDescent="0.2">
      <c r="A80" s="22">
        <v>81</v>
      </c>
      <c r="B80" s="22" t="s">
        <v>86</v>
      </c>
      <c r="C80" s="33" t="s">
        <v>7</v>
      </c>
    </row>
    <row r="81" spans="1:3" x14ac:dyDescent="0.2">
      <c r="A81" s="22">
        <v>82</v>
      </c>
      <c r="B81" s="22" t="s">
        <v>87</v>
      </c>
      <c r="C81" s="33" t="s">
        <v>7</v>
      </c>
    </row>
    <row r="82" spans="1:3" x14ac:dyDescent="0.2">
      <c r="A82" s="22">
        <v>83</v>
      </c>
      <c r="B82" s="22" t="s">
        <v>88</v>
      </c>
      <c r="C82" s="33" t="s">
        <v>7</v>
      </c>
    </row>
    <row r="83" spans="1:3" x14ac:dyDescent="0.2">
      <c r="A83" s="22">
        <v>84</v>
      </c>
      <c r="B83" s="22" t="s">
        <v>89</v>
      </c>
      <c r="C83" s="33" t="s">
        <v>235</v>
      </c>
    </row>
    <row r="84" spans="1:3" x14ac:dyDescent="0.2">
      <c r="A84" s="22">
        <v>85</v>
      </c>
      <c r="B84" s="22" t="s">
        <v>90</v>
      </c>
      <c r="C84" s="33" t="s">
        <v>236</v>
      </c>
    </row>
    <row r="85" spans="1:3" x14ac:dyDescent="0.2">
      <c r="A85" s="22">
        <v>86</v>
      </c>
      <c r="B85" s="22" t="s">
        <v>91</v>
      </c>
      <c r="C85" s="33" t="s">
        <v>237</v>
      </c>
    </row>
    <row r="86" spans="1:3" x14ac:dyDescent="0.2">
      <c r="A86" s="22">
        <v>87</v>
      </c>
      <c r="B86" s="22" t="s">
        <v>92</v>
      </c>
      <c r="C86" s="33" t="s">
        <v>7</v>
      </c>
    </row>
    <row r="87" spans="1:3" x14ac:dyDescent="0.2">
      <c r="A87" s="22">
        <v>88</v>
      </c>
      <c r="B87" s="22" t="s">
        <v>93</v>
      </c>
      <c r="C87" s="33" t="s">
        <v>7</v>
      </c>
    </row>
    <row r="88" spans="1:3" x14ac:dyDescent="0.2">
      <c r="A88" s="22">
        <v>89</v>
      </c>
      <c r="B88" s="22" t="s">
        <v>94</v>
      </c>
      <c r="C88" s="33" t="s">
        <v>7</v>
      </c>
    </row>
    <row r="89" spans="1:3" x14ac:dyDescent="0.2">
      <c r="A89" s="22">
        <v>90</v>
      </c>
      <c r="B89" s="22" t="s">
        <v>95</v>
      </c>
      <c r="C89" s="33" t="s">
        <v>238</v>
      </c>
    </row>
    <row r="90" spans="1:3" x14ac:dyDescent="0.2">
      <c r="A90" s="22">
        <v>91</v>
      </c>
      <c r="B90" s="22" t="s">
        <v>96</v>
      </c>
      <c r="C90" s="33" t="s">
        <v>239</v>
      </c>
    </row>
    <row r="91" spans="1:3" x14ac:dyDescent="0.2">
      <c r="A91" s="22">
        <v>92</v>
      </c>
      <c r="B91" s="22" t="s">
        <v>97</v>
      </c>
      <c r="C91" s="33" t="s">
        <v>240</v>
      </c>
    </row>
    <row r="92" spans="1:3" x14ac:dyDescent="0.2">
      <c r="A92" s="22">
        <v>93</v>
      </c>
      <c r="B92" s="22" t="s">
        <v>98</v>
      </c>
      <c r="C92" s="33" t="s">
        <v>7</v>
      </c>
    </row>
    <row r="93" spans="1:3" x14ac:dyDescent="0.2">
      <c r="A93" s="22">
        <v>94</v>
      </c>
      <c r="B93" s="22" t="s">
        <v>99</v>
      </c>
      <c r="C93" s="33" t="s">
        <v>241</v>
      </c>
    </row>
    <row r="94" spans="1:3" x14ac:dyDescent="0.2">
      <c r="A94" s="22">
        <v>95</v>
      </c>
      <c r="B94" s="22" t="s">
        <v>100</v>
      </c>
      <c r="C94" s="33" t="s">
        <v>7</v>
      </c>
    </row>
    <row r="95" spans="1:3" x14ac:dyDescent="0.2">
      <c r="A95" s="22">
        <v>96</v>
      </c>
      <c r="B95" s="22" t="s">
        <v>101</v>
      </c>
      <c r="C95" s="33" t="s">
        <v>7</v>
      </c>
    </row>
    <row r="96" spans="1:3" x14ac:dyDescent="0.2">
      <c r="A96" s="22">
        <v>97</v>
      </c>
      <c r="B96" s="22" t="s">
        <v>102</v>
      </c>
      <c r="C96" s="33" t="s">
        <v>7</v>
      </c>
    </row>
    <row r="97" spans="1:3" x14ac:dyDescent="0.2">
      <c r="A97" s="22">
        <v>98</v>
      </c>
      <c r="B97" s="22" t="s">
        <v>103</v>
      </c>
      <c r="C97" s="33" t="s">
        <v>242</v>
      </c>
    </row>
    <row r="98" spans="1:3" x14ac:dyDescent="0.2">
      <c r="A98" s="22">
        <v>99</v>
      </c>
      <c r="B98" s="22" t="s">
        <v>104</v>
      </c>
      <c r="C98" s="33" t="s">
        <v>243</v>
      </c>
    </row>
    <row r="99" spans="1:3" x14ac:dyDescent="0.2">
      <c r="A99" s="22">
        <v>100</v>
      </c>
      <c r="B99" s="22" t="s">
        <v>105</v>
      </c>
      <c r="C99" s="33" t="s">
        <v>7</v>
      </c>
    </row>
    <row r="100" spans="1:3" x14ac:dyDescent="0.2">
      <c r="A100" s="22">
        <v>101</v>
      </c>
      <c r="B100" s="22" t="s">
        <v>106</v>
      </c>
      <c r="C100" s="33" t="s">
        <v>7</v>
      </c>
    </row>
    <row r="101" spans="1:3" x14ac:dyDescent="0.2">
      <c r="A101" s="22">
        <v>102</v>
      </c>
      <c r="B101" s="22" t="s">
        <v>107</v>
      </c>
      <c r="C101" s="33" t="s">
        <v>244</v>
      </c>
    </row>
    <row r="102" spans="1:3" x14ac:dyDescent="0.2">
      <c r="A102" s="22">
        <v>103</v>
      </c>
      <c r="B102" s="22" t="s">
        <v>108</v>
      </c>
      <c r="C102" s="33" t="s">
        <v>7</v>
      </c>
    </row>
    <row r="103" spans="1:3" x14ac:dyDescent="0.2">
      <c r="A103" s="22">
        <v>104</v>
      </c>
      <c r="B103" s="22" t="s">
        <v>109</v>
      </c>
      <c r="C103" s="33" t="s">
        <v>245</v>
      </c>
    </row>
    <row r="104" spans="1:3" x14ac:dyDescent="0.2">
      <c r="A104" s="22">
        <v>105</v>
      </c>
      <c r="B104" s="22" t="s">
        <v>110</v>
      </c>
      <c r="C104" s="33" t="s">
        <v>7</v>
      </c>
    </row>
    <row r="105" spans="1:3" x14ac:dyDescent="0.2">
      <c r="A105" s="22">
        <v>106</v>
      </c>
      <c r="B105" s="22" t="s">
        <v>111</v>
      </c>
      <c r="C105" s="33" t="s">
        <v>246</v>
      </c>
    </row>
    <row r="106" spans="1:3" x14ac:dyDescent="0.2">
      <c r="A106" s="22">
        <v>107</v>
      </c>
      <c r="B106" s="22" t="s">
        <v>112</v>
      </c>
      <c r="C106" s="33" t="s">
        <v>247</v>
      </c>
    </row>
    <row r="107" spans="1:3" x14ac:dyDescent="0.2">
      <c r="A107" s="22">
        <v>108</v>
      </c>
      <c r="B107" s="22" t="s">
        <v>113</v>
      </c>
      <c r="C107" s="33" t="s">
        <v>7</v>
      </c>
    </row>
    <row r="108" spans="1:3" x14ac:dyDescent="0.2">
      <c r="A108" s="22">
        <v>109</v>
      </c>
      <c r="B108" s="22" t="s">
        <v>114</v>
      </c>
      <c r="C108" s="33" t="s">
        <v>7</v>
      </c>
    </row>
    <row r="109" spans="1:3" x14ac:dyDescent="0.2">
      <c r="A109" s="22">
        <v>110</v>
      </c>
      <c r="B109" s="22" t="s">
        <v>115</v>
      </c>
      <c r="C109" s="33" t="s">
        <v>7</v>
      </c>
    </row>
    <row r="110" spans="1:3" x14ac:dyDescent="0.2">
      <c r="A110" s="22">
        <v>111</v>
      </c>
      <c r="B110" s="22" t="s">
        <v>116</v>
      </c>
      <c r="C110" s="33" t="s">
        <v>248</v>
      </c>
    </row>
    <row r="111" spans="1:3" x14ac:dyDescent="0.2">
      <c r="A111" s="22">
        <v>112</v>
      </c>
      <c r="B111" s="22" t="s">
        <v>117</v>
      </c>
      <c r="C111" s="33" t="s">
        <v>7</v>
      </c>
    </row>
    <row r="112" spans="1:3" x14ac:dyDescent="0.2">
      <c r="A112" s="22">
        <v>113</v>
      </c>
      <c r="B112" s="22" t="s">
        <v>118</v>
      </c>
      <c r="C112" s="33" t="s">
        <v>7</v>
      </c>
    </row>
    <row r="113" spans="1:3" x14ac:dyDescent="0.2">
      <c r="A113" s="22">
        <v>114</v>
      </c>
      <c r="B113" s="22" t="s">
        <v>119</v>
      </c>
      <c r="C113" s="33" t="s">
        <v>7</v>
      </c>
    </row>
    <row r="114" spans="1:3" x14ac:dyDescent="0.2">
      <c r="A114" s="22">
        <v>115</v>
      </c>
      <c r="B114" s="22" t="s">
        <v>120</v>
      </c>
      <c r="C114" s="33" t="s">
        <v>7</v>
      </c>
    </row>
    <row r="115" spans="1:3" x14ac:dyDescent="0.2">
      <c r="A115" s="22">
        <v>116</v>
      </c>
      <c r="B115" s="22" t="s">
        <v>121</v>
      </c>
      <c r="C115" s="33" t="s">
        <v>7</v>
      </c>
    </row>
    <row r="116" spans="1:3" x14ac:dyDescent="0.2">
      <c r="A116" s="22">
        <v>117</v>
      </c>
      <c r="B116" s="22" t="s">
        <v>122</v>
      </c>
      <c r="C116" s="33" t="s">
        <v>249</v>
      </c>
    </row>
    <row r="117" spans="1:3" x14ac:dyDescent="0.2">
      <c r="A117" s="22">
        <v>118</v>
      </c>
      <c r="B117" s="22" t="s">
        <v>123</v>
      </c>
      <c r="C117" s="33" t="s">
        <v>250</v>
      </c>
    </row>
    <row r="118" spans="1:3" x14ac:dyDescent="0.2">
      <c r="A118" s="22">
        <v>119</v>
      </c>
      <c r="B118" s="22" t="s">
        <v>124</v>
      </c>
      <c r="C118" s="33" t="s">
        <v>251</v>
      </c>
    </row>
    <row r="119" spans="1:3" x14ac:dyDescent="0.2">
      <c r="A119" s="22">
        <v>120</v>
      </c>
      <c r="B119" s="22" t="s">
        <v>125</v>
      </c>
      <c r="C119" s="33" t="s">
        <v>252</v>
      </c>
    </row>
    <row r="120" spans="1:3" x14ac:dyDescent="0.2">
      <c r="A120" s="22">
        <v>121</v>
      </c>
      <c r="B120" s="22" t="s">
        <v>126</v>
      </c>
      <c r="C120" s="33" t="s">
        <v>253</v>
      </c>
    </row>
    <row r="121" spans="1:3" x14ac:dyDescent="0.2">
      <c r="A121" s="22">
        <v>122</v>
      </c>
      <c r="B121" s="22" t="s">
        <v>127</v>
      </c>
      <c r="C121" s="33" t="s">
        <v>254</v>
      </c>
    </row>
    <row r="122" spans="1:3" x14ac:dyDescent="0.2">
      <c r="A122" s="22">
        <v>123</v>
      </c>
      <c r="B122" s="22" t="s">
        <v>128</v>
      </c>
      <c r="C122" s="33" t="s">
        <v>269</v>
      </c>
    </row>
    <row r="123" spans="1:3" x14ac:dyDescent="0.2">
      <c r="A123" s="22">
        <v>124</v>
      </c>
      <c r="B123" s="22" t="s">
        <v>129</v>
      </c>
      <c r="C123" s="33" t="s">
        <v>8</v>
      </c>
    </row>
    <row r="124" spans="1:3" x14ac:dyDescent="0.2">
      <c r="A124" s="22">
        <v>125</v>
      </c>
      <c r="B124" s="22" t="s">
        <v>130</v>
      </c>
      <c r="C124" s="33" t="s">
        <v>8</v>
      </c>
    </row>
    <row r="125" spans="1:3" x14ac:dyDescent="0.2">
      <c r="A125" s="22">
        <v>126</v>
      </c>
      <c r="B125" s="22" t="s">
        <v>131</v>
      </c>
      <c r="C125" s="33" t="s">
        <v>8</v>
      </c>
    </row>
    <row r="126" spans="1:3" x14ac:dyDescent="0.2">
      <c r="A126" s="22">
        <v>127</v>
      </c>
      <c r="B126" s="22" t="s">
        <v>132</v>
      </c>
      <c r="C126" s="33" t="s">
        <v>8</v>
      </c>
    </row>
    <row r="127" spans="1:3" x14ac:dyDescent="0.2">
      <c r="A127" s="22">
        <v>128</v>
      </c>
      <c r="B127" s="22" t="s">
        <v>133</v>
      </c>
      <c r="C127" s="33" t="s">
        <v>7</v>
      </c>
    </row>
    <row r="128" spans="1:3" x14ac:dyDescent="0.2">
      <c r="A128" s="22">
        <v>129</v>
      </c>
      <c r="B128" s="22" t="s">
        <v>134</v>
      </c>
      <c r="C128" s="33" t="s">
        <v>8</v>
      </c>
    </row>
    <row r="129" spans="1:3" x14ac:dyDescent="0.2">
      <c r="A129" s="22">
        <v>130</v>
      </c>
      <c r="B129" s="22" t="s">
        <v>135</v>
      </c>
      <c r="C129" s="33" t="s">
        <v>255</v>
      </c>
    </row>
    <row r="130" spans="1:3" x14ac:dyDescent="0.2">
      <c r="A130" s="22">
        <v>131</v>
      </c>
      <c r="B130" s="22" t="s">
        <v>136</v>
      </c>
      <c r="C130" s="33" t="s">
        <v>8</v>
      </c>
    </row>
    <row r="131" spans="1:3" x14ac:dyDescent="0.2">
      <c r="A131" s="22">
        <v>132</v>
      </c>
      <c r="B131" s="22" t="s">
        <v>137</v>
      </c>
      <c r="C131" s="33" t="s">
        <v>256</v>
      </c>
    </row>
    <row r="132" spans="1:3" x14ac:dyDescent="0.2">
      <c r="A132" s="22">
        <v>133</v>
      </c>
      <c r="B132" s="22" t="s">
        <v>174</v>
      </c>
      <c r="C132" s="33" t="s">
        <v>257</v>
      </c>
    </row>
    <row r="133" spans="1:3" x14ac:dyDescent="0.2">
      <c r="A133" s="22">
        <v>134</v>
      </c>
      <c r="B133" s="22" t="s">
        <v>138</v>
      </c>
      <c r="C133" s="33" t="s">
        <v>8</v>
      </c>
    </row>
    <row r="134" spans="1:3" x14ac:dyDescent="0.2">
      <c r="A134" s="22">
        <v>135</v>
      </c>
      <c r="B134" s="22" t="s">
        <v>139</v>
      </c>
      <c r="C134" s="33" t="s">
        <v>258</v>
      </c>
    </row>
    <row r="135" spans="1:3" x14ac:dyDescent="0.2">
      <c r="A135" s="22">
        <v>136</v>
      </c>
      <c r="B135" s="22" t="s">
        <v>140</v>
      </c>
      <c r="C135" s="33" t="s">
        <v>8</v>
      </c>
    </row>
    <row r="136" spans="1:3" x14ac:dyDescent="0.2">
      <c r="A136" s="22">
        <v>137</v>
      </c>
      <c r="B136" s="22" t="s">
        <v>141</v>
      </c>
      <c r="C136" s="33" t="s">
        <v>259</v>
      </c>
    </row>
    <row r="137" spans="1:3" x14ac:dyDescent="0.2">
      <c r="A137" s="22">
        <v>138</v>
      </c>
      <c r="B137" s="22" t="s">
        <v>142</v>
      </c>
      <c r="C137" s="34">
        <v>47601047</v>
      </c>
    </row>
    <row r="138" spans="1:3" x14ac:dyDescent="0.2">
      <c r="A138" s="22">
        <v>139</v>
      </c>
      <c r="B138" s="22" t="s">
        <v>143</v>
      </c>
      <c r="C138" s="33" t="s">
        <v>176</v>
      </c>
    </row>
    <row r="139" spans="1:3" x14ac:dyDescent="0.2">
      <c r="A139" s="22">
        <v>140</v>
      </c>
      <c r="B139" s="22" t="s">
        <v>144</v>
      </c>
      <c r="C139" s="33" t="s">
        <v>8</v>
      </c>
    </row>
    <row r="140" spans="1:3" x14ac:dyDescent="0.2">
      <c r="A140" s="22">
        <v>141</v>
      </c>
      <c r="B140" s="22" t="s">
        <v>145</v>
      </c>
      <c r="C140" s="33" t="s">
        <v>8</v>
      </c>
    </row>
    <row r="141" spans="1:3" x14ac:dyDescent="0.2">
      <c r="A141" s="22">
        <v>142</v>
      </c>
      <c r="B141" s="22" t="s">
        <v>146</v>
      </c>
      <c r="C141" s="33" t="s">
        <v>8</v>
      </c>
    </row>
    <row r="142" spans="1:3" x14ac:dyDescent="0.2">
      <c r="A142" s="22">
        <v>143</v>
      </c>
      <c r="B142" s="22" t="s">
        <v>147</v>
      </c>
      <c r="C142" s="33">
        <v>65101804</v>
      </c>
    </row>
    <row r="143" spans="1:3" x14ac:dyDescent="0.2">
      <c r="A143" s="22">
        <v>144</v>
      </c>
      <c r="B143" s="22" t="s">
        <v>148</v>
      </c>
      <c r="C143" s="33" t="s">
        <v>8</v>
      </c>
    </row>
    <row r="144" spans="1:3" x14ac:dyDescent="0.2">
      <c r="A144" s="22">
        <v>145</v>
      </c>
      <c r="B144" s="22" t="s">
        <v>175</v>
      </c>
      <c r="C144" s="33" t="s">
        <v>260</v>
      </c>
    </row>
    <row r="145" spans="1:3" x14ac:dyDescent="0.2">
      <c r="A145" s="22">
        <v>146</v>
      </c>
      <c r="B145" s="22" t="s">
        <v>149</v>
      </c>
      <c r="C145" s="33" t="s">
        <v>8</v>
      </c>
    </row>
    <row r="146" spans="1:3" x14ac:dyDescent="0.2">
      <c r="A146" s="22">
        <v>147</v>
      </c>
      <c r="B146" s="22" t="s">
        <v>150</v>
      </c>
      <c r="C146" s="33" t="s">
        <v>8</v>
      </c>
    </row>
    <row r="147" spans="1:3" x14ac:dyDescent="0.2">
      <c r="A147" s="22">
        <v>148</v>
      </c>
      <c r="B147" s="22" t="s">
        <v>151</v>
      </c>
      <c r="C147" s="33" t="s">
        <v>261</v>
      </c>
    </row>
    <row r="148" spans="1:3" x14ac:dyDescent="0.2">
      <c r="A148" s="22">
        <v>149</v>
      </c>
      <c r="B148" s="22" t="s">
        <v>152</v>
      </c>
      <c r="C148" s="33" t="s">
        <v>8</v>
      </c>
    </row>
    <row r="149" spans="1:3" x14ac:dyDescent="0.2">
      <c r="A149" s="22">
        <v>150</v>
      </c>
      <c r="B149" s="22" t="s">
        <v>153</v>
      </c>
      <c r="C149" s="33" t="s">
        <v>262</v>
      </c>
    </row>
    <row r="150" spans="1:3" x14ac:dyDescent="0.2">
      <c r="A150" s="22">
        <v>151</v>
      </c>
      <c r="B150" s="22" t="s">
        <v>154</v>
      </c>
      <c r="C150" s="33" t="s">
        <v>263</v>
      </c>
    </row>
    <row r="151" spans="1:3" x14ac:dyDescent="0.2">
      <c r="A151" s="22">
        <v>152</v>
      </c>
      <c r="B151" s="22" t="s">
        <v>155</v>
      </c>
      <c r="C151" s="33" t="s">
        <v>8</v>
      </c>
    </row>
    <row r="152" spans="1:3" x14ac:dyDescent="0.2">
      <c r="A152" s="22">
        <v>153</v>
      </c>
      <c r="B152" s="22" t="s">
        <v>156</v>
      </c>
      <c r="C152" s="33" t="s">
        <v>8</v>
      </c>
    </row>
    <row r="153" spans="1:3" x14ac:dyDescent="0.2">
      <c r="A153" s="22">
        <v>154</v>
      </c>
      <c r="B153" s="22" t="s">
        <v>157</v>
      </c>
      <c r="C153" s="33" t="s">
        <v>8</v>
      </c>
    </row>
    <row r="154" spans="1:3" x14ac:dyDescent="0.2">
      <c r="A154" s="22">
        <v>155</v>
      </c>
      <c r="B154" s="22" t="s">
        <v>158</v>
      </c>
      <c r="C154" s="33" t="s">
        <v>8</v>
      </c>
    </row>
    <row r="155" spans="1:3" x14ac:dyDescent="0.2">
      <c r="A155" s="22">
        <v>156</v>
      </c>
      <c r="B155" s="22" t="s">
        <v>159</v>
      </c>
      <c r="C155" s="33" t="s">
        <v>8</v>
      </c>
    </row>
    <row r="156" spans="1:3" x14ac:dyDescent="0.2">
      <c r="A156" s="22">
        <v>157</v>
      </c>
      <c r="B156" s="22" t="s">
        <v>160</v>
      </c>
      <c r="C156" s="33" t="s">
        <v>8</v>
      </c>
    </row>
    <row r="157" spans="1:3" x14ac:dyDescent="0.2">
      <c r="A157" s="22">
        <v>158</v>
      </c>
      <c r="B157" s="22" t="s">
        <v>268</v>
      </c>
      <c r="C157" s="33">
        <v>80487166</v>
      </c>
    </row>
    <row r="158" spans="1:3" x14ac:dyDescent="0.2">
      <c r="A158" s="22">
        <v>159</v>
      </c>
      <c r="B158" s="22" t="s">
        <v>161</v>
      </c>
      <c r="C158" s="33" t="s">
        <v>264</v>
      </c>
    </row>
    <row r="159" spans="1:3" x14ac:dyDescent="0.2">
      <c r="A159" s="22">
        <v>160</v>
      </c>
      <c r="B159" s="22" t="s">
        <v>162</v>
      </c>
      <c r="C159" s="33" t="s">
        <v>1344</v>
      </c>
    </row>
    <row r="160" spans="1:3" x14ac:dyDescent="0.2">
      <c r="A160" s="22">
        <v>161</v>
      </c>
      <c r="B160" s="22" t="s">
        <v>163</v>
      </c>
      <c r="C160" s="33" t="s">
        <v>1344</v>
      </c>
    </row>
    <row r="161" spans="1:3" x14ac:dyDescent="0.2">
      <c r="A161" s="22">
        <v>162</v>
      </c>
      <c r="B161" s="22" t="s">
        <v>164</v>
      </c>
      <c r="C161" s="33" t="s">
        <v>1344</v>
      </c>
    </row>
    <row r="162" spans="1:3" x14ac:dyDescent="0.2">
      <c r="A162" s="22">
        <v>163</v>
      </c>
      <c r="B162" s="22" t="s">
        <v>165</v>
      </c>
      <c r="C162" s="33">
        <v>25407006</v>
      </c>
    </row>
    <row r="163" spans="1:3" x14ac:dyDescent="0.2">
      <c r="A163" s="22">
        <v>164</v>
      </c>
      <c r="B163" s="22" t="s">
        <v>166</v>
      </c>
      <c r="C163" s="33" t="s">
        <v>265</v>
      </c>
    </row>
    <row r="164" spans="1:3" x14ac:dyDescent="0.2">
      <c r="A164" s="22">
        <v>165</v>
      </c>
      <c r="B164" s="22" t="s">
        <v>167</v>
      </c>
      <c r="C164" s="33" t="s">
        <v>265</v>
      </c>
    </row>
    <row r="165" spans="1:3" x14ac:dyDescent="0.2">
      <c r="A165" s="22">
        <v>166</v>
      </c>
      <c r="B165" s="22" t="s">
        <v>168</v>
      </c>
      <c r="C165" s="33" t="s">
        <v>265</v>
      </c>
    </row>
    <row r="166" spans="1:3" x14ac:dyDescent="0.2">
      <c r="A166" s="22">
        <v>167</v>
      </c>
      <c r="B166" s="22" t="s">
        <v>169</v>
      </c>
      <c r="C166" s="33">
        <v>24611190</v>
      </c>
    </row>
    <row r="167" spans="1:3" x14ac:dyDescent="0.2">
      <c r="A167" s="22">
        <v>168</v>
      </c>
      <c r="B167" s="22" t="s">
        <v>170</v>
      </c>
      <c r="C167" s="33">
        <v>24611190</v>
      </c>
    </row>
    <row r="168" spans="1:3" x14ac:dyDescent="0.2">
      <c r="A168" s="22">
        <v>169</v>
      </c>
      <c r="B168" s="22" t="s">
        <v>171</v>
      </c>
      <c r="C168" s="33">
        <v>24611190</v>
      </c>
    </row>
    <row r="169" spans="1:3" x14ac:dyDescent="0.2">
      <c r="A169" s="22">
        <v>170</v>
      </c>
      <c r="B169" s="22" t="s">
        <v>172</v>
      </c>
      <c r="C169" s="33" t="s">
        <v>266</v>
      </c>
    </row>
    <row r="170" spans="1:3" x14ac:dyDescent="0.2">
      <c r="A170" s="22">
        <v>171</v>
      </c>
      <c r="B170" s="22" t="s">
        <v>173</v>
      </c>
      <c r="C170" s="33" t="s">
        <v>267</v>
      </c>
    </row>
    <row r="171" spans="1:3" x14ac:dyDescent="0.2">
      <c r="A171" s="22">
        <v>181</v>
      </c>
      <c r="B171" s="22" t="s">
        <v>270</v>
      </c>
      <c r="C171" s="33">
        <v>54805861</v>
      </c>
    </row>
    <row r="172" spans="1:3" x14ac:dyDescent="0.2">
      <c r="A172" s="22">
        <v>173</v>
      </c>
      <c r="B172" s="22" t="s">
        <v>271</v>
      </c>
    </row>
    <row r="173" spans="1:3" x14ac:dyDescent="0.2">
      <c r="A173" s="22">
        <v>179</v>
      </c>
      <c r="B173" s="22" t="s">
        <v>277</v>
      </c>
      <c r="C173" s="33">
        <v>13040933</v>
      </c>
    </row>
    <row r="174" spans="1:3" x14ac:dyDescent="0.2">
      <c r="A174" s="22">
        <v>175</v>
      </c>
      <c r="B174" s="22" t="s">
        <v>278</v>
      </c>
      <c r="C174" s="33">
        <v>98746762</v>
      </c>
    </row>
    <row r="175" spans="1:3" x14ac:dyDescent="0.2">
      <c r="A175" s="22">
        <v>189</v>
      </c>
      <c r="B175" s="22" t="s">
        <v>279</v>
      </c>
      <c r="C175" s="33">
        <v>54600889</v>
      </c>
    </row>
    <row r="176" spans="1:3" x14ac:dyDescent="0.2">
      <c r="A176" s="22">
        <v>194</v>
      </c>
      <c r="B176" s="22" t="s">
        <v>280</v>
      </c>
      <c r="C176" s="30" t="s">
        <v>281</v>
      </c>
    </row>
    <row r="177" spans="1:3" x14ac:dyDescent="0.2">
      <c r="A177" s="22">
        <v>186</v>
      </c>
      <c r="B177" s="22" t="s">
        <v>282</v>
      </c>
      <c r="C177" s="33">
        <v>66602215</v>
      </c>
    </row>
    <row r="178" spans="1:3" x14ac:dyDescent="0.2">
      <c r="A178" s="22">
        <v>180</v>
      </c>
      <c r="B178" s="22" t="s">
        <v>283</v>
      </c>
      <c r="C178" s="33">
        <v>13127375</v>
      </c>
    </row>
    <row r="179" spans="1:3" x14ac:dyDescent="0.2">
      <c r="A179" s="22">
        <v>203</v>
      </c>
      <c r="B179" s="22" t="s">
        <v>286</v>
      </c>
      <c r="C179" s="33" t="s">
        <v>1269</v>
      </c>
    </row>
    <row r="180" spans="1:3" x14ac:dyDescent="0.2">
      <c r="A180" s="22">
        <v>213</v>
      </c>
      <c r="B180" s="22" t="s">
        <v>287</v>
      </c>
      <c r="C180" s="33">
        <v>52536476</v>
      </c>
    </row>
    <row r="181" spans="1:3" x14ac:dyDescent="0.2">
      <c r="A181" s="22">
        <v>182</v>
      </c>
      <c r="B181" s="22" t="s">
        <v>288</v>
      </c>
      <c r="C181" s="33" t="s">
        <v>289</v>
      </c>
    </row>
    <row r="182" spans="1:3" x14ac:dyDescent="0.2">
      <c r="A182" s="22">
        <v>266</v>
      </c>
      <c r="B182" s="22" t="s">
        <v>291</v>
      </c>
      <c r="C182" s="33" t="s">
        <v>292</v>
      </c>
    </row>
    <row r="183" spans="1:3" x14ac:dyDescent="0.2">
      <c r="A183" s="22">
        <v>208</v>
      </c>
      <c r="B183" s="22" t="s">
        <v>307</v>
      </c>
      <c r="C183" s="33" t="s">
        <v>308</v>
      </c>
    </row>
    <row r="184" spans="1:3" x14ac:dyDescent="0.2">
      <c r="A184" s="22">
        <v>310</v>
      </c>
      <c r="B184" s="22" t="s">
        <v>310</v>
      </c>
      <c r="C184" s="33" t="s">
        <v>309</v>
      </c>
    </row>
    <row r="185" spans="1:3" x14ac:dyDescent="0.2">
      <c r="A185" s="22">
        <v>317</v>
      </c>
      <c r="B185" s="22" t="s">
        <v>311</v>
      </c>
      <c r="C185" s="33" t="s">
        <v>312</v>
      </c>
    </row>
    <row r="186" spans="1:3" x14ac:dyDescent="0.2">
      <c r="A186" s="22">
        <v>265</v>
      </c>
      <c r="B186" s="22" t="s">
        <v>332</v>
      </c>
      <c r="C186" s="33" t="s">
        <v>333</v>
      </c>
    </row>
    <row r="187" spans="1:3" x14ac:dyDescent="0.2">
      <c r="A187" s="22">
        <v>190</v>
      </c>
      <c r="B187" s="22" t="s">
        <v>1257</v>
      </c>
      <c r="C187" s="33" t="s">
        <v>1258</v>
      </c>
    </row>
    <row r="188" spans="1:3" x14ac:dyDescent="0.2">
      <c r="A188" s="22">
        <v>380</v>
      </c>
      <c r="B188" s="22" t="s">
        <v>1280</v>
      </c>
      <c r="C188" s="33" t="s">
        <v>1281</v>
      </c>
    </row>
    <row r="189" spans="1:3" x14ac:dyDescent="0.2">
      <c r="B189" s="22" t="s">
        <v>2245</v>
      </c>
      <c r="C189" s="33" t="s">
        <v>2237</v>
      </c>
    </row>
    <row r="190" spans="1:3" x14ac:dyDescent="0.2">
      <c r="B190" s="22" t="s">
        <v>2246</v>
      </c>
    </row>
    <row r="191" spans="1:3" x14ac:dyDescent="0.2">
      <c r="B191" s="22" t="s">
        <v>2247</v>
      </c>
      <c r="C191" s="33" t="s">
        <v>2238</v>
      </c>
    </row>
    <row r="192" spans="1:3" x14ac:dyDescent="0.2">
      <c r="B192" s="22" t="s">
        <v>2248</v>
      </c>
      <c r="C192" s="33" t="s">
        <v>2328</v>
      </c>
    </row>
    <row r="193" spans="2:3" x14ac:dyDescent="0.2">
      <c r="B193" s="22" t="s">
        <v>2249</v>
      </c>
    </row>
    <row r="194" spans="2:3" x14ac:dyDescent="0.2">
      <c r="B194" s="22" t="s">
        <v>2250</v>
      </c>
      <c r="C194" s="33" t="s">
        <v>2327</v>
      </c>
    </row>
    <row r="195" spans="2:3" x14ac:dyDescent="0.2">
      <c r="B195" s="22" t="s">
        <v>2251</v>
      </c>
    </row>
    <row r="196" spans="2:3" x14ac:dyDescent="0.2">
      <c r="B196" s="22" t="s">
        <v>2252</v>
      </c>
    </row>
    <row r="197" spans="2:3" x14ac:dyDescent="0.2">
      <c r="B197" s="22" t="s">
        <v>2253</v>
      </c>
      <c r="C197" s="33" t="s">
        <v>2239</v>
      </c>
    </row>
    <row r="198" spans="2:3" x14ac:dyDescent="0.2">
      <c r="B198" s="22" t="s">
        <v>2254</v>
      </c>
      <c r="C198" s="33" t="s">
        <v>2240</v>
      </c>
    </row>
    <row r="199" spans="2:3" x14ac:dyDescent="0.2">
      <c r="B199" s="22" t="s">
        <v>2255</v>
      </c>
    </row>
    <row r="200" spans="2:3" x14ac:dyDescent="0.2">
      <c r="B200" s="22" t="s">
        <v>2256</v>
      </c>
    </row>
    <row r="201" spans="2:3" x14ac:dyDescent="0.2">
      <c r="B201" s="22" t="s">
        <v>2257</v>
      </c>
    </row>
    <row r="202" spans="2:3" x14ac:dyDescent="0.2">
      <c r="B202" s="22" t="s">
        <v>2258</v>
      </c>
    </row>
    <row r="204" spans="2:3" x14ac:dyDescent="0.2">
      <c r="B204" s="22" t="s">
        <v>2259</v>
      </c>
    </row>
    <row r="205" spans="2:3" x14ac:dyDescent="0.2">
      <c r="B205" s="22" t="s">
        <v>2260</v>
      </c>
    </row>
    <row r="206" spans="2:3" x14ac:dyDescent="0.2">
      <c r="B206" s="22" t="s">
        <v>2261</v>
      </c>
    </row>
    <row r="207" spans="2:3" x14ac:dyDescent="0.2">
      <c r="B207" s="22" t="s">
        <v>2262</v>
      </c>
    </row>
    <row r="208" spans="2:3" x14ac:dyDescent="0.2">
      <c r="B208" s="22" t="s">
        <v>2263</v>
      </c>
    </row>
    <row r="209" spans="2:3" x14ac:dyDescent="0.2">
      <c r="B209" s="22" t="s">
        <v>2264</v>
      </c>
    </row>
    <row r="210" spans="2:3" x14ac:dyDescent="0.2">
      <c r="B210" s="22" t="s">
        <v>2265</v>
      </c>
      <c r="C210" s="33" t="s">
        <v>2241</v>
      </c>
    </row>
    <row r="211" spans="2:3" x14ac:dyDescent="0.2">
      <c r="B211" s="22" t="s">
        <v>2266</v>
      </c>
    </row>
    <row r="212" spans="2:3" x14ac:dyDescent="0.2">
      <c r="B212" s="22" t="s">
        <v>2267</v>
      </c>
      <c r="C212" s="33" t="s">
        <v>2242</v>
      </c>
    </row>
    <row r="213" spans="2:3" x14ac:dyDescent="0.2">
      <c r="B213" s="22" t="s">
        <v>2268</v>
      </c>
      <c r="C213" s="33" t="s">
        <v>2243</v>
      </c>
    </row>
    <row r="214" spans="2:3" x14ac:dyDescent="0.2">
      <c r="B214" s="22" t="s">
        <v>2269</v>
      </c>
      <c r="C214" s="33" t="s">
        <v>2244</v>
      </c>
    </row>
    <row r="215" spans="2:3" x14ac:dyDescent="0.2">
      <c r="B215" s="22" t="s">
        <v>2270</v>
      </c>
    </row>
    <row r="216" spans="2:3" x14ac:dyDescent="0.2">
      <c r="B216" s="22" t="s">
        <v>2271</v>
      </c>
    </row>
    <row r="217" spans="2:3" x14ac:dyDescent="0.2">
      <c r="B217" s="22" t="s">
        <v>2272</v>
      </c>
    </row>
    <row r="218" spans="2:3" x14ac:dyDescent="0.2">
      <c r="B218" s="22" t="s">
        <v>2273</v>
      </c>
    </row>
    <row r="219" spans="2:3" x14ac:dyDescent="0.2">
      <c r="B219" s="22" t="s">
        <v>2274</v>
      </c>
      <c r="C219" s="33" t="s">
        <v>2326</v>
      </c>
    </row>
    <row r="220" spans="2:3" x14ac:dyDescent="0.2">
      <c r="B220" s="22" t="s">
        <v>2275</v>
      </c>
    </row>
    <row r="221" spans="2:3" x14ac:dyDescent="0.2">
      <c r="B221" s="22" t="s">
        <v>2276</v>
      </c>
    </row>
    <row r="222" spans="2:3" x14ac:dyDescent="0.2">
      <c r="B222" s="22" t="s">
        <v>2277</v>
      </c>
      <c r="C222" s="33" t="s">
        <v>2325</v>
      </c>
    </row>
    <row r="223" spans="2:3" x14ac:dyDescent="0.2">
      <c r="B223" s="22" t="s">
        <v>2278</v>
      </c>
    </row>
    <row r="224" spans="2:3" x14ac:dyDescent="0.2">
      <c r="B224" s="22" t="s">
        <v>2279</v>
      </c>
      <c r="C224" s="33" t="s">
        <v>2324</v>
      </c>
    </row>
    <row r="225" spans="2:3" x14ac:dyDescent="0.2">
      <c r="B225" s="22" t="s">
        <v>2280</v>
      </c>
    </row>
    <row r="226" spans="2:3" x14ac:dyDescent="0.2">
      <c r="B226" s="22" t="s">
        <v>2281</v>
      </c>
    </row>
    <row r="227" spans="2:3" x14ac:dyDescent="0.2">
      <c r="B227" s="22" t="s">
        <v>2282</v>
      </c>
      <c r="C227" s="33" t="s">
        <v>2323</v>
      </c>
    </row>
    <row r="228" spans="2:3" x14ac:dyDescent="0.2">
      <c r="B228" s="22" t="s">
        <v>2283</v>
      </c>
      <c r="C228" s="33" t="s">
        <v>2322</v>
      </c>
    </row>
    <row r="229" spans="2:3" x14ac:dyDescent="0.2">
      <c r="B229" s="22" t="s">
        <v>2284</v>
      </c>
    </row>
    <row r="230" spans="2:3" x14ac:dyDescent="0.2">
      <c r="B230" s="22" t="s">
        <v>2285</v>
      </c>
    </row>
    <row r="231" spans="2:3" x14ac:dyDescent="0.2">
      <c r="B231" s="22" t="s">
        <v>2286</v>
      </c>
    </row>
    <row r="232" spans="2:3" x14ac:dyDescent="0.2">
      <c r="B232" s="22" t="s">
        <v>2287</v>
      </c>
    </row>
    <row r="233" spans="2:3" x14ac:dyDescent="0.2">
      <c r="B233" s="22" t="s">
        <v>2288</v>
      </c>
    </row>
    <row r="234" spans="2:3" x14ac:dyDescent="0.2">
      <c r="B234" s="22" t="s">
        <v>2289</v>
      </c>
    </row>
    <row r="235" spans="2:3" x14ac:dyDescent="0.2">
      <c r="B235" s="22" t="s">
        <v>2290</v>
      </c>
      <c r="C235" s="33" t="s">
        <v>2321</v>
      </c>
    </row>
    <row r="236" spans="2:3" x14ac:dyDescent="0.2">
      <c r="B236" s="22" t="s">
        <v>2291</v>
      </c>
    </row>
    <row r="237" spans="2:3" x14ac:dyDescent="0.2">
      <c r="B237" s="22" t="s">
        <v>2292</v>
      </c>
    </row>
    <row r="238" spans="2:3" x14ac:dyDescent="0.2">
      <c r="B238" s="22" t="s">
        <v>2293</v>
      </c>
      <c r="C238" s="33" t="s">
        <v>2320</v>
      </c>
    </row>
    <row r="239" spans="2:3" x14ac:dyDescent="0.2">
      <c r="B239" s="22" t="s">
        <v>2294</v>
      </c>
    </row>
    <row r="240" spans="2:3" x14ac:dyDescent="0.2">
      <c r="B240" s="22" t="s">
        <v>2295</v>
      </c>
    </row>
    <row r="241" spans="2:3" x14ac:dyDescent="0.2">
      <c r="B241" s="22" t="s">
        <v>2296</v>
      </c>
    </row>
    <row r="242" spans="2:3" x14ac:dyDescent="0.2">
      <c r="B242" s="22" t="s">
        <v>2297</v>
      </c>
    </row>
    <row r="243" spans="2:3" x14ac:dyDescent="0.2">
      <c r="B243" s="22" t="s">
        <v>2298</v>
      </c>
    </row>
    <row r="244" spans="2:3" x14ac:dyDescent="0.2">
      <c r="B244" s="22" t="s">
        <v>2299</v>
      </c>
    </row>
    <row r="245" spans="2:3" x14ac:dyDescent="0.2">
      <c r="B245" s="22" t="s">
        <v>2300</v>
      </c>
      <c r="C245" s="33" t="s">
        <v>2319</v>
      </c>
    </row>
    <row r="246" spans="2:3" x14ac:dyDescent="0.2">
      <c r="B246" s="22" t="s">
        <v>2301</v>
      </c>
    </row>
    <row r="247" spans="2:3" x14ac:dyDescent="0.2">
      <c r="B247" s="22" t="s">
        <v>2302</v>
      </c>
      <c r="C247" s="33" t="s">
        <v>2318</v>
      </c>
    </row>
    <row r="248" spans="2:3" x14ac:dyDescent="0.2">
      <c r="B248" s="22" t="s">
        <v>2303</v>
      </c>
      <c r="C248" s="33" t="s">
        <v>2317</v>
      </c>
    </row>
    <row r="249" spans="2:3" x14ac:dyDescent="0.2">
      <c r="B249" s="22" t="s">
        <v>2304</v>
      </c>
    </row>
    <row r="250" spans="2:3" x14ac:dyDescent="0.2">
      <c r="B250" s="22" t="s">
        <v>2305</v>
      </c>
    </row>
    <row r="251" spans="2:3" x14ac:dyDescent="0.2">
      <c r="B251" s="22" t="s">
        <v>2306</v>
      </c>
    </row>
    <row r="252" spans="2:3" x14ac:dyDescent="0.2">
      <c r="B252" s="22" t="s">
        <v>2307</v>
      </c>
    </row>
    <row r="253" spans="2:3" x14ac:dyDescent="0.2">
      <c r="B253" s="22" t="s">
        <v>2308</v>
      </c>
    </row>
    <row r="254" spans="2:3" x14ac:dyDescent="0.2">
      <c r="B254" s="22" t="s">
        <v>2309</v>
      </c>
    </row>
    <row r="255" spans="2:3" x14ac:dyDescent="0.2">
      <c r="B255" s="22" t="s">
        <v>2310</v>
      </c>
    </row>
    <row r="256" spans="2:3" x14ac:dyDescent="0.2">
      <c r="B256" s="22" t="s">
        <v>2311</v>
      </c>
    </row>
    <row r="257" spans="2:3" x14ac:dyDescent="0.2">
      <c r="B257" s="22" t="s">
        <v>2312</v>
      </c>
    </row>
    <row r="258" spans="2:3" x14ac:dyDescent="0.2">
      <c r="B258" s="22" t="s">
        <v>2313</v>
      </c>
      <c r="C258" s="33" t="s">
        <v>2316</v>
      </c>
    </row>
    <row r="259" spans="2:3" x14ac:dyDescent="0.2">
      <c r="B259" s="22" t="s">
        <v>2314</v>
      </c>
    </row>
    <row r="260" spans="2:3" x14ac:dyDescent="0.2">
      <c r="B260" s="22" t="s">
        <v>2315</v>
      </c>
      <c r="C260" s="33" t="s">
        <v>2236</v>
      </c>
    </row>
  </sheetData>
  <autoFilter ref="A1:C170"/>
  <phoneticPr fontId="3" type="noConversion"/>
  <conditionalFormatting sqref="A1:A1048576">
    <cfRule type="duplicateValues" dxfId="4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M16"/>
  <sheetViews>
    <sheetView workbookViewId="0">
      <selection activeCell="C11" sqref="C11"/>
    </sheetView>
  </sheetViews>
  <sheetFormatPr defaultRowHeight="16.5" x14ac:dyDescent="0.25"/>
  <cols>
    <col min="1" max="3" width="9" style="44"/>
    <col min="4" max="4" width="11.625" style="44" customWidth="1"/>
    <col min="5" max="5" width="10.875" style="44" customWidth="1"/>
    <col min="6" max="12" width="9" style="44"/>
  </cols>
  <sheetData>
    <row r="1" spans="1:13" ht="19.5" x14ac:dyDescent="0.25">
      <c r="A1" s="44" t="s">
        <v>335</v>
      </c>
      <c r="B1" s="44" t="s">
        <v>331</v>
      </c>
      <c r="E1" s="44" t="s">
        <v>1356</v>
      </c>
      <c r="G1" s="46" t="s">
        <v>330</v>
      </c>
    </row>
    <row r="2" spans="1:13" x14ac:dyDescent="0.25">
      <c r="A2" s="44" t="s">
        <v>336</v>
      </c>
      <c r="B2" s="44" t="s">
        <v>329</v>
      </c>
      <c r="E2" s="44" t="s">
        <v>1357</v>
      </c>
    </row>
    <row r="3" spans="1:13" ht="18" x14ac:dyDescent="0.25">
      <c r="A3" s="44" t="s">
        <v>1343</v>
      </c>
      <c r="B3" s="44" t="s">
        <v>328</v>
      </c>
      <c r="E3" s="44" t="s">
        <v>1358</v>
      </c>
      <c r="G3" s="45" t="s">
        <v>327</v>
      </c>
    </row>
    <row r="4" spans="1:13" ht="18" x14ac:dyDescent="0.25">
      <c r="B4" s="44" t="s">
        <v>326</v>
      </c>
      <c r="E4" s="44" t="s">
        <v>1359</v>
      </c>
      <c r="G4" s="45" t="s">
        <v>325</v>
      </c>
    </row>
    <row r="5" spans="1:13" ht="18" x14ac:dyDescent="0.25">
      <c r="B5" s="44" t="s">
        <v>324</v>
      </c>
      <c r="G5" s="45" t="s">
        <v>323</v>
      </c>
    </row>
    <row r="6" spans="1:13" x14ac:dyDescent="0.25">
      <c r="B6" s="44" t="s">
        <v>322</v>
      </c>
    </row>
    <row r="7" spans="1:13" x14ac:dyDescent="0.25">
      <c r="B7" s="44" t="s">
        <v>334</v>
      </c>
    </row>
    <row r="8" spans="1:13" ht="19.5" x14ac:dyDescent="0.25">
      <c r="G8" s="46" t="s">
        <v>321</v>
      </c>
    </row>
    <row r="10" spans="1:13" ht="18" x14ac:dyDescent="0.25">
      <c r="G10" s="45" t="s">
        <v>320</v>
      </c>
    </row>
    <row r="11" spans="1:13" ht="18" x14ac:dyDescent="0.25">
      <c r="G11" s="45" t="s">
        <v>306</v>
      </c>
    </row>
    <row r="13" spans="1:13" x14ac:dyDescent="0.25">
      <c r="G13" s="44" t="s">
        <v>319</v>
      </c>
    </row>
    <row r="14" spans="1:13" x14ac:dyDescent="0.25">
      <c r="G14" s="44" t="s">
        <v>317</v>
      </c>
      <c r="H14" s="44" t="s">
        <v>318</v>
      </c>
      <c r="M14" s="44"/>
    </row>
    <row r="15" spans="1:13" x14ac:dyDescent="0.25">
      <c r="G15" s="44" t="s">
        <v>317</v>
      </c>
      <c r="H15" s="44" t="s">
        <v>313</v>
      </c>
      <c r="M15" s="44"/>
    </row>
    <row r="16" spans="1:13" x14ac:dyDescent="0.25">
      <c r="G16" s="44" t="s">
        <v>316</v>
      </c>
    </row>
  </sheetData>
  <phoneticPr fontId="3" type="noConversion"/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048573"/>
  <sheetViews>
    <sheetView tabSelected="1" workbookViewId="0">
      <pane ySplit="2" topLeftCell="A18" activePane="bottomLeft" state="frozen"/>
      <selection pane="bottomLeft" activeCell="I43" sqref="I43"/>
    </sheetView>
  </sheetViews>
  <sheetFormatPr defaultColWidth="9" defaultRowHeight="15" x14ac:dyDescent="0.25"/>
  <cols>
    <col min="1" max="2" width="9.625" style="64" customWidth="1"/>
    <col min="3" max="3" width="11.625" style="70" customWidth="1"/>
    <col min="4" max="4" width="8.625" style="71" customWidth="1"/>
    <col min="5" max="5" width="15.625" style="70" bestFit="1" customWidth="1"/>
    <col min="6" max="6" width="11.625" style="69" customWidth="1"/>
    <col min="7" max="7" width="15.5" style="70" customWidth="1"/>
    <col min="8" max="9" width="13.5" style="70" customWidth="1"/>
    <col min="10" max="11" width="13.5" style="72" customWidth="1"/>
    <col min="12" max="12" width="12" style="73" customWidth="1"/>
    <col min="13" max="13" width="11.375" style="82" customWidth="1"/>
    <col min="14" max="14" width="9.625" style="82" customWidth="1"/>
    <col min="15" max="15" width="9.625" style="71" customWidth="1"/>
    <col min="16" max="16" width="11.125" style="71" customWidth="1"/>
    <col min="17" max="17" width="18.75" style="71" customWidth="1"/>
    <col min="18" max="18" width="9.625" style="79" customWidth="1"/>
    <col min="19" max="21" width="9.75" style="79" customWidth="1"/>
    <col min="22" max="22" width="12.5" style="63" customWidth="1"/>
    <col min="23" max="27" width="9.75" style="79" customWidth="1"/>
    <col min="28" max="28" width="16.625" style="79" customWidth="1"/>
    <col min="29" max="29" width="11.25" style="79" customWidth="1"/>
    <col min="30" max="30" width="9.75" style="79" customWidth="1"/>
    <col min="31" max="31" width="13.375" style="79" customWidth="1"/>
    <col min="32" max="32" width="13.5" style="79" customWidth="1"/>
    <col min="33" max="33" width="14.5" style="79" customWidth="1"/>
    <col min="34" max="36" width="9.75" style="79" customWidth="1"/>
    <col min="37" max="37" width="12.75" style="79" customWidth="1"/>
    <col min="38" max="38" width="12.375" style="79" customWidth="1"/>
    <col min="39" max="42" width="9.75" style="79" customWidth="1"/>
    <col min="43" max="44" width="9.625" style="64" customWidth="1"/>
    <col min="45" max="45" width="11.625" style="70" customWidth="1"/>
    <col min="46" max="46" width="8.625" style="71" customWidth="1"/>
    <col min="47" max="47" width="15.625" style="70" bestFit="1" customWidth="1"/>
    <col min="48" max="48" width="11.625" style="70" customWidth="1"/>
    <col min="49" max="49" width="15.125" style="76" customWidth="1"/>
    <col min="50" max="51" width="13.5" style="70" customWidth="1"/>
    <col min="52" max="53" width="13.5" style="72" customWidth="1"/>
    <col min="54" max="54" width="12.25" style="73" customWidth="1"/>
    <col min="55" max="55" width="12.5" style="82" customWidth="1"/>
    <col min="56" max="56" width="9.625" style="82" customWidth="1"/>
    <col min="57" max="58" width="9.625" style="71" customWidth="1"/>
    <col min="59" max="59" width="10" style="79" customWidth="1"/>
    <col min="60" max="60" width="10.125" style="79" customWidth="1"/>
    <col min="61" max="61" width="10.75" style="79" customWidth="1"/>
    <col min="62" max="62" width="9.625" style="64" customWidth="1"/>
    <col min="63" max="63" width="11.625" style="70" customWidth="1"/>
    <col min="64" max="64" width="8.625" style="71" customWidth="1"/>
    <col min="65" max="65" width="15.625" style="70" customWidth="1"/>
    <col min="66" max="66" width="11.625" style="70" customWidth="1"/>
    <col min="67" max="67" width="14" style="79" customWidth="1"/>
    <col min="68" max="68" width="9.625" style="73" customWidth="1"/>
    <col min="69" max="70" width="9.625" style="82" customWidth="1"/>
    <col min="71" max="71" width="9.625" style="71" customWidth="1"/>
    <col min="72" max="16384" width="9" style="79"/>
  </cols>
  <sheetData>
    <row r="1" spans="1:75" s="63" customFormat="1" ht="33.75" x14ac:dyDescent="0.25">
      <c r="A1" s="57" t="s">
        <v>340</v>
      </c>
      <c r="B1" s="57"/>
      <c r="C1" s="58" t="s">
        <v>341</v>
      </c>
      <c r="D1" s="58"/>
      <c r="E1" s="59"/>
      <c r="F1" s="60"/>
      <c r="G1" s="59"/>
      <c r="H1" s="59"/>
      <c r="I1" s="59"/>
      <c r="J1" s="61"/>
      <c r="K1" s="61"/>
      <c r="L1" s="80">
        <f>SUM(L3:L264)</f>
        <v>863305</v>
      </c>
      <c r="M1" s="80">
        <f>SUM(M3:M264)</f>
        <v>822195.23809523799</v>
      </c>
      <c r="N1" s="80">
        <f>SUM(N3:N264)</f>
        <v>41108.333333333328</v>
      </c>
      <c r="O1" s="62"/>
      <c r="P1" s="62"/>
      <c r="Q1" s="62"/>
      <c r="V1" s="57" t="s">
        <v>340</v>
      </c>
      <c r="AG1" s="81">
        <f>SUM(AG3:AG253)</f>
        <v>0</v>
      </c>
      <c r="AH1" s="81">
        <f>SUM(AH3:AH253)</f>
        <v>0</v>
      </c>
      <c r="AI1" s="81">
        <f>SUM(AI3:AI253)</f>
        <v>0</v>
      </c>
      <c r="AQ1" s="57" t="s">
        <v>342</v>
      </c>
      <c r="AR1" s="57"/>
      <c r="AS1" s="58" t="s">
        <v>343</v>
      </c>
      <c r="AT1" s="58"/>
      <c r="AU1" s="59"/>
      <c r="AV1" s="59"/>
      <c r="AW1" s="59"/>
      <c r="AX1" s="59"/>
      <c r="AY1" s="59"/>
      <c r="AZ1" s="61"/>
      <c r="BA1" s="61"/>
      <c r="BB1" s="80">
        <f>SUM(BB3:BB251)</f>
        <v>0</v>
      </c>
      <c r="BC1" s="80">
        <f>SUM(BC3:BC251)</f>
        <v>0</v>
      </c>
      <c r="BD1" s="80">
        <f>SUM(BD3:BD101)</f>
        <v>0</v>
      </c>
      <c r="BE1" s="62"/>
      <c r="BF1" s="62"/>
      <c r="BJ1" s="57" t="s">
        <v>342</v>
      </c>
      <c r="BK1" s="58" t="s">
        <v>344</v>
      </c>
      <c r="BL1" s="58"/>
      <c r="BM1" s="59"/>
      <c r="BN1" s="59"/>
      <c r="BP1" s="80">
        <f>SUM(BP3:BP251)</f>
        <v>0</v>
      </c>
      <c r="BQ1" s="81">
        <f>SUM(BQ3:BQ251)</f>
        <v>0</v>
      </c>
      <c r="BR1" s="81">
        <f>SUM(BR3:BR251)</f>
        <v>0</v>
      </c>
      <c r="BS1" s="62"/>
    </row>
    <row r="2" spans="1:75" s="62" customFormat="1" x14ac:dyDescent="0.25">
      <c r="A2" s="64" t="s">
        <v>345</v>
      </c>
      <c r="B2" s="62" t="s">
        <v>346</v>
      </c>
      <c r="C2" s="62" t="s">
        <v>347</v>
      </c>
      <c r="D2" s="62" t="s">
        <v>348</v>
      </c>
      <c r="E2" s="62" t="s">
        <v>349</v>
      </c>
      <c r="F2" s="65" t="s">
        <v>350</v>
      </c>
      <c r="G2" s="62" t="s">
        <v>1305</v>
      </c>
      <c r="H2" s="62" t="s">
        <v>351</v>
      </c>
      <c r="I2" s="62" t="s">
        <v>352</v>
      </c>
      <c r="J2" s="66" t="s">
        <v>353</v>
      </c>
      <c r="K2" s="66" t="s">
        <v>354</v>
      </c>
      <c r="L2" s="67" t="s">
        <v>3</v>
      </c>
      <c r="M2" s="68" t="s">
        <v>355</v>
      </c>
      <c r="N2" s="68" t="s">
        <v>356</v>
      </c>
      <c r="O2" s="62" t="s">
        <v>4</v>
      </c>
      <c r="P2" s="62" t="s">
        <v>1354</v>
      </c>
      <c r="Q2" s="62" t="s">
        <v>1355</v>
      </c>
      <c r="R2" s="62" t="s">
        <v>357</v>
      </c>
      <c r="S2" s="59" t="s">
        <v>1323</v>
      </c>
      <c r="T2" s="59" t="s">
        <v>1325</v>
      </c>
      <c r="U2" s="59" t="s">
        <v>1324</v>
      </c>
      <c r="V2" s="64" t="s">
        <v>345</v>
      </c>
      <c r="W2" s="62" t="s">
        <v>346</v>
      </c>
      <c r="X2" s="62" t="s">
        <v>347</v>
      </c>
      <c r="Y2" s="62" t="s">
        <v>348</v>
      </c>
      <c r="Z2" s="62" t="s">
        <v>349</v>
      </c>
      <c r="AA2" s="65" t="s">
        <v>350</v>
      </c>
      <c r="AB2" s="62" t="s">
        <v>0</v>
      </c>
      <c r="AC2" s="62" t="s">
        <v>351</v>
      </c>
      <c r="AD2" s="62" t="s">
        <v>352</v>
      </c>
      <c r="AE2" s="66" t="s">
        <v>353</v>
      </c>
      <c r="AF2" s="66" t="s">
        <v>354</v>
      </c>
      <c r="AG2" s="67" t="s">
        <v>3</v>
      </c>
      <c r="AH2" s="68" t="s">
        <v>355</v>
      </c>
      <c r="AI2" s="68" t="s">
        <v>356</v>
      </c>
      <c r="AJ2" s="62" t="s">
        <v>4</v>
      </c>
      <c r="AK2" s="62" t="s">
        <v>1365</v>
      </c>
      <c r="AL2" s="62" t="s">
        <v>1366</v>
      </c>
      <c r="AM2" s="62" t="s">
        <v>357</v>
      </c>
      <c r="AN2" s="59" t="s">
        <v>1323</v>
      </c>
      <c r="AO2" s="59" t="s">
        <v>1325</v>
      </c>
      <c r="AP2" s="59" t="s">
        <v>1324</v>
      </c>
      <c r="AQ2" s="64" t="s">
        <v>358</v>
      </c>
      <c r="AR2" s="62" t="s">
        <v>359</v>
      </c>
      <c r="AS2" s="62" t="s">
        <v>347</v>
      </c>
      <c r="AT2" s="62" t="s">
        <v>360</v>
      </c>
      <c r="AU2" s="62" t="s">
        <v>361</v>
      </c>
      <c r="AV2" s="62" t="s">
        <v>350</v>
      </c>
      <c r="AW2" s="62" t="s">
        <v>0</v>
      </c>
      <c r="AX2" s="62" t="s">
        <v>351</v>
      </c>
      <c r="AY2" s="62" t="s">
        <v>352</v>
      </c>
      <c r="AZ2" s="66" t="s">
        <v>353</v>
      </c>
      <c r="BA2" s="66" t="s">
        <v>354</v>
      </c>
      <c r="BB2" s="67" t="s">
        <v>3</v>
      </c>
      <c r="BC2" s="68" t="s">
        <v>355</v>
      </c>
      <c r="BD2" s="68" t="s">
        <v>356</v>
      </c>
      <c r="BE2" s="62" t="s">
        <v>4</v>
      </c>
      <c r="BF2" s="62" t="s">
        <v>357</v>
      </c>
      <c r="BG2" s="116" t="s">
        <v>1318</v>
      </c>
      <c r="BH2" s="116" t="s">
        <v>1319</v>
      </c>
      <c r="BI2" s="116" t="s">
        <v>1320</v>
      </c>
      <c r="BJ2" s="64" t="s">
        <v>358</v>
      </c>
      <c r="BK2" s="62" t="s">
        <v>347</v>
      </c>
      <c r="BL2" s="62" t="s">
        <v>360</v>
      </c>
      <c r="BM2" s="62" t="s">
        <v>361</v>
      </c>
      <c r="BN2" s="62" t="s">
        <v>350</v>
      </c>
      <c r="BO2" s="62" t="s">
        <v>0</v>
      </c>
      <c r="BP2" s="67" t="s">
        <v>3</v>
      </c>
      <c r="BQ2" s="68" t="s">
        <v>355</v>
      </c>
      <c r="BR2" s="68" t="s">
        <v>356</v>
      </c>
      <c r="BS2" s="62" t="s">
        <v>4</v>
      </c>
      <c r="BT2" s="62" t="s">
        <v>357</v>
      </c>
      <c r="BU2" s="59" t="s">
        <v>1321</v>
      </c>
      <c r="BV2" s="59" t="s">
        <v>1322</v>
      </c>
      <c r="BW2" s="59" t="s">
        <v>1320</v>
      </c>
    </row>
    <row r="3" spans="1:75" ht="16.5" x14ac:dyDescent="0.25">
      <c r="A3" s="64">
        <v>1</v>
      </c>
      <c r="B3" s="69" t="s">
        <v>2022</v>
      </c>
      <c r="C3" s="70">
        <v>1150504</v>
      </c>
      <c r="D3" s="71" t="s">
        <v>2023</v>
      </c>
      <c r="E3" s="70" t="str">
        <f>VLOOKUP($D3,客戶編輯設定自動代出!$A:$C,3,0)</f>
        <v>國順龍華</v>
      </c>
      <c r="F3" s="70">
        <f>VLOOKUP($D3,客戶編輯設定自動代出!$A:$C,2,0)</f>
        <v>90783671</v>
      </c>
      <c r="G3" s="70" t="s">
        <v>1367</v>
      </c>
      <c r="H3" s="70" t="s">
        <v>2027</v>
      </c>
      <c r="I3" s="70">
        <v>4</v>
      </c>
      <c r="J3" s="72">
        <v>10000</v>
      </c>
      <c r="K3" s="72">
        <f t="shared" ref="K3:K78" si="0">I3*J3</f>
        <v>40000</v>
      </c>
      <c r="L3" s="73">
        <v>40200</v>
      </c>
      <c r="M3" s="74">
        <f t="shared" ref="M3:M78" si="1">L3/1.05</f>
        <v>38285.714285714283</v>
      </c>
      <c r="N3" s="74">
        <v>1914</v>
      </c>
      <c r="O3" s="71" t="str">
        <f t="shared" ref="O3:O78" si="2">IF($K3=$L3,"Y","N")</f>
        <v>N</v>
      </c>
      <c r="P3" s="71" t="s">
        <v>2018</v>
      </c>
      <c r="Q3" s="119"/>
      <c r="R3" s="75" t="s">
        <v>2021</v>
      </c>
      <c r="S3" s="75"/>
      <c r="T3" s="75"/>
      <c r="U3" s="75"/>
      <c r="V3" s="64">
        <v>1</v>
      </c>
      <c r="W3" s="69"/>
      <c r="X3" s="70"/>
      <c r="Y3" s="71"/>
      <c r="Z3" s="70" t="e">
        <f>VLOOKUP($Y3,客戶編輯設定自動代出!$A:$C,3,0)</f>
        <v>#N/A</v>
      </c>
      <c r="AA3" s="70" t="e">
        <f>VLOOKUP($Y3,客戶編輯設定自動代出!$A:$C,2,0)</f>
        <v>#N/A</v>
      </c>
      <c r="AB3" s="70" t="s">
        <v>1617</v>
      </c>
      <c r="AC3" s="70"/>
      <c r="AD3" s="70"/>
      <c r="AE3" s="72"/>
      <c r="AF3" s="72">
        <f t="shared" ref="AF3:AF51" si="3">AD3*AE3</f>
        <v>0</v>
      </c>
      <c r="AG3" s="73"/>
      <c r="AH3" s="74">
        <f t="shared" ref="AH3:AH51" si="4">AG3/1.05</f>
        <v>0</v>
      </c>
      <c r="AI3" s="74">
        <f t="shared" ref="AI3:AI51" si="5">AH3*0.05</f>
        <v>0</v>
      </c>
      <c r="AJ3" s="71" t="str">
        <f t="shared" ref="AJ3:AJ69" si="6">IF($AF3=$AG3,"Y","N")</f>
        <v>Y</v>
      </c>
      <c r="AK3" s="71"/>
      <c r="AL3" s="71"/>
      <c r="AM3" s="75"/>
      <c r="AN3" s="75"/>
      <c r="AO3" s="75"/>
      <c r="AP3" s="75"/>
      <c r="AQ3" s="64">
        <v>1</v>
      </c>
      <c r="AR3" s="70"/>
      <c r="AU3" s="70" t="e">
        <f>VLOOKUP($AT3,客戶編輯設定自動代出!$A:$C,3,0)</f>
        <v>#N/A</v>
      </c>
      <c r="AV3" s="70" t="e">
        <f>VLOOKUP($AT3,客戶編輯設定自動代出!$A:$C,2,0)</f>
        <v>#N/A</v>
      </c>
      <c r="AW3" s="76" t="s">
        <v>1915</v>
      </c>
      <c r="BA3" s="72">
        <f t="shared" ref="BA3:BA4" si="7">AY3*AZ3</f>
        <v>0</v>
      </c>
      <c r="BB3" s="77"/>
      <c r="BC3" s="74">
        <f t="shared" ref="BC3:BC4" si="8">BB3/1.05</f>
        <v>0</v>
      </c>
      <c r="BD3" s="74">
        <f t="shared" ref="BD3:BD4" si="9">BC3*0.05</f>
        <v>0</v>
      </c>
      <c r="BE3" s="71" t="str">
        <f t="shared" ref="BE3:BE67" si="10">IF($BB3=$BA3,"Y","N")</f>
        <v>Y</v>
      </c>
      <c r="BJ3" s="64">
        <v>1</v>
      </c>
      <c r="BM3" s="70" t="e">
        <f>VLOOKUP(BL3,[1]客戶編輯設定自動代出!L:N,3,0)</f>
        <v>#N/A</v>
      </c>
      <c r="BN3" s="70" t="e">
        <f>VLOOKUP(BL3,[1]客戶編輯設定自動代出!L:N,2,0)</f>
        <v>#N/A</v>
      </c>
      <c r="BO3" s="78" t="s">
        <v>1965</v>
      </c>
      <c r="BQ3" s="74">
        <f t="shared" ref="BQ3:BQ51" si="11">BP3/1.05</f>
        <v>0</v>
      </c>
      <c r="BR3" s="74">
        <f t="shared" ref="BR3:BR51" si="12">BQ3*0.05</f>
        <v>0</v>
      </c>
      <c r="BT3" s="75"/>
    </row>
    <row r="4" spans="1:75" ht="16.5" x14ac:dyDescent="0.25">
      <c r="A4" s="64">
        <v>2</v>
      </c>
      <c r="B4" s="69" t="s">
        <v>2022</v>
      </c>
      <c r="C4" s="70">
        <v>1150504</v>
      </c>
      <c r="D4" s="71" t="s">
        <v>2023</v>
      </c>
      <c r="E4" s="70" t="str">
        <f>VLOOKUP($D4,客戶編輯設定自動代出!$A:$C,3,0)</f>
        <v>國順龍華</v>
      </c>
      <c r="F4" s="70">
        <f>VLOOKUP($D4,客戶編輯設定自動代出!$A:$C,2,0)</f>
        <v>90783671</v>
      </c>
      <c r="G4" s="70" t="s">
        <v>1367</v>
      </c>
      <c r="H4" s="70" t="s">
        <v>2028</v>
      </c>
      <c r="I4" s="70">
        <v>1</v>
      </c>
      <c r="J4" s="72">
        <v>200</v>
      </c>
      <c r="M4" s="74"/>
      <c r="N4" s="74"/>
      <c r="P4" s="71" t="s">
        <v>2018</v>
      </c>
      <c r="Q4" s="119"/>
      <c r="R4" s="75" t="s">
        <v>2021</v>
      </c>
      <c r="S4" s="75"/>
      <c r="T4" s="75"/>
      <c r="U4" s="75"/>
      <c r="V4" s="64">
        <v>2</v>
      </c>
      <c r="W4" s="69"/>
      <c r="X4" s="70"/>
      <c r="Y4" s="71"/>
      <c r="Z4" s="70" t="e">
        <f>VLOOKUP($Y4,客戶編輯設定自動代出!$A:$C,3,0)</f>
        <v>#N/A</v>
      </c>
      <c r="AA4" s="70" t="e">
        <f>VLOOKUP($Y4,客戶編輯設定自動代出!$A:$C,2,0)</f>
        <v>#N/A</v>
      </c>
      <c r="AB4" s="70" t="s">
        <v>1618</v>
      </c>
      <c r="AC4" s="70"/>
      <c r="AD4" s="70"/>
      <c r="AE4" s="72"/>
      <c r="AF4" s="72">
        <f t="shared" si="3"/>
        <v>0</v>
      </c>
      <c r="AG4" s="73"/>
      <c r="AH4" s="74">
        <f t="shared" si="4"/>
        <v>0</v>
      </c>
      <c r="AI4" s="74">
        <f t="shared" si="5"/>
        <v>0</v>
      </c>
      <c r="AJ4" s="71" t="str">
        <f t="shared" si="6"/>
        <v>Y</v>
      </c>
      <c r="AK4" s="71"/>
      <c r="AL4" s="71"/>
      <c r="AM4" s="75"/>
      <c r="AN4" s="75"/>
      <c r="AO4" s="75"/>
      <c r="AP4" s="75"/>
      <c r="AQ4" s="64">
        <v>2</v>
      </c>
      <c r="AR4" s="70"/>
      <c r="AU4" s="70" t="e">
        <f>VLOOKUP($AT4,客戶編輯設定自動代出!$A:$C,3,0)</f>
        <v>#N/A</v>
      </c>
      <c r="AV4" s="70" t="e">
        <f>VLOOKUP($AT4,客戶編輯設定自動代出!$A:$C,2,0)</f>
        <v>#N/A</v>
      </c>
      <c r="AW4" s="76" t="s">
        <v>1916</v>
      </c>
      <c r="BA4" s="72">
        <f t="shared" si="7"/>
        <v>0</v>
      </c>
      <c r="BB4" s="77"/>
      <c r="BC4" s="74">
        <f t="shared" si="8"/>
        <v>0</v>
      </c>
      <c r="BD4" s="74">
        <f t="shared" si="9"/>
        <v>0</v>
      </c>
      <c r="BE4" s="71" t="str">
        <f t="shared" si="10"/>
        <v>Y</v>
      </c>
      <c r="BJ4" s="64">
        <v>2</v>
      </c>
      <c r="BM4" s="70" t="e">
        <f>VLOOKUP(BL4,[1]客戶編輯設定自動代出!L:N,3,0)</f>
        <v>#N/A</v>
      </c>
      <c r="BN4" s="70" t="e">
        <f>VLOOKUP(BL4,[1]客戶編輯設定自動代出!L:N,2,0)</f>
        <v>#N/A</v>
      </c>
      <c r="BO4" s="78" t="s">
        <v>1966</v>
      </c>
      <c r="BQ4" s="74">
        <f t="shared" si="11"/>
        <v>0</v>
      </c>
      <c r="BR4" s="74">
        <f t="shared" si="12"/>
        <v>0</v>
      </c>
      <c r="BT4" s="75"/>
    </row>
    <row r="5" spans="1:75" ht="16.5" x14ac:dyDescent="0.25">
      <c r="A5" s="64">
        <v>3</v>
      </c>
      <c r="B5" s="69" t="s">
        <v>2022</v>
      </c>
      <c r="C5" s="70">
        <v>1150504</v>
      </c>
      <c r="D5" s="71" t="s">
        <v>2023</v>
      </c>
      <c r="E5" s="70" t="str">
        <f>VLOOKUP($D5,客戶編輯設定自動代出!$A:$C,3,0)</f>
        <v>國順龍華</v>
      </c>
      <c r="F5" s="70">
        <f>VLOOKUP($D5,客戶編輯設定自動代出!$A:$C,2,0)</f>
        <v>90783671</v>
      </c>
      <c r="G5" s="70" t="s">
        <v>1368</v>
      </c>
      <c r="H5" s="70" t="s">
        <v>2027</v>
      </c>
      <c r="I5" s="70">
        <v>2</v>
      </c>
      <c r="J5" s="72">
        <v>12100</v>
      </c>
      <c r="K5" s="72">
        <f t="shared" si="0"/>
        <v>24200</v>
      </c>
      <c r="L5" s="73">
        <v>40400</v>
      </c>
      <c r="M5" s="74">
        <f t="shared" si="1"/>
        <v>38476.190476190473</v>
      </c>
      <c r="N5" s="74">
        <v>1924</v>
      </c>
      <c r="O5" s="71" t="str">
        <f t="shared" si="2"/>
        <v>N</v>
      </c>
      <c r="P5" s="71" t="s">
        <v>2018</v>
      </c>
      <c r="Q5" s="119"/>
      <c r="R5" s="75" t="s">
        <v>2021</v>
      </c>
      <c r="S5" s="75"/>
      <c r="T5" s="75"/>
      <c r="U5" s="75"/>
      <c r="V5" s="64">
        <v>3</v>
      </c>
      <c r="W5" s="69"/>
      <c r="X5" s="70"/>
      <c r="Y5" s="71"/>
      <c r="Z5" s="70" t="e">
        <f>VLOOKUP($Y5,客戶編輯設定自動代出!$A:$C,3,0)</f>
        <v>#N/A</v>
      </c>
      <c r="AA5" s="70" t="e">
        <f>VLOOKUP($Y5,客戶編輯設定自動代出!$A:$C,2,0)</f>
        <v>#N/A</v>
      </c>
      <c r="AB5" s="70" t="s">
        <v>1619</v>
      </c>
      <c r="AC5" s="70"/>
      <c r="AD5" s="70"/>
      <c r="AE5" s="72"/>
      <c r="AF5" s="72">
        <f t="shared" si="3"/>
        <v>0</v>
      </c>
      <c r="AG5" s="73"/>
      <c r="AH5" s="74">
        <f t="shared" si="4"/>
        <v>0</v>
      </c>
      <c r="AI5" s="74">
        <f t="shared" si="5"/>
        <v>0</v>
      </c>
      <c r="AJ5" s="71" t="str">
        <f t="shared" si="6"/>
        <v>Y</v>
      </c>
      <c r="AK5" s="71"/>
      <c r="AL5" s="71"/>
      <c r="AM5" s="75"/>
      <c r="AN5" s="75"/>
      <c r="AO5" s="75"/>
      <c r="AP5" s="75"/>
      <c r="AQ5" s="64">
        <v>3</v>
      </c>
      <c r="AR5" s="70"/>
      <c r="AU5" s="70" t="e">
        <f>VLOOKUP($AT5,客戶編輯設定自動代出!$A:$C,3,0)</f>
        <v>#N/A</v>
      </c>
      <c r="AV5" s="70" t="e">
        <f>VLOOKUP($AT5,客戶編輯設定自動代出!$A:$C,2,0)</f>
        <v>#N/A</v>
      </c>
      <c r="AW5" s="76" t="s">
        <v>1917</v>
      </c>
      <c r="BA5" s="72">
        <f t="shared" ref="BA5:BA66" si="13">AY5*AZ5</f>
        <v>0</v>
      </c>
      <c r="BB5" s="77"/>
      <c r="BC5" s="74">
        <f t="shared" ref="BC5:BC66" si="14">BB5/1.05</f>
        <v>0</v>
      </c>
      <c r="BD5" s="74">
        <f t="shared" ref="BD5:BD68" si="15">BC5*0.05</f>
        <v>0</v>
      </c>
      <c r="BE5" s="71" t="str">
        <f t="shared" si="10"/>
        <v>Y</v>
      </c>
      <c r="BJ5" s="64">
        <v>3</v>
      </c>
      <c r="BM5" s="70" t="e">
        <f>VLOOKUP(BL5,[1]客戶編輯設定自動代出!L:N,3,0)</f>
        <v>#N/A</v>
      </c>
      <c r="BN5" s="70" t="e">
        <f>VLOOKUP(BL5,[1]客戶編輯設定自動代出!L:N,2,0)</f>
        <v>#N/A</v>
      </c>
      <c r="BO5" s="78" t="s">
        <v>1967</v>
      </c>
      <c r="BQ5" s="74">
        <f t="shared" si="11"/>
        <v>0</v>
      </c>
      <c r="BR5" s="74">
        <f t="shared" si="12"/>
        <v>0</v>
      </c>
      <c r="BT5" s="75"/>
    </row>
    <row r="6" spans="1:75" ht="16.5" x14ac:dyDescent="0.25">
      <c r="A6" s="64">
        <v>4</v>
      </c>
      <c r="B6" s="69" t="s">
        <v>2022</v>
      </c>
      <c r="C6" s="70">
        <v>1150504</v>
      </c>
      <c r="D6" s="71" t="s">
        <v>2023</v>
      </c>
      <c r="E6" s="70" t="str">
        <f>VLOOKUP($D6,客戶編輯設定自動代出!$A:$C,3,0)</f>
        <v>國順龍華</v>
      </c>
      <c r="F6" s="70">
        <f>VLOOKUP($D6,客戶編輯設定自動代出!$A:$C,2,0)</f>
        <v>90783671</v>
      </c>
      <c r="G6" s="70" t="s">
        <v>1368</v>
      </c>
      <c r="H6" s="70" t="s">
        <v>2027</v>
      </c>
      <c r="I6" s="70">
        <v>2</v>
      </c>
      <c r="J6" s="72">
        <v>8100</v>
      </c>
      <c r="M6" s="74"/>
      <c r="N6" s="74"/>
      <c r="P6" s="71" t="s">
        <v>2018</v>
      </c>
      <c r="Q6" s="119"/>
      <c r="R6" s="75" t="s">
        <v>2021</v>
      </c>
      <c r="S6" s="75"/>
      <c r="T6" s="75"/>
      <c r="U6" s="75"/>
      <c r="V6" s="64">
        <v>4</v>
      </c>
      <c r="W6" s="69"/>
      <c r="X6" s="70"/>
      <c r="Y6" s="71"/>
      <c r="Z6" s="70" t="e">
        <f>VLOOKUP($Y6,客戶編輯設定自動代出!$A:$C,3,0)</f>
        <v>#N/A</v>
      </c>
      <c r="AA6" s="70" t="e">
        <f>VLOOKUP($Y6,客戶編輯設定自動代出!$A:$C,2,0)</f>
        <v>#N/A</v>
      </c>
      <c r="AB6" s="70" t="s">
        <v>1620</v>
      </c>
      <c r="AC6" s="70"/>
      <c r="AD6" s="70"/>
      <c r="AE6" s="72"/>
      <c r="AF6" s="72">
        <f t="shared" si="3"/>
        <v>0</v>
      </c>
      <c r="AG6" s="73"/>
      <c r="AH6" s="74">
        <f t="shared" si="4"/>
        <v>0</v>
      </c>
      <c r="AI6" s="74">
        <f t="shared" si="5"/>
        <v>0</v>
      </c>
      <c r="AJ6" s="71" t="str">
        <f t="shared" si="6"/>
        <v>Y</v>
      </c>
      <c r="AK6" s="71"/>
      <c r="AL6" s="71"/>
      <c r="AM6" s="75"/>
      <c r="AN6" s="75"/>
      <c r="AO6" s="75"/>
      <c r="AP6" s="75"/>
      <c r="AQ6" s="64">
        <v>4</v>
      </c>
      <c r="AR6" s="70"/>
      <c r="AU6" s="70" t="e">
        <f>VLOOKUP($AT6,客戶編輯設定自動代出!$A:$C,3,0)</f>
        <v>#N/A</v>
      </c>
      <c r="AV6" s="70" t="e">
        <f>VLOOKUP($AT6,客戶編輯設定自動代出!$A:$C,2,0)</f>
        <v>#N/A</v>
      </c>
      <c r="AW6" s="76" t="s">
        <v>1918</v>
      </c>
      <c r="BA6" s="72">
        <f t="shared" si="13"/>
        <v>0</v>
      </c>
      <c r="BB6" s="77"/>
      <c r="BC6" s="74">
        <f t="shared" si="14"/>
        <v>0</v>
      </c>
      <c r="BD6" s="74">
        <f t="shared" si="15"/>
        <v>0</v>
      </c>
      <c r="BE6" s="71" t="str">
        <f t="shared" si="10"/>
        <v>Y</v>
      </c>
      <c r="BJ6" s="64">
        <v>4</v>
      </c>
      <c r="BM6" s="70" t="e">
        <f>VLOOKUP(BL6,[1]客戶編輯設定自動代出!L:N,3,0)</f>
        <v>#N/A</v>
      </c>
      <c r="BN6" s="70" t="e">
        <f>VLOOKUP(BL6,[1]客戶編輯設定自動代出!L:N,2,0)</f>
        <v>#N/A</v>
      </c>
      <c r="BO6" s="78" t="s">
        <v>1968</v>
      </c>
      <c r="BQ6" s="74">
        <f t="shared" si="11"/>
        <v>0</v>
      </c>
      <c r="BR6" s="74">
        <f t="shared" si="12"/>
        <v>0</v>
      </c>
      <c r="BT6" s="75"/>
    </row>
    <row r="7" spans="1:75" ht="16.5" x14ac:dyDescent="0.25">
      <c r="A7" s="64">
        <v>5</v>
      </c>
      <c r="B7" s="69" t="s">
        <v>2022</v>
      </c>
      <c r="C7" s="70">
        <v>1150504</v>
      </c>
      <c r="D7" s="71" t="s">
        <v>2023</v>
      </c>
      <c r="E7" s="70" t="str">
        <f>VLOOKUP($D7,客戶編輯設定自動代出!$A:$C,3,0)</f>
        <v>國順龍華</v>
      </c>
      <c r="F7" s="70">
        <f>VLOOKUP($D7,客戶編輯設定自動代出!$A:$C,2,0)</f>
        <v>90783671</v>
      </c>
      <c r="G7" s="70" t="s">
        <v>1369</v>
      </c>
      <c r="H7" s="70" t="s">
        <v>2029</v>
      </c>
      <c r="I7" s="70">
        <v>1</v>
      </c>
      <c r="J7" s="72">
        <v>5250</v>
      </c>
      <c r="K7" s="72">
        <f t="shared" si="0"/>
        <v>5250</v>
      </c>
      <c r="L7" s="73">
        <v>6930</v>
      </c>
      <c r="M7" s="74">
        <f t="shared" si="1"/>
        <v>6600</v>
      </c>
      <c r="N7" s="74">
        <f t="shared" ref="N7:N56" si="16">M7*0.05</f>
        <v>330</v>
      </c>
      <c r="O7" s="71" t="str">
        <f t="shared" si="2"/>
        <v>N</v>
      </c>
      <c r="P7" s="71" t="s">
        <v>2018</v>
      </c>
      <c r="Q7" s="119"/>
      <c r="R7" s="75" t="s">
        <v>2021</v>
      </c>
      <c r="S7" s="75"/>
      <c r="T7" s="75"/>
      <c r="U7" s="75"/>
      <c r="V7" s="64">
        <v>5</v>
      </c>
      <c r="W7" s="69"/>
      <c r="X7" s="70"/>
      <c r="Y7" s="71"/>
      <c r="Z7" s="70" t="e">
        <f>VLOOKUP($Y7,客戶編輯設定自動代出!$A:$C,3,0)</f>
        <v>#N/A</v>
      </c>
      <c r="AA7" s="70" t="e">
        <f>VLOOKUP($Y7,客戶編輯設定自動代出!$A:$C,2,0)</f>
        <v>#N/A</v>
      </c>
      <c r="AB7" s="70" t="s">
        <v>1621</v>
      </c>
      <c r="AC7" s="70"/>
      <c r="AD7" s="70"/>
      <c r="AE7" s="72"/>
      <c r="AF7" s="72">
        <f t="shared" si="3"/>
        <v>0</v>
      </c>
      <c r="AG7" s="73"/>
      <c r="AH7" s="74">
        <f t="shared" si="4"/>
        <v>0</v>
      </c>
      <c r="AI7" s="74">
        <f t="shared" si="5"/>
        <v>0</v>
      </c>
      <c r="AJ7" s="71" t="str">
        <f t="shared" si="6"/>
        <v>Y</v>
      </c>
      <c r="AK7" s="71"/>
      <c r="AL7" s="71"/>
      <c r="AM7" s="75"/>
      <c r="AN7" s="75"/>
      <c r="AO7" s="75"/>
      <c r="AP7" s="75"/>
      <c r="AQ7" s="64">
        <v>5</v>
      </c>
      <c r="AR7" s="70"/>
      <c r="AU7" s="70" t="e">
        <f>VLOOKUP($AT7,客戶編輯設定自動代出!$A:$C,3,0)</f>
        <v>#N/A</v>
      </c>
      <c r="AV7" s="70" t="e">
        <f>VLOOKUP($AT7,客戶編輯設定自動代出!$A:$C,2,0)</f>
        <v>#N/A</v>
      </c>
      <c r="AW7" s="76" t="s">
        <v>1919</v>
      </c>
      <c r="BA7" s="72">
        <f t="shared" si="13"/>
        <v>0</v>
      </c>
      <c r="BB7" s="77"/>
      <c r="BC7" s="74">
        <f t="shared" si="14"/>
        <v>0</v>
      </c>
      <c r="BD7" s="74">
        <f t="shared" si="15"/>
        <v>0</v>
      </c>
      <c r="BE7" s="71" t="str">
        <f t="shared" si="10"/>
        <v>Y</v>
      </c>
      <c r="BJ7" s="64">
        <v>5</v>
      </c>
      <c r="BM7" s="70" t="e">
        <f>VLOOKUP(BL7,[1]客戶編輯設定自動代出!L:N,3,0)</f>
        <v>#N/A</v>
      </c>
      <c r="BN7" s="70" t="e">
        <f>VLOOKUP(BL7,[1]客戶編輯設定自動代出!L:N,2,0)</f>
        <v>#N/A</v>
      </c>
      <c r="BO7" s="78" t="s">
        <v>1969</v>
      </c>
      <c r="BQ7" s="74">
        <f t="shared" si="11"/>
        <v>0</v>
      </c>
      <c r="BR7" s="74">
        <f t="shared" si="12"/>
        <v>0</v>
      </c>
      <c r="BT7" s="75"/>
    </row>
    <row r="8" spans="1:75" ht="16.5" x14ac:dyDescent="0.25">
      <c r="A8" s="64">
        <v>6</v>
      </c>
      <c r="B8" s="69" t="s">
        <v>2022</v>
      </c>
      <c r="C8" s="70">
        <v>1150504</v>
      </c>
      <c r="D8" s="71" t="s">
        <v>2023</v>
      </c>
      <c r="E8" s="70" t="str">
        <f>VLOOKUP($D8,客戶編輯設定自動代出!$A:$C,3,0)</f>
        <v>國順龍華</v>
      </c>
      <c r="F8" s="70">
        <f>VLOOKUP($D8,客戶編輯設定自動代出!$A:$C,2,0)</f>
        <v>90783671</v>
      </c>
      <c r="G8" s="70" t="s">
        <v>1369</v>
      </c>
      <c r="H8" s="70" t="s">
        <v>2028</v>
      </c>
      <c r="I8" s="70">
        <v>1</v>
      </c>
      <c r="J8" s="72">
        <v>1050</v>
      </c>
      <c r="M8" s="74"/>
      <c r="N8" s="74"/>
      <c r="P8" s="71" t="s">
        <v>2018</v>
      </c>
      <c r="Q8" s="119"/>
      <c r="R8" s="75" t="s">
        <v>2021</v>
      </c>
      <c r="S8" s="75"/>
      <c r="T8" s="75"/>
      <c r="U8" s="75"/>
      <c r="V8" s="64">
        <v>6</v>
      </c>
      <c r="W8" s="69"/>
      <c r="X8" s="70"/>
      <c r="Y8" s="71"/>
      <c r="Z8" s="70" t="e">
        <f>VLOOKUP($Y8,客戶編輯設定自動代出!$A:$C,3,0)</f>
        <v>#N/A</v>
      </c>
      <c r="AA8" s="70" t="e">
        <f>VLOOKUP($Y8,客戶編輯設定自動代出!$A:$C,2,0)</f>
        <v>#N/A</v>
      </c>
      <c r="AB8" s="70" t="s">
        <v>1622</v>
      </c>
      <c r="AC8" s="70"/>
      <c r="AD8" s="70"/>
      <c r="AE8" s="72"/>
      <c r="AF8" s="72">
        <f t="shared" si="3"/>
        <v>0</v>
      </c>
      <c r="AG8" s="73"/>
      <c r="AH8" s="74">
        <f t="shared" si="4"/>
        <v>0</v>
      </c>
      <c r="AI8" s="74">
        <f t="shared" si="5"/>
        <v>0</v>
      </c>
      <c r="AJ8" s="71" t="str">
        <f t="shared" si="6"/>
        <v>Y</v>
      </c>
      <c r="AK8" s="71"/>
      <c r="AL8" s="71"/>
      <c r="AM8" s="75"/>
      <c r="AN8" s="75"/>
      <c r="AO8" s="75"/>
      <c r="AP8" s="75"/>
      <c r="AQ8" s="64">
        <v>6</v>
      </c>
      <c r="AR8" s="70"/>
      <c r="AU8" s="70" t="e">
        <f>VLOOKUP($AT8,客戶編輯設定自動代出!$A:$C,3,0)</f>
        <v>#N/A</v>
      </c>
      <c r="AV8" s="70" t="e">
        <f>VLOOKUP($AT8,客戶編輯設定自動代出!$A:$C,2,0)</f>
        <v>#N/A</v>
      </c>
      <c r="AW8" s="76" t="s">
        <v>1920</v>
      </c>
      <c r="BA8" s="72">
        <f t="shared" si="13"/>
        <v>0</v>
      </c>
      <c r="BB8" s="77"/>
      <c r="BC8" s="74">
        <f t="shared" si="14"/>
        <v>0</v>
      </c>
      <c r="BD8" s="74">
        <f t="shared" si="15"/>
        <v>0</v>
      </c>
      <c r="BE8" s="71" t="str">
        <f t="shared" si="10"/>
        <v>Y</v>
      </c>
      <c r="BJ8" s="64">
        <v>6</v>
      </c>
      <c r="BM8" s="70" t="e">
        <f>VLOOKUP(BL8,[1]客戶編輯設定自動代出!L:N,3,0)</f>
        <v>#N/A</v>
      </c>
      <c r="BN8" s="70" t="e">
        <f>VLOOKUP(BL8,[1]客戶編輯設定自動代出!L:N,2,0)</f>
        <v>#N/A</v>
      </c>
      <c r="BO8" s="78" t="s">
        <v>1970</v>
      </c>
      <c r="BQ8" s="74">
        <f t="shared" si="11"/>
        <v>0</v>
      </c>
      <c r="BR8" s="74">
        <f t="shared" si="12"/>
        <v>0</v>
      </c>
      <c r="BT8" s="75"/>
    </row>
    <row r="9" spans="1:75" ht="16.5" x14ac:dyDescent="0.25">
      <c r="A9" s="64">
        <v>7</v>
      </c>
      <c r="B9" s="69" t="s">
        <v>2019</v>
      </c>
      <c r="C9" s="70">
        <v>1150504</v>
      </c>
      <c r="D9" s="71" t="s">
        <v>2023</v>
      </c>
      <c r="E9" s="70" t="str">
        <f>VLOOKUP($D9,客戶編輯設定自動代出!$A:$C,3,0)</f>
        <v>國順龍華</v>
      </c>
      <c r="F9" s="70">
        <f>VLOOKUP($D9,客戶編輯設定自動代出!$A:$C,2,0)</f>
        <v>90783671</v>
      </c>
      <c r="G9" s="70" t="s">
        <v>1369</v>
      </c>
      <c r="H9" s="70" t="s">
        <v>2028</v>
      </c>
      <c r="I9" s="70">
        <v>1</v>
      </c>
      <c r="J9" s="72">
        <v>630</v>
      </c>
      <c r="M9" s="74"/>
      <c r="N9" s="74"/>
      <c r="P9" s="71" t="s">
        <v>2018</v>
      </c>
      <c r="Q9" s="119"/>
      <c r="R9" s="75" t="s">
        <v>2021</v>
      </c>
      <c r="S9" s="75"/>
      <c r="T9" s="75"/>
      <c r="U9" s="75"/>
      <c r="V9" s="64">
        <v>7</v>
      </c>
      <c r="W9" s="69"/>
      <c r="X9" s="70"/>
      <c r="Y9" s="71"/>
      <c r="Z9" s="70" t="e">
        <f>VLOOKUP($Y9,客戶編輯設定自動代出!$A:$C,3,0)</f>
        <v>#N/A</v>
      </c>
      <c r="AA9" s="70" t="e">
        <f>VLOOKUP($Y9,客戶編輯設定自動代出!$A:$C,2,0)</f>
        <v>#N/A</v>
      </c>
      <c r="AB9" s="70" t="s">
        <v>1623</v>
      </c>
      <c r="AC9" s="70"/>
      <c r="AD9" s="70"/>
      <c r="AE9" s="72"/>
      <c r="AF9" s="72">
        <f t="shared" si="3"/>
        <v>0</v>
      </c>
      <c r="AG9" s="73"/>
      <c r="AH9" s="74">
        <f t="shared" si="4"/>
        <v>0</v>
      </c>
      <c r="AI9" s="74">
        <f t="shared" si="5"/>
        <v>0</v>
      </c>
      <c r="AJ9" s="71" t="str">
        <f t="shared" si="6"/>
        <v>Y</v>
      </c>
      <c r="AK9" s="71"/>
      <c r="AL9" s="71"/>
      <c r="AM9" s="75"/>
      <c r="AN9" s="75"/>
      <c r="AO9" s="75"/>
      <c r="AP9" s="75"/>
      <c r="AQ9" s="64">
        <v>7</v>
      </c>
      <c r="AR9" s="70"/>
      <c r="AU9" s="70" t="e">
        <f>VLOOKUP($AT9,客戶編輯設定自動代出!$A:$C,3,0)</f>
        <v>#N/A</v>
      </c>
      <c r="AV9" s="70" t="e">
        <f>VLOOKUP($AT9,客戶編輯設定自動代出!$A:$C,2,0)</f>
        <v>#N/A</v>
      </c>
      <c r="AW9" s="76" t="s">
        <v>1921</v>
      </c>
      <c r="BA9" s="72">
        <f t="shared" si="13"/>
        <v>0</v>
      </c>
      <c r="BB9" s="77"/>
      <c r="BC9" s="74">
        <f t="shared" si="14"/>
        <v>0</v>
      </c>
      <c r="BD9" s="74">
        <f t="shared" si="15"/>
        <v>0</v>
      </c>
      <c r="BE9" s="71" t="str">
        <f t="shared" si="10"/>
        <v>Y</v>
      </c>
      <c r="BJ9" s="64">
        <v>7</v>
      </c>
      <c r="BM9" s="70" t="e">
        <f>VLOOKUP(BL9,[1]客戶編輯設定自動代出!L:N,3,0)</f>
        <v>#N/A</v>
      </c>
      <c r="BN9" s="70" t="e">
        <f>VLOOKUP(BL9,[1]客戶編輯設定自動代出!L:N,2,0)</f>
        <v>#N/A</v>
      </c>
      <c r="BO9" s="78" t="s">
        <v>1971</v>
      </c>
      <c r="BQ9" s="74">
        <f t="shared" si="11"/>
        <v>0</v>
      </c>
      <c r="BR9" s="74">
        <f t="shared" si="12"/>
        <v>0</v>
      </c>
      <c r="BT9" s="75"/>
    </row>
    <row r="10" spans="1:75" ht="16.5" x14ac:dyDescent="0.25">
      <c r="A10" s="64">
        <v>8</v>
      </c>
      <c r="B10" s="69" t="s">
        <v>2019</v>
      </c>
      <c r="C10" s="70">
        <v>1150504</v>
      </c>
      <c r="D10" s="71" t="s">
        <v>2023</v>
      </c>
      <c r="E10" s="70" t="str">
        <f>VLOOKUP($D10,客戶編輯設定自動代出!$A:$C,3,0)</f>
        <v>國順龍華</v>
      </c>
      <c r="F10" s="70">
        <f>VLOOKUP($D10,客戶編輯設定自動代出!$A:$C,2,0)</f>
        <v>90783671</v>
      </c>
      <c r="G10" s="70" t="s">
        <v>1370</v>
      </c>
      <c r="H10" s="70" t="s">
        <v>2027</v>
      </c>
      <c r="I10" s="70">
        <v>2</v>
      </c>
      <c r="J10" s="72">
        <v>8100</v>
      </c>
      <c r="K10" s="72">
        <f t="shared" si="0"/>
        <v>16200</v>
      </c>
      <c r="L10" s="73">
        <v>16200</v>
      </c>
      <c r="M10" s="74">
        <f t="shared" si="1"/>
        <v>15428.571428571428</v>
      </c>
      <c r="N10" s="74">
        <v>771</v>
      </c>
      <c r="O10" s="71" t="str">
        <f t="shared" si="2"/>
        <v>Y</v>
      </c>
      <c r="P10" s="71" t="s">
        <v>2018</v>
      </c>
      <c r="Q10" s="119"/>
      <c r="R10" s="75" t="s">
        <v>2021</v>
      </c>
      <c r="S10" s="75"/>
      <c r="T10" s="75"/>
      <c r="U10" s="75"/>
      <c r="V10" s="64">
        <v>8</v>
      </c>
      <c r="W10" s="69"/>
      <c r="X10" s="70"/>
      <c r="Y10" s="71"/>
      <c r="Z10" s="70" t="e">
        <f>VLOOKUP($Y10,客戶編輯設定自動代出!$A:$C,3,0)</f>
        <v>#N/A</v>
      </c>
      <c r="AA10" s="70" t="e">
        <f>VLOOKUP($Y10,客戶編輯設定自動代出!$A:$C,2,0)</f>
        <v>#N/A</v>
      </c>
      <c r="AB10" s="70" t="s">
        <v>1624</v>
      </c>
      <c r="AC10" s="70"/>
      <c r="AD10" s="70"/>
      <c r="AE10" s="72"/>
      <c r="AF10" s="72">
        <f t="shared" si="3"/>
        <v>0</v>
      </c>
      <c r="AG10" s="73"/>
      <c r="AH10" s="74">
        <f t="shared" si="4"/>
        <v>0</v>
      </c>
      <c r="AI10" s="74">
        <f t="shared" si="5"/>
        <v>0</v>
      </c>
      <c r="AJ10" s="71" t="str">
        <f t="shared" si="6"/>
        <v>Y</v>
      </c>
      <c r="AK10" s="71"/>
      <c r="AL10" s="71"/>
      <c r="AM10" s="75"/>
      <c r="AN10" s="75"/>
      <c r="AO10" s="75"/>
      <c r="AP10" s="75"/>
      <c r="AQ10" s="64">
        <v>8</v>
      </c>
      <c r="AR10" s="70"/>
      <c r="AU10" s="70" t="e">
        <f>VLOOKUP($AT10,客戶編輯設定自動代出!$A:$C,3,0)</f>
        <v>#N/A</v>
      </c>
      <c r="AV10" s="70" t="e">
        <f>VLOOKUP($AT10,客戶編輯設定自動代出!$A:$C,2,0)</f>
        <v>#N/A</v>
      </c>
      <c r="AW10" s="76" t="s">
        <v>1922</v>
      </c>
      <c r="BA10" s="72">
        <f t="shared" si="13"/>
        <v>0</v>
      </c>
      <c r="BB10" s="77"/>
      <c r="BC10" s="74">
        <f t="shared" si="14"/>
        <v>0</v>
      </c>
      <c r="BD10" s="74">
        <f t="shared" si="15"/>
        <v>0</v>
      </c>
      <c r="BE10" s="71" t="str">
        <f t="shared" si="10"/>
        <v>Y</v>
      </c>
      <c r="BJ10" s="64">
        <v>8</v>
      </c>
      <c r="BM10" s="70" t="e">
        <f>VLOOKUP(BL10,[1]客戶編輯設定自動代出!L:N,3,0)</f>
        <v>#N/A</v>
      </c>
      <c r="BN10" s="70" t="e">
        <f>VLOOKUP(BL10,[1]客戶編輯設定自動代出!L:N,2,0)</f>
        <v>#N/A</v>
      </c>
      <c r="BO10" s="78" t="s">
        <v>1972</v>
      </c>
      <c r="BQ10" s="74">
        <f t="shared" si="11"/>
        <v>0</v>
      </c>
      <c r="BR10" s="74">
        <f t="shared" si="12"/>
        <v>0</v>
      </c>
      <c r="BT10" s="75"/>
    </row>
    <row r="11" spans="1:75" ht="16.5" x14ac:dyDescent="0.25">
      <c r="A11" s="64">
        <v>9</v>
      </c>
      <c r="B11" s="69" t="s">
        <v>2019</v>
      </c>
      <c r="C11" s="70">
        <v>1150504</v>
      </c>
      <c r="D11" s="71" t="s">
        <v>2023</v>
      </c>
      <c r="E11" s="70" t="str">
        <f>VLOOKUP($D11,客戶編輯設定自動代出!$A:$C,3,0)</f>
        <v>國順龍華</v>
      </c>
      <c r="F11" s="70">
        <f>VLOOKUP($D11,客戶編輯設定自動代出!$A:$C,2,0)</f>
        <v>90783671</v>
      </c>
      <c r="G11" s="70" t="s">
        <v>1371</v>
      </c>
      <c r="H11" s="70" t="s">
        <v>2027</v>
      </c>
      <c r="I11" s="70">
        <v>4</v>
      </c>
      <c r="J11" s="72">
        <v>10000</v>
      </c>
      <c r="K11" s="72">
        <f t="shared" si="0"/>
        <v>40000</v>
      </c>
      <c r="L11" s="73">
        <v>40600</v>
      </c>
      <c r="M11" s="74">
        <f t="shared" si="1"/>
        <v>38666.666666666664</v>
      </c>
      <c r="N11" s="74">
        <f t="shared" si="16"/>
        <v>1933.3333333333333</v>
      </c>
      <c r="O11" s="71" t="str">
        <f t="shared" si="2"/>
        <v>N</v>
      </c>
      <c r="P11" s="71" t="s">
        <v>2018</v>
      </c>
      <c r="Q11" s="119"/>
      <c r="R11" s="75" t="s">
        <v>2021</v>
      </c>
      <c r="S11" s="75"/>
      <c r="T11" s="75"/>
      <c r="U11" s="75"/>
      <c r="V11" s="64">
        <v>9</v>
      </c>
      <c r="W11" s="69"/>
      <c r="X11" s="70"/>
      <c r="Y11" s="71"/>
      <c r="Z11" s="70" t="e">
        <f>VLOOKUP($Y11,客戶編輯設定自動代出!$A:$C,3,0)</f>
        <v>#N/A</v>
      </c>
      <c r="AA11" s="70" t="e">
        <f>VLOOKUP($Y11,客戶編輯設定自動代出!$A:$C,2,0)</f>
        <v>#N/A</v>
      </c>
      <c r="AB11" s="70" t="s">
        <v>1625</v>
      </c>
      <c r="AC11" s="70"/>
      <c r="AD11" s="70"/>
      <c r="AE11" s="72"/>
      <c r="AF11" s="72">
        <f t="shared" si="3"/>
        <v>0</v>
      </c>
      <c r="AG11" s="73"/>
      <c r="AH11" s="74">
        <f t="shared" si="4"/>
        <v>0</v>
      </c>
      <c r="AI11" s="74">
        <f t="shared" si="5"/>
        <v>0</v>
      </c>
      <c r="AJ11" s="71" t="str">
        <f t="shared" si="6"/>
        <v>Y</v>
      </c>
      <c r="AK11" s="71"/>
      <c r="AL11" s="71"/>
      <c r="AM11" s="75"/>
      <c r="AN11" s="75"/>
      <c r="AO11" s="75"/>
      <c r="AP11" s="75"/>
      <c r="AQ11" s="64">
        <v>9</v>
      </c>
      <c r="AR11" s="70"/>
      <c r="AU11" s="70" t="e">
        <f>VLOOKUP($AT11,客戶編輯設定自動代出!$A:$C,3,0)</f>
        <v>#N/A</v>
      </c>
      <c r="AV11" s="70" t="e">
        <f>VLOOKUP($AT11,客戶編輯設定自動代出!$A:$C,2,0)</f>
        <v>#N/A</v>
      </c>
      <c r="AW11" s="76" t="s">
        <v>1923</v>
      </c>
      <c r="BA11" s="72">
        <f t="shared" si="13"/>
        <v>0</v>
      </c>
      <c r="BB11" s="77"/>
      <c r="BC11" s="74">
        <f t="shared" si="14"/>
        <v>0</v>
      </c>
      <c r="BD11" s="74">
        <f t="shared" si="15"/>
        <v>0</v>
      </c>
      <c r="BE11" s="71" t="str">
        <f t="shared" si="10"/>
        <v>Y</v>
      </c>
      <c r="BJ11" s="64">
        <v>9</v>
      </c>
      <c r="BM11" s="70" t="e">
        <f>VLOOKUP(BL11,[1]客戶編輯設定自動代出!L:N,3,0)</f>
        <v>#N/A</v>
      </c>
      <c r="BN11" s="70" t="e">
        <f>VLOOKUP(BL11,[1]客戶編輯設定自動代出!L:N,2,0)</f>
        <v>#N/A</v>
      </c>
      <c r="BO11" s="78" t="s">
        <v>1973</v>
      </c>
      <c r="BQ11" s="74">
        <f t="shared" si="11"/>
        <v>0</v>
      </c>
      <c r="BR11" s="74">
        <f t="shared" si="12"/>
        <v>0</v>
      </c>
      <c r="BT11" s="75"/>
    </row>
    <row r="12" spans="1:75" ht="16.5" x14ac:dyDescent="0.25">
      <c r="A12" s="64">
        <v>10</v>
      </c>
      <c r="B12" s="69" t="s">
        <v>2019</v>
      </c>
      <c r="C12" s="70">
        <v>1150504</v>
      </c>
      <c r="D12" s="71" t="s">
        <v>2023</v>
      </c>
      <c r="E12" s="70" t="str">
        <f>VLOOKUP($D12,客戶編輯設定自動代出!$A:$C,3,0)</f>
        <v>國順龍華</v>
      </c>
      <c r="F12" s="70">
        <f>VLOOKUP($D12,客戶編輯設定自動代出!$A:$C,2,0)</f>
        <v>90783671</v>
      </c>
      <c r="G12" s="70" t="s">
        <v>1371</v>
      </c>
      <c r="H12" s="70" t="s">
        <v>2030</v>
      </c>
      <c r="I12" s="70">
        <v>1</v>
      </c>
      <c r="J12" s="72">
        <v>600</v>
      </c>
      <c r="M12" s="74"/>
      <c r="N12" s="74"/>
      <c r="P12" s="71" t="s">
        <v>2018</v>
      </c>
      <c r="Q12" s="119"/>
      <c r="R12" s="75" t="s">
        <v>2021</v>
      </c>
      <c r="S12" s="75"/>
      <c r="T12" s="75"/>
      <c r="U12" s="75"/>
      <c r="V12" s="64">
        <v>10</v>
      </c>
      <c r="W12" s="69"/>
      <c r="X12" s="70"/>
      <c r="Y12" s="71"/>
      <c r="Z12" s="70" t="e">
        <f>VLOOKUP($Y12,客戶編輯設定自動代出!$A:$C,3,0)</f>
        <v>#N/A</v>
      </c>
      <c r="AA12" s="70" t="e">
        <f>VLOOKUP($Y12,客戶編輯設定自動代出!$A:$C,2,0)</f>
        <v>#N/A</v>
      </c>
      <c r="AB12" s="70" t="s">
        <v>1626</v>
      </c>
      <c r="AC12" s="70"/>
      <c r="AD12" s="70"/>
      <c r="AE12" s="72"/>
      <c r="AF12" s="72">
        <f t="shared" si="3"/>
        <v>0</v>
      </c>
      <c r="AG12" s="73"/>
      <c r="AH12" s="74">
        <f t="shared" si="4"/>
        <v>0</v>
      </c>
      <c r="AI12" s="74">
        <f t="shared" si="5"/>
        <v>0</v>
      </c>
      <c r="AJ12" s="71" t="str">
        <f t="shared" si="6"/>
        <v>Y</v>
      </c>
      <c r="AK12" s="71"/>
      <c r="AL12" s="71"/>
      <c r="AM12" s="75"/>
      <c r="AN12" s="75"/>
      <c r="AO12" s="75"/>
      <c r="AP12" s="75"/>
      <c r="AQ12" s="64">
        <v>10</v>
      </c>
      <c r="AR12" s="70"/>
      <c r="AU12" s="70" t="e">
        <f>VLOOKUP($AT12,客戶編輯設定自動代出!$A:$C,3,0)</f>
        <v>#N/A</v>
      </c>
      <c r="AV12" s="70" t="e">
        <f>VLOOKUP($AT12,客戶編輯設定自動代出!$A:$C,2,0)</f>
        <v>#N/A</v>
      </c>
      <c r="AW12" s="76" t="s">
        <v>1924</v>
      </c>
      <c r="BA12" s="72">
        <f t="shared" si="13"/>
        <v>0</v>
      </c>
      <c r="BB12" s="77"/>
      <c r="BC12" s="74">
        <f t="shared" si="14"/>
        <v>0</v>
      </c>
      <c r="BD12" s="74">
        <f t="shared" si="15"/>
        <v>0</v>
      </c>
      <c r="BE12" s="71" t="str">
        <f t="shared" si="10"/>
        <v>Y</v>
      </c>
      <c r="BJ12" s="64">
        <v>10</v>
      </c>
      <c r="BM12" s="70" t="e">
        <f>VLOOKUP(BL12,[1]客戶編輯設定自動代出!L:N,3,0)</f>
        <v>#N/A</v>
      </c>
      <c r="BN12" s="70" t="e">
        <f>VLOOKUP(BL12,[1]客戶編輯設定自動代出!L:N,2,0)</f>
        <v>#N/A</v>
      </c>
      <c r="BO12" s="78" t="s">
        <v>1974</v>
      </c>
      <c r="BQ12" s="74">
        <f t="shared" si="11"/>
        <v>0</v>
      </c>
      <c r="BR12" s="74">
        <f t="shared" si="12"/>
        <v>0</v>
      </c>
      <c r="BT12" s="75"/>
    </row>
    <row r="13" spans="1:75" ht="16.5" x14ac:dyDescent="0.25">
      <c r="A13" s="64">
        <v>11</v>
      </c>
      <c r="B13" s="69" t="s">
        <v>2019</v>
      </c>
      <c r="C13" s="70">
        <v>1150504</v>
      </c>
      <c r="D13" s="71">
        <v>8</v>
      </c>
      <c r="E13" s="70" t="str">
        <f>VLOOKUP($D13,客戶編輯設定自動代出!$A:$C,3,0)</f>
        <v>路人</v>
      </c>
      <c r="F13" s="70">
        <f>VLOOKUP($D13,客戶編輯設定自動代出!$A:$C,2,0)</f>
        <v>0</v>
      </c>
      <c r="G13" s="70" t="s">
        <v>1372</v>
      </c>
      <c r="H13" s="70" t="s">
        <v>2027</v>
      </c>
      <c r="I13" s="70">
        <v>1</v>
      </c>
      <c r="J13" s="72">
        <v>10000</v>
      </c>
      <c r="K13" s="72">
        <f t="shared" si="0"/>
        <v>10000</v>
      </c>
      <c r="L13" s="73">
        <v>10500</v>
      </c>
      <c r="M13" s="74">
        <f t="shared" si="1"/>
        <v>10000</v>
      </c>
      <c r="N13" s="74">
        <v>500</v>
      </c>
      <c r="O13" s="71" t="str">
        <f t="shared" si="2"/>
        <v>N</v>
      </c>
      <c r="P13" s="71" t="s">
        <v>2018</v>
      </c>
      <c r="Q13" s="119"/>
      <c r="R13" s="75" t="s">
        <v>2035</v>
      </c>
      <c r="S13" s="75"/>
      <c r="T13" s="75"/>
      <c r="U13" s="75"/>
      <c r="V13" s="64">
        <v>11</v>
      </c>
      <c r="W13" s="69"/>
      <c r="X13" s="70"/>
      <c r="Y13" s="71"/>
      <c r="Z13" s="70" t="e">
        <f>VLOOKUP($Y13,客戶編輯設定自動代出!$A:$C,3,0)</f>
        <v>#N/A</v>
      </c>
      <c r="AA13" s="70" t="e">
        <f>VLOOKUP($Y13,客戶編輯設定自動代出!$A:$C,2,0)</f>
        <v>#N/A</v>
      </c>
      <c r="AB13" s="70" t="s">
        <v>1627</v>
      </c>
      <c r="AC13" s="70"/>
      <c r="AD13" s="70"/>
      <c r="AE13" s="72"/>
      <c r="AF13" s="72">
        <f t="shared" si="3"/>
        <v>0</v>
      </c>
      <c r="AG13" s="73"/>
      <c r="AH13" s="74">
        <f t="shared" si="4"/>
        <v>0</v>
      </c>
      <c r="AI13" s="74">
        <f t="shared" si="5"/>
        <v>0</v>
      </c>
      <c r="AJ13" s="71" t="str">
        <f t="shared" si="6"/>
        <v>Y</v>
      </c>
      <c r="AK13" s="71"/>
      <c r="AL13" s="71"/>
      <c r="AM13" s="75"/>
      <c r="AN13" s="75"/>
      <c r="AO13" s="75"/>
      <c r="AP13" s="75"/>
      <c r="AQ13" s="64">
        <v>11</v>
      </c>
      <c r="AR13" s="70"/>
      <c r="AU13" s="70" t="e">
        <f>VLOOKUP($AT13,客戶編輯設定自動代出!$A:$C,3,0)</f>
        <v>#N/A</v>
      </c>
      <c r="AV13" s="70" t="e">
        <f>VLOOKUP($AT13,客戶編輯設定自動代出!$A:$C,2,0)</f>
        <v>#N/A</v>
      </c>
      <c r="AW13" s="76" t="s">
        <v>1925</v>
      </c>
      <c r="BA13" s="72">
        <f t="shared" si="13"/>
        <v>0</v>
      </c>
      <c r="BB13" s="77"/>
      <c r="BC13" s="74">
        <f t="shared" si="14"/>
        <v>0</v>
      </c>
      <c r="BD13" s="74">
        <f t="shared" si="15"/>
        <v>0</v>
      </c>
      <c r="BE13" s="71" t="str">
        <f t="shared" si="10"/>
        <v>Y</v>
      </c>
      <c r="BJ13" s="64">
        <v>11</v>
      </c>
      <c r="BM13" s="70" t="e">
        <f>VLOOKUP(BL13,[1]客戶編輯設定自動代出!L:N,3,0)</f>
        <v>#N/A</v>
      </c>
      <c r="BN13" s="70" t="e">
        <f>VLOOKUP(BL13,[1]客戶編輯設定自動代出!L:N,2,0)</f>
        <v>#N/A</v>
      </c>
      <c r="BO13" s="78" t="s">
        <v>1975</v>
      </c>
      <c r="BQ13" s="74">
        <f t="shared" si="11"/>
        <v>0</v>
      </c>
      <c r="BR13" s="74">
        <f t="shared" si="12"/>
        <v>0</v>
      </c>
      <c r="BT13" s="75"/>
    </row>
    <row r="14" spans="1:75" ht="16.5" x14ac:dyDescent="0.25">
      <c r="A14" s="64">
        <v>12</v>
      </c>
      <c r="B14" s="69" t="s">
        <v>2019</v>
      </c>
      <c r="C14" s="70">
        <v>1150504</v>
      </c>
      <c r="D14" s="71">
        <v>8</v>
      </c>
      <c r="E14" s="70" t="str">
        <f>VLOOKUP($D14,客戶編輯設定自動代出!$A:$C,3,0)</f>
        <v>路人</v>
      </c>
      <c r="F14" s="70">
        <f>VLOOKUP($D14,客戶編輯設定自動代出!$A:$C,2,0)</f>
        <v>0</v>
      </c>
      <c r="G14" s="70" t="s">
        <v>1373</v>
      </c>
      <c r="H14" s="70" t="s">
        <v>2027</v>
      </c>
      <c r="I14" s="70">
        <v>1</v>
      </c>
      <c r="J14" s="72">
        <v>10000</v>
      </c>
      <c r="K14" s="72">
        <f t="shared" si="0"/>
        <v>10000</v>
      </c>
      <c r="L14" s="73">
        <v>10500</v>
      </c>
      <c r="M14" s="74">
        <f t="shared" si="1"/>
        <v>10000</v>
      </c>
      <c r="N14" s="74">
        <v>500</v>
      </c>
      <c r="O14" s="71" t="str">
        <f t="shared" si="2"/>
        <v>N</v>
      </c>
      <c r="P14" s="71" t="s">
        <v>2018</v>
      </c>
      <c r="Q14" s="119"/>
      <c r="R14" s="75" t="s">
        <v>2035</v>
      </c>
      <c r="S14" s="75"/>
      <c r="T14" s="75"/>
      <c r="U14" s="75"/>
      <c r="V14" s="64">
        <v>12</v>
      </c>
      <c r="W14" s="69"/>
      <c r="X14" s="70"/>
      <c r="Y14" s="71"/>
      <c r="Z14" s="70" t="e">
        <f>VLOOKUP($Y14,客戶編輯設定自動代出!$A:$C,3,0)</f>
        <v>#N/A</v>
      </c>
      <c r="AA14" s="70" t="e">
        <f>VLOOKUP($Y14,客戶編輯設定自動代出!$A:$C,2,0)</f>
        <v>#N/A</v>
      </c>
      <c r="AB14" s="70" t="s">
        <v>1628</v>
      </c>
      <c r="AC14" s="70"/>
      <c r="AD14" s="70"/>
      <c r="AE14" s="72"/>
      <c r="AF14" s="72">
        <f t="shared" si="3"/>
        <v>0</v>
      </c>
      <c r="AG14" s="73"/>
      <c r="AH14" s="74">
        <f t="shared" si="4"/>
        <v>0</v>
      </c>
      <c r="AI14" s="74">
        <f t="shared" si="5"/>
        <v>0</v>
      </c>
      <c r="AJ14" s="71" t="str">
        <f t="shared" si="6"/>
        <v>Y</v>
      </c>
      <c r="AK14" s="71"/>
      <c r="AL14" s="71"/>
      <c r="AM14" s="75"/>
      <c r="AN14" s="75"/>
      <c r="AO14" s="75"/>
      <c r="AP14" s="75"/>
      <c r="AQ14" s="64">
        <v>12</v>
      </c>
      <c r="AR14" s="70"/>
      <c r="AU14" s="70" t="e">
        <f>VLOOKUP($AT14,客戶編輯設定自動代出!$A:$C,3,0)</f>
        <v>#N/A</v>
      </c>
      <c r="AV14" s="70" t="e">
        <f>VLOOKUP($AT14,客戶編輯設定自動代出!$A:$C,2,0)</f>
        <v>#N/A</v>
      </c>
      <c r="AW14" s="76" t="s">
        <v>1926</v>
      </c>
      <c r="BA14" s="72">
        <f t="shared" si="13"/>
        <v>0</v>
      </c>
      <c r="BB14" s="77"/>
      <c r="BC14" s="74">
        <f t="shared" si="14"/>
        <v>0</v>
      </c>
      <c r="BD14" s="74">
        <f t="shared" si="15"/>
        <v>0</v>
      </c>
      <c r="BE14" s="71" t="str">
        <f t="shared" si="10"/>
        <v>Y</v>
      </c>
      <c r="BJ14" s="64">
        <v>12</v>
      </c>
      <c r="BM14" s="70" t="e">
        <f>VLOOKUP(BL14,[1]客戶編輯設定自動代出!L:N,3,0)</f>
        <v>#N/A</v>
      </c>
      <c r="BN14" s="70" t="e">
        <f>VLOOKUP(BL14,[1]客戶編輯設定自動代出!L:N,2,0)</f>
        <v>#N/A</v>
      </c>
      <c r="BO14" s="78" t="s">
        <v>1976</v>
      </c>
      <c r="BQ14" s="74">
        <f t="shared" si="11"/>
        <v>0</v>
      </c>
      <c r="BR14" s="74">
        <f t="shared" si="12"/>
        <v>0</v>
      </c>
      <c r="BT14" s="75"/>
    </row>
    <row r="15" spans="1:75" ht="16.5" x14ac:dyDescent="0.25">
      <c r="A15" s="64">
        <v>13</v>
      </c>
      <c r="B15" s="69" t="s">
        <v>2019</v>
      </c>
      <c r="C15" s="70">
        <v>1150504</v>
      </c>
      <c r="D15" s="71">
        <v>838</v>
      </c>
      <c r="E15" s="70" t="str">
        <f>VLOOKUP($D15,客戶編輯設定自動代出!$A:$C,3,0)</f>
        <v>嘉盛汽車</v>
      </c>
      <c r="F15" s="70">
        <v>66813653</v>
      </c>
      <c r="G15" s="70" t="s">
        <v>1374</v>
      </c>
      <c r="M15" s="74"/>
      <c r="N15" s="74"/>
      <c r="O15" s="71" t="s">
        <v>2036</v>
      </c>
      <c r="Q15" s="119"/>
      <c r="R15" s="75" t="s">
        <v>2035</v>
      </c>
      <c r="S15" s="75"/>
      <c r="T15" s="75"/>
      <c r="U15" s="75"/>
      <c r="V15" s="64">
        <v>13</v>
      </c>
      <c r="W15" s="69"/>
      <c r="X15" s="70"/>
      <c r="Y15" s="71"/>
      <c r="Z15" s="70" t="e">
        <f>VLOOKUP($Y15,客戶編輯設定自動代出!$A:$C,3,0)</f>
        <v>#N/A</v>
      </c>
      <c r="AA15" s="70" t="e">
        <f>VLOOKUP($Y15,客戶編輯設定自動代出!$A:$C,2,0)</f>
        <v>#N/A</v>
      </c>
      <c r="AB15" s="70" t="s">
        <v>1629</v>
      </c>
      <c r="AC15" s="70"/>
      <c r="AD15" s="70"/>
      <c r="AE15" s="72"/>
      <c r="AF15" s="72">
        <f t="shared" si="3"/>
        <v>0</v>
      </c>
      <c r="AG15" s="73"/>
      <c r="AH15" s="74">
        <f t="shared" si="4"/>
        <v>0</v>
      </c>
      <c r="AI15" s="74">
        <f t="shared" si="5"/>
        <v>0</v>
      </c>
      <c r="AJ15" s="71" t="str">
        <f t="shared" si="6"/>
        <v>Y</v>
      </c>
      <c r="AK15" s="71"/>
      <c r="AL15" s="71"/>
      <c r="AM15" s="75"/>
      <c r="AN15" s="75"/>
      <c r="AO15" s="75"/>
      <c r="AP15" s="75"/>
      <c r="AQ15" s="64">
        <v>13</v>
      </c>
      <c r="AR15" s="70"/>
      <c r="AU15" s="70" t="e">
        <f>VLOOKUP($AT15,客戶編輯設定自動代出!$A:$C,3,0)</f>
        <v>#N/A</v>
      </c>
      <c r="AV15" s="70" t="e">
        <f>VLOOKUP($AT15,客戶編輯設定自動代出!$A:$C,2,0)</f>
        <v>#N/A</v>
      </c>
      <c r="AW15" s="76" t="s">
        <v>1927</v>
      </c>
      <c r="BA15" s="72">
        <f t="shared" si="13"/>
        <v>0</v>
      </c>
      <c r="BB15" s="77"/>
      <c r="BC15" s="74">
        <f t="shared" si="14"/>
        <v>0</v>
      </c>
      <c r="BD15" s="74">
        <f t="shared" si="15"/>
        <v>0</v>
      </c>
      <c r="BE15" s="71" t="str">
        <f t="shared" si="10"/>
        <v>Y</v>
      </c>
      <c r="BJ15" s="64">
        <v>13</v>
      </c>
      <c r="BM15" s="70" t="e">
        <f>VLOOKUP(BL15,[1]客戶編輯設定自動代出!L:N,3,0)</f>
        <v>#N/A</v>
      </c>
      <c r="BN15" s="70" t="e">
        <f>VLOOKUP(BL15,[1]客戶編輯設定自動代出!L:N,2,0)</f>
        <v>#N/A</v>
      </c>
      <c r="BO15" s="78" t="s">
        <v>1977</v>
      </c>
      <c r="BQ15" s="74">
        <f t="shared" si="11"/>
        <v>0</v>
      </c>
      <c r="BR15" s="74">
        <f t="shared" si="12"/>
        <v>0</v>
      </c>
      <c r="BT15" s="75"/>
    </row>
    <row r="16" spans="1:75" ht="16.5" x14ac:dyDescent="0.25">
      <c r="A16" s="64">
        <v>14</v>
      </c>
      <c r="B16" s="69" t="s">
        <v>2019</v>
      </c>
      <c r="C16" s="70">
        <v>1150504</v>
      </c>
      <c r="D16" s="71">
        <v>838</v>
      </c>
      <c r="E16" s="70" t="str">
        <f>VLOOKUP($D16,客戶編輯設定自動代出!$A:$C,3,0)</f>
        <v>嘉盛汽車</v>
      </c>
      <c r="F16" s="70">
        <f>VLOOKUP($D16,客戶編輯設定自動代出!$A:$C,2,0)</f>
        <v>49389534</v>
      </c>
      <c r="G16" s="70" t="s">
        <v>1375</v>
      </c>
      <c r="M16" s="74"/>
      <c r="N16" s="74"/>
      <c r="O16" s="71" t="s">
        <v>2036</v>
      </c>
      <c r="Q16" s="119"/>
      <c r="R16" s="75" t="s">
        <v>2035</v>
      </c>
      <c r="S16" s="75"/>
      <c r="T16" s="75"/>
      <c r="U16" s="75"/>
      <c r="V16" s="64">
        <v>14</v>
      </c>
      <c r="W16" s="69"/>
      <c r="X16" s="70"/>
      <c r="Y16" s="71"/>
      <c r="Z16" s="70" t="e">
        <f>VLOOKUP($Y16,客戶編輯設定自動代出!$A:$C,3,0)</f>
        <v>#N/A</v>
      </c>
      <c r="AA16" s="70" t="e">
        <f>VLOOKUP($Y16,客戶編輯設定自動代出!$A:$C,2,0)</f>
        <v>#N/A</v>
      </c>
      <c r="AB16" s="70" t="s">
        <v>1630</v>
      </c>
      <c r="AC16" s="70"/>
      <c r="AD16" s="70"/>
      <c r="AE16" s="72"/>
      <c r="AF16" s="72">
        <f t="shared" si="3"/>
        <v>0</v>
      </c>
      <c r="AG16" s="73"/>
      <c r="AH16" s="74">
        <f t="shared" si="4"/>
        <v>0</v>
      </c>
      <c r="AI16" s="74">
        <f t="shared" si="5"/>
        <v>0</v>
      </c>
      <c r="AJ16" s="71" t="str">
        <f t="shared" si="6"/>
        <v>Y</v>
      </c>
      <c r="AK16" s="71"/>
      <c r="AL16" s="71"/>
      <c r="AM16" s="75"/>
      <c r="AN16" s="75"/>
      <c r="AO16" s="75"/>
      <c r="AP16" s="75"/>
      <c r="AQ16" s="64">
        <v>14</v>
      </c>
      <c r="AR16" s="70"/>
      <c r="AU16" s="70" t="e">
        <f>VLOOKUP($AT16,客戶編輯設定自動代出!$A:$C,3,0)</f>
        <v>#N/A</v>
      </c>
      <c r="AV16" s="70" t="e">
        <f>VLOOKUP($AT16,客戶編輯設定自動代出!$A:$C,2,0)</f>
        <v>#N/A</v>
      </c>
      <c r="AW16" s="76" t="s">
        <v>1928</v>
      </c>
      <c r="BA16" s="72">
        <f t="shared" si="13"/>
        <v>0</v>
      </c>
      <c r="BB16" s="77"/>
      <c r="BC16" s="74">
        <f t="shared" si="14"/>
        <v>0</v>
      </c>
      <c r="BD16" s="74">
        <f t="shared" si="15"/>
        <v>0</v>
      </c>
      <c r="BE16" s="71" t="str">
        <f t="shared" si="10"/>
        <v>Y</v>
      </c>
      <c r="BJ16" s="64">
        <v>14</v>
      </c>
      <c r="BM16" s="70" t="e">
        <f>VLOOKUP(BL16,[1]客戶編輯設定自動代出!L:N,3,0)</f>
        <v>#N/A</v>
      </c>
      <c r="BN16" s="70" t="e">
        <f>VLOOKUP(BL16,[1]客戶編輯設定自動代出!L:N,2,0)</f>
        <v>#N/A</v>
      </c>
      <c r="BO16" s="78" t="s">
        <v>1978</v>
      </c>
      <c r="BQ16" s="74">
        <f t="shared" si="11"/>
        <v>0</v>
      </c>
      <c r="BR16" s="74">
        <f t="shared" si="12"/>
        <v>0</v>
      </c>
      <c r="BT16" s="75"/>
    </row>
    <row r="17" spans="1:72" ht="16.5" x14ac:dyDescent="0.25">
      <c r="A17" s="64">
        <v>15</v>
      </c>
      <c r="B17" s="69" t="s">
        <v>2019</v>
      </c>
      <c r="C17" s="70">
        <v>1150504</v>
      </c>
      <c r="D17" s="71">
        <v>8</v>
      </c>
      <c r="E17" s="70" t="str">
        <f>VLOOKUP($D17,客戶編輯設定自動代出!$A:$C,3,0)</f>
        <v>路人</v>
      </c>
      <c r="F17" s="70">
        <v>28557210</v>
      </c>
      <c r="G17" s="70" t="s">
        <v>1376</v>
      </c>
      <c r="H17" s="70" t="s">
        <v>2039</v>
      </c>
      <c r="I17" s="70">
        <v>2</v>
      </c>
      <c r="J17" s="72">
        <v>5800</v>
      </c>
      <c r="K17" s="72">
        <f t="shared" ref="K17" si="17">I17*J17</f>
        <v>11600</v>
      </c>
      <c r="L17" s="73">
        <v>12180</v>
      </c>
      <c r="M17" s="74">
        <f t="shared" ref="M17" si="18">L17/1.05</f>
        <v>11600</v>
      </c>
      <c r="N17" s="74">
        <v>580</v>
      </c>
      <c r="O17" s="71" t="str">
        <f t="shared" si="2"/>
        <v>N</v>
      </c>
      <c r="P17" s="71" t="s">
        <v>2040</v>
      </c>
      <c r="Q17" s="119" t="s">
        <v>2041</v>
      </c>
      <c r="R17" s="75" t="s">
        <v>1343</v>
      </c>
      <c r="S17" s="75"/>
      <c r="T17" s="75"/>
      <c r="U17" s="75"/>
      <c r="V17" s="64">
        <v>15</v>
      </c>
      <c r="W17" s="69"/>
      <c r="X17" s="70"/>
      <c r="Y17" s="71"/>
      <c r="Z17" s="70" t="e">
        <f>VLOOKUP($Y17,客戶編輯設定自動代出!$A:$C,3,0)</f>
        <v>#N/A</v>
      </c>
      <c r="AA17" s="70" t="e">
        <f>VLOOKUP($Y17,客戶編輯設定自動代出!$A:$C,2,0)</f>
        <v>#N/A</v>
      </c>
      <c r="AB17" s="70" t="s">
        <v>1631</v>
      </c>
      <c r="AC17" s="70"/>
      <c r="AD17" s="70"/>
      <c r="AE17" s="72"/>
      <c r="AF17" s="72">
        <f t="shared" si="3"/>
        <v>0</v>
      </c>
      <c r="AG17" s="73"/>
      <c r="AH17" s="74">
        <f t="shared" si="4"/>
        <v>0</v>
      </c>
      <c r="AI17" s="74">
        <f t="shared" si="5"/>
        <v>0</v>
      </c>
      <c r="AJ17" s="71" t="str">
        <f t="shared" si="6"/>
        <v>Y</v>
      </c>
      <c r="AK17" s="71"/>
      <c r="AL17" s="71"/>
      <c r="AM17" s="75"/>
      <c r="AN17" s="75"/>
      <c r="AO17" s="75"/>
      <c r="AP17" s="75"/>
      <c r="AQ17" s="64">
        <v>15</v>
      </c>
      <c r="AR17" s="70"/>
      <c r="AU17" s="70" t="e">
        <f>VLOOKUP($AT17,客戶編輯設定自動代出!$A:$C,3,0)</f>
        <v>#N/A</v>
      </c>
      <c r="AV17" s="70" t="e">
        <f>VLOOKUP($AT17,客戶編輯設定自動代出!$A:$C,2,0)</f>
        <v>#N/A</v>
      </c>
      <c r="AW17" s="76" t="s">
        <v>1929</v>
      </c>
      <c r="BA17" s="72">
        <f t="shared" si="13"/>
        <v>0</v>
      </c>
      <c r="BB17" s="77"/>
      <c r="BC17" s="74">
        <f t="shared" si="14"/>
        <v>0</v>
      </c>
      <c r="BD17" s="74">
        <f t="shared" si="15"/>
        <v>0</v>
      </c>
      <c r="BE17" s="71" t="str">
        <f t="shared" si="10"/>
        <v>Y</v>
      </c>
      <c r="BJ17" s="64">
        <v>15</v>
      </c>
      <c r="BM17" s="70" t="e">
        <f>VLOOKUP(BL17,[1]客戶編輯設定自動代出!L:N,3,0)</f>
        <v>#N/A</v>
      </c>
      <c r="BN17" s="70" t="e">
        <f>VLOOKUP(BL17,[1]客戶編輯設定自動代出!L:N,2,0)</f>
        <v>#N/A</v>
      </c>
      <c r="BO17" s="78" t="s">
        <v>1979</v>
      </c>
      <c r="BQ17" s="74">
        <f t="shared" si="11"/>
        <v>0</v>
      </c>
      <c r="BR17" s="74">
        <f t="shared" si="12"/>
        <v>0</v>
      </c>
      <c r="BT17" s="75"/>
    </row>
    <row r="18" spans="1:72" ht="16.5" x14ac:dyDescent="0.25">
      <c r="A18" s="64">
        <v>16</v>
      </c>
      <c r="B18" s="69" t="s">
        <v>2071</v>
      </c>
      <c r="C18" s="70">
        <v>1150507</v>
      </c>
      <c r="D18" s="71">
        <v>295</v>
      </c>
      <c r="E18" s="70" t="str">
        <f>VLOOKUP($D18,客戶編輯設定自動代出!$A:$C,3,0)</f>
        <v>光復中學</v>
      </c>
      <c r="F18" s="70">
        <f>VLOOKUP($D18,客戶編輯設定自動代出!$A:$C,2,0)</f>
        <v>46802405</v>
      </c>
      <c r="G18" s="70" t="s">
        <v>1377</v>
      </c>
      <c r="H18" s="70" t="s">
        <v>2072</v>
      </c>
      <c r="I18" s="70">
        <v>2</v>
      </c>
      <c r="J18" s="72">
        <v>600</v>
      </c>
      <c r="K18" s="72">
        <f t="shared" si="0"/>
        <v>1200</v>
      </c>
      <c r="L18" s="73">
        <v>1200</v>
      </c>
      <c r="M18" s="74">
        <f t="shared" si="1"/>
        <v>1142.8571428571429</v>
      </c>
      <c r="N18" s="74">
        <v>57</v>
      </c>
      <c r="O18" s="71" t="str">
        <f t="shared" si="2"/>
        <v>Y</v>
      </c>
      <c r="P18" s="71" t="s">
        <v>2073</v>
      </c>
      <c r="Q18" s="119"/>
      <c r="R18" s="75" t="s">
        <v>1343</v>
      </c>
      <c r="S18" s="75"/>
      <c r="T18" s="75"/>
      <c r="U18" s="75"/>
      <c r="V18" s="64">
        <v>16</v>
      </c>
      <c r="W18" s="69"/>
      <c r="X18" s="70"/>
      <c r="Y18" s="71"/>
      <c r="Z18" s="70" t="e">
        <f>VLOOKUP($Y18,客戶編輯設定自動代出!$A:$C,3,0)</f>
        <v>#N/A</v>
      </c>
      <c r="AA18" s="70" t="e">
        <f>VLOOKUP($Y18,客戶編輯設定自動代出!$A:$C,2,0)</f>
        <v>#N/A</v>
      </c>
      <c r="AB18" s="70" t="s">
        <v>1632</v>
      </c>
      <c r="AC18" s="70"/>
      <c r="AD18" s="70"/>
      <c r="AE18" s="72"/>
      <c r="AF18" s="72">
        <f t="shared" si="3"/>
        <v>0</v>
      </c>
      <c r="AG18" s="73"/>
      <c r="AH18" s="74">
        <f t="shared" si="4"/>
        <v>0</v>
      </c>
      <c r="AI18" s="74">
        <f t="shared" si="5"/>
        <v>0</v>
      </c>
      <c r="AJ18" s="71" t="str">
        <f t="shared" si="6"/>
        <v>Y</v>
      </c>
      <c r="AK18" s="71"/>
      <c r="AL18" s="71"/>
      <c r="AM18" s="75"/>
      <c r="AN18" s="75"/>
      <c r="AO18" s="75"/>
      <c r="AP18" s="75"/>
      <c r="AQ18" s="64">
        <v>16</v>
      </c>
      <c r="AR18" s="70"/>
      <c r="AU18" s="70" t="e">
        <f>VLOOKUP($AT18,客戶編輯設定自動代出!$A:$C,3,0)</f>
        <v>#N/A</v>
      </c>
      <c r="AV18" s="70" t="e">
        <f>VLOOKUP($AT18,客戶編輯設定自動代出!$A:$C,2,0)</f>
        <v>#N/A</v>
      </c>
      <c r="AW18" s="76" t="s">
        <v>1930</v>
      </c>
      <c r="BA18" s="72">
        <f t="shared" si="13"/>
        <v>0</v>
      </c>
      <c r="BB18" s="77"/>
      <c r="BC18" s="74">
        <f t="shared" si="14"/>
        <v>0</v>
      </c>
      <c r="BD18" s="74">
        <f t="shared" si="15"/>
        <v>0</v>
      </c>
      <c r="BE18" s="71" t="str">
        <f t="shared" si="10"/>
        <v>Y</v>
      </c>
      <c r="BJ18" s="64">
        <v>16</v>
      </c>
      <c r="BM18" s="70" t="e">
        <f>VLOOKUP(BL18,[1]客戶編輯設定自動代出!L:N,3,0)</f>
        <v>#N/A</v>
      </c>
      <c r="BN18" s="70" t="e">
        <f>VLOOKUP(BL18,[1]客戶編輯設定自動代出!L:N,2,0)</f>
        <v>#N/A</v>
      </c>
      <c r="BO18" s="78" t="s">
        <v>1980</v>
      </c>
      <c r="BQ18" s="74">
        <f t="shared" si="11"/>
        <v>0</v>
      </c>
      <c r="BR18" s="74">
        <f t="shared" si="12"/>
        <v>0</v>
      </c>
      <c r="BT18" s="75"/>
    </row>
    <row r="19" spans="1:72" ht="16.5" x14ac:dyDescent="0.25">
      <c r="A19" s="64">
        <v>17</v>
      </c>
      <c r="B19" s="69" t="s">
        <v>2071</v>
      </c>
      <c r="C19" s="70">
        <v>1150507</v>
      </c>
      <c r="D19" s="71">
        <v>416</v>
      </c>
      <c r="E19" s="70" t="str">
        <f>VLOOKUP($D19,客戶編輯設定自動代出!$A:$C,3,0)</f>
        <v>竹南鎮公所</v>
      </c>
      <c r="F19" s="70">
        <f>VLOOKUP($D19,客戶編輯設定自動代出!$A:$C,2,0)</f>
        <v>50400804</v>
      </c>
      <c r="G19" s="70" t="s">
        <v>1378</v>
      </c>
      <c r="H19" s="70" t="s">
        <v>2027</v>
      </c>
      <c r="I19" s="70">
        <v>5</v>
      </c>
      <c r="J19" s="72">
        <v>5662</v>
      </c>
      <c r="K19" s="72">
        <f t="shared" ref="K19" si="19">I19*J19</f>
        <v>28310</v>
      </c>
      <c r="L19" s="73">
        <v>28310</v>
      </c>
      <c r="M19" s="74">
        <f t="shared" ref="M19" si="20">L19/1.05</f>
        <v>26961.90476190476</v>
      </c>
      <c r="N19" s="74">
        <v>1348</v>
      </c>
      <c r="O19" s="71" t="str">
        <f t="shared" si="2"/>
        <v>Y</v>
      </c>
      <c r="P19" s="71" t="s">
        <v>2073</v>
      </c>
      <c r="Q19" s="119"/>
      <c r="R19" s="75" t="s">
        <v>1343</v>
      </c>
      <c r="S19" s="75"/>
      <c r="T19" s="75"/>
      <c r="U19" s="75"/>
      <c r="V19" s="64">
        <v>17</v>
      </c>
      <c r="W19" s="69"/>
      <c r="X19" s="70"/>
      <c r="Y19" s="71"/>
      <c r="Z19" s="70" t="e">
        <f>VLOOKUP($Y19,客戶編輯設定自動代出!$A:$C,3,0)</f>
        <v>#N/A</v>
      </c>
      <c r="AA19" s="70" t="e">
        <f>VLOOKUP($Y19,客戶編輯設定自動代出!$A:$C,2,0)</f>
        <v>#N/A</v>
      </c>
      <c r="AB19" s="70" t="s">
        <v>1633</v>
      </c>
      <c r="AC19" s="70"/>
      <c r="AD19" s="70"/>
      <c r="AE19" s="72"/>
      <c r="AF19" s="72">
        <f t="shared" si="3"/>
        <v>0</v>
      </c>
      <c r="AG19" s="73"/>
      <c r="AH19" s="74">
        <f t="shared" si="4"/>
        <v>0</v>
      </c>
      <c r="AI19" s="74">
        <f t="shared" si="5"/>
        <v>0</v>
      </c>
      <c r="AJ19" s="71" t="str">
        <f t="shared" si="6"/>
        <v>Y</v>
      </c>
      <c r="AK19" s="71"/>
      <c r="AL19" s="71"/>
      <c r="AM19" s="75"/>
      <c r="AN19" s="75"/>
      <c r="AO19" s="75"/>
      <c r="AP19" s="75"/>
      <c r="AQ19" s="64">
        <v>17</v>
      </c>
      <c r="AR19" s="70"/>
      <c r="AU19" s="70" t="e">
        <f>VLOOKUP($AT19,客戶編輯設定自動代出!$A:$C,3,0)</f>
        <v>#N/A</v>
      </c>
      <c r="AV19" s="70" t="e">
        <f>VLOOKUP($AT19,客戶編輯設定自動代出!$A:$C,2,0)</f>
        <v>#N/A</v>
      </c>
      <c r="AW19" s="76" t="s">
        <v>1931</v>
      </c>
      <c r="BA19" s="72">
        <f t="shared" si="13"/>
        <v>0</v>
      </c>
      <c r="BB19" s="77"/>
      <c r="BC19" s="74">
        <f t="shared" si="14"/>
        <v>0</v>
      </c>
      <c r="BD19" s="74">
        <f t="shared" si="15"/>
        <v>0</v>
      </c>
      <c r="BE19" s="71" t="str">
        <f t="shared" si="10"/>
        <v>Y</v>
      </c>
      <c r="BJ19" s="64">
        <v>17</v>
      </c>
      <c r="BM19" s="70" t="e">
        <f>VLOOKUP(BL19,[1]客戶編輯設定自動代出!L:N,3,0)</f>
        <v>#N/A</v>
      </c>
      <c r="BN19" s="70" t="e">
        <f>VLOOKUP(BL19,[1]客戶編輯設定自動代出!L:N,2,0)</f>
        <v>#N/A</v>
      </c>
      <c r="BO19" s="78" t="s">
        <v>1981</v>
      </c>
      <c r="BQ19" s="74">
        <f t="shared" si="11"/>
        <v>0</v>
      </c>
      <c r="BR19" s="74">
        <f t="shared" si="12"/>
        <v>0</v>
      </c>
      <c r="BT19" s="75"/>
    </row>
    <row r="20" spans="1:72" ht="16.5" x14ac:dyDescent="0.25">
      <c r="A20" s="64">
        <v>18</v>
      </c>
      <c r="B20" s="69" t="s">
        <v>2081</v>
      </c>
      <c r="C20" s="70">
        <v>1150509</v>
      </c>
      <c r="D20" s="71">
        <v>702</v>
      </c>
      <c r="E20" s="70" t="str">
        <f>VLOOKUP($D20,客戶編輯設定自動代出!$A:$C,3,0)</f>
        <v>交通大學</v>
      </c>
      <c r="F20" s="70">
        <v>87557573</v>
      </c>
      <c r="G20" s="70" t="s">
        <v>1379</v>
      </c>
      <c r="H20" s="70" t="s">
        <v>2027</v>
      </c>
      <c r="I20" s="70">
        <v>4</v>
      </c>
      <c r="J20" s="72">
        <v>16000</v>
      </c>
      <c r="K20" s="72">
        <f t="shared" si="0"/>
        <v>64000</v>
      </c>
      <c r="L20" s="73">
        <v>67200</v>
      </c>
      <c r="M20" s="74">
        <f t="shared" si="1"/>
        <v>64000</v>
      </c>
      <c r="N20" s="74">
        <v>3200</v>
      </c>
      <c r="O20" s="71" t="str">
        <f t="shared" si="2"/>
        <v>N</v>
      </c>
      <c r="P20" s="71" t="s">
        <v>2073</v>
      </c>
      <c r="Q20" s="119"/>
      <c r="R20" s="75" t="s">
        <v>1343</v>
      </c>
      <c r="S20" s="75"/>
      <c r="T20" s="75"/>
      <c r="U20" s="75"/>
      <c r="V20" s="64">
        <v>18</v>
      </c>
      <c r="W20" s="69"/>
      <c r="X20" s="70"/>
      <c r="Y20" s="71"/>
      <c r="Z20" s="70" t="e">
        <f>VLOOKUP($Y20,客戶編輯設定自動代出!$A:$C,3,0)</f>
        <v>#N/A</v>
      </c>
      <c r="AA20" s="70" t="e">
        <f>VLOOKUP($Y20,客戶編輯設定自動代出!$A:$C,2,0)</f>
        <v>#N/A</v>
      </c>
      <c r="AB20" s="125" t="s">
        <v>1634</v>
      </c>
      <c r="AC20" s="70"/>
      <c r="AD20" s="70"/>
      <c r="AE20" s="72"/>
      <c r="AF20" s="72">
        <f t="shared" si="3"/>
        <v>0</v>
      </c>
      <c r="AG20" s="73"/>
      <c r="AH20" s="74">
        <f t="shared" si="4"/>
        <v>0</v>
      </c>
      <c r="AI20" s="74">
        <f t="shared" si="5"/>
        <v>0</v>
      </c>
      <c r="AJ20" s="71" t="str">
        <f t="shared" si="6"/>
        <v>Y</v>
      </c>
      <c r="AK20" s="71"/>
      <c r="AL20" s="71"/>
      <c r="AM20" s="75"/>
      <c r="AN20" s="75"/>
      <c r="AO20" s="75"/>
      <c r="AP20" s="75"/>
      <c r="AQ20" s="64">
        <v>18</v>
      </c>
      <c r="AR20" s="70"/>
      <c r="AU20" s="70" t="e">
        <f>VLOOKUP($AT20,客戶編輯設定自動代出!$A:$C,3,0)</f>
        <v>#N/A</v>
      </c>
      <c r="AV20" s="70" t="e">
        <f>VLOOKUP($AT20,客戶編輯設定自動代出!$A:$C,2,0)</f>
        <v>#N/A</v>
      </c>
      <c r="AW20" s="76" t="s">
        <v>1932</v>
      </c>
      <c r="BA20" s="72">
        <f t="shared" si="13"/>
        <v>0</v>
      </c>
      <c r="BB20" s="77"/>
      <c r="BC20" s="74">
        <f t="shared" si="14"/>
        <v>0</v>
      </c>
      <c r="BD20" s="74">
        <f t="shared" si="15"/>
        <v>0</v>
      </c>
      <c r="BE20" s="71" t="str">
        <f t="shared" si="10"/>
        <v>Y</v>
      </c>
      <c r="BJ20" s="64">
        <v>18</v>
      </c>
      <c r="BM20" s="70" t="e">
        <f>VLOOKUP(BL20,[1]客戶編輯設定自動代出!L:N,3,0)</f>
        <v>#N/A</v>
      </c>
      <c r="BN20" s="70" t="e">
        <f>VLOOKUP(BL20,[1]客戶編輯設定自動代出!L:N,2,0)</f>
        <v>#N/A</v>
      </c>
      <c r="BO20" s="78" t="s">
        <v>1982</v>
      </c>
      <c r="BQ20" s="74">
        <f t="shared" si="11"/>
        <v>0</v>
      </c>
      <c r="BR20" s="74">
        <f t="shared" si="12"/>
        <v>0</v>
      </c>
      <c r="BT20" s="75"/>
    </row>
    <row r="21" spans="1:72" ht="16.5" x14ac:dyDescent="0.25">
      <c r="A21" s="64">
        <v>19</v>
      </c>
      <c r="B21" s="69" t="s">
        <v>2081</v>
      </c>
      <c r="C21" s="70">
        <v>1150509</v>
      </c>
      <c r="D21" s="71">
        <v>8</v>
      </c>
      <c r="E21" s="70" t="str">
        <f>VLOOKUP($D21,客戶編輯設定自動代出!$A:$C,3,0)</f>
        <v>路人</v>
      </c>
      <c r="F21" s="70">
        <v>90584954</v>
      </c>
      <c r="G21" s="70" t="s">
        <v>1380</v>
      </c>
      <c r="H21" s="70" t="s">
        <v>2082</v>
      </c>
      <c r="I21" s="70">
        <v>1</v>
      </c>
      <c r="J21" s="72">
        <v>2000</v>
      </c>
      <c r="K21" s="72">
        <f t="shared" si="0"/>
        <v>2000</v>
      </c>
      <c r="L21" s="73">
        <v>2100</v>
      </c>
      <c r="M21" s="74">
        <f t="shared" si="1"/>
        <v>2000</v>
      </c>
      <c r="N21" s="74">
        <v>100</v>
      </c>
      <c r="O21" s="71" t="str">
        <f t="shared" si="2"/>
        <v>N</v>
      </c>
      <c r="P21" s="71" t="s">
        <v>2083</v>
      </c>
      <c r="Q21" s="119"/>
      <c r="R21" s="75" t="s">
        <v>1343</v>
      </c>
      <c r="S21" s="75"/>
      <c r="T21" s="75"/>
      <c r="U21" s="75"/>
      <c r="V21" s="64">
        <v>19</v>
      </c>
      <c r="W21" s="69"/>
      <c r="X21" s="70"/>
      <c r="Y21" s="71"/>
      <c r="Z21" s="70" t="e">
        <f>VLOOKUP($Y21,客戶編輯設定自動代出!$A:$C,3,0)</f>
        <v>#N/A</v>
      </c>
      <c r="AA21" s="70" t="e">
        <f>VLOOKUP($Y21,客戶編輯設定自動代出!$A:$C,2,0)</f>
        <v>#N/A</v>
      </c>
      <c r="AB21" s="125" t="s">
        <v>1634</v>
      </c>
      <c r="AC21" s="70"/>
      <c r="AD21" s="70"/>
      <c r="AE21" s="72"/>
      <c r="AF21" s="72">
        <f t="shared" si="3"/>
        <v>0</v>
      </c>
      <c r="AG21" s="73"/>
      <c r="AH21" s="74">
        <f t="shared" si="4"/>
        <v>0</v>
      </c>
      <c r="AI21" s="74">
        <f t="shared" si="5"/>
        <v>0</v>
      </c>
      <c r="AJ21" s="71" t="str">
        <f t="shared" si="6"/>
        <v>Y</v>
      </c>
      <c r="AK21" s="71"/>
      <c r="AL21" s="71"/>
      <c r="AM21" s="75"/>
      <c r="AN21" s="75"/>
      <c r="AO21" s="75"/>
      <c r="AP21" s="75"/>
      <c r="AQ21" s="64">
        <v>19</v>
      </c>
      <c r="AR21" s="70"/>
      <c r="AU21" s="70" t="e">
        <f>VLOOKUP($AT21,客戶編輯設定自動代出!$A:$C,3,0)</f>
        <v>#N/A</v>
      </c>
      <c r="AV21" s="70" t="e">
        <f>VLOOKUP($AT21,客戶編輯設定自動代出!$A:$C,2,0)</f>
        <v>#N/A</v>
      </c>
      <c r="AW21" s="76" t="s">
        <v>1933</v>
      </c>
      <c r="BA21" s="72">
        <f t="shared" si="13"/>
        <v>0</v>
      </c>
      <c r="BB21" s="77"/>
      <c r="BC21" s="74">
        <f t="shared" si="14"/>
        <v>0</v>
      </c>
      <c r="BD21" s="74">
        <f t="shared" si="15"/>
        <v>0</v>
      </c>
      <c r="BE21" s="71" t="str">
        <f t="shared" si="10"/>
        <v>Y</v>
      </c>
      <c r="BJ21" s="64">
        <v>19</v>
      </c>
      <c r="BM21" s="70" t="e">
        <f>VLOOKUP(BL21,[1]客戶編輯設定自動代出!L:N,3,0)</f>
        <v>#N/A</v>
      </c>
      <c r="BN21" s="70" t="e">
        <f>VLOOKUP(BL21,[1]客戶編輯設定自動代出!L:N,2,0)</f>
        <v>#N/A</v>
      </c>
      <c r="BO21" s="78" t="s">
        <v>1983</v>
      </c>
      <c r="BQ21" s="74">
        <f t="shared" si="11"/>
        <v>0</v>
      </c>
      <c r="BR21" s="74">
        <f t="shared" si="12"/>
        <v>0</v>
      </c>
      <c r="BT21" s="75"/>
    </row>
    <row r="22" spans="1:72" ht="16.5" x14ac:dyDescent="0.25">
      <c r="A22" s="64">
        <v>20</v>
      </c>
      <c r="B22" s="69" t="s">
        <v>2081</v>
      </c>
      <c r="C22" s="70">
        <v>1150509</v>
      </c>
      <c r="D22" s="71">
        <v>932</v>
      </c>
      <c r="E22" s="70" t="str">
        <f>VLOOKUP($D22,客戶編輯設定自動代出!$A:$C,3,0)</f>
        <v>加和紙業</v>
      </c>
      <c r="F22" s="70">
        <f>VLOOKUP($D22,客戶編輯設定自動代出!$A:$C,2,0)</f>
        <v>50547286</v>
      </c>
      <c r="G22" s="70" t="s">
        <v>1381</v>
      </c>
      <c r="H22" s="70" t="s">
        <v>2087</v>
      </c>
      <c r="I22" s="70">
        <v>1</v>
      </c>
      <c r="J22" s="72">
        <v>400</v>
      </c>
      <c r="K22" s="72">
        <f t="shared" si="0"/>
        <v>400</v>
      </c>
      <c r="L22" s="73">
        <v>400</v>
      </c>
      <c r="M22" s="74">
        <f t="shared" si="1"/>
        <v>380.95238095238096</v>
      </c>
      <c r="N22" s="74">
        <v>19</v>
      </c>
      <c r="O22" s="71" t="str">
        <f t="shared" si="2"/>
        <v>Y</v>
      </c>
      <c r="P22" s="71" t="s">
        <v>2073</v>
      </c>
      <c r="Q22" s="119"/>
      <c r="R22" s="75" t="s">
        <v>1343</v>
      </c>
      <c r="S22" s="75"/>
      <c r="T22" s="75"/>
      <c r="U22" s="75"/>
      <c r="V22" s="64">
        <v>20</v>
      </c>
      <c r="W22" s="69"/>
      <c r="X22" s="70"/>
      <c r="Y22" s="71"/>
      <c r="Z22" s="70" t="e">
        <f>VLOOKUP($Y22,客戶編輯設定自動代出!$A:$C,3,0)</f>
        <v>#N/A</v>
      </c>
      <c r="AA22" s="70" t="e">
        <f>VLOOKUP($Y22,客戶編輯設定自動代出!$A:$C,2,0)</f>
        <v>#N/A</v>
      </c>
      <c r="AB22" s="70" t="s">
        <v>1635</v>
      </c>
      <c r="AC22" s="70"/>
      <c r="AD22" s="70"/>
      <c r="AE22" s="72"/>
      <c r="AF22" s="72">
        <f t="shared" si="3"/>
        <v>0</v>
      </c>
      <c r="AG22" s="73"/>
      <c r="AH22" s="74">
        <f t="shared" si="4"/>
        <v>0</v>
      </c>
      <c r="AI22" s="74">
        <f t="shared" si="5"/>
        <v>0</v>
      </c>
      <c r="AJ22" s="71" t="str">
        <f t="shared" si="6"/>
        <v>Y</v>
      </c>
      <c r="AK22" s="71"/>
      <c r="AL22" s="71"/>
      <c r="AM22" s="75"/>
      <c r="AN22" s="75"/>
      <c r="AO22" s="75"/>
      <c r="AP22" s="75"/>
      <c r="AQ22" s="64">
        <v>20</v>
      </c>
      <c r="AR22" s="70"/>
      <c r="AU22" s="70" t="e">
        <f>VLOOKUP($AT22,客戶編輯設定自動代出!$A:$C,3,0)</f>
        <v>#N/A</v>
      </c>
      <c r="AV22" s="70" t="e">
        <f>VLOOKUP($AT22,客戶編輯設定自動代出!$A:$C,2,0)</f>
        <v>#N/A</v>
      </c>
      <c r="AW22" s="76" t="s">
        <v>1934</v>
      </c>
      <c r="BA22" s="72">
        <f t="shared" si="13"/>
        <v>0</v>
      </c>
      <c r="BB22" s="77"/>
      <c r="BC22" s="74">
        <f t="shared" si="14"/>
        <v>0</v>
      </c>
      <c r="BD22" s="74">
        <f t="shared" si="15"/>
        <v>0</v>
      </c>
      <c r="BE22" s="71" t="str">
        <f t="shared" si="10"/>
        <v>Y</v>
      </c>
      <c r="BJ22" s="64">
        <v>20</v>
      </c>
      <c r="BM22" s="70" t="e">
        <f>VLOOKUP(BL22,[1]客戶編輯設定自動代出!L:N,3,0)</f>
        <v>#N/A</v>
      </c>
      <c r="BN22" s="70" t="e">
        <f>VLOOKUP(BL22,[1]客戶編輯設定自動代出!L:N,2,0)</f>
        <v>#N/A</v>
      </c>
      <c r="BO22" s="78" t="s">
        <v>1984</v>
      </c>
      <c r="BQ22" s="74">
        <f t="shared" si="11"/>
        <v>0</v>
      </c>
      <c r="BR22" s="74">
        <f t="shared" si="12"/>
        <v>0</v>
      </c>
      <c r="BT22" s="75"/>
    </row>
    <row r="23" spans="1:72" ht="16.5" x14ac:dyDescent="0.25">
      <c r="A23" s="64">
        <v>21</v>
      </c>
      <c r="B23" s="69" t="s">
        <v>2081</v>
      </c>
      <c r="C23" s="70">
        <v>1150509</v>
      </c>
      <c r="D23" s="71">
        <v>932</v>
      </c>
      <c r="E23" s="70" t="str">
        <f>VLOOKUP($D23,客戶編輯設定自動代出!$A:$C,3,0)</f>
        <v>加和紙業</v>
      </c>
      <c r="F23" s="70">
        <f>VLOOKUP($D23,客戶編輯設定自動代出!$A:$C,2,0)</f>
        <v>50547286</v>
      </c>
      <c r="G23" s="70" t="s">
        <v>1382</v>
      </c>
      <c r="H23" s="70" t="s">
        <v>2027</v>
      </c>
      <c r="I23" s="70">
        <v>2</v>
      </c>
      <c r="J23" s="72">
        <v>7000</v>
      </c>
      <c r="K23" s="72">
        <f t="shared" si="0"/>
        <v>14000</v>
      </c>
      <c r="L23" s="73">
        <v>14000</v>
      </c>
      <c r="M23" s="74">
        <f t="shared" si="1"/>
        <v>13333.333333333332</v>
      </c>
      <c r="N23" s="74">
        <v>667</v>
      </c>
      <c r="O23" s="71" t="str">
        <f t="shared" si="2"/>
        <v>Y</v>
      </c>
      <c r="P23" s="71" t="s">
        <v>2073</v>
      </c>
      <c r="Q23" s="119"/>
      <c r="R23" s="75" t="s">
        <v>1343</v>
      </c>
      <c r="S23" s="75"/>
      <c r="T23" s="75"/>
      <c r="U23" s="75"/>
      <c r="V23" s="64">
        <v>21</v>
      </c>
      <c r="W23" s="69"/>
      <c r="X23" s="70"/>
      <c r="Y23" s="71"/>
      <c r="Z23" s="70" t="e">
        <f>VLOOKUP($Y23,客戶編輯設定自動代出!$A:$C,3,0)</f>
        <v>#N/A</v>
      </c>
      <c r="AA23" s="70" t="e">
        <f>VLOOKUP($Y23,客戶編輯設定自動代出!$A:$C,2,0)</f>
        <v>#N/A</v>
      </c>
      <c r="AB23" s="70" t="s">
        <v>1636</v>
      </c>
      <c r="AC23" s="70"/>
      <c r="AD23" s="70"/>
      <c r="AE23" s="72"/>
      <c r="AF23" s="72">
        <f t="shared" si="3"/>
        <v>0</v>
      </c>
      <c r="AG23" s="73"/>
      <c r="AH23" s="74">
        <f t="shared" si="4"/>
        <v>0</v>
      </c>
      <c r="AI23" s="74">
        <f t="shared" si="5"/>
        <v>0</v>
      </c>
      <c r="AJ23" s="71" t="str">
        <f t="shared" si="6"/>
        <v>Y</v>
      </c>
      <c r="AK23" s="71"/>
      <c r="AL23" s="71"/>
      <c r="AM23" s="75"/>
      <c r="AN23" s="75"/>
      <c r="AO23" s="75"/>
      <c r="AP23" s="75"/>
      <c r="AQ23" s="64">
        <v>21</v>
      </c>
      <c r="AR23" s="70"/>
      <c r="AU23" s="70" t="e">
        <f>VLOOKUP($AT23,客戶編輯設定自動代出!$A:$C,3,0)</f>
        <v>#N/A</v>
      </c>
      <c r="AV23" s="70" t="e">
        <f>VLOOKUP($AT23,客戶編輯設定自動代出!$A:$C,2,0)</f>
        <v>#N/A</v>
      </c>
      <c r="AW23" s="76" t="s">
        <v>1935</v>
      </c>
      <c r="BA23" s="72">
        <f t="shared" si="13"/>
        <v>0</v>
      </c>
      <c r="BB23" s="77"/>
      <c r="BC23" s="74">
        <f t="shared" si="14"/>
        <v>0</v>
      </c>
      <c r="BD23" s="74">
        <f t="shared" si="15"/>
        <v>0</v>
      </c>
      <c r="BE23" s="71" t="str">
        <f t="shared" si="10"/>
        <v>Y</v>
      </c>
      <c r="BJ23" s="64">
        <v>21</v>
      </c>
      <c r="BM23" s="70" t="e">
        <f>VLOOKUP(BL23,[1]客戶編輯設定自動代出!L:N,3,0)</f>
        <v>#N/A</v>
      </c>
      <c r="BN23" s="70" t="e">
        <f>VLOOKUP(BL23,[1]客戶編輯設定自動代出!L:N,2,0)</f>
        <v>#N/A</v>
      </c>
      <c r="BO23" s="78" t="s">
        <v>1985</v>
      </c>
      <c r="BQ23" s="74">
        <f t="shared" si="11"/>
        <v>0</v>
      </c>
      <c r="BR23" s="74">
        <f t="shared" si="12"/>
        <v>0</v>
      </c>
      <c r="BT23" s="75"/>
    </row>
    <row r="24" spans="1:72" ht="16.5" x14ac:dyDescent="0.25">
      <c r="A24" s="64">
        <v>22</v>
      </c>
      <c r="B24" s="69" t="s">
        <v>2081</v>
      </c>
      <c r="C24" s="70">
        <v>1150509</v>
      </c>
      <c r="D24" s="71">
        <v>8</v>
      </c>
      <c r="E24" s="70" t="str">
        <f>VLOOKUP($D24,客戶編輯設定自動代出!$A:$C,3,0)</f>
        <v>路人</v>
      </c>
      <c r="F24" s="70">
        <f>VLOOKUP($D24,客戶編輯設定自動代出!$A:$C,2,0)</f>
        <v>0</v>
      </c>
      <c r="G24" s="70" t="s">
        <v>1383</v>
      </c>
      <c r="H24" s="70" t="s">
        <v>2027</v>
      </c>
      <c r="I24" s="70">
        <v>4</v>
      </c>
      <c r="J24" s="72">
        <v>5500</v>
      </c>
      <c r="K24" s="72">
        <f t="shared" si="0"/>
        <v>22000</v>
      </c>
      <c r="L24" s="73">
        <v>23100</v>
      </c>
      <c r="M24" s="74">
        <f t="shared" si="1"/>
        <v>22000</v>
      </c>
      <c r="N24" s="74">
        <v>1100</v>
      </c>
      <c r="O24" s="71" t="str">
        <f t="shared" si="2"/>
        <v>N</v>
      </c>
      <c r="P24" s="71" t="s">
        <v>2088</v>
      </c>
      <c r="Q24" s="119" t="s">
        <v>2089</v>
      </c>
      <c r="R24" s="75" t="s">
        <v>1343</v>
      </c>
      <c r="S24" s="75"/>
      <c r="T24" s="75"/>
      <c r="U24" s="75"/>
      <c r="V24" s="64">
        <v>22</v>
      </c>
      <c r="W24" s="69"/>
      <c r="X24" s="70"/>
      <c r="Y24" s="71"/>
      <c r="Z24" s="70" t="e">
        <f>VLOOKUP($Y24,客戶編輯設定自動代出!$A:$C,3,0)</f>
        <v>#N/A</v>
      </c>
      <c r="AA24" s="70" t="e">
        <f>VLOOKUP($Y24,客戶編輯設定自動代出!$A:$C,2,0)</f>
        <v>#N/A</v>
      </c>
      <c r="AB24" s="70" t="s">
        <v>1637</v>
      </c>
      <c r="AC24" s="70"/>
      <c r="AD24" s="70"/>
      <c r="AE24" s="72"/>
      <c r="AF24" s="72">
        <f t="shared" si="3"/>
        <v>0</v>
      </c>
      <c r="AG24" s="73"/>
      <c r="AH24" s="74">
        <f t="shared" si="4"/>
        <v>0</v>
      </c>
      <c r="AI24" s="74">
        <f t="shared" si="5"/>
        <v>0</v>
      </c>
      <c r="AJ24" s="71" t="str">
        <f t="shared" si="6"/>
        <v>Y</v>
      </c>
      <c r="AK24" s="71"/>
      <c r="AL24" s="71"/>
      <c r="AM24" s="75"/>
      <c r="AN24" s="75"/>
      <c r="AO24" s="75"/>
      <c r="AP24" s="75"/>
      <c r="AQ24" s="64">
        <v>22</v>
      </c>
      <c r="AR24" s="70"/>
      <c r="AU24" s="70" t="e">
        <f>VLOOKUP($AT24,客戶編輯設定自動代出!$A:$C,3,0)</f>
        <v>#N/A</v>
      </c>
      <c r="AV24" s="70" t="e">
        <f>VLOOKUP($AT24,客戶編輯設定自動代出!$A:$C,2,0)</f>
        <v>#N/A</v>
      </c>
      <c r="AW24" s="76" t="s">
        <v>1936</v>
      </c>
      <c r="BA24" s="72">
        <f t="shared" si="13"/>
        <v>0</v>
      </c>
      <c r="BB24" s="77"/>
      <c r="BC24" s="74">
        <f t="shared" si="14"/>
        <v>0</v>
      </c>
      <c r="BD24" s="74">
        <f t="shared" si="15"/>
        <v>0</v>
      </c>
      <c r="BE24" s="71" t="str">
        <f t="shared" si="10"/>
        <v>Y</v>
      </c>
      <c r="BJ24" s="64">
        <v>22</v>
      </c>
      <c r="BM24" s="70" t="e">
        <f>VLOOKUP(BL24,[1]客戶編輯設定自動代出!L:N,3,0)</f>
        <v>#N/A</v>
      </c>
      <c r="BN24" s="70" t="e">
        <f>VLOOKUP(BL24,[1]客戶編輯設定自動代出!L:N,2,0)</f>
        <v>#N/A</v>
      </c>
      <c r="BO24" s="78" t="s">
        <v>1986</v>
      </c>
      <c r="BQ24" s="74">
        <f t="shared" si="11"/>
        <v>0</v>
      </c>
      <c r="BR24" s="74">
        <f t="shared" si="12"/>
        <v>0</v>
      </c>
      <c r="BT24" s="75"/>
    </row>
    <row r="25" spans="1:72" ht="16.5" x14ac:dyDescent="0.25">
      <c r="A25" s="64">
        <v>23</v>
      </c>
      <c r="B25" s="69" t="s">
        <v>2090</v>
      </c>
      <c r="C25" s="70">
        <v>1150511</v>
      </c>
      <c r="D25" s="71">
        <v>8</v>
      </c>
      <c r="E25" s="70" t="str">
        <f>VLOOKUP($D25,客戶編輯設定自動代出!$A:$C,3,0)</f>
        <v>路人</v>
      </c>
      <c r="F25" s="70">
        <v>95487333</v>
      </c>
      <c r="G25" s="70" t="s">
        <v>1384</v>
      </c>
      <c r="H25" s="70" t="s">
        <v>2027</v>
      </c>
      <c r="I25" s="70">
        <v>2</v>
      </c>
      <c r="J25" s="72">
        <v>12000</v>
      </c>
      <c r="K25" s="72">
        <f t="shared" si="0"/>
        <v>24000</v>
      </c>
      <c r="L25" s="73">
        <v>25200</v>
      </c>
      <c r="M25" s="74">
        <f t="shared" si="1"/>
        <v>24000</v>
      </c>
      <c r="N25" s="74">
        <v>1200</v>
      </c>
      <c r="O25" s="71" t="str">
        <f t="shared" si="2"/>
        <v>N</v>
      </c>
      <c r="P25" s="71" t="s">
        <v>2073</v>
      </c>
      <c r="Q25" s="119"/>
      <c r="R25" s="75" t="s">
        <v>1343</v>
      </c>
      <c r="S25" s="75"/>
      <c r="T25" s="75"/>
      <c r="U25" s="75"/>
      <c r="V25" s="64">
        <v>23</v>
      </c>
      <c r="W25" s="69"/>
      <c r="X25" s="70"/>
      <c r="Y25" s="71"/>
      <c r="Z25" s="70" t="e">
        <f>VLOOKUP($Y25,客戶編輯設定自動代出!$A:$C,3,0)</f>
        <v>#N/A</v>
      </c>
      <c r="AA25" s="70" t="e">
        <f>VLOOKUP($Y25,客戶編輯設定自動代出!$A:$C,2,0)</f>
        <v>#N/A</v>
      </c>
      <c r="AB25" s="70" t="s">
        <v>1638</v>
      </c>
      <c r="AC25" s="70"/>
      <c r="AD25" s="70"/>
      <c r="AE25" s="72"/>
      <c r="AF25" s="72">
        <f t="shared" si="3"/>
        <v>0</v>
      </c>
      <c r="AG25" s="73"/>
      <c r="AH25" s="74">
        <f t="shared" si="4"/>
        <v>0</v>
      </c>
      <c r="AI25" s="74">
        <f t="shared" si="5"/>
        <v>0</v>
      </c>
      <c r="AJ25" s="71" t="str">
        <f t="shared" si="6"/>
        <v>Y</v>
      </c>
      <c r="AK25" s="71"/>
      <c r="AL25" s="71"/>
      <c r="AM25" s="75"/>
      <c r="AN25" s="75"/>
      <c r="AO25" s="75"/>
      <c r="AP25" s="75"/>
      <c r="AQ25" s="64">
        <v>23</v>
      </c>
      <c r="AR25" s="70"/>
      <c r="AU25" s="70" t="e">
        <f>VLOOKUP($AT25,客戶編輯設定自動代出!$A:$C,3,0)</f>
        <v>#N/A</v>
      </c>
      <c r="AV25" s="70" t="e">
        <f>VLOOKUP($AT25,客戶編輯設定自動代出!$A:$C,2,0)</f>
        <v>#N/A</v>
      </c>
      <c r="AW25" s="76" t="s">
        <v>1937</v>
      </c>
      <c r="BA25" s="72">
        <f t="shared" si="13"/>
        <v>0</v>
      </c>
      <c r="BB25" s="77"/>
      <c r="BC25" s="74">
        <f t="shared" si="14"/>
        <v>0</v>
      </c>
      <c r="BD25" s="74">
        <f t="shared" si="15"/>
        <v>0</v>
      </c>
      <c r="BE25" s="71" t="str">
        <f t="shared" si="10"/>
        <v>Y</v>
      </c>
      <c r="BJ25" s="64">
        <v>23</v>
      </c>
      <c r="BM25" s="70" t="e">
        <f>VLOOKUP(BL25,[1]客戶編輯設定自動代出!L:N,3,0)</f>
        <v>#N/A</v>
      </c>
      <c r="BN25" s="70" t="e">
        <f>VLOOKUP(BL25,[1]客戶編輯設定自動代出!L:N,2,0)</f>
        <v>#N/A</v>
      </c>
      <c r="BO25" s="78" t="s">
        <v>1987</v>
      </c>
      <c r="BQ25" s="74">
        <f t="shared" si="11"/>
        <v>0</v>
      </c>
      <c r="BR25" s="74">
        <f t="shared" si="12"/>
        <v>0</v>
      </c>
      <c r="BT25" s="75"/>
    </row>
    <row r="26" spans="1:72" ht="16.5" x14ac:dyDescent="0.25">
      <c r="A26" s="64">
        <v>24</v>
      </c>
      <c r="B26" s="69" t="s">
        <v>2090</v>
      </c>
      <c r="C26" s="70">
        <v>1150511</v>
      </c>
      <c r="D26" s="71">
        <v>8</v>
      </c>
      <c r="E26" s="70" t="str">
        <f>VLOOKUP($D26,客戶編輯設定自動代出!$A:$C,3,0)</f>
        <v>路人</v>
      </c>
      <c r="F26" s="70">
        <f>VLOOKUP($D26,客戶編輯設定自動代出!$A:$C,2,0)</f>
        <v>0</v>
      </c>
      <c r="G26" s="70" t="s">
        <v>1385</v>
      </c>
      <c r="H26" s="70" t="s">
        <v>2082</v>
      </c>
      <c r="I26" s="70">
        <v>1</v>
      </c>
      <c r="J26" s="72">
        <v>2000</v>
      </c>
      <c r="K26" s="72">
        <f t="shared" si="0"/>
        <v>2000</v>
      </c>
      <c r="L26" s="73">
        <v>2100</v>
      </c>
      <c r="M26" s="74">
        <f t="shared" si="1"/>
        <v>2000</v>
      </c>
      <c r="N26" s="74">
        <v>100</v>
      </c>
      <c r="O26" s="71" t="str">
        <f t="shared" si="2"/>
        <v>N</v>
      </c>
      <c r="P26" s="71" t="s">
        <v>2088</v>
      </c>
      <c r="Q26" s="119" t="s">
        <v>2096</v>
      </c>
      <c r="R26" s="75" t="s">
        <v>1343</v>
      </c>
      <c r="S26" s="75"/>
      <c r="T26" s="75"/>
      <c r="U26" s="75"/>
      <c r="V26" s="64">
        <v>24</v>
      </c>
      <c r="W26" s="69"/>
      <c r="X26" s="70"/>
      <c r="Y26" s="71"/>
      <c r="Z26" s="70" t="e">
        <f>VLOOKUP($Y26,客戶編輯設定自動代出!$A:$C,3,0)</f>
        <v>#N/A</v>
      </c>
      <c r="AA26" s="70" t="e">
        <f>VLOOKUP($Y26,客戶編輯設定自動代出!$A:$C,2,0)</f>
        <v>#N/A</v>
      </c>
      <c r="AB26" s="70" t="s">
        <v>1639</v>
      </c>
      <c r="AC26" s="70"/>
      <c r="AD26" s="70"/>
      <c r="AE26" s="72"/>
      <c r="AF26" s="72">
        <f t="shared" si="3"/>
        <v>0</v>
      </c>
      <c r="AG26" s="73"/>
      <c r="AH26" s="74">
        <f t="shared" si="4"/>
        <v>0</v>
      </c>
      <c r="AI26" s="74">
        <f t="shared" si="5"/>
        <v>0</v>
      </c>
      <c r="AJ26" s="71" t="str">
        <f t="shared" si="6"/>
        <v>Y</v>
      </c>
      <c r="AK26" s="71"/>
      <c r="AL26" s="71"/>
      <c r="AM26" s="75"/>
      <c r="AN26" s="75"/>
      <c r="AO26" s="75"/>
      <c r="AP26" s="75"/>
      <c r="AQ26" s="64">
        <v>24</v>
      </c>
      <c r="AR26" s="70"/>
      <c r="AU26" s="70" t="e">
        <f>VLOOKUP($AT26,客戶編輯設定自動代出!$A:$C,3,0)</f>
        <v>#N/A</v>
      </c>
      <c r="AV26" s="70" t="e">
        <f>VLOOKUP($AT26,客戶編輯設定自動代出!$A:$C,2,0)</f>
        <v>#N/A</v>
      </c>
      <c r="AW26" s="76" t="s">
        <v>1938</v>
      </c>
      <c r="BA26" s="72">
        <f t="shared" si="13"/>
        <v>0</v>
      </c>
      <c r="BB26" s="77"/>
      <c r="BC26" s="74">
        <f t="shared" si="14"/>
        <v>0</v>
      </c>
      <c r="BD26" s="74">
        <f t="shared" si="15"/>
        <v>0</v>
      </c>
      <c r="BE26" s="71" t="str">
        <f t="shared" si="10"/>
        <v>Y</v>
      </c>
      <c r="BJ26" s="64">
        <v>24</v>
      </c>
      <c r="BM26" s="70" t="e">
        <f>VLOOKUP(BL26,[1]客戶編輯設定自動代出!L:N,3,0)</f>
        <v>#N/A</v>
      </c>
      <c r="BN26" s="70" t="e">
        <f>VLOOKUP(BL26,[1]客戶編輯設定自動代出!L:N,2,0)</f>
        <v>#N/A</v>
      </c>
      <c r="BO26" s="78" t="s">
        <v>1988</v>
      </c>
      <c r="BQ26" s="74">
        <f t="shared" si="11"/>
        <v>0</v>
      </c>
      <c r="BR26" s="74">
        <f t="shared" si="12"/>
        <v>0</v>
      </c>
      <c r="BT26" s="75"/>
    </row>
    <row r="27" spans="1:72" ht="16.5" x14ac:dyDescent="0.25">
      <c r="A27" s="64">
        <v>25</v>
      </c>
      <c r="B27" s="69" t="s">
        <v>2090</v>
      </c>
      <c r="C27" s="70">
        <v>1150511</v>
      </c>
      <c r="D27" s="71">
        <v>481</v>
      </c>
      <c r="E27" s="70" t="str">
        <f>VLOOKUP($D27,客戶編輯設定自動代出!$A:$C,3,0)</f>
        <v>後龍鎮公所</v>
      </c>
      <c r="F27" s="70">
        <f>VLOOKUP($D27,客戶編輯設定自動代出!$A:$C,2,0)</f>
        <v>50402704</v>
      </c>
      <c r="G27" s="70" t="s">
        <v>1386</v>
      </c>
      <c r="H27" s="70" t="s">
        <v>2027</v>
      </c>
      <c r="I27" s="70">
        <v>8</v>
      </c>
      <c r="J27" s="72">
        <v>6750</v>
      </c>
      <c r="K27" s="72">
        <f t="shared" si="0"/>
        <v>54000</v>
      </c>
      <c r="L27" s="73">
        <v>54000</v>
      </c>
      <c r="M27" s="74">
        <f t="shared" si="1"/>
        <v>51428.571428571428</v>
      </c>
      <c r="N27" s="74">
        <v>2571</v>
      </c>
      <c r="O27" s="71" t="str">
        <f t="shared" si="2"/>
        <v>Y</v>
      </c>
      <c r="P27" s="71" t="s">
        <v>2073</v>
      </c>
      <c r="Q27" s="119"/>
      <c r="R27" s="75" t="s">
        <v>1343</v>
      </c>
      <c r="S27" s="75"/>
      <c r="T27" s="75"/>
      <c r="U27" s="75"/>
      <c r="V27" s="64">
        <v>25</v>
      </c>
      <c r="W27" s="69"/>
      <c r="X27" s="70"/>
      <c r="Y27" s="71"/>
      <c r="Z27" s="70" t="e">
        <f>VLOOKUP($Y27,客戶編輯設定自動代出!$A:$C,3,0)</f>
        <v>#N/A</v>
      </c>
      <c r="AA27" s="70" t="e">
        <f>VLOOKUP($Y27,客戶編輯設定自動代出!$A:$C,2,0)</f>
        <v>#N/A</v>
      </c>
      <c r="AB27" s="70" t="s">
        <v>1640</v>
      </c>
      <c r="AC27" s="70"/>
      <c r="AD27" s="70"/>
      <c r="AE27" s="72"/>
      <c r="AF27" s="72">
        <f t="shared" si="3"/>
        <v>0</v>
      </c>
      <c r="AG27" s="73"/>
      <c r="AH27" s="74">
        <f t="shared" si="4"/>
        <v>0</v>
      </c>
      <c r="AI27" s="74">
        <f t="shared" si="5"/>
        <v>0</v>
      </c>
      <c r="AJ27" s="71" t="str">
        <f t="shared" si="6"/>
        <v>Y</v>
      </c>
      <c r="AK27" s="71"/>
      <c r="AL27" s="71"/>
      <c r="AM27" s="75"/>
      <c r="AN27" s="75"/>
      <c r="AO27" s="75"/>
      <c r="AP27" s="75"/>
      <c r="AQ27" s="64">
        <v>25</v>
      </c>
      <c r="AR27" s="70"/>
      <c r="AU27" s="70" t="e">
        <f>VLOOKUP($AT27,客戶編輯設定自動代出!$A:$C,3,0)</f>
        <v>#N/A</v>
      </c>
      <c r="AV27" s="70" t="e">
        <f>VLOOKUP($AT27,客戶編輯設定自動代出!$A:$C,2,0)</f>
        <v>#N/A</v>
      </c>
      <c r="AW27" s="76" t="s">
        <v>1939</v>
      </c>
      <c r="BA27" s="72">
        <f t="shared" si="13"/>
        <v>0</v>
      </c>
      <c r="BB27" s="77"/>
      <c r="BC27" s="74">
        <f t="shared" si="14"/>
        <v>0</v>
      </c>
      <c r="BD27" s="74">
        <f t="shared" si="15"/>
        <v>0</v>
      </c>
      <c r="BE27" s="71" t="str">
        <f t="shared" si="10"/>
        <v>Y</v>
      </c>
      <c r="BJ27" s="64">
        <v>25</v>
      </c>
      <c r="BM27" s="70" t="e">
        <f>VLOOKUP(BL27,[1]客戶編輯設定自動代出!L:N,3,0)</f>
        <v>#N/A</v>
      </c>
      <c r="BN27" s="70" t="e">
        <f>VLOOKUP(BL27,[1]客戶編輯設定自動代出!L:N,2,0)</f>
        <v>#N/A</v>
      </c>
      <c r="BO27" s="78" t="s">
        <v>1989</v>
      </c>
      <c r="BQ27" s="74">
        <f t="shared" si="11"/>
        <v>0</v>
      </c>
      <c r="BR27" s="74">
        <f t="shared" si="12"/>
        <v>0</v>
      </c>
      <c r="BT27" s="75"/>
    </row>
    <row r="28" spans="1:72" ht="16.5" x14ac:dyDescent="0.25">
      <c r="A28" s="64">
        <v>26</v>
      </c>
      <c r="B28" s="69" t="s">
        <v>2106</v>
      </c>
      <c r="C28" s="70">
        <v>1150513</v>
      </c>
      <c r="D28" s="71">
        <v>784</v>
      </c>
      <c r="E28" s="70" t="str">
        <f>VLOOKUP($D28,客戶編輯設定自動代出!$A:$C,3,0)</f>
        <v>台北合眾汽車有限公司</v>
      </c>
      <c r="F28" s="70">
        <f>VLOOKUP($D28,客戶編輯設定自動代出!$A:$C,2,0)</f>
        <v>53352812</v>
      </c>
      <c r="G28" s="70" t="s">
        <v>1387</v>
      </c>
      <c r="H28" s="70" t="s">
        <v>2020</v>
      </c>
      <c r="I28" s="70">
        <v>1</v>
      </c>
      <c r="J28" s="72">
        <v>2500</v>
      </c>
      <c r="K28" s="72">
        <f t="shared" si="0"/>
        <v>2500</v>
      </c>
      <c r="L28" s="73">
        <v>2500</v>
      </c>
      <c r="M28" s="74">
        <f t="shared" si="1"/>
        <v>2380.9523809523807</v>
      </c>
      <c r="N28" s="74">
        <v>119</v>
      </c>
      <c r="O28" s="71" t="str">
        <f t="shared" si="2"/>
        <v>Y</v>
      </c>
      <c r="P28" s="71" t="s">
        <v>2073</v>
      </c>
      <c r="Q28" s="119"/>
      <c r="R28" s="75" t="s">
        <v>1343</v>
      </c>
      <c r="S28" s="75"/>
      <c r="T28" s="75"/>
      <c r="U28" s="75"/>
      <c r="V28" s="64">
        <v>26</v>
      </c>
      <c r="W28" s="69"/>
      <c r="X28" s="70"/>
      <c r="Y28" s="71"/>
      <c r="Z28" s="70" t="e">
        <f>VLOOKUP($Y28,客戶編輯設定自動代出!$A:$C,3,0)</f>
        <v>#N/A</v>
      </c>
      <c r="AA28" s="70" t="e">
        <f>VLOOKUP($Y28,客戶編輯設定自動代出!$A:$C,2,0)</f>
        <v>#N/A</v>
      </c>
      <c r="AB28" s="70" t="s">
        <v>1641</v>
      </c>
      <c r="AC28" s="70"/>
      <c r="AD28" s="70"/>
      <c r="AE28" s="72"/>
      <c r="AF28" s="72">
        <f t="shared" si="3"/>
        <v>0</v>
      </c>
      <c r="AG28" s="73"/>
      <c r="AH28" s="74">
        <f t="shared" si="4"/>
        <v>0</v>
      </c>
      <c r="AI28" s="74">
        <f t="shared" si="5"/>
        <v>0</v>
      </c>
      <c r="AJ28" s="71" t="str">
        <f t="shared" si="6"/>
        <v>Y</v>
      </c>
      <c r="AK28" s="71"/>
      <c r="AL28" s="71"/>
      <c r="AM28" s="75"/>
      <c r="AN28" s="75"/>
      <c r="AO28" s="75"/>
      <c r="AP28" s="75"/>
      <c r="AQ28" s="64">
        <v>26</v>
      </c>
      <c r="AR28" s="70"/>
      <c r="AU28" s="70" t="e">
        <f>VLOOKUP($AT28,客戶編輯設定自動代出!$A:$C,3,0)</f>
        <v>#N/A</v>
      </c>
      <c r="AV28" s="70" t="e">
        <f>VLOOKUP($AT28,客戶編輯設定自動代出!$A:$C,2,0)</f>
        <v>#N/A</v>
      </c>
      <c r="AW28" s="76" t="s">
        <v>1940</v>
      </c>
      <c r="BA28" s="72">
        <f t="shared" si="13"/>
        <v>0</v>
      </c>
      <c r="BB28" s="77"/>
      <c r="BC28" s="74">
        <f t="shared" si="14"/>
        <v>0</v>
      </c>
      <c r="BD28" s="74">
        <f t="shared" si="15"/>
        <v>0</v>
      </c>
      <c r="BE28" s="71" t="str">
        <f t="shared" si="10"/>
        <v>Y</v>
      </c>
      <c r="BJ28" s="64">
        <v>26</v>
      </c>
      <c r="BM28" s="70" t="e">
        <f>VLOOKUP(BL28,[1]客戶編輯設定自動代出!L:N,3,0)</f>
        <v>#N/A</v>
      </c>
      <c r="BN28" s="70" t="e">
        <f>VLOOKUP(BL28,[1]客戶編輯設定自動代出!L:N,2,0)</f>
        <v>#N/A</v>
      </c>
      <c r="BO28" s="78" t="s">
        <v>1990</v>
      </c>
      <c r="BQ28" s="74">
        <f t="shared" si="11"/>
        <v>0</v>
      </c>
      <c r="BR28" s="74">
        <f t="shared" si="12"/>
        <v>0</v>
      </c>
      <c r="BT28" s="75"/>
    </row>
    <row r="29" spans="1:72" ht="16.5" x14ac:dyDescent="0.25">
      <c r="A29" s="64">
        <v>27</v>
      </c>
      <c r="B29" s="69" t="s">
        <v>2108</v>
      </c>
      <c r="C29" s="70">
        <v>1150514</v>
      </c>
      <c r="D29" s="71">
        <v>8</v>
      </c>
      <c r="E29" s="70" t="str">
        <f>VLOOKUP($D29,客戶編輯設定自動代出!$A:$C,3,0)</f>
        <v>路人</v>
      </c>
      <c r="F29" s="70">
        <v>80773631</v>
      </c>
      <c r="G29" s="70" t="s">
        <v>1388</v>
      </c>
      <c r="H29" s="70" t="s">
        <v>2027</v>
      </c>
      <c r="I29" s="70">
        <v>3</v>
      </c>
      <c r="J29" s="72">
        <v>3800</v>
      </c>
      <c r="K29" s="72">
        <f t="shared" si="0"/>
        <v>11400</v>
      </c>
      <c r="L29" s="73">
        <v>11970</v>
      </c>
      <c r="M29" s="74">
        <f t="shared" si="1"/>
        <v>11400</v>
      </c>
      <c r="N29" s="74">
        <v>570</v>
      </c>
      <c r="O29" s="71" t="str">
        <f t="shared" si="2"/>
        <v>N</v>
      </c>
      <c r="P29" s="71" t="s">
        <v>2088</v>
      </c>
      <c r="Q29" s="119" t="s">
        <v>2109</v>
      </c>
      <c r="R29" s="75" t="s">
        <v>2021</v>
      </c>
      <c r="S29" s="75"/>
      <c r="T29" s="75"/>
      <c r="U29" s="75"/>
      <c r="V29" s="64">
        <v>27</v>
      </c>
      <c r="W29" s="69"/>
      <c r="X29" s="70"/>
      <c r="Y29" s="71"/>
      <c r="Z29" s="70" t="e">
        <f>VLOOKUP($Y29,客戶編輯設定自動代出!$A:$C,3,0)</f>
        <v>#N/A</v>
      </c>
      <c r="AA29" s="70" t="e">
        <f>VLOOKUP($Y29,客戶編輯設定自動代出!$A:$C,2,0)</f>
        <v>#N/A</v>
      </c>
      <c r="AB29" s="70" t="s">
        <v>1642</v>
      </c>
      <c r="AC29" s="70"/>
      <c r="AD29" s="70"/>
      <c r="AE29" s="72"/>
      <c r="AF29" s="72">
        <f t="shared" si="3"/>
        <v>0</v>
      </c>
      <c r="AG29" s="73"/>
      <c r="AH29" s="74">
        <f t="shared" si="4"/>
        <v>0</v>
      </c>
      <c r="AI29" s="74">
        <f t="shared" si="5"/>
        <v>0</v>
      </c>
      <c r="AJ29" s="71" t="str">
        <f t="shared" si="6"/>
        <v>Y</v>
      </c>
      <c r="AK29" s="71"/>
      <c r="AL29" s="71"/>
      <c r="AM29" s="75"/>
      <c r="AN29" s="75"/>
      <c r="AO29" s="75"/>
      <c r="AP29" s="75"/>
      <c r="AQ29" s="64">
        <v>27</v>
      </c>
      <c r="AR29" s="70"/>
      <c r="AU29" s="70" t="e">
        <f>VLOOKUP($AT29,客戶編輯設定自動代出!$A:$C,3,0)</f>
        <v>#N/A</v>
      </c>
      <c r="AV29" s="70" t="e">
        <f>VLOOKUP($AT29,客戶編輯設定自動代出!$A:$C,2,0)</f>
        <v>#N/A</v>
      </c>
      <c r="AW29" s="76" t="s">
        <v>1941</v>
      </c>
      <c r="BA29" s="72">
        <f t="shared" si="13"/>
        <v>0</v>
      </c>
      <c r="BB29" s="77"/>
      <c r="BC29" s="74">
        <f t="shared" si="14"/>
        <v>0</v>
      </c>
      <c r="BD29" s="74">
        <f t="shared" si="15"/>
        <v>0</v>
      </c>
      <c r="BE29" s="71" t="str">
        <f t="shared" si="10"/>
        <v>Y</v>
      </c>
      <c r="BJ29" s="64">
        <v>27</v>
      </c>
      <c r="BM29" s="70" t="e">
        <f>VLOOKUP(BL29,[1]客戶編輯設定自動代出!L:N,3,0)</f>
        <v>#N/A</v>
      </c>
      <c r="BN29" s="70" t="e">
        <f>VLOOKUP(BL29,[1]客戶編輯設定自動代出!L:N,2,0)</f>
        <v>#N/A</v>
      </c>
      <c r="BO29" s="78" t="s">
        <v>1991</v>
      </c>
      <c r="BQ29" s="74">
        <f t="shared" si="11"/>
        <v>0</v>
      </c>
      <c r="BR29" s="74">
        <f t="shared" si="12"/>
        <v>0</v>
      </c>
      <c r="BT29" s="75"/>
    </row>
    <row r="30" spans="1:72" ht="16.5" x14ac:dyDescent="0.25">
      <c r="A30" s="64">
        <v>28</v>
      </c>
      <c r="B30" s="69" t="s">
        <v>2122</v>
      </c>
      <c r="C30" s="70">
        <v>1150515</v>
      </c>
      <c r="D30" s="71">
        <v>8</v>
      </c>
      <c r="E30" s="70" t="str">
        <f>VLOOKUP($D30,客戶編輯設定自動代出!$A:$C,3,0)</f>
        <v>路人</v>
      </c>
      <c r="F30" s="70">
        <f>VLOOKUP($D30,客戶編輯設定自動代出!$A:$C,2,0)</f>
        <v>0</v>
      </c>
      <c r="G30" s="70" t="s">
        <v>1389</v>
      </c>
      <c r="H30" s="70" t="s">
        <v>2016</v>
      </c>
      <c r="I30" s="70">
        <v>1</v>
      </c>
      <c r="J30" s="72">
        <v>2500</v>
      </c>
      <c r="K30" s="72">
        <f t="shared" si="0"/>
        <v>2500</v>
      </c>
      <c r="L30" s="73">
        <v>2625</v>
      </c>
      <c r="M30" s="74">
        <f t="shared" si="1"/>
        <v>2500</v>
      </c>
      <c r="N30" s="74">
        <v>125</v>
      </c>
      <c r="O30" s="71" t="str">
        <f t="shared" si="2"/>
        <v>N</v>
      </c>
      <c r="P30" s="71" t="s">
        <v>2088</v>
      </c>
      <c r="Q30" s="119" t="s">
        <v>2123</v>
      </c>
      <c r="R30" s="75" t="s">
        <v>2021</v>
      </c>
      <c r="S30" s="75"/>
      <c r="T30" s="75"/>
      <c r="U30" s="75"/>
      <c r="V30" s="64">
        <v>28</v>
      </c>
      <c r="W30" s="69"/>
      <c r="X30" s="70"/>
      <c r="Y30" s="71"/>
      <c r="Z30" s="70" t="e">
        <f>VLOOKUP($Y30,客戶編輯設定自動代出!$A:$C,3,0)</f>
        <v>#N/A</v>
      </c>
      <c r="AA30" s="70" t="e">
        <f>VLOOKUP($Y30,客戶編輯設定自動代出!$A:$C,2,0)</f>
        <v>#N/A</v>
      </c>
      <c r="AB30" s="70" t="s">
        <v>1643</v>
      </c>
      <c r="AC30" s="70"/>
      <c r="AD30" s="70"/>
      <c r="AE30" s="72"/>
      <c r="AF30" s="72">
        <f t="shared" si="3"/>
        <v>0</v>
      </c>
      <c r="AG30" s="73"/>
      <c r="AH30" s="74">
        <f t="shared" si="4"/>
        <v>0</v>
      </c>
      <c r="AI30" s="74">
        <f t="shared" si="5"/>
        <v>0</v>
      </c>
      <c r="AJ30" s="71" t="str">
        <f t="shared" si="6"/>
        <v>Y</v>
      </c>
      <c r="AK30" s="71"/>
      <c r="AL30" s="71"/>
      <c r="AM30" s="75"/>
      <c r="AN30" s="75"/>
      <c r="AO30" s="75"/>
      <c r="AP30" s="75"/>
      <c r="AQ30" s="64">
        <v>28</v>
      </c>
      <c r="AR30" s="70"/>
      <c r="AU30" s="70" t="e">
        <f>VLOOKUP($AT30,客戶編輯設定自動代出!$A:$C,3,0)</f>
        <v>#N/A</v>
      </c>
      <c r="AV30" s="70" t="e">
        <f>VLOOKUP($AT30,客戶編輯設定自動代出!$A:$C,2,0)</f>
        <v>#N/A</v>
      </c>
      <c r="AW30" s="76" t="s">
        <v>1942</v>
      </c>
      <c r="BA30" s="72">
        <f t="shared" si="13"/>
        <v>0</v>
      </c>
      <c r="BB30" s="77"/>
      <c r="BC30" s="74">
        <f t="shared" si="14"/>
        <v>0</v>
      </c>
      <c r="BD30" s="74">
        <f t="shared" si="15"/>
        <v>0</v>
      </c>
      <c r="BE30" s="71" t="str">
        <f t="shared" si="10"/>
        <v>Y</v>
      </c>
      <c r="BJ30" s="64">
        <v>28</v>
      </c>
      <c r="BM30" s="70" t="e">
        <f>VLOOKUP(BL30,[1]客戶編輯設定自動代出!L:N,3,0)</f>
        <v>#N/A</v>
      </c>
      <c r="BN30" s="70" t="e">
        <f>VLOOKUP(BL30,[1]客戶編輯設定自動代出!L:N,2,0)</f>
        <v>#N/A</v>
      </c>
      <c r="BO30" s="78" t="s">
        <v>1992</v>
      </c>
      <c r="BQ30" s="74">
        <f t="shared" si="11"/>
        <v>0</v>
      </c>
      <c r="BR30" s="74">
        <f t="shared" si="12"/>
        <v>0</v>
      </c>
      <c r="BT30" s="75"/>
    </row>
    <row r="31" spans="1:72" ht="16.5" x14ac:dyDescent="0.25">
      <c r="A31" s="64">
        <v>29</v>
      </c>
      <c r="B31" s="69" t="s">
        <v>2129</v>
      </c>
      <c r="C31" s="70">
        <v>1150518</v>
      </c>
      <c r="D31" s="71">
        <v>8</v>
      </c>
      <c r="E31" s="70" t="str">
        <f>VLOOKUP($D31,客戶編輯設定自動代出!$A:$C,3,0)</f>
        <v>路人</v>
      </c>
      <c r="F31" s="70">
        <v>27863346</v>
      </c>
      <c r="G31" s="70" t="s">
        <v>1390</v>
      </c>
      <c r="H31" s="70" t="s">
        <v>2016</v>
      </c>
      <c r="I31" s="70">
        <v>2</v>
      </c>
      <c r="J31" s="72">
        <v>15800</v>
      </c>
      <c r="K31" s="72">
        <f t="shared" si="0"/>
        <v>31600</v>
      </c>
      <c r="L31" s="73">
        <v>33180</v>
      </c>
      <c r="M31" s="74">
        <f t="shared" si="1"/>
        <v>31600</v>
      </c>
      <c r="N31" s="74">
        <v>1580</v>
      </c>
      <c r="O31" s="71" t="str">
        <f t="shared" si="2"/>
        <v>N</v>
      </c>
      <c r="P31" s="71" t="s">
        <v>2088</v>
      </c>
      <c r="Q31" s="119" t="s">
        <v>2130</v>
      </c>
      <c r="R31" s="75" t="s">
        <v>1343</v>
      </c>
      <c r="S31" s="75"/>
      <c r="T31" s="75"/>
      <c r="U31" s="75"/>
      <c r="V31" s="64">
        <v>29</v>
      </c>
      <c r="W31" s="69"/>
      <c r="X31" s="70"/>
      <c r="Y31" s="71"/>
      <c r="Z31" s="70" t="e">
        <f>VLOOKUP($Y31,客戶編輯設定自動代出!$A:$C,3,0)</f>
        <v>#N/A</v>
      </c>
      <c r="AA31" s="70" t="e">
        <f>VLOOKUP($Y31,客戶編輯設定自動代出!$A:$C,2,0)</f>
        <v>#N/A</v>
      </c>
      <c r="AB31" s="70" t="s">
        <v>1644</v>
      </c>
      <c r="AC31" s="70"/>
      <c r="AD31" s="70"/>
      <c r="AE31" s="72"/>
      <c r="AF31" s="72">
        <f t="shared" si="3"/>
        <v>0</v>
      </c>
      <c r="AG31" s="73"/>
      <c r="AH31" s="74">
        <f t="shared" si="4"/>
        <v>0</v>
      </c>
      <c r="AI31" s="74">
        <f t="shared" si="5"/>
        <v>0</v>
      </c>
      <c r="AJ31" s="71" t="str">
        <f t="shared" si="6"/>
        <v>Y</v>
      </c>
      <c r="AK31" s="71"/>
      <c r="AL31" s="71"/>
      <c r="AM31" s="75"/>
      <c r="AN31" s="75"/>
      <c r="AO31" s="75"/>
      <c r="AP31" s="75"/>
      <c r="AQ31" s="64">
        <v>29</v>
      </c>
      <c r="AR31" s="70"/>
      <c r="AU31" s="70" t="e">
        <f>VLOOKUP($AT31,客戶編輯設定自動代出!$A:$C,3,0)</f>
        <v>#N/A</v>
      </c>
      <c r="AV31" s="70" t="e">
        <f>VLOOKUP($AT31,客戶編輯設定自動代出!$A:$C,2,0)</f>
        <v>#N/A</v>
      </c>
      <c r="AW31" s="76" t="s">
        <v>1943</v>
      </c>
      <c r="BA31" s="72">
        <f t="shared" si="13"/>
        <v>0</v>
      </c>
      <c r="BB31" s="77"/>
      <c r="BC31" s="74">
        <f t="shared" si="14"/>
        <v>0</v>
      </c>
      <c r="BD31" s="74">
        <f t="shared" si="15"/>
        <v>0</v>
      </c>
      <c r="BE31" s="71" t="str">
        <f t="shared" si="10"/>
        <v>Y</v>
      </c>
      <c r="BJ31" s="64">
        <v>29</v>
      </c>
      <c r="BM31" s="70" t="e">
        <f>VLOOKUP(BL31,[1]客戶編輯設定自動代出!L:N,3,0)</f>
        <v>#N/A</v>
      </c>
      <c r="BN31" s="70" t="e">
        <f>VLOOKUP(BL31,[1]客戶編輯設定自動代出!L:N,2,0)</f>
        <v>#N/A</v>
      </c>
      <c r="BO31" s="78" t="s">
        <v>1993</v>
      </c>
      <c r="BQ31" s="74">
        <f t="shared" si="11"/>
        <v>0</v>
      </c>
      <c r="BR31" s="74">
        <f t="shared" si="12"/>
        <v>0</v>
      </c>
      <c r="BT31" s="75"/>
    </row>
    <row r="32" spans="1:72" ht="16.5" x14ac:dyDescent="0.25">
      <c r="A32" s="64">
        <v>30</v>
      </c>
      <c r="B32" s="69" t="s">
        <v>2147</v>
      </c>
      <c r="C32" s="70">
        <v>1150519</v>
      </c>
      <c r="D32" s="71">
        <v>775</v>
      </c>
      <c r="E32" s="70" t="str">
        <f>VLOOKUP($D32,客戶編輯設定自動代出!$A:$C,3,0)</f>
        <v>普利司通</v>
      </c>
      <c r="F32" s="70">
        <f>VLOOKUP($D32,客戶編輯設定自動代出!$A:$C,2,0)</f>
        <v>12749608</v>
      </c>
      <c r="G32" s="70" t="s">
        <v>1391</v>
      </c>
      <c r="H32" s="70" t="s">
        <v>2148</v>
      </c>
      <c r="I32" s="70">
        <v>1</v>
      </c>
      <c r="J32" s="72">
        <v>1300</v>
      </c>
      <c r="K32" s="72">
        <f t="shared" si="0"/>
        <v>1300</v>
      </c>
      <c r="L32" s="73">
        <v>1365</v>
      </c>
      <c r="M32" s="74">
        <f t="shared" si="1"/>
        <v>1300</v>
      </c>
      <c r="N32" s="74">
        <v>65</v>
      </c>
      <c r="O32" s="71" t="str">
        <f t="shared" si="2"/>
        <v>N</v>
      </c>
      <c r="P32" s="71" t="s">
        <v>2073</v>
      </c>
      <c r="Q32" s="119"/>
      <c r="R32" s="75" t="s">
        <v>1343</v>
      </c>
      <c r="S32" s="75"/>
      <c r="T32" s="75"/>
      <c r="U32" s="75"/>
      <c r="V32" s="64">
        <v>30</v>
      </c>
      <c r="W32" s="69"/>
      <c r="X32" s="70"/>
      <c r="Y32" s="71"/>
      <c r="Z32" s="70" t="e">
        <f>VLOOKUP($Y32,客戶編輯設定自動代出!$A:$C,3,0)</f>
        <v>#N/A</v>
      </c>
      <c r="AA32" s="70" t="e">
        <f>VLOOKUP($Y32,客戶編輯設定自動代出!$A:$C,2,0)</f>
        <v>#N/A</v>
      </c>
      <c r="AB32" s="70" t="s">
        <v>1645</v>
      </c>
      <c r="AC32" s="70"/>
      <c r="AD32" s="70"/>
      <c r="AE32" s="72"/>
      <c r="AF32" s="72">
        <f t="shared" si="3"/>
        <v>0</v>
      </c>
      <c r="AG32" s="73"/>
      <c r="AH32" s="74">
        <f t="shared" si="4"/>
        <v>0</v>
      </c>
      <c r="AI32" s="74">
        <f t="shared" si="5"/>
        <v>0</v>
      </c>
      <c r="AJ32" s="71" t="str">
        <f t="shared" si="6"/>
        <v>Y</v>
      </c>
      <c r="AK32" s="71"/>
      <c r="AL32" s="71"/>
      <c r="AM32" s="75"/>
      <c r="AN32" s="75"/>
      <c r="AO32" s="75"/>
      <c r="AP32" s="75"/>
      <c r="AQ32" s="64">
        <v>30</v>
      </c>
      <c r="AR32" s="70"/>
      <c r="AU32" s="70" t="e">
        <f>VLOOKUP($AT32,客戶編輯設定自動代出!$A:$C,3,0)</f>
        <v>#N/A</v>
      </c>
      <c r="AV32" s="70" t="e">
        <f>VLOOKUP($AT32,客戶編輯設定自動代出!$A:$C,2,0)</f>
        <v>#N/A</v>
      </c>
      <c r="AW32" s="76" t="s">
        <v>1944</v>
      </c>
      <c r="BA32" s="72">
        <f t="shared" si="13"/>
        <v>0</v>
      </c>
      <c r="BB32" s="77"/>
      <c r="BC32" s="74">
        <f t="shared" si="14"/>
        <v>0</v>
      </c>
      <c r="BD32" s="74">
        <f t="shared" si="15"/>
        <v>0</v>
      </c>
      <c r="BE32" s="71" t="str">
        <f t="shared" si="10"/>
        <v>Y</v>
      </c>
      <c r="BJ32" s="64">
        <v>30</v>
      </c>
      <c r="BM32" s="70" t="e">
        <f>VLOOKUP(BL32,[1]客戶編輯設定自動代出!L:N,3,0)</f>
        <v>#N/A</v>
      </c>
      <c r="BN32" s="70" t="e">
        <f>VLOOKUP(BL32,[1]客戶編輯設定自動代出!L:N,2,0)</f>
        <v>#N/A</v>
      </c>
      <c r="BO32" s="78" t="s">
        <v>1994</v>
      </c>
      <c r="BQ32" s="74">
        <f t="shared" si="11"/>
        <v>0</v>
      </c>
      <c r="BR32" s="74">
        <f t="shared" si="12"/>
        <v>0</v>
      </c>
      <c r="BT32" s="75"/>
    </row>
    <row r="33" spans="1:72" ht="16.5" x14ac:dyDescent="0.25">
      <c r="A33" s="64">
        <v>31</v>
      </c>
      <c r="B33" s="69" t="s">
        <v>2161</v>
      </c>
      <c r="C33" s="70">
        <v>1150520</v>
      </c>
      <c r="D33" s="71">
        <v>8</v>
      </c>
      <c r="E33" s="70" t="str">
        <f>VLOOKUP($D33,客戶編輯設定自動代出!$A:$C,3,0)</f>
        <v>路人</v>
      </c>
      <c r="F33" s="70">
        <v>70626941</v>
      </c>
      <c r="G33" s="70" t="s">
        <v>1392</v>
      </c>
      <c r="H33" s="70" t="s">
        <v>2016</v>
      </c>
      <c r="I33" s="70">
        <v>1</v>
      </c>
      <c r="J33" s="72">
        <v>5800</v>
      </c>
      <c r="K33" s="72">
        <f t="shared" si="0"/>
        <v>5800</v>
      </c>
      <c r="L33" s="73">
        <v>6090</v>
      </c>
      <c r="M33" s="74">
        <f t="shared" si="1"/>
        <v>5800</v>
      </c>
      <c r="N33" s="74">
        <v>290</v>
      </c>
      <c r="O33" s="71" t="str">
        <f t="shared" si="2"/>
        <v>N</v>
      </c>
      <c r="P33" s="71" t="s">
        <v>2088</v>
      </c>
      <c r="Q33" s="119" t="s">
        <v>2162</v>
      </c>
      <c r="R33" s="75" t="s">
        <v>1343</v>
      </c>
      <c r="S33" s="75"/>
      <c r="T33" s="75"/>
      <c r="U33" s="75"/>
      <c r="V33" s="64">
        <v>31</v>
      </c>
      <c r="W33" s="69"/>
      <c r="X33" s="70"/>
      <c r="Y33" s="71"/>
      <c r="Z33" s="70" t="e">
        <f>VLOOKUP($Y33,客戶編輯設定自動代出!$A:$C,3,0)</f>
        <v>#N/A</v>
      </c>
      <c r="AA33" s="70" t="e">
        <f>VLOOKUP($Y33,客戶編輯設定自動代出!$A:$C,2,0)</f>
        <v>#N/A</v>
      </c>
      <c r="AB33" s="125" t="s">
        <v>1646</v>
      </c>
      <c r="AC33" s="70"/>
      <c r="AD33" s="70"/>
      <c r="AE33" s="72"/>
      <c r="AF33" s="72">
        <f t="shared" si="3"/>
        <v>0</v>
      </c>
      <c r="AG33" s="73"/>
      <c r="AH33" s="74">
        <f t="shared" si="4"/>
        <v>0</v>
      </c>
      <c r="AI33" s="74">
        <f t="shared" si="5"/>
        <v>0</v>
      </c>
      <c r="AJ33" s="71" t="str">
        <f t="shared" si="6"/>
        <v>Y</v>
      </c>
      <c r="AK33" s="71"/>
      <c r="AL33" s="71"/>
      <c r="AM33" s="75"/>
      <c r="AN33" s="75"/>
      <c r="AO33" s="75"/>
      <c r="AP33" s="75"/>
      <c r="AQ33" s="64">
        <v>31</v>
      </c>
      <c r="AR33" s="70"/>
      <c r="AU33" s="70" t="e">
        <f>VLOOKUP($AT33,客戶編輯設定自動代出!$A:$C,3,0)</f>
        <v>#N/A</v>
      </c>
      <c r="AV33" s="70" t="e">
        <f>VLOOKUP($AT33,客戶編輯設定自動代出!$A:$C,2,0)</f>
        <v>#N/A</v>
      </c>
      <c r="AW33" s="76" t="s">
        <v>1945</v>
      </c>
      <c r="BA33" s="72">
        <f t="shared" si="13"/>
        <v>0</v>
      </c>
      <c r="BB33" s="77"/>
      <c r="BC33" s="74">
        <f t="shared" si="14"/>
        <v>0</v>
      </c>
      <c r="BD33" s="74">
        <f t="shared" si="15"/>
        <v>0</v>
      </c>
      <c r="BE33" s="71" t="str">
        <f t="shared" si="10"/>
        <v>Y</v>
      </c>
      <c r="BJ33" s="64">
        <v>31</v>
      </c>
      <c r="BM33" s="70" t="e">
        <f>VLOOKUP(BL33,[1]客戶編輯設定自動代出!L:N,3,0)</f>
        <v>#N/A</v>
      </c>
      <c r="BN33" s="70" t="e">
        <f>VLOOKUP(BL33,[1]客戶編輯設定自動代出!L:N,2,0)</f>
        <v>#N/A</v>
      </c>
      <c r="BO33" s="78" t="s">
        <v>1995</v>
      </c>
      <c r="BQ33" s="74">
        <f t="shared" si="11"/>
        <v>0</v>
      </c>
      <c r="BR33" s="74">
        <f t="shared" si="12"/>
        <v>0</v>
      </c>
      <c r="BT33" s="75"/>
    </row>
    <row r="34" spans="1:72" ht="16.5" x14ac:dyDescent="0.25">
      <c r="A34" s="64">
        <v>32</v>
      </c>
      <c r="B34" s="69" t="s">
        <v>2161</v>
      </c>
      <c r="C34" s="69" t="s">
        <v>2161</v>
      </c>
      <c r="D34" s="71">
        <v>8</v>
      </c>
      <c r="E34" s="70" t="str">
        <f>VLOOKUP($D34,客戶編輯設定自動代出!$A:$C,3,0)</f>
        <v>路人</v>
      </c>
      <c r="F34" s="70">
        <v>90106047</v>
      </c>
      <c r="G34" s="70" t="s">
        <v>1393</v>
      </c>
      <c r="H34" s="70" t="s">
        <v>2016</v>
      </c>
      <c r="I34" s="70">
        <v>4</v>
      </c>
      <c r="J34" s="72">
        <v>5800</v>
      </c>
      <c r="K34" s="72">
        <f t="shared" si="0"/>
        <v>23200</v>
      </c>
      <c r="L34" s="73">
        <v>24360</v>
      </c>
      <c r="M34" s="74">
        <f t="shared" si="1"/>
        <v>23200</v>
      </c>
      <c r="N34" s="74">
        <v>1160</v>
      </c>
      <c r="O34" s="71" t="str">
        <f t="shared" si="2"/>
        <v>N</v>
      </c>
      <c r="P34" s="71" t="s">
        <v>2088</v>
      </c>
      <c r="Q34" s="119" t="s">
        <v>2175</v>
      </c>
      <c r="R34" s="75" t="s">
        <v>1343</v>
      </c>
      <c r="S34" s="75"/>
      <c r="T34" s="75"/>
      <c r="U34" s="75"/>
      <c r="V34" s="64">
        <v>32</v>
      </c>
      <c r="W34" s="69"/>
      <c r="X34" s="70"/>
      <c r="Y34" s="71"/>
      <c r="Z34" s="70" t="e">
        <f>VLOOKUP($Y34,客戶編輯設定自動代出!$A:$C,3,0)</f>
        <v>#N/A</v>
      </c>
      <c r="AA34" s="70" t="e">
        <f>VLOOKUP($Y34,客戶編輯設定自動代出!$A:$C,2,0)</f>
        <v>#N/A</v>
      </c>
      <c r="AB34" s="125" t="s">
        <v>1646</v>
      </c>
      <c r="AC34" s="70"/>
      <c r="AD34" s="70"/>
      <c r="AE34" s="72"/>
      <c r="AF34" s="72">
        <f t="shared" si="3"/>
        <v>0</v>
      </c>
      <c r="AG34" s="73"/>
      <c r="AH34" s="74">
        <f t="shared" si="4"/>
        <v>0</v>
      </c>
      <c r="AI34" s="74">
        <f t="shared" si="5"/>
        <v>0</v>
      </c>
      <c r="AJ34" s="71" t="str">
        <f t="shared" si="6"/>
        <v>Y</v>
      </c>
      <c r="AK34" s="71"/>
      <c r="AL34" s="71"/>
      <c r="AM34" s="75"/>
      <c r="AN34" s="75"/>
      <c r="AO34" s="75"/>
      <c r="AP34" s="75"/>
      <c r="AQ34" s="64">
        <v>32</v>
      </c>
      <c r="AR34" s="70"/>
      <c r="AU34" s="70" t="e">
        <f>VLOOKUP($AT34,客戶編輯設定自動代出!$A:$C,3,0)</f>
        <v>#N/A</v>
      </c>
      <c r="AV34" s="70" t="e">
        <f>VLOOKUP($AT34,客戶編輯設定自動代出!$A:$C,2,0)</f>
        <v>#N/A</v>
      </c>
      <c r="AW34" s="76" t="s">
        <v>1946</v>
      </c>
      <c r="BA34" s="72">
        <f t="shared" si="13"/>
        <v>0</v>
      </c>
      <c r="BB34" s="77"/>
      <c r="BC34" s="74">
        <f t="shared" si="14"/>
        <v>0</v>
      </c>
      <c r="BD34" s="74">
        <f t="shared" si="15"/>
        <v>0</v>
      </c>
      <c r="BE34" s="71" t="str">
        <f t="shared" si="10"/>
        <v>Y</v>
      </c>
      <c r="BJ34" s="64">
        <v>32</v>
      </c>
      <c r="BM34" s="70" t="e">
        <f>VLOOKUP(BL34,[1]客戶編輯設定自動代出!L:N,3,0)</f>
        <v>#N/A</v>
      </c>
      <c r="BN34" s="70" t="e">
        <f>VLOOKUP(BL34,[1]客戶編輯設定自動代出!L:N,2,0)</f>
        <v>#N/A</v>
      </c>
      <c r="BO34" s="78" t="s">
        <v>1996</v>
      </c>
      <c r="BQ34" s="74">
        <f t="shared" si="11"/>
        <v>0</v>
      </c>
      <c r="BR34" s="74">
        <f t="shared" si="12"/>
        <v>0</v>
      </c>
      <c r="BT34" s="75"/>
    </row>
    <row r="35" spans="1:72" ht="16.5" x14ac:dyDescent="0.25">
      <c r="A35" s="64">
        <v>33</v>
      </c>
      <c r="B35" s="69" t="s">
        <v>2161</v>
      </c>
      <c r="C35" s="69" t="s">
        <v>2161</v>
      </c>
      <c r="D35" s="71">
        <v>8</v>
      </c>
      <c r="E35" s="70" t="str">
        <f>VLOOKUP($D35,客戶編輯設定自動代出!$A:$C,3,0)</f>
        <v>路人</v>
      </c>
      <c r="F35" s="70">
        <v>83092080</v>
      </c>
      <c r="G35" s="70" t="s">
        <v>1394</v>
      </c>
      <c r="H35" s="70" t="s">
        <v>2176</v>
      </c>
      <c r="I35" s="70">
        <v>1</v>
      </c>
      <c r="J35" s="72">
        <v>250000</v>
      </c>
      <c r="K35" s="72">
        <f t="shared" si="0"/>
        <v>250000</v>
      </c>
      <c r="L35" s="73">
        <v>262500</v>
      </c>
      <c r="M35" s="74">
        <f t="shared" si="1"/>
        <v>250000</v>
      </c>
      <c r="N35" s="74">
        <v>12500</v>
      </c>
      <c r="O35" s="71" t="str">
        <f t="shared" si="2"/>
        <v>N</v>
      </c>
      <c r="P35" s="71" t="s">
        <v>2073</v>
      </c>
      <c r="Q35" s="119"/>
      <c r="R35" s="75" t="s">
        <v>1343</v>
      </c>
      <c r="S35" s="75"/>
      <c r="T35" s="75"/>
      <c r="U35" s="75"/>
      <c r="V35" s="64">
        <v>33</v>
      </c>
      <c r="W35" s="69"/>
      <c r="X35" s="70"/>
      <c r="Y35" s="71"/>
      <c r="Z35" s="70" t="e">
        <f>VLOOKUP($Y35,客戶編輯設定自動代出!$A:$C,3,0)</f>
        <v>#N/A</v>
      </c>
      <c r="AA35" s="70" t="e">
        <f>VLOOKUP($Y35,客戶編輯設定自動代出!$A:$C,2,0)</f>
        <v>#N/A</v>
      </c>
      <c r="AB35" s="70" t="s">
        <v>1647</v>
      </c>
      <c r="AC35" s="70"/>
      <c r="AD35" s="70"/>
      <c r="AE35" s="72"/>
      <c r="AF35" s="72">
        <f t="shared" si="3"/>
        <v>0</v>
      </c>
      <c r="AG35" s="73"/>
      <c r="AH35" s="74">
        <f t="shared" si="4"/>
        <v>0</v>
      </c>
      <c r="AI35" s="74">
        <f t="shared" si="5"/>
        <v>0</v>
      </c>
      <c r="AJ35" s="71" t="str">
        <f t="shared" si="6"/>
        <v>Y</v>
      </c>
      <c r="AK35" s="71"/>
      <c r="AL35" s="71"/>
      <c r="AM35" s="75"/>
      <c r="AN35" s="75"/>
      <c r="AO35" s="75"/>
      <c r="AP35" s="75"/>
      <c r="AQ35" s="64">
        <v>33</v>
      </c>
      <c r="AR35" s="70"/>
      <c r="AU35" s="70" t="e">
        <f>VLOOKUP($AT35,客戶編輯設定自動代出!$A:$C,3,0)</f>
        <v>#N/A</v>
      </c>
      <c r="AV35" s="70" t="e">
        <f>VLOOKUP($AT35,客戶編輯設定自動代出!$A:$C,2,0)</f>
        <v>#N/A</v>
      </c>
      <c r="AW35" s="76" t="s">
        <v>1947</v>
      </c>
      <c r="BA35" s="72">
        <f t="shared" si="13"/>
        <v>0</v>
      </c>
      <c r="BB35" s="77"/>
      <c r="BC35" s="74">
        <f t="shared" si="14"/>
        <v>0</v>
      </c>
      <c r="BD35" s="74">
        <f t="shared" si="15"/>
        <v>0</v>
      </c>
      <c r="BE35" s="71" t="str">
        <f t="shared" si="10"/>
        <v>Y</v>
      </c>
      <c r="BJ35" s="64">
        <v>33</v>
      </c>
      <c r="BM35" s="70" t="e">
        <f>VLOOKUP(BL35,[1]客戶編輯設定自動代出!L:N,3,0)</f>
        <v>#N/A</v>
      </c>
      <c r="BN35" s="70" t="e">
        <f>VLOOKUP(BL35,[1]客戶編輯設定自動代出!L:N,2,0)</f>
        <v>#N/A</v>
      </c>
      <c r="BO35" s="78" t="s">
        <v>1997</v>
      </c>
      <c r="BQ35" s="74">
        <f t="shared" si="11"/>
        <v>0</v>
      </c>
      <c r="BR35" s="74">
        <f t="shared" si="12"/>
        <v>0</v>
      </c>
      <c r="BT35" s="75"/>
    </row>
    <row r="36" spans="1:72" ht="16.5" x14ac:dyDescent="0.25">
      <c r="A36" s="64">
        <v>34</v>
      </c>
      <c r="B36" s="69" t="s">
        <v>2161</v>
      </c>
      <c r="C36" s="69" t="s">
        <v>2161</v>
      </c>
      <c r="D36" s="71">
        <v>83</v>
      </c>
      <c r="E36" s="70" t="str">
        <f>VLOOKUP($D36,客戶編輯設定自動代出!$A:$C,3,0)</f>
        <v>觀鼎</v>
      </c>
      <c r="F36" s="70">
        <v>97419282</v>
      </c>
      <c r="G36" s="70" t="s">
        <v>1395</v>
      </c>
      <c r="H36" s="70" t="s">
        <v>2016</v>
      </c>
      <c r="I36" s="70">
        <v>10</v>
      </c>
      <c r="J36" s="72">
        <v>5807</v>
      </c>
      <c r="K36" s="72">
        <f t="shared" si="0"/>
        <v>58070</v>
      </c>
      <c r="L36" s="73">
        <v>58070</v>
      </c>
      <c r="M36" s="74">
        <f t="shared" si="1"/>
        <v>55304.761904761901</v>
      </c>
      <c r="N36" s="74">
        <v>2765</v>
      </c>
      <c r="O36" s="71" t="str">
        <f t="shared" si="2"/>
        <v>Y</v>
      </c>
      <c r="P36" s="71" t="s">
        <v>2073</v>
      </c>
      <c r="Q36" s="119"/>
      <c r="R36" s="75" t="s">
        <v>1343</v>
      </c>
      <c r="S36" s="75"/>
      <c r="T36" s="75"/>
      <c r="U36" s="75"/>
      <c r="V36" s="64">
        <v>34</v>
      </c>
      <c r="W36" s="69"/>
      <c r="X36" s="70"/>
      <c r="Y36" s="71"/>
      <c r="Z36" s="70" t="e">
        <f>VLOOKUP($Y36,客戶編輯設定自動代出!$A:$C,3,0)</f>
        <v>#N/A</v>
      </c>
      <c r="AA36" s="70" t="e">
        <f>VLOOKUP($Y36,客戶編輯設定自動代出!$A:$C,2,0)</f>
        <v>#N/A</v>
      </c>
      <c r="AB36" s="70" t="s">
        <v>1648</v>
      </c>
      <c r="AC36" s="70"/>
      <c r="AD36" s="70"/>
      <c r="AE36" s="72"/>
      <c r="AF36" s="72">
        <f t="shared" si="3"/>
        <v>0</v>
      </c>
      <c r="AG36" s="73"/>
      <c r="AH36" s="74">
        <f t="shared" si="4"/>
        <v>0</v>
      </c>
      <c r="AI36" s="74">
        <f t="shared" si="5"/>
        <v>0</v>
      </c>
      <c r="AJ36" s="71" t="str">
        <f t="shared" si="6"/>
        <v>Y</v>
      </c>
      <c r="AK36" s="71"/>
      <c r="AL36" s="71"/>
      <c r="AM36" s="75"/>
      <c r="AN36" s="75"/>
      <c r="AO36" s="75"/>
      <c r="AP36" s="75"/>
      <c r="AQ36" s="64">
        <v>34</v>
      </c>
      <c r="AR36" s="70"/>
      <c r="AU36" s="70" t="e">
        <f>VLOOKUP($AT36,客戶編輯設定自動代出!$A:$C,3,0)</f>
        <v>#N/A</v>
      </c>
      <c r="AV36" s="70" t="e">
        <f>VLOOKUP($AT36,客戶編輯設定自動代出!$A:$C,2,0)</f>
        <v>#N/A</v>
      </c>
      <c r="AW36" s="76" t="s">
        <v>1948</v>
      </c>
      <c r="BA36" s="72">
        <f t="shared" si="13"/>
        <v>0</v>
      </c>
      <c r="BB36" s="77"/>
      <c r="BC36" s="74">
        <f t="shared" si="14"/>
        <v>0</v>
      </c>
      <c r="BD36" s="74">
        <f t="shared" si="15"/>
        <v>0</v>
      </c>
      <c r="BE36" s="71" t="str">
        <f t="shared" si="10"/>
        <v>Y</v>
      </c>
      <c r="BJ36" s="64">
        <v>34</v>
      </c>
      <c r="BM36" s="70" t="e">
        <f>VLOOKUP(BL36,[1]客戶編輯設定自動代出!L:N,3,0)</f>
        <v>#N/A</v>
      </c>
      <c r="BN36" s="70" t="e">
        <f>VLOOKUP(BL36,[1]客戶編輯設定自動代出!L:N,2,0)</f>
        <v>#N/A</v>
      </c>
      <c r="BO36" s="78" t="s">
        <v>1998</v>
      </c>
      <c r="BQ36" s="74">
        <f t="shared" si="11"/>
        <v>0</v>
      </c>
      <c r="BR36" s="74">
        <f t="shared" si="12"/>
        <v>0</v>
      </c>
      <c r="BT36" s="75"/>
    </row>
    <row r="37" spans="1:72" ht="16.5" x14ac:dyDescent="0.25">
      <c r="A37" s="64">
        <v>35</v>
      </c>
      <c r="B37" s="69" t="s">
        <v>2161</v>
      </c>
      <c r="C37" s="69" t="s">
        <v>2161</v>
      </c>
      <c r="D37" s="71">
        <v>83</v>
      </c>
      <c r="E37" s="70" t="str">
        <f>VLOOKUP($D37,客戶編輯設定自動代出!$A:$C,3,0)</f>
        <v>觀鼎</v>
      </c>
      <c r="F37" s="70">
        <f>VLOOKUP($D37,客戶編輯設定自動代出!$A:$C,2,0)</f>
        <v>47289215</v>
      </c>
      <c r="G37" s="70" t="s">
        <v>1396</v>
      </c>
      <c r="H37" s="70" t="s">
        <v>2016</v>
      </c>
      <c r="I37" s="70">
        <v>4</v>
      </c>
      <c r="J37" s="72">
        <v>11000</v>
      </c>
      <c r="K37" s="72">
        <f t="shared" si="0"/>
        <v>44000</v>
      </c>
      <c r="L37" s="73">
        <v>44000</v>
      </c>
      <c r="M37" s="74">
        <f t="shared" si="1"/>
        <v>41904.761904761901</v>
      </c>
      <c r="N37" s="74">
        <v>2095</v>
      </c>
      <c r="O37" s="71" t="str">
        <f t="shared" si="2"/>
        <v>Y</v>
      </c>
      <c r="P37" s="71" t="s">
        <v>2073</v>
      </c>
      <c r="Q37" s="119"/>
      <c r="R37" s="75" t="s">
        <v>1343</v>
      </c>
      <c r="S37" s="75"/>
      <c r="T37" s="75"/>
      <c r="U37" s="75"/>
      <c r="V37" s="64">
        <v>35</v>
      </c>
      <c r="W37" s="69"/>
      <c r="X37" s="70"/>
      <c r="Y37" s="71"/>
      <c r="Z37" s="70" t="e">
        <f>VLOOKUP($Y37,客戶編輯設定自動代出!$A:$C,3,0)</f>
        <v>#N/A</v>
      </c>
      <c r="AA37" s="70" t="e">
        <f>VLOOKUP($Y37,客戶編輯設定自動代出!$A:$C,2,0)</f>
        <v>#N/A</v>
      </c>
      <c r="AB37" s="70" t="s">
        <v>1649</v>
      </c>
      <c r="AC37" s="70"/>
      <c r="AD37" s="70"/>
      <c r="AE37" s="72"/>
      <c r="AF37" s="72">
        <f t="shared" si="3"/>
        <v>0</v>
      </c>
      <c r="AG37" s="73"/>
      <c r="AH37" s="74">
        <f t="shared" si="4"/>
        <v>0</v>
      </c>
      <c r="AI37" s="74">
        <f t="shared" si="5"/>
        <v>0</v>
      </c>
      <c r="AJ37" s="71" t="str">
        <f t="shared" si="6"/>
        <v>Y</v>
      </c>
      <c r="AK37" s="71"/>
      <c r="AL37" s="71"/>
      <c r="AM37" s="75"/>
      <c r="AN37" s="75"/>
      <c r="AO37" s="75"/>
      <c r="AP37" s="75"/>
      <c r="AQ37" s="64">
        <v>35</v>
      </c>
      <c r="AR37" s="70"/>
      <c r="AU37" s="70" t="e">
        <f>VLOOKUP($AT37,客戶編輯設定自動代出!$A:$C,3,0)</f>
        <v>#N/A</v>
      </c>
      <c r="AV37" s="70" t="e">
        <f>VLOOKUP($AT37,客戶編輯設定自動代出!$A:$C,2,0)</f>
        <v>#N/A</v>
      </c>
      <c r="AW37" s="76" t="s">
        <v>1949</v>
      </c>
      <c r="BA37" s="72">
        <f t="shared" si="13"/>
        <v>0</v>
      </c>
      <c r="BB37" s="77"/>
      <c r="BC37" s="74">
        <f t="shared" si="14"/>
        <v>0</v>
      </c>
      <c r="BD37" s="74">
        <f t="shared" si="15"/>
        <v>0</v>
      </c>
      <c r="BE37" s="71" t="str">
        <f t="shared" si="10"/>
        <v>Y</v>
      </c>
      <c r="BJ37" s="64">
        <v>35</v>
      </c>
      <c r="BM37" s="70" t="e">
        <f>VLOOKUP(BL37,[1]客戶編輯設定自動代出!L:N,3,0)</f>
        <v>#N/A</v>
      </c>
      <c r="BN37" s="70" t="e">
        <f>VLOOKUP(BL37,[1]客戶編輯設定自動代出!L:N,2,0)</f>
        <v>#N/A</v>
      </c>
      <c r="BO37" s="78" t="s">
        <v>1999</v>
      </c>
      <c r="BQ37" s="74">
        <f t="shared" si="11"/>
        <v>0</v>
      </c>
      <c r="BR37" s="74">
        <f t="shared" si="12"/>
        <v>0</v>
      </c>
      <c r="BT37" s="75"/>
    </row>
    <row r="38" spans="1:72" ht="16.5" x14ac:dyDescent="0.25">
      <c r="A38" s="64">
        <v>36</v>
      </c>
      <c r="B38" s="69" t="s">
        <v>2161</v>
      </c>
      <c r="C38" s="69" t="s">
        <v>2161</v>
      </c>
      <c r="D38" s="71">
        <v>531</v>
      </c>
      <c r="E38" s="70" t="str">
        <f>VLOOKUP($D38,客戶編輯設定自動代出!$A:$C,3,0)</f>
        <v>鋒魁</v>
      </c>
      <c r="F38" s="70">
        <v>28772230</v>
      </c>
      <c r="G38" s="70" t="s">
        <v>1397</v>
      </c>
      <c r="K38" s="72">
        <f t="shared" si="0"/>
        <v>0</v>
      </c>
      <c r="M38" s="74">
        <f t="shared" si="1"/>
        <v>0</v>
      </c>
      <c r="N38" s="74"/>
      <c r="O38" s="71" t="s">
        <v>2177</v>
      </c>
      <c r="Q38" s="119"/>
      <c r="R38" s="75" t="s">
        <v>1343</v>
      </c>
      <c r="S38" s="75"/>
      <c r="T38" s="75"/>
      <c r="U38" s="75"/>
      <c r="V38" s="64">
        <v>36</v>
      </c>
      <c r="W38" s="69"/>
      <c r="X38" s="70"/>
      <c r="Y38" s="71"/>
      <c r="Z38" s="70" t="e">
        <f>VLOOKUP($Y38,客戶編輯設定自動代出!$A:$C,3,0)</f>
        <v>#N/A</v>
      </c>
      <c r="AA38" s="70" t="e">
        <f>VLOOKUP($Y38,客戶編輯設定自動代出!$A:$C,2,0)</f>
        <v>#N/A</v>
      </c>
      <c r="AB38" s="70" t="s">
        <v>1650</v>
      </c>
      <c r="AC38" s="70"/>
      <c r="AD38" s="70"/>
      <c r="AE38" s="72"/>
      <c r="AF38" s="72">
        <f t="shared" si="3"/>
        <v>0</v>
      </c>
      <c r="AG38" s="73"/>
      <c r="AH38" s="74">
        <f t="shared" si="4"/>
        <v>0</v>
      </c>
      <c r="AI38" s="74">
        <f t="shared" si="5"/>
        <v>0</v>
      </c>
      <c r="AJ38" s="71" t="str">
        <f t="shared" si="6"/>
        <v>Y</v>
      </c>
      <c r="AK38" s="71"/>
      <c r="AL38" s="71"/>
      <c r="AM38" s="75"/>
      <c r="AN38" s="75"/>
      <c r="AO38" s="75"/>
      <c r="AP38" s="75"/>
      <c r="AQ38" s="64">
        <v>36</v>
      </c>
      <c r="AR38" s="70"/>
      <c r="AU38" s="70" t="e">
        <f>VLOOKUP($AT38,客戶編輯設定自動代出!$A:$C,3,0)</f>
        <v>#N/A</v>
      </c>
      <c r="AV38" s="70" t="e">
        <f>VLOOKUP($AT38,客戶編輯設定自動代出!$A:$C,2,0)</f>
        <v>#N/A</v>
      </c>
      <c r="AW38" s="76" t="s">
        <v>1950</v>
      </c>
      <c r="BA38" s="72">
        <f t="shared" si="13"/>
        <v>0</v>
      </c>
      <c r="BB38" s="77"/>
      <c r="BC38" s="74">
        <f t="shared" si="14"/>
        <v>0</v>
      </c>
      <c r="BD38" s="74">
        <f t="shared" si="15"/>
        <v>0</v>
      </c>
      <c r="BE38" s="71" t="str">
        <f t="shared" si="10"/>
        <v>Y</v>
      </c>
      <c r="BJ38" s="64">
        <v>36</v>
      </c>
      <c r="BM38" s="70" t="e">
        <f>VLOOKUP(BL38,[1]客戶編輯設定自動代出!L:N,3,0)</f>
        <v>#N/A</v>
      </c>
      <c r="BN38" s="70" t="e">
        <f>VLOOKUP(BL38,[1]客戶編輯設定自動代出!L:N,2,0)</f>
        <v>#N/A</v>
      </c>
      <c r="BO38" s="78" t="s">
        <v>2000</v>
      </c>
      <c r="BQ38" s="74">
        <f t="shared" si="11"/>
        <v>0</v>
      </c>
      <c r="BR38" s="74">
        <f t="shared" si="12"/>
        <v>0</v>
      </c>
      <c r="BT38" s="75"/>
    </row>
    <row r="39" spans="1:72" ht="16.5" x14ac:dyDescent="0.25">
      <c r="A39" s="64">
        <v>37</v>
      </c>
      <c r="B39" s="69" t="s">
        <v>2161</v>
      </c>
      <c r="C39" s="69" t="s">
        <v>2161</v>
      </c>
      <c r="D39" s="71">
        <v>531</v>
      </c>
      <c r="E39" s="70" t="str">
        <f>VLOOKUP($D39,客戶編輯設定自動代出!$A:$C,3,0)</f>
        <v>鋒魁</v>
      </c>
      <c r="F39" s="70">
        <f>VLOOKUP($D39,客戶編輯設定自動代出!$A:$C,2,0)</f>
        <v>28772230</v>
      </c>
      <c r="G39" s="70" t="s">
        <v>1398</v>
      </c>
      <c r="H39" s="70" t="s">
        <v>2178</v>
      </c>
      <c r="I39" s="70">
        <v>1</v>
      </c>
      <c r="J39" s="72">
        <v>900</v>
      </c>
      <c r="K39" s="72">
        <f t="shared" si="0"/>
        <v>900</v>
      </c>
      <c r="L39" s="73">
        <v>945</v>
      </c>
      <c r="M39" s="74">
        <f t="shared" si="1"/>
        <v>900</v>
      </c>
      <c r="N39" s="74">
        <v>45</v>
      </c>
      <c r="O39" s="71" t="str">
        <f t="shared" si="2"/>
        <v>N</v>
      </c>
      <c r="P39" s="71" t="s">
        <v>2073</v>
      </c>
      <c r="Q39" s="119"/>
      <c r="R39" s="75" t="s">
        <v>1343</v>
      </c>
      <c r="S39" s="75"/>
      <c r="T39" s="75"/>
      <c r="U39" s="75"/>
      <c r="V39" s="64">
        <v>37</v>
      </c>
      <c r="W39" s="69"/>
      <c r="X39" s="70"/>
      <c r="Y39" s="71"/>
      <c r="Z39" s="70" t="e">
        <f>VLOOKUP($Y39,客戶編輯設定自動代出!$A:$C,3,0)</f>
        <v>#N/A</v>
      </c>
      <c r="AA39" s="70" t="e">
        <f>VLOOKUP($Y39,客戶編輯設定自動代出!$A:$C,2,0)</f>
        <v>#N/A</v>
      </c>
      <c r="AB39" s="70" t="s">
        <v>1651</v>
      </c>
      <c r="AC39" s="70"/>
      <c r="AD39" s="70"/>
      <c r="AE39" s="72"/>
      <c r="AF39" s="72">
        <f t="shared" si="3"/>
        <v>0</v>
      </c>
      <c r="AG39" s="73"/>
      <c r="AH39" s="74">
        <f t="shared" si="4"/>
        <v>0</v>
      </c>
      <c r="AI39" s="74">
        <f t="shared" si="5"/>
        <v>0</v>
      </c>
      <c r="AJ39" s="71" t="str">
        <f t="shared" si="6"/>
        <v>Y</v>
      </c>
      <c r="AK39" s="71"/>
      <c r="AL39" s="71"/>
      <c r="AM39" s="75"/>
      <c r="AN39" s="75"/>
      <c r="AO39" s="75"/>
      <c r="AP39" s="75"/>
      <c r="AQ39" s="64">
        <v>37</v>
      </c>
      <c r="AR39" s="70"/>
      <c r="AU39" s="70" t="e">
        <f>VLOOKUP($AT39,客戶編輯設定自動代出!$A:$C,3,0)</f>
        <v>#N/A</v>
      </c>
      <c r="AV39" s="70" t="e">
        <f>VLOOKUP($AT39,客戶編輯設定自動代出!$A:$C,2,0)</f>
        <v>#N/A</v>
      </c>
      <c r="AW39" s="76" t="s">
        <v>1951</v>
      </c>
      <c r="BA39" s="72">
        <f t="shared" si="13"/>
        <v>0</v>
      </c>
      <c r="BB39" s="77"/>
      <c r="BC39" s="74">
        <f t="shared" si="14"/>
        <v>0</v>
      </c>
      <c r="BD39" s="74">
        <f t="shared" si="15"/>
        <v>0</v>
      </c>
      <c r="BE39" s="71" t="str">
        <f t="shared" si="10"/>
        <v>Y</v>
      </c>
      <c r="BJ39" s="64">
        <v>37</v>
      </c>
      <c r="BM39" s="70" t="e">
        <f>VLOOKUP(BL39,[1]客戶編輯設定自動代出!L:N,3,0)</f>
        <v>#N/A</v>
      </c>
      <c r="BN39" s="70" t="e">
        <f>VLOOKUP(BL39,[1]客戶編輯設定自動代出!L:N,2,0)</f>
        <v>#N/A</v>
      </c>
      <c r="BO39" s="78" t="s">
        <v>2001</v>
      </c>
      <c r="BQ39" s="74">
        <f t="shared" si="11"/>
        <v>0</v>
      </c>
      <c r="BR39" s="74">
        <f t="shared" si="12"/>
        <v>0</v>
      </c>
      <c r="BT39" s="75"/>
    </row>
    <row r="40" spans="1:72" ht="16.5" x14ac:dyDescent="0.25">
      <c r="A40" s="64">
        <v>38</v>
      </c>
      <c r="B40" s="69" t="s">
        <v>2161</v>
      </c>
      <c r="C40" s="69" t="s">
        <v>2161</v>
      </c>
      <c r="D40" s="71">
        <v>8</v>
      </c>
      <c r="E40" s="70" t="str">
        <f>VLOOKUP($D40,客戶編輯設定自動代出!$A:$C,3,0)</f>
        <v>路人</v>
      </c>
      <c r="F40" s="70">
        <v>42963288</v>
      </c>
      <c r="G40" s="70" t="s">
        <v>1399</v>
      </c>
      <c r="H40" s="70" t="s">
        <v>2016</v>
      </c>
      <c r="I40" s="70">
        <v>2</v>
      </c>
      <c r="J40" s="72">
        <v>5800</v>
      </c>
      <c r="K40" s="72">
        <f t="shared" si="0"/>
        <v>11600</v>
      </c>
      <c r="L40" s="73">
        <v>12180</v>
      </c>
      <c r="M40" s="74">
        <f t="shared" si="1"/>
        <v>11600</v>
      </c>
      <c r="N40" s="74">
        <v>580</v>
      </c>
      <c r="O40" s="71" t="str">
        <f t="shared" si="2"/>
        <v>N</v>
      </c>
      <c r="P40" s="71" t="s">
        <v>2088</v>
      </c>
      <c r="Q40" s="119" t="s">
        <v>2179</v>
      </c>
      <c r="R40" s="75" t="s">
        <v>1343</v>
      </c>
      <c r="S40" s="75"/>
      <c r="T40" s="75"/>
      <c r="U40" s="75"/>
      <c r="V40" s="64">
        <v>38</v>
      </c>
      <c r="W40" s="69"/>
      <c r="X40" s="70"/>
      <c r="Y40" s="71"/>
      <c r="Z40" s="70" t="e">
        <f>VLOOKUP($Y40,客戶編輯設定自動代出!$A:$C,3,0)</f>
        <v>#N/A</v>
      </c>
      <c r="AA40" s="70" t="e">
        <f>VLOOKUP($Y40,客戶編輯設定自動代出!$A:$C,2,0)</f>
        <v>#N/A</v>
      </c>
      <c r="AB40" s="70" t="s">
        <v>1652</v>
      </c>
      <c r="AC40" s="70"/>
      <c r="AD40" s="70"/>
      <c r="AE40" s="72"/>
      <c r="AF40" s="72">
        <f t="shared" si="3"/>
        <v>0</v>
      </c>
      <c r="AG40" s="73"/>
      <c r="AH40" s="74">
        <f t="shared" si="4"/>
        <v>0</v>
      </c>
      <c r="AI40" s="74">
        <f t="shared" si="5"/>
        <v>0</v>
      </c>
      <c r="AJ40" s="71" t="str">
        <f t="shared" si="6"/>
        <v>Y</v>
      </c>
      <c r="AK40" s="71"/>
      <c r="AL40" s="71"/>
      <c r="AM40" s="75"/>
      <c r="AN40" s="75"/>
      <c r="AO40" s="75"/>
      <c r="AP40" s="75"/>
      <c r="AQ40" s="64">
        <v>38</v>
      </c>
      <c r="AR40" s="70"/>
      <c r="AU40" s="70" t="e">
        <f>VLOOKUP($AT40,客戶編輯設定自動代出!$A:$C,3,0)</f>
        <v>#N/A</v>
      </c>
      <c r="AV40" s="70" t="e">
        <f>VLOOKUP($AT40,客戶編輯設定自動代出!$A:$C,2,0)</f>
        <v>#N/A</v>
      </c>
      <c r="AW40" s="76" t="s">
        <v>1952</v>
      </c>
      <c r="BA40" s="72">
        <f t="shared" si="13"/>
        <v>0</v>
      </c>
      <c r="BB40" s="77"/>
      <c r="BC40" s="74">
        <f t="shared" si="14"/>
        <v>0</v>
      </c>
      <c r="BD40" s="74">
        <f t="shared" si="15"/>
        <v>0</v>
      </c>
      <c r="BE40" s="71" t="str">
        <f t="shared" si="10"/>
        <v>Y</v>
      </c>
      <c r="BJ40" s="64">
        <v>38</v>
      </c>
      <c r="BM40" s="70" t="e">
        <f>VLOOKUP(BL40,[1]客戶編輯設定自動代出!L:N,3,0)</f>
        <v>#N/A</v>
      </c>
      <c r="BN40" s="70" t="e">
        <f>VLOOKUP(BL40,[1]客戶編輯設定自動代出!L:N,2,0)</f>
        <v>#N/A</v>
      </c>
      <c r="BO40" s="78" t="s">
        <v>2002</v>
      </c>
      <c r="BQ40" s="74">
        <f t="shared" si="11"/>
        <v>0</v>
      </c>
      <c r="BR40" s="74">
        <f t="shared" si="12"/>
        <v>0</v>
      </c>
      <c r="BT40" s="75"/>
    </row>
    <row r="41" spans="1:72" ht="16.5" x14ac:dyDescent="0.25">
      <c r="A41" s="64">
        <v>39</v>
      </c>
      <c r="B41" s="69" t="s">
        <v>2180</v>
      </c>
      <c r="C41" s="70">
        <v>1150521</v>
      </c>
      <c r="D41" s="71">
        <v>8</v>
      </c>
      <c r="E41" s="70" t="str">
        <f>VLOOKUP($D41,客戶編輯設定自動代出!$A:$C,3,0)</f>
        <v>路人</v>
      </c>
      <c r="F41" s="70">
        <v>42963288</v>
      </c>
      <c r="G41" s="70" t="s">
        <v>1400</v>
      </c>
      <c r="H41" s="70" t="s">
        <v>2016</v>
      </c>
      <c r="I41" s="70">
        <v>2</v>
      </c>
      <c r="J41" s="72">
        <v>4000</v>
      </c>
      <c r="K41" s="72">
        <f t="shared" si="0"/>
        <v>8000</v>
      </c>
      <c r="L41" s="73">
        <v>8400</v>
      </c>
      <c r="M41" s="74">
        <f t="shared" si="1"/>
        <v>8000</v>
      </c>
      <c r="N41" s="74">
        <v>400</v>
      </c>
      <c r="O41" s="71" t="str">
        <f t="shared" si="2"/>
        <v>N</v>
      </c>
      <c r="P41" s="71" t="s">
        <v>2088</v>
      </c>
      <c r="Q41" s="119" t="s">
        <v>2179</v>
      </c>
      <c r="R41" s="75" t="s">
        <v>1343</v>
      </c>
      <c r="S41" s="75"/>
      <c r="T41" s="75"/>
      <c r="U41" s="75"/>
      <c r="V41" s="64">
        <v>39</v>
      </c>
      <c r="W41" s="69"/>
      <c r="X41" s="70"/>
      <c r="Y41" s="71"/>
      <c r="Z41" s="70" t="e">
        <f>VLOOKUP($Y41,客戶編輯設定自動代出!$A:$C,3,0)</f>
        <v>#N/A</v>
      </c>
      <c r="AA41" s="70" t="e">
        <f>VLOOKUP($Y41,客戶編輯設定自動代出!$A:$C,2,0)</f>
        <v>#N/A</v>
      </c>
      <c r="AB41" s="70" t="s">
        <v>1653</v>
      </c>
      <c r="AC41" s="70"/>
      <c r="AD41" s="70"/>
      <c r="AE41" s="72"/>
      <c r="AF41" s="72">
        <f t="shared" si="3"/>
        <v>0</v>
      </c>
      <c r="AG41" s="73"/>
      <c r="AH41" s="74">
        <f t="shared" si="4"/>
        <v>0</v>
      </c>
      <c r="AI41" s="74">
        <f t="shared" si="5"/>
        <v>0</v>
      </c>
      <c r="AJ41" s="71" t="str">
        <f t="shared" si="6"/>
        <v>Y</v>
      </c>
      <c r="AK41" s="71"/>
      <c r="AL41" s="71"/>
      <c r="AM41" s="75"/>
      <c r="AN41" s="75"/>
      <c r="AO41" s="75"/>
      <c r="AP41" s="75"/>
      <c r="AQ41" s="64">
        <v>39</v>
      </c>
      <c r="AR41" s="70"/>
      <c r="AU41" s="70" t="e">
        <f>VLOOKUP($AT41,客戶編輯設定自動代出!$A:$C,3,0)</f>
        <v>#N/A</v>
      </c>
      <c r="AV41" s="70" t="e">
        <f>VLOOKUP($AT41,客戶編輯設定自動代出!$A:$C,2,0)</f>
        <v>#N/A</v>
      </c>
      <c r="AW41" s="76" t="s">
        <v>1953</v>
      </c>
      <c r="BA41" s="72">
        <f t="shared" si="13"/>
        <v>0</v>
      </c>
      <c r="BB41" s="77"/>
      <c r="BC41" s="74">
        <f t="shared" si="14"/>
        <v>0</v>
      </c>
      <c r="BD41" s="74">
        <f t="shared" si="15"/>
        <v>0</v>
      </c>
      <c r="BE41" s="71" t="str">
        <f t="shared" si="10"/>
        <v>Y</v>
      </c>
      <c r="BJ41" s="64">
        <v>39</v>
      </c>
      <c r="BM41" s="70" t="e">
        <f>VLOOKUP(BL41,[1]客戶編輯設定自動代出!L:N,3,0)</f>
        <v>#N/A</v>
      </c>
      <c r="BN41" s="70" t="e">
        <f>VLOOKUP(BL41,[1]客戶編輯設定自動代出!L:N,2,0)</f>
        <v>#N/A</v>
      </c>
      <c r="BO41" s="78" t="s">
        <v>2003</v>
      </c>
      <c r="BQ41" s="74">
        <f t="shared" si="11"/>
        <v>0</v>
      </c>
      <c r="BR41" s="74">
        <f t="shared" si="12"/>
        <v>0</v>
      </c>
      <c r="BT41" s="75"/>
    </row>
    <row r="42" spans="1:72" ht="16.5" x14ac:dyDescent="0.25">
      <c r="A42" s="64">
        <v>40</v>
      </c>
      <c r="B42" s="69"/>
      <c r="E42" s="70" t="e">
        <f>VLOOKUP($D42,客戶編輯設定自動代出!$A:$C,3,0)</f>
        <v>#N/A</v>
      </c>
      <c r="F42" s="70" t="e">
        <f>VLOOKUP($D42,客戶編輯設定自動代出!$A:$C,2,0)</f>
        <v>#N/A</v>
      </c>
      <c r="G42" s="70" t="s">
        <v>1401</v>
      </c>
      <c r="K42" s="72">
        <f t="shared" si="0"/>
        <v>0</v>
      </c>
      <c r="M42" s="74">
        <f t="shared" si="1"/>
        <v>0</v>
      </c>
      <c r="N42" s="74">
        <f t="shared" ref="N42:N96" si="21">M42*0.05</f>
        <v>0</v>
      </c>
      <c r="O42" s="71" t="str">
        <f t="shared" si="2"/>
        <v>Y</v>
      </c>
      <c r="Q42" s="119"/>
      <c r="R42" s="75"/>
      <c r="S42" s="75"/>
      <c r="T42" s="75"/>
      <c r="U42" s="75"/>
      <c r="V42" s="64">
        <v>40</v>
      </c>
      <c r="W42" s="69"/>
      <c r="X42" s="70"/>
      <c r="Y42" s="71"/>
      <c r="Z42" s="70" t="e">
        <f>VLOOKUP($Y42,客戶編輯設定自動代出!$A:$C,3,0)</f>
        <v>#N/A</v>
      </c>
      <c r="AA42" s="70" t="e">
        <f>VLOOKUP($Y42,客戶編輯設定自動代出!$A:$C,2,0)</f>
        <v>#N/A</v>
      </c>
      <c r="AB42" s="70" t="s">
        <v>1654</v>
      </c>
      <c r="AC42" s="70"/>
      <c r="AD42" s="70"/>
      <c r="AE42" s="72"/>
      <c r="AF42" s="72">
        <f t="shared" si="3"/>
        <v>0</v>
      </c>
      <c r="AG42" s="73"/>
      <c r="AH42" s="74">
        <f t="shared" si="4"/>
        <v>0</v>
      </c>
      <c r="AI42" s="74">
        <f t="shared" si="5"/>
        <v>0</v>
      </c>
      <c r="AJ42" s="71" t="str">
        <f t="shared" si="6"/>
        <v>Y</v>
      </c>
      <c r="AK42" s="71"/>
      <c r="AL42" s="71"/>
      <c r="AM42" s="75"/>
      <c r="AN42" s="75"/>
      <c r="AO42" s="75"/>
      <c r="AP42" s="75"/>
      <c r="AQ42" s="64">
        <v>40</v>
      </c>
      <c r="AR42" s="70"/>
      <c r="AU42" s="70" t="e">
        <f>VLOOKUP($AT42,客戶編輯設定自動代出!$A:$C,3,0)</f>
        <v>#N/A</v>
      </c>
      <c r="AV42" s="70" t="e">
        <f>VLOOKUP($AT42,客戶編輯設定自動代出!$A:$C,2,0)</f>
        <v>#N/A</v>
      </c>
      <c r="AW42" s="76" t="s">
        <v>1954</v>
      </c>
      <c r="BA42" s="72">
        <f t="shared" si="13"/>
        <v>0</v>
      </c>
      <c r="BB42" s="77"/>
      <c r="BC42" s="74">
        <f t="shared" si="14"/>
        <v>0</v>
      </c>
      <c r="BD42" s="74">
        <f t="shared" si="15"/>
        <v>0</v>
      </c>
      <c r="BE42" s="71" t="str">
        <f t="shared" si="10"/>
        <v>Y</v>
      </c>
      <c r="BJ42" s="64">
        <v>40</v>
      </c>
      <c r="BM42" s="70" t="e">
        <f>VLOOKUP(BL42,[1]客戶編輯設定自動代出!L:N,3,0)</f>
        <v>#N/A</v>
      </c>
      <c r="BN42" s="70" t="e">
        <f>VLOOKUP(BL42,[1]客戶編輯設定自動代出!L:N,2,0)</f>
        <v>#N/A</v>
      </c>
      <c r="BO42" s="78" t="s">
        <v>2004</v>
      </c>
      <c r="BQ42" s="74">
        <f t="shared" si="11"/>
        <v>0</v>
      </c>
      <c r="BR42" s="74">
        <f t="shared" si="12"/>
        <v>0</v>
      </c>
      <c r="BT42" s="75"/>
    </row>
    <row r="43" spans="1:72" ht="16.5" x14ac:dyDescent="0.25">
      <c r="A43" s="64">
        <v>41</v>
      </c>
      <c r="B43" s="69"/>
      <c r="E43" s="70" t="e">
        <f>VLOOKUP($D43,客戶編輯設定自動代出!$A:$C,3,0)</f>
        <v>#N/A</v>
      </c>
      <c r="F43" s="70" t="e">
        <f>VLOOKUP($D43,客戶編輯設定自動代出!$A:$C,2,0)</f>
        <v>#N/A</v>
      </c>
      <c r="G43" s="70" t="s">
        <v>1402</v>
      </c>
      <c r="K43" s="72">
        <f t="shared" si="0"/>
        <v>0</v>
      </c>
      <c r="M43" s="74">
        <f t="shared" si="1"/>
        <v>0</v>
      </c>
      <c r="N43" s="74">
        <f t="shared" si="21"/>
        <v>0</v>
      </c>
      <c r="O43" s="71" t="str">
        <f t="shared" si="2"/>
        <v>Y</v>
      </c>
      <c r="Q43" s="119"/>
      <c r="R43" s="75"/>
      <c r="S43" s="75"/>
      <c r="T43" s="75"/>
      <c r="U43" s="75"/>
      <c r="V43" s="64">
        <v>41</v>
      </c>
      <c r="W43" s="69"/>
      <c r="X43" s="70"/>
      <c r="Y43" s="71"/>
      <c r="Z43" s="70" t="e">
        <f>VLOOKUP($Y43,客戶編輯設定自動代出!$A:$C,3,0)</f>
        <v>#N/A</v>
      </c>
      <c r="AA43" s="70" t="e">
        <f>VLOOKUP($Y43,客戶編輯設定自動代出!$A:$C,2,0)</f>
        <v>#N/A</v>
      </c>
      <c r="AB43" s="70" t="s">
        <v>1655</v>
      </c>
      <c r="AC43" s="70"/>
      <c r="AD43" s="70"/>
      <c r="AE43" s="72"/>
      <c r="AF43" s="72">
        <f t="shared" si="3"/>
        <v>0</v>
      </c>
      <c r="AG43" s="73"/>
      <c r="AH43" s="74">
        <f t="shared" si="4"/>
        <v>0</v>
      </c>
      <c r="AI43" s="74">
        <f t="shared" si="5"/>
        <v>0</v>
      </c>
      <c r="AJ43" s="71" t="str">
        <f t="shared" si="6"/>
        <v>Y</v>
      </c>
      <c r="AK43" s="71"/>
      <c r="AL43" s="71"/>
      <c r="AM43" s="75"/>
      <c r="AN43" s="75"/>
      <c r="AO43" s="75"/>
      <c r="AP43" s="75"/>
      <c r="AQ43" s="64">
        <v>41</v>
      </c>
      <c r="AR43" s="70"/>
      <c r="AU43" s="70" t="e">
        <f>VLOOKUP($AT43,客戶編輯設定自動代出!$A:$C,3,0)</f>
        <v>#N/A</v>
      </c>
      <c r="AV43" s="70" t="e">
        <f>VLOOKUP($AT43,客戶編輯設定自動代出!$A:$C,2,0)</f>
        <v>#N/A</v>
      </c>
      <c r="AW43" s="76" t="s">
        <v>1955</v>
      </c>
      <c r="BA43" s="72">
        <f t="shared" si="13"/>
        <v>0</v>
      </c>
      <c r="BB43" s="77"/>
      <c r="BC43" s="74">
        <f t="shared" si="14"/>
        <v>0</v>
      </c>
      <c r="BD43" s="74">
        <f t="shared" si="15"/>
        <v>0</v>
      </c>
      <c r="BE43" s="71" t="str">
        <f t="shared" si="10"/>
        <v>Y</v>
      </c>
      <c r="BJ43" s="64">
        <v>41</v>
      </c>
      <c r="BM43" s="70" t="e">
        <f>VLOOKUP(BL43,[1]客戶編輯設定自動代出!L:N,3,0)</f>
        <v>#N/A</v>
      </c>
      <c r="BN43" s="70" t="e">
        <f>VLOOKUP(BL43,[1]客戶編輯設定自動代出!L:N,2,0)</f>
        <v>#N/A</v>
      </c>
      <c r="BO43" s="78" t="s">
        <v>2005</v>
      </c>
      <c r="BQ43" s="74">
        <f t="shared" si="11"/>
        <v>0</v>
      </c>
      <c r="BR43" s="74">
        <f t="shared" si="12"/>
        <v>0</v>
      </c>
      <c r="BT43" s="75"/>
    </row>
    <row r="44" spans="1:72" ht="16.5" x14ac:dyDescent="0.25">
      <c r="A44" s="64">
        <v>42</v>
      </c>
      <c r="B44" s="69"/>
      <c r="E44" s="70" t="e">
        <f>VLOOKUP($D44,客戶編輯設定自動代出!$A:$C,3,0)</f>
        <v>#N/A</v>
      </c>
      <c r="F44" s="70" t="e">
        <f>VLOOKUP($D44,客戶編輯設定自動代出!$A:$C,2,0)</f>
        <v>#N/A</v>
      </c>
      <c r="G44" s="70" t="s">
        <v>1403</v>
      </c>
      <c r="K44" s="72">
        <f t="shared" si="0"/>
        <v>0</v>
      </c>
      <c r="M44" s="74">
        <f t="shared" si="1"/>
        <v>0</v>
      </c>
      <c r="N44" s="74">
        <f t="shared" si="21"/>
        <v>0</v>
      </c>
      <c r="O44" s="71" t="str">
        <f t="shared" si="2"/>
        <v>Y</v>
      </c>
      <c r="Q44" s="119"/>
      <c r="R44" s="75"/>
      <c r="S44" s="75"/>
      <c r="T44" s="75"/>
      <c r="U44" s="75"/>
      <c r="V44" s="64">
        <v>42</v>
      </c>
      <c r="W44" s="69"/>
      <c r="X44" s="70"/>
      <c r="Y44" s="71"/>
      <c r="Z44" s="70" t="e">
        <f>VLOOKUP($Y44,客戶編輯設定自動代出!$A:$C,3,0)</f>
        <v>#N/A</v>
      </c>
      <c r="AA44" s="70" t="e">
        <f>VLOOKUP($Y44,客戶編輯設定自動代出!$A:$C,2,0)</f>
        <v>#N/A</v>
      </c>
      <c r="AB44" s="70" t="s">
        <v>1656</v>
      </c>
      <c r="AC44" s="70"/>
      <c r="AD44" s="70"/>
      <c r="AE44" s="72"/>
      <c r="AF44" s="72">
        <f t="shared" si="3"/>
        <v>0</v>
      </c>
      <c r="AG44" s="73"/>
      <c r="AH44" s="74">
        <f t="shared" si="4"/>
        <v>0</v>
      </c>
      <c r="AI44" s="74">
        <f t="shared" si="5"/>
        <v>0</v>
      </c>
      <c r="AJ44" s="71" t="str">
        <f t="shared" si="6"/>
        <v>Y</v>
      </c>
      <c r="AK44" s="71"/>
      <c r="AL44" s="71"/>
      <c r="AM44" s="75"/>
      <c r="AN44" s="75"/>
      <c r="AO44" s="75"/>
      <c r="AP44" s="75"/>
      <c r="AQ44" s="64">
        <v>42</v>
      </c>
      <c r="AR44" s="70"/>
      <c r="AU44" s="70" t="e">
        <f>VLOOKUP($AT44,客戶編輯設定自動代出!$A:$C,3,0)</f>
        <v>#N/A</v>
      </c>
      <c r="AV44" s="70" t="e">
        <f>VLOOKUP($AT44,客戶編輯設定自動代出!$A:$C,2,0)</f>
        <v>#N/A</v>
      </c>
      <c r="AW44" s="76" t="s">
        <v>1956</v>
      </c>
      <c r="BA44" s="72">
        <f t="shared" si="13"/>
        <v>0</v>
      </c>
      <c r="BB44" s="77"/>
      <c r="BC44" s="74">
        <f t="shared" si="14"/>
        <v>0</v>
      </c>
      <c r="BD44" s="74">
        <f t="shared" si="15"/>
        <v>0</v>
      </c>
      <c r="BE44" s="71" t="str">
        <f t="shared" si="10"/>
        <v>Y</v>
      </c>
      <c r="BJ44" s="64">
        <v>42</v>
      </c>
      <c r="BM44" s="70" t="e">
        <f>VLOOKUP(BL44,[1]客戶編輯設定自動代出!L:N,3,0)</f>
        <v>#N/A</v>
      </c>
      <c r="BN44" s="70" t="e">
        <f>VLOOKUP(BL44,[1]客戶編輯設定自動代出!L:N,2,0)</f>
        <v>#N/A</v>
      </c>
      <c r="BO44" s="78" t="s">
        <v>2006</v>
      </c>
      <c r="BQ44" s="74">
        <f t="shared" si="11"/>
        <v>0</v>
      </c>
      <c r="BR44" s="74">
        <f t="shared" si="12"/>
        <v>0</v>
      </c>
      <c r="BT44" s="75"/>
    </row>
    <row r="45" spans="1:72" ht="16.5" x14ac:dyDescent="0.25">
      <c r="A45" s="64">
        <v>43</v>
      </c>
      <c r="B45" s="69"/>
      <c r="E45" s="70" t="e">
        <f>VLOOKUP($D45,客戶編輯設定自動代出!$A:$C,3,0)</f>
        <v>#N/A</v>
      </c>
      <c r="F45" s="70" t="e">
        <f>VLOOKUP($D45,客戶編輯設定自動代出!$A:$C,2,0)</f>
        <v>#N/A</v>
      </c>
      <c r="G45" s="70" t="s">
        <v>1404</v>
      </c>
      <c r="K45" s="72">
        <f t="shared" si="0"/>
        <v>0</v>
      </c>
      <c r="M45" s="74">
        <f t="shared" si="1"/>
        <v>0</v>
      </c>
      <c r="N45" s="74">
        <f t="shared" si="21"/>
        <v>0</v>
      </c>
      <c r="O45" s="71" t="str">
        <f t="shared" si="2"/>
        <v>Y</v>
      </c>
      <c r="Q45" s="119"/>
      <c r="R45" s="75"/>
      <c r="S45" s="75"/>
      <c r="T45" s="75"/>
      <c r="U45" s="75"/>
      <c r="V45" s="64">
        <v>43</v>
      </c>
      <c r="W45" s="69"/>
      <c r="X45" s="70"/>
      <c r="Y45" s="71"/>
      <c r="Z45" s="70" t="e">
        <f>VLOOKUP($Y45,客戶編輯設定自動代出!$A:$C,3,0)</f>
        <v>#N/A</v>
      </c>
      <c r="AA45" s="70" t="e">
        <f>VLOOKUP($Y45,客戶編輯設定自動代出!$A:$C,2,0)</f>
        <v>#N/A</v>
      </c>
      <c r="AB45" s="70" t="s">
        <v>1657</v>
      </c>
      <c r="AC45" s="70"/>
      <c r="AD45" s="70"/>
      <c r="AE45" s="72"/>
      <c r="AF45" s="72">
        <f t="shared" si="3"/>
        <v>0</v>
      </c>
      <c r="AG45" s="73"/>
      <c r="AH45" s="74">
        <f t="shared" si="4"/>
        <v>0</v>
      </c>
      <c r="AI45" s="74">
        <f t="shared" si="5"/>
        <v>0</v>
      </c>
      <c r="AJ45" s="71" t="str">
        <f t="shared" si="6"/>
        <v>Y</v>
      </c>
      <c r="AK45" s="71"/>
      <c r="AL45" s="71"/>
      <c r="AM45" s="75"/>
      <c r="AN45" s="75"/>
      <c r="AO45" s="75"/>
      <c r="AP45" s="75"/>
      <c r="AQ45" s="64">
        <v>43</v>
      </c>
      <c r="AR45" s="70"/>
      <c r="AU45" s="70" t="e">
        <f>VLOOKUP($AT45,客戶編輯設定自動代出!$A:$C,3,0)</f>
        <v>#N/A</v>
      </c>
      <c r="AV45" s="70" t="e">
        <f>VLOOKUP($AT45,客戶編輯設定自動代出!$A:$C,2,0)</f>
        <v>#N/A</v>
      </c>
      <c r="AW45" s="76" t="s">
        <v>1957</v>
      </c>
      <c r="BA45" s="72">
        <f t="shared" si="13"/>
        <v>0</v>
      </c>
      <c r="BB45" s="77"/>
      <c r="BC45" s="74">
        <f t="shared" si="14"/>
        <v>0</v>
      </c>
      <c r="BD45" s="74">
        <f t="shared" si="15"/>
        <v>0</v>
      </c>
      <c r="BE45" s="71" t="str">
        <f t="shared" si="10"/>
        <v>Y</v>
      </c>
      <c r="BJ45" s="64">
        <v>43</v>
      </c>
      <c r="BM45" s="70" t="e">
        <f>VLOOKUP(BL45,[1]客戶編輯設定自動代出!L:N,3,0)</f>
        <v>#N/A</v>
      </c>
      <c r="BN45" s="70" t="e">
        <f>VLOOKUP(BL45,[1]客戶編輯設定自動代出!L:N,2,0)</f>
        <v>#N/A</v>
      </c>
      <c r="BO45" s="78" t="s">
        <v>2007</v>
      </c>
      <c r="BQ45" s="74">
        <f t="shared" si="11"/>
        <v>0</v>
      </c>
      <c r="BR45" s="74">
        <f t="shared" si="12"/>
        <v>0</v>
      </c>
      <c r="BT45" s="75"/>
    </row>
    <row r="46" spans="1:72" ht="16.5" x14ac:dyDescent="0.25">
      <c r="A46" s="64">
        <v>44</v>
      </c>
      <c r="B46" s="69"/>
      <c r="E46" s="70" t="e">
        <f>VLOOKUP($D46,客戶編輯設定自動代出!$A:$C,3,0)</f>
        <v>#N/A</v>
      </c>
      <c r="F46" s="70" t="e">
        <f>VLOOKUP($D46,客戶編輯設定自動代出!$A:$C,2,0)</f>
        <v>#N/A</v>
      </c>
      <c r="G46" s="70" t="s">
        <v>1405</v>
      </c>
      <c r="K46" s="72">
        <f t="shared" si="0"/>
        <v>0</v>
      </c>
      <c r="M46" s="74">
        <f t="shared" si="1"/>
        <v>0</v>
      </c>
      <c r="N46" s="74">
        <f t="shared" si="21"/>
        <v>0</v>
      </c>
      <c r="O46" s="71" t="str">
        <f t="shared" si="2"/>
        <v>Y</v>
      </c>
      <c r="Q46" s="119"/>
      <c r="R46" s="75"/>
      <c r="S46" s="75"/>
      <c r="T46" s="75"/>
      <c r="U46" s="75"/>
      <c r="V46" s="64">
        <v>44</v>
      </c>
      <c r="W46" s="69"/>
      <c r="X46" s="70"/>
      <c r="Y46" s="71"/>
      <c r="Z46" s="70" t="e">
        <f>VLOOKUP($Y46,客戶編輯設定自動代出!$A:$C,3,0)</f>
        <v>#N/A</v>
      </c>
      <c r="AA46" s="70" t="e">
        <f>VLOOKUP($Y46,客戶編輯設定自動代出!$A:$C,2,0)</f>
        <v>#N/A</v>
      </c>
      <c r="AB46" s="70" t="s">
        <v>1658</v>
      </c>
      <c r="AC46" s="70"/>
      <c r="AD46" s="70"/>
      <c r="AE46" s="72"/>
      <c r="AF46" s="72">
        <f t="shared" si="3"/>
        <v>0</v>
      </c>
      <c r="AG46" s="73"/>
      <c r="AH46" s="74">
        <f t="shared" si="4"/>
        <v>0</v>
      </c>
      <c r="AI46" s="74">
        <f t="shared" si="5"/>
        <v>0</v>
      </c>
      <c r="AJ46" s="71" t="str">
        <f t="shared" si="6"/>
        <v>Y</v>
      </c>
      <c r="AK46" s="71"/>
      <c r="AL46" s="71"/>
      <c r="AM46" s="75"/>
      <c r="AN46" s="75"/>
      <c r="AO46" s="75"/>
      <c r="AP46" s="75"/>
      <c r="AQ46" s="64">
        <v>44</v>
      </c>
      <c r="AR46" s="70"/>
      <c r="AU46" s="70" t="e">
        <f>VLOOKUP($AT46,客戶編輯設定自動代出!$A:$C,3,0)</f>
        <v>#N/A</v>
      </c>
      <c r="AV46" s="70" t="e">
        <f>VLOOKUP($AT46,客戶編輯設定自動代出!$A:$C,2,0)</f>
        <v>#N/A</v>
      </c>
      <c r="AW46" s="76" t="s">
        <v>1958</v>
      </c>
      <c r="BA46" s="72">
        <f t="shared" si="13"/>
        <v>0</v>
      </c>
      <c r="BB46" s="77"/>
      <c r="BC46" s="74">
        <f t="shared" si="14"/>
        <v>0</v>
      </c>
      <c r="BD46" s="74">
        <f t="shared" si="15"/>
        <v>0</v>
      </c>
      <c r="BE46" s="71" t="str">
        <f t="shared" si="10"/>
        <v>Y</v>
      </c>
      <c r="BJ46" s="64">
        <v>44</v>
      </c>
      <c r="BM46" s="70" t="e">
        <f>VLOOKUP(BL46,[1]客戶編輯設定自動代出!L:N,3,0)</f>
        <v>#N/A</v>
      </c>
      <c r="BN46" s="70" t="e">
        <f>VLOOKUP(BL46,[1]客戶編輯設定自動代出!L:N,2,0)</f>
        <v>#N/A</v>
      </c>
      <c r="BO46" s="78" t="s">
        <v>2008</v>
      </c>
      <c r="BQ46" s="74">
        <f t="shared" si="11"/>
        <v>0</v>
      </c>
      <c r="BR46" s="74">
        <f t="shared" si="12"/>
        <v>0</v>
      </c>
      <c r="BT46" s="75"/>
    </row>
    <row r="47" spans="1:72" ht="16.5" x14ac:dyDescent="0.25">
      <c r="A47" s="64">
        <v>45</v>
      </c>
      <c r="B47" s="69"/>
      <c r="E47" s="70" t="e">
        <f>VLOOKUP($D47,客戶編輯設定自動代出!$A:$C,3,0)</f>
        <v>#N/A</v>
      </c>
      <c r="F47" s="70" t="e">
        <f>VLOOKUP($D47,客戶編輯設定自動代出!$A:$C,2,0)</f>
        <v>#N/A</v>
      </c>
      <c r="G47" s="70" t="s">
        <v>1406</v>
      </c>
      <c r="K47" s="72">
        <f t="shared" si="0"/>
        <v>0</v>
      </c>
      <c r="M47" s="74">
        <f t="shared" si="1"/>
        <v>0</v>
      </c>
      <c r="N47" s="74">
        <f t="shared" si="21"/>
        <v>0</v>
      </c>
      <c r="O47" s="71" t="str">
        <f t="shared" si="2"/>
        <v>Y</v>
      </c>
      <c r="Q47" s="119"/>
      <c r="R47" s="75"/>
      <c r="S47" s="75"/>
      <c r="T47" s="75"/>
      <c r="U47" s="75"/>
      <c r="V47" s="64">
        <v>45</v>
      </c>
      <c r="W47" s="69"/>
      <c r="X47" s="70"/>
      <c r="Y47" s="71"/>
      <c r="Z47" s="70" t="e">
        <f>VLOOKUP($Y47,客戶編輯設定自動代出!$A:$C,3,0)</f>
        <v>#N/A</v>
      </c>
      <c r="AA47" s="70" t="e">
        <f>VLOOKUP($Y47,客戶編輯設定自動代出!$A:$C,2,0)</f>
        <v>#N/A</v>
      </c>
      <c r="AB47" s="70" t="s">
        <v>1659</v>
      </c>
      <c r="AC47" s="70"/>
      <c r="AD47" s="70"/>
      <c r="AE47" s="72"/>
      <c r="AF47" s="72">
        <f t="shared" si="3"/>
        <v>0</v>
      </c>
      <c r="AG47" s="73"/>
      <c r="AH47" s="74">
        <f t="shared" si="4"/>
        <v>0</v>
      </c>
      <c r="AI47" s="74">
        <f t="shared" si="5"/>
        <v>0</v>
      </c>
      <c r="AJ47" s="71" t="str">
        <f t="shared" si="6"/>
        <v>Y</v>
      </c>
      <c r="AK47" s="71"/>
      <c r="AL47" s="71"/>
      <c r="AM47" s="75"/>
      <c r="AN47" s="75"/>
      <c r="AO47" s="75"/>
      <c r="AP47" s="75"/>
      <c r="AQ47" s="64">
        <v>45</v>
      </c>
      <c r="AR47" s="70"/>
      <c r="AU47" s="70" t="e">
        <f>VLOOKUP($AT47,客戶編輯設定自動代出!$A:$C,3,0)</f>
        <v>#N/A</v>
      </c>
      <c r="AV47" s="70" t="e">
        <f>VLOOKUP($AT47,客戶編輯設定自動代出!$A:$C,2,0)</f>
        <v>#N/A</v>
      </c>
      <c r="AW47" s="76" t="s">
        <v>1959</v>
      </c>
      <c r="BA47" s="72">
        <f t="shared" si="13"/>
        <v>0</v>
      </c>
      <c r="BB47" s="77"/>
      <c r="BC47" s="74">
        <f t="shared" si="14"/>
        <v>0</v>
      </c>
      <c r="BD47" s="74">
        <f t="shared" si="15"/>
        <v>0</v>
      </c>
      <c r="BE47" s="71" t="str">
        <f t="shared" si="10"/>
        <v>Y</v>
      </c>
      <c r="BJ47" s="64">
        <v>45</v>
      </c>
      <c r="BM47" s="70" t="e">
        <f>VLOOKUP(BL47,[1]客戶編輯設定自動代出!L:N,3,0)</f>
        <v>#N/A</v>
      </c>
      <c r="BN47" s="70" t="e">
        <f>VLOOKUP(BL47,[1]客戶編輯設定自動代出!L:N,2,0)</f>
        <v>#N/A</v>
      </c>
      <c r="BO47" s="78" t="s">
        <v>2009</v>
      </c>
      <c r="BQ47" s="74">
        <f t="shared" si="11"/>
        <v>0</v>
      </c>
      <c r="BR47" s="74">
        <f t="shared" si="12"/>
        <v>0</v>
      </c>
      <c r="BT47" s="75"/>
    </row>
    <row r="48" spans="1:72" ht="16.5" x14ac:dyDescent="0.25">
      <c r="A48" s="64">
        <v>46</v>
      </c>
      <c r="B48" s="69"/>
      <c r="E48" s="70" t="e">
        <f>VLOOKUP($D48,客戶編輯設定自動代出!$A:$C,3,0)</f>
        <v>#N/A</v>
      </c>
      <c r="F48" s="70" t="e">
        <f>VLOOKUP($D48,客戶編輯設定自動代出!$A:$C,2,0)</f>
        <v>#N/A</v>
      </c>
      <c r="G48" s="70" t="s">
        <v>1407</v>
      </c>
      <c r="K48" s="72">
        <f t="shared" si="0"/>
        <v>0</v>
      </c>
      <c r="M48" s="74">
        <f t="shared" si="1"/>
        <v>0</v>
      </c>
      <c r="N48" s="74">
        <f t="shared" si="21"/>
        <v>0</v>
      </c>
      <c r="O48" s="71" t="str">
        <f t="shared" si="2"/>
        <v>Y</v>
      </c>
      <c r="Q48" s="119"/>
      <c r="R48" s="75"/>
      <c r="S48" s="75"/>
      <c r="T48" s="75"/>
      <c r="U48" s="75"/>
      <c r="V48" s="64">
        <v>46</v>
      </c>
      <c r="W48" s="69"/>
      <c r="X48" s="70"/>
      <c r="Y48" s="71"/>
      <c r="Z48" s="70" t="e">
        <f>VLOOKUP($Y48,客戶編輯設定自動代出!$A:$C,3,0)</f>
        <v>#N/A</v>
      </c>
      <c r="AA48" s="70" t="e">
        <f>VLOOKUP($Y48,客戶編輯設定自動代出!$A:$C,2,0)</f>
        <v>#N/A</v>
      </c>
      <c r="AB48" s="70" t="s">
        <v>1660</v>
      </c>
      <c r="AC48" s="70"/>
      <c r="AD48" s="70"/>
      <c r="AE48" s="72"/>
      <c r="AF48" s="72">
        <f t="shared" si="3"/>
        <v>0</v>
      </c>
      <c r="AG48" s="73"/>
      <c r="AH48" s="74">
        <f t="shared" si="4"/>
        <v>0</v>
      </c>
      <c r="AI48" s="74">
        <f t="shared" si="5"/>
        <v>0</v>
      </c>
      <c r="AJ48" s="71" t="str">
        <f t="shared" si="6"/>
        <v>Y</v>
      </c>
      <c r="AK48" s="71"/>
      <c r="AL48" s="71"/>
      <c r="AM48" s="75"/>
      <c r="AN48" s="75"/>
      <c r="AO48" s="75"/>
      <c r="AP48" s="75"/>
      <c r="AQ48" s="64">
        <v>46</v>
      </c>
      <c r="AR48" s="70"/>
      <c r="AU48" s="70" t="e">
        <f>VLOOKUP($AT48,客戶編輯設定自動代出!$A:$C,3,0)</f>
        <v>#N/A</v>
      </c>
      <c r="AV48" s="70" t="e">
        <f>VLOOKUP($AT48,客戶編輯設定自動代出!$A:$C,2,0)</f>
        <v>#N/A</v>
      </c>
      <c r="AW48" s="76" t="s">
        <v>1960</v>
      </c>
      <c r="BA48" s="72">
        <f t="shared" si="13"/>
        <v>0</v>
      </c>
      <c r="BB48" s="77"/>
      <c r="BC48" s="74">
        <f t="shared" si="14"/>
        <v>0</v>
      </c>
      <c r="BD48" s="74">
        <f t="shared" si="15"/>
        <v>0</v>
      </c>
      <c r="BE48" s="71" t="str">
        <f t="shared" si="10"/>
        <v>Y</v>
      </c>
      <c r="BJ48" s="64">
        <v>46</v>
      </c>
      <c r="BM48" s="70" t="e">
        <f>VLOOKUP(BL48,[1]客戶編輯設定自動代出!L:N,3,0)</f>
        <v>#N/A</v>
      </c>
      <c r="BN48" s="70" t="e">
        <f>VLOOKUP(BL48,[1]客戶編輯設定自動代出!L:N,2,0)</f>
        <v>#N/A</v>
      </c>
      <c r="BO48" s="78" t="s">
        <v>2010</v>
      </c>
      <c r="BQ48" s="74">
        <f t="shared" si="11"/>
        <v>0</v>
      </c>
      <c r="BR48" s="74">
        <f t="shared" si="12"/>
        <v>0</v>
      </c>
      <c r="BT48" s="75"/>
    </row>
    <row r="49" spans="1:72" ht="16.5" x14ac:dyDescent="0.25">
      <c r="A49" s="64">
        <v>47</v>
      </c>
      <c r="B49" s="69"/>
      <c r="E49" s="70" t="e">
        <f>VLOOKUP($D49,客戶編輯設定自動代出!$A:$C,3,0)</f>
        <v>#N/A</v>
      </c>
      <c r="F49" s="70" t="e">
        <f>VLOOKUP($D49,客戶編輯設定自動代出!$A:$C,2,0)</f>
        <v>#N/A</v>
      </c>
      <c r="G49" s="70" t="s">
        <v>1408</v>
      </c>
      <c r="K49" s="72">
        <f t="shared" si="0"/>
        <v>0</v>
      </c>
      <c r="M49" s="74">
        <f t="shared" si="1"/>
        <v>0</v>
      </c>
      <c r="N49" s="74">
        <f t="shared" si="21"/>
        <v>0</v>
      </c>
      <c r="O49" s="71" t="str">
        <f t="shared" si="2"/>
        <v>Y</v>
      </c>
      <c r="Q49" s="119"/>
      <c r="R49" s="75"/>
      <c r="S49" s="75"/>
      <c r="T49" s="75"/>
      <c r="U49" s="75"/>
      <c r="V49" s="64">
        <v>47</v>
      </c>
      <c r="W49" s="69"/>
      <c r="X49" s="70"/>
      <c r="Y49" s="71"/>
      <c r="Z49" s="70" t="e">
        <f>VLOOKUP($Y49,客戶編輯設定自動代出!$A:$C,3,0)</f>
        <v>#N/A</v>
      </c>
      <c r="AA49" s="70" t="e">
        <f>VLOOKUP($Y49,客戶編輯設定自動代出!$A:$C,2,0)</f>
        <v>#N/A</v>
      </c>
      <c r="AB49" s="70" t="s">
        <v>1661</v>
      </c>
      <c r="AC49" s="70"/>
      <c r="AD49" s="70"/>
      <c r="AE49" s="72"/>
      <c r="AF49" s="72">
        <f t="shared" si="3"/>
        <v>0</v>
      </c>
      <c r="AG49" s="73"/>
      <c r="AH49" s="74">
        <f t="shared" si="4"/>
        <v>0</v>
      </c>
      <c r="AI49" s="74">
        <f t="shared" si="5"/>
        <v>0</v>
      </c>
      <c r="AJ49" s="71" t="str">
        <f t="shared" si="6"/>
        <v>Y</v>
      </c>
      <c r="AK49" s="71"/>
      <c r="AL49" s="71"/>
      <c r="AM49" s="75"/>
      <c r="AN49" s="75"/>
      <c r="AO49" s="75"/>
      <c r="AP49" s="75"/>
      <c r="AQ49" s="64">
        <v>47</v>
      </c>
      <c r="AR49" s="70"/>
      <c r="AU49" s="70" t="e">
        <f>VLOOKUP($AT49,客戶編輯設定自動代出!$A:$C,3,0)</f>
        <v>#N/A</v>
      </c>
      <c r="AV49" s="70" t="e">
        <f>VLOOKUP($AT49,客戶編輯設定自動代出!$A:$C,2,0)</f>
        <v>#N/A</v>
      </c>
      <c r="AW49" s="76" t="s">
        <v>1961</v>
      </c>
      <c r="BA49" s="72">
        <f t="shared" si="13"/>
        <v>0</v>
      </c>
      <c r="BB49" s="77"/>
      <c r="BC49" s="74">
        <f t="shared" si="14"/>
        <v>0</v>
      </c>
      <c r="BD49" s="74">
        <f t="shared" si="15"/>
        <v>0</v>
      </c>
      <c r="BE49" s="71" t="str">
        <f t="shared" si="10"/>
        <v>Y</v>
      </c>
      <c r="BJ49" s="64">
        <v>47</v>
      </c>
      <c r="BM49" s="70" t="e">
        <f>VLOOKUP(BL49,[1]客戶編輯設定自動代出!L:N,3,0)</f>
        <v>#N/A</v>
      </c>
      <c r="BN49" s="70" t="e">
        <f>VLOOKUP(BL49,[1]客戶編輯設定自動代出!L:N,2,0)</f>
        <v>#N/A</v>
      </c>
      <c r="BO49" s="78" t="s">
        <v>2011</v>
      </c>
      <c r="BQ49" s="74">
        <f t="shared" si="11"/>
        <v>0</v>
      </c>
      <c r="BR49" s="74">
        <f t="shared" si="12"/>
        <v>0</v>
      </c>
      <c r="BT49" s="75"/>
    </row>
    <row r="50" spans="1:72" ht="16.5" x14ac:dyDescent="0.25">
      <c r="A50" s="64">
        <v>48</v>
      </c>
      <c r="B50" s="69"/>
      <c r="E50" s="70" t="e">
        <f>VLOOKUP($D50,客戶編輯設定自動代出!$A:$C,3,0)</f>
        <v>#N/A</v>
      </c>
      <c r="F50" s="70" t="e">
        <f>VLOOKUP($D50,客戶編輯設定自動代出!$A:$C,2,0)</f>
        <v>#N/A</v>
      </c>
      <c r="G50" s="70" t="s">
        <v>1409</v>
      </c>
      <c r="K50" s="72">
        <f t="shared" si="0"/>
        <v>0</v>
      </c>
      <c r="M50" s="74">
        <f t="shared" si="1"/>
        <v>0</v>
      </c>
      <c r="N50" s="74">
        <f t="shared" si="21"/>
        <v>0</v>
      </c>
      <c r="O50" s="71" t="str">
        <f t="shared" si="2"/>
        <v>Y</v>
      </c>
      <c r="Q50" s="119"/>
      <c r="R50" s="75"/>
      <c r="S50" s="75"/>
      <c r="T50" s="75"/>
      <c r="U50" s="75"/>
      <c r="V50" s="64">
        <v>48</v>
      </c>
      <c r="W50" s="69"/>
      <c r="X50" s="70"/>
      <c r="Y50" s="71"/>
      <c r="Z50" s="70" t="e">
        <f>VLOOKUP($Y50,客戶編輯設定自動代出!$A:$C,3,0)</f>
        <v>#N/A</v>
      </c>
      <c r="AA50" s="70" t="e">
        <f>VLOOKUP($Y50,客戶編輯設定自動代出!$A:$C,2,0)</f>
        <v>#N/A</v>
      </c>
      <c r="AB50" s="70" t="s">
        <v>1662</v>
      </c>
      <c r="AC50" s="70"/>
      <c r="AD50" s="70"/>
      <c r="AE50" s="72"/>
      <c r="AF50" s="72">
        <f t="shared" si="3"/>
        <v>0</v>
      </c>
      <c r="AG50" s="73"/>
      <c r="AH50" s="74">
        <f t="shared" si="4"/>
        <v>0</v>
      </c>
      <c r="AI50" s="74">
        <f t="shared" si="5"/>
        <v>0</v>
      </c>
      <c r="AJ50" s="71" t="str">
        <f t="shared" si="6"/>
        <v>Y</v>
      </c>
      <c r="AK50" s="71"/>
      <c r="AL50" s="71"/>
      <c r="AM50" s="75"/>
      <c r="AN50" s="75"/>
      <c r="AO50" s="75"/>
      <c r="AP50" s="75"/>
      <c r="AQ50" s="64">
        <v>48</v>
      </c>
      <c r="AR50" s="70"/>
      <c r="AU50" s="70" t="e">
        <f>VLOOKUP($AT50,客戶編輯設定自動代出!$A:$C,3,0)</f>
        <v>#N/A</v>
      </c>
      <c r="AV50" s="70" t="e">
        <f>VLOOKUP($AT50,客戶編輯設定自動代出!$A:$C,2,0)</f>
        <v>#N/A</v>
      </c>
      <c r="AW50" s="76" t="s">
        <v>1962</v>
      </c>
      <c r="BA50" s="72">
        <f t="shared" si="13"/>
        <v>0</v>
      </c>
      <c r="BB50" s="77"/>
      <c r="BC50" s="74">
        <f t="shared" si="14"/>
        <v>0</v>
      </c>
      <c r="BD50" s="74">
        <f t="shared" si="15"/>
        <v>0</v>
      </c>
      <c r="BE50" s="71" t="str">
        <f t="shared" si="10"/>
        <v>Y</v>
      </c>
      <c r="BJ50" s="64">
        <v>48</v>
      </c>
      <c r="BM50" s="70" t="e">
        <f>VLOOKUP(BL50,[1]客戶編輯設定自動代出!L:N,3,0)</f>
        <v>#N/A</v>
      </c>
      <c r="BN50" s="70" t="e">
        <f>VLOOKUP(BL50,[1]客戶編輯設定自動代出!L:N,2,0)</f>
        <v>#N/A</v>
      </c>
      <c r="BO50" s="78" t="s">
        <v>2012</v>
      </c>
      <c r="BQ50" s="74">
        <f t="shared" si="11"/>
        <v>0</v>
      </c>
      <c r="BR50" s="74">
        <f t="shared" si="12"/>
        <v>0</v>
      </c>
      <c r="BT50" s="75"/>
    </row>
    <row r="51" spans="1:72" ht="16.5" x14ac:dyDescent="0.25">
      <c r="A51" s="64">
        <v>49</v>
      </c>
      <c r="B51" s="69"/>
      <c r="E51" s="70" t="e">
        <f>VLOOKUP($D51,客戶編輯設定自動代出!$A:$C,3,0)</f>
        <v>#N/A</v>
      </c>
      <c r="F51" s="70" t="e">
        <f>VLOOKUP($D51,客戶編輯設定自動代出!$A:$C,2,0)</f>
        <v>#N/A</v>
      </c>
      <c r="G51" s="70" t="s">
        <v>1410</v>
      </c>
      <c r="K51" s="72">
        <f t="shared" si="0"/>
        <v>0</v>
      </c>
      <c r="M51" s="74">
        <f t="shared" si="1"/>
        <v>0</v>
      </c>
      <c r="N51" s="74">
        <f t="shared" si="21"/>
        <v>0</v>
      </c>
      <c r="O51" s="71" t="str">
        <f t="shared" si="2"/>
        <v>Y</v>
      </c>
      <c r="Q51" s="119"/>
      <c r="R51" s="75"/>
      <c r="S51" s="75"/>
      <c r="T51" s="75"/>
      <c r="U51" s="75"/>
      <c r="V51" s="64">
        <v>49</v>
      </c>
      <c r="W51" s="69"/>
      <c r="X51" s="70"/>
      <c r="Y51" s="71"/>
      <c r="Z51" s="70" t="e">
        <f>VLOOKUP($Y51,客戶編輯設定自動代出!$A:$C,3,0)</f>
        <v>#N/A</v>
      </c>
      <c r="AA51" s="70" t="e">
        <f>VLOOKUP($Y51,客戶編輯設定自動代出!$A:$C,2,0)</f>
        <v>#N/A</v>
      </c>
      <c r="AB51" s="70" t="s">
        <v>1663</v>
      </c>
      <c r="AC51" s="70"/>
      <c r="AD51" s="70"/>
      <c r="AE51" s="72"/>
      <c r="AF51" s="72">
        <f t="shared" si="3"/>
        <v>0</v>
      </c>
      <c r="AG51" s="73"/>
      <c r="AH51" s="74">
        <f t="shared" si="4"/>
        <v>0</v>
      </c>
      <c r="AI51" s="74">
        <f t="shared" si="5"/>
        <v>0</v>
      </c>
      <c r="AJ51" s="71" t="str">
        <f t="shared" si="6"/>
        <v>Y</v>
      </c>
      <c r="AK51" s="71"/>
      <c r="AL51" s="71"/>
      <c r="AM51" s="75"/>
      <c r="AN51" s="75"/>
      <c r="AO51" s="75"/>
      <c r="AP51" s="75"/>
      <c r="AQ51" s="64">
        <v>49</v>
      </c>
      <c r="AR51" s="70"/>
      <c r="AU51" s="70" t="e">
        <f>VLOOKUP($AT51,客戶編輯設定自動代出!$A:$C,3,0)</f>
        <v>#N/A</v>
      </c>
      <c r="AV51" s="70" t="e">
        <f>VLOOKUP($AT51,客戶編輯設定自動代出!$A:$C,2,0)</f>
        <v>#N/A</v>
      </c>
      <c r="AW51" s="76" t="s">
        <v>1963</v>
      </c>
      <c r="BA51" s="72">
        <f t="shared" si="13"/>
        <v>0</v>
      </c>
      <c r="BB51" s="77"/>
      <c r="BC51" s="74">
        <f t="shared" si="14"/>
        <v>0</v>
      </c>
      <c r="BD51" s="74">
        <f t="shared" si="15"/>
        <v>0</v>
      </c>
      <c r="BE51" s="71" t="str">
        <f t="shared" si="10"/>
        <v>Y</v>
      </c>
      <c r="BJ51" s="64">
        <v>49</v>
      </c>
      <c r="BM51" s="70" t="e">
        <f>VLOOKUP(BL51,[1]客戶編輯設定自動代出!L:N,3,0)</f>
        <v>#N/A</v>
      </c>
      <c r="BN51" s="70" t="e">
        <f>VLOOKUP(BL51,[1]客戶編輯設定自動代出!L:N,2,0)</f>
        <v>#N/A</v>
      </c>
      <c r="BO51" s="78" t="s">
        <v>2013</v>
      </c>
      <c r="BQ51" s="74">
        <f t="shared" si="11"/>
        <v>0</v>
      </c>
      <c r="BR51" s="74">
        <f t="shared" si="12"/>
        <v>0</v>
      </c>
      <c r="BT51" s="75"/>
    </row>
    <row r="52" spans="1:72" ht="16.5" x14ac:dyDescent="0.25">
      <c r="A52" s="64">
        <v>50</v>
      </c>
      <c r="B52" s="69"/>
      <c r="E52" s="70" t="e">
        <f>VLOOKUP($D52,客戶編輯設定自動代出!$A:$C,3,0)</f>
        <v>#N/A</v>
      </c>
      <c r="F52" s="70" t="e">
        <f>VLOOKUP($D52,客戶編輯設定自動代出!$A:$C,2,0)</f>
        <v>#N/A</v>
      </c>
      <c r="G52" s="70" t="s">
        <v>1411</v>
      </c>
      <c r="K52" s="72">
        <f t="shared" si="0"/>
        <v>0</v>
      </c>
      <c r="M52" s="74">
        <f t="shared" si="1"/>
        <v>0</v>
      </c>
      <c r="N52" s="74">
        <f t="shared" si="21"/>
        <v>0</v>
      </c>
      <c r="O52" s="71" t="str">
        <f t="shared" si="2"/>
        <v>Y</v>
      </c>
      <c r="Q52" s="119"/>
      <c r="R52" s="75"/>
      <c r="S52" s="75"/>
      <c r="T52" s="75"/>
      <c r="U52" s="75"/>
      <c r="V52" s="64">
        <v>50</v>
      </c>
      <c r="W52" s="69"/>
      <c r="X52" s="70"/>
      <c r="Y52" s="71"/>
      <c r="Z52" s="70" t="e">
        <f>VLOOKUP($Y52,客戶編輯設定自動代出!$A:$C,3,0)</f>
        <v>#N/A</v>
      </c>
      <c r="AA52" s="70" t="e">
        <f>VLOOKUP($Y52,客戶編輯設定自動代出!$A:$C,2,0)</f>
        <v>#N/A</v>
      </c>
      <c r="AB52" s="70" t="s">
        <v>1664</v>
      </c>
      <c r="AC52" s="70"/>
      <c r="AD52" s="70"/>
      <c r="AE52" s="72"/>
      <c r="AF52" s="72">
        <f t="shared" ref="AF10:AF68" si="22">AD52*AE52</f>
        <v>0</v>
      </c>
      <c r="AG52" s="73"/>
      <c r="AH52" s="74">
        <f t="shared" ref="AH10:AH68" si="23">AG52/1.05</f>
        <v>0</v>
      </c>
      <c r="AI52" s="74">
        <f t="shared" ref="AI18:AI68" si="24">AH52*0.05</f>
        <v>0</v>
      </c>
      <c r="AJ52" s="71" t="str">
        <f t="shared" si="6"/>
        <v>Y</v>
      </c>
      <c r="AK52" s="71"/>
      <c r="AL52" s="71"/>
      <c r="AM52" s="75"/>
      <c r="AN52" s="75"/>
      <c r="AO52" s="75"/>
      <c r="AP52" s="75"/>
      <c r="AQ52" s="64">
        <v>50</v>
      </c>
      <c r="AR52" s="70"/>
      <c r="AU52" s="70" t="e">
        <f>VLOOKUP($AT52,客戶編輯設定自動代出!$A:$C,3,0)</f>
        <v>#N/A</v>
      </c>
      <c r="AV52" s="70" t="e">
        <f>VLOOKUP($AT52,客戶編輯設定自動代出!$A:$C,2,0)</f>
        <v>#N/A</v>
      </c>
      <c r="AW52" s="76" t="s">
        <v>1964</v>
      </c>
      <c r="BA52" s="72">
        <f t="shared" si="13"/>
        <v>0</v>
      </c>
      <c r="BB52" s="77"/>
      <c r="BC52" s="74">
        <f t="shared" si="14"/>
        <v>0</v>
      </c>
      <c r="BD52" s="74">
        <f t="shared" si="15"/>
        <v>0</v>
      </c>
      <c r="BE52" s="71" t="str">
        <f t="shared" si="10"/>
        <v>Y</v>
      </c>
      <c r="BJ52" s="64">
        <v>50</v>
      </c>
      <c r="BM52" s="70" t="e">
        <f>VLOOKUP(BL52,[1]客戶編輯設定自動代出!L:N,3,0)</f>
        <v>#N/A</v>
      </c>
      <c r="BN52" s="70" t="e">
        <f>VLOOKUP(BL52,[1]客戶編輯設定自動代出!L:N,2,0)</f>
        <v>#N/A</v>
      </c>
      <c r="BO52" s="78" t="s">
        <v>2014</v>
      </c>
      <c r="BQ52" s="74">
        <f t="shared" ref="BQ52" si="25">BP52/1.05</f>
        <v>0</v>
      </c>
      <c r="BR52" s="74">
        <f t="shared" ref="BR52" si="26">BQ52*0.05</f>
        <v>0</v>
      </c>
      <c r="BT52" s="75"/>
    </row>
    <row r="53" spans="1:72" ht="16.5" x14ac:dyDescent="0.25">
      <c r="A53" s="64">
        <v>51</v>
      </c>
      <c r="B53" s="69"/>
      <c r="E53" s="70" t="e">
        <f>VLOOKUP($D53,客戶編輯設定自動代出!$A:$C,3,0)</f>
        <v>#N/A</v>
      </c>
      <c r="F53" s="70" t="e">
        <f>VLOOKUP($D53,客戶編輯設定自動代出!$A:$C,2,0)</f>
        <v>#N/A</v>
      </c>
      <c r="G53" s="70" t="s">
        <v>1412</v>
      </c>
      <c r="K53" s="72">
        <f t="shared" si="0"/>
        <v>0</v>
      </c>
      <c r="M53" s="74">
        <f t="shared" si="1"/>
        <v>0</v>
      </c>
      <c r="N53" s="74">
        <f t="shared" si="21"/>
        <v>0</v>
      </c>
      <c r="O53" s="71" t="str">
        <f t="shared" si="2"/>
        <v>Y</v>
      </c>
      <c r="Q53" s="119"/>
      <c r="R53" s="75"/>
      <c r="S53" s="75"/>
      <c r="T53" s="75"/>
      <c r="U53" s="75"/>
      <c r="V53" s="64">
        <v>51</v>
      </c>
      <c r="W53" s="69"/>
      <c r="X53" s="70"/>
      <c r="Y53" s="71"/>
      <c r="Z53" s="70" t="e">
        <f>VLOOKUP($Y53,客戶編輯設定自動代出!$A:$C,3,0)</f>
        <v>#N/A</v>
      </c>
      <c r="AA53" s="70" t="e">
        <f>VLOOKUP($Y53,客戶編輯設定自動代出!$A:$C,2,0)</f>
        <v>#N/A</v>
      </c>
      <c r="AB53" s="70" t="s">
        <v>1665</v>
      </c>
      <c r="AC53" s="70"/>
      <c r="AD53" s="70"/>
      <c r="AE53" s="72"/>
      <c r="AF53" s="72">
        <f t="shared" si="22"/>
        <v>0</v>
      </c>
      <c r="AG53" s="73"/>
      <c r="AH53" s="74">
        <f t="shared" si="23"/>
        <v>0</v>
      </c>
      <c r="AI53" s="74">
        <f t="shared" si="24"/>
        <v>0</v>
      </c>
      <c r="AJ53" s="71" t="str">
        <f t="shared" si="6"/>
        <v>Y</v>
      </c>
      <c r="AK53" s="71"/>
      <c r="AL53" s="71"/>
      <c r="AM53" s="75"/>
      <c r="AN53" s="75"/>
      <c r="AO53" s="75"/>
      <c r="AP53" s="75"/>
      <c r="AQ53" s="64">
        <v>51</v>
      </c>
      <c r="AR53" s="70"/>
      <c r="AU53" s="70" t="e">
        <f>VLOOKUP($AT53,客戶編輯設定自動代出!$A:$C,3,0)</f>
        <v>#N/A</v>
      </c>
      <c r="AV53" s="70" t="e">
        <f>VLOOKUP($AT53,客戶編輯設定自動代出!$A:$C,2,0)</f>
        <v>#N/A</v>
      </c>
      <c r="AW53" s="76" t="s">
        <v>1866</v>
      </c>
      <c r="BA53" s="72">
        <f t="shared" si="13"/>
        <v>0</v>
      </c>
      <c r="BB53" s="77"/>
      <c r="BC53" s="74">
        <f t="shared" si="14"/>
        <v>0</v>
      </c>
      <c r="BD53" s="74">
        <f t="shared" si="15"/>
        <v>0</v>
      </c>
      <c r="BE53" s="71" t="str">
        <f t="shared" si="10"/>
        <v>Y</v>
      </c>
      <c r="BO53" s="78"/>
      <c r="BP53" s="80">
        <f>SUM(BP3:BP52)</f>
        <v>0</v>
      </c>
      <c r="BQ53" s="81">
        <f>SUM(BQ3:BQ52)</f>
        <v>0</v>
      </c>
      <c r="BR53" s="81">
        <f>SUM(BR3:BR52)</f>
        <v>0</v>
      </c>
      <c r="BT53" s="75"/>
    </row>
    <row r="54" spans="1:72" ht="16.5" x14ac:dyDescent="0.25">
      <c r="A54" s="64">
        <v>52</v>
      </c>
      <c r="B54" s="69"/>
      <c r="E54" s="70" t="e">
        <f>VLOOKUP($D54,客戶編輯設定自動代出!$A:$C,3,0)</f>
        <v>#N/A</v>
      </c>
      <c r="F54" s="70" t="e">
        <f>VLOOKUP($D54,客戶編輯設定自動代出!$A:$C,2,0)</f>
        <v>#N/A</v>
      </c>
      <c r="G54" s="70" t="s">
        <v>1413</v>
      </c>
      <c r="K54" s="72">
        <f t="shared" si="0"/>
        <v>0</v>
      </c>
      <c r="M54" s="74">
        <f t="shared" si="1"/>
        <v>0</v>
      </c>
      <c r="N54" s="74">
        <f t="shared" si="21"/>
        <v>0</v>
      </c>
      <c r="O54" s="71" t="str">
        <f t="shared" si="2"/>
        <v>Y</v>
      </c>
      <c r="Q54" s="119"/>
      <c r="R54" s="75"/>
      <c r="S54" s="75"/>
      <c r="T54" s="75"/>
      <c r="U54" s="75"/>
      <c r="V54" s="64">
        <v>52</v>
      </c>
      <c r="W54" s="69"/>
      <c r="X54" s="70"/>
      <c r="Y54" s="71"/>
      <c r="Z54" s="70" t="e">
        <f>VLOOKUP($Y54,客戶編輯設定自動代出!$A:$C,3,0)</f>
        <v>#N/A</v>
      </c>
      <c r="AA54" s="70" t="e">
        <f>VLOOKUP($Y54,客戶編輯設定自動代出!$A:$C,2,0)</f>
        <v>#N/A</v>
      </c>
      <c r="AB54" s="70" t="s">
        <v>1666</v>
      </c>
      <c r="AC54" s="70"/>
      <c r="AD54" s="70"/>
      <c r="AE54" s="72"/>
      <c r="AF54" s="72">
        <f t="shared" si="22"/>
        <v>0</v>
      </c>
      <c r="AG54" s="73"/>
      <c r="AH54" s="74">
        <f t="shared" si="23"/>
        <v>0</v>
      </c>
      <c r="AI54" s="74">
        <f t="shared" si="24"/>
        <v>0</v>
      </c>
      <c r="AJ54" s="71" t="str">
        <f t="shared" si="6"/>
        <v>Y</v>
      </c>
      <c r="AK54" s="71"/>
      <c r="AL54" s="71"/>
      <c r="AM54" s="75"/>
      <c r="AN54" s="75"/>
      <c r="AO54" s="75"/>
      <c r="AP54" s="75"/>
      <c r="AQ54" s="64">
        <v>52</v>
      </c>
      <c r="AR54" s="70"/>
      <c r="AU54" s="70" t="e">
        <f>VLOOKUP($AT54,客戶編輯設定自動代出!$A:$C,3,0)</f>
        <v>#N/A</v>
      </c>
      <c r="AV54" s="70" t="e">
        <f>VLOOKUP($AT54,客戶編輯設定自動代出!$A:$C,2,0)</f>
        <v>#N/A</v>
      </c>
      <c r="AW54" s="76" t="s">
        <v>1867</v>
      </c>
      <c r="BA54" s="72">
        <f t="shared" si="13"/>
        <v>0</v>
      </c>
      <c r="BB54" s="77"/>
      <c r="BC54" s="74">
        <f t="shared" si="14"/>
        <v>0</v>
      </c>
      <c r="BD54" s="74">
        <f t="shared" si="15"/>
        <v>0</v>
      </c>
      <c r="BE54" s="71" t="str">
        <f t="shared" si="10"/>
        <v>Y</v>
      </c>
      <c r="BO54" s="78"/>
      <c r="BQ54" s="74"/>
      <c r="BR54" s="74"/>
      <c r="BT54" s="75"/>
    </row>
    <row r="55" spans="1:72" ht="16.5" x14ac:dyDescent="0.25">
      <c r="A55" s="64">
        <v>53</v>
      </c>
      <c r="B55" s="69"/>
      <c r="E55" s="70" t="e">
        <f>VLOOKUP($D55,客戶編輯設定自動代出!$A:$C,3,0)</f>
        <v>#N/A</v>
      </c>
      <c r="F55" s="70" t="e">
        <f>VLOOKUP($D55,客戶編輯設定自動代出!$A:$C,2,0)</f>
        <v>#N/A</v>
      </c>
      <c r="G55" s="70" t="s">
        <v>1414</v>
      </c>
      <c r="K55" s="72">
        <f t="shared" si="0"/>
        <v>0</v>
      </c>
      <c r="M55" s="74">
        <f t="shared" si="1"/>
        <v>0</v>
      </c>
      <c r="N55" s="74">
        <f t="shared" si="21"/>
        <v>0</v>
      </c>
      <c r="O55" s="71" t="str">
        <f t="shared" si="2"/>
        <v>Y</v>
      </c>
      <c r="Q55" s="119"/>
      <c r="R55" s="75"/>
      <c r="S55" s="75"/>
      <c r="T55" s="75"/>
      <c r="U55" s="75"/>
      <c r="V55" s="64">
        <v>53</v>
      </c>
      <c r="W55" s="69"/>
      <c r="X55" s="70"/>
      <c r="Y55" s="71"/>
      <c r="Z55" s="70" t="e">
        <f>VLOOKUP($Y55,客戶編輯設定自動代出!$A:$C,3,0)</f>
        <v>#N/A</v>
      </c>
      <c r="AA55" s="70" t="e">
        <f>VLOOKUP($Y55,客戶編輯設定自動代出!$A:$C,2,0)</f>
        <v>#N/A</v>
      </c>
      <c r="AB55" s="70" t="s">
        <v>1667</v>
      </c>
      <c r="AC55" s="70"/>
      <c r="AD55" s="70"/>
      <c r="AE55" s="72"/>
      <c r="AF55" s="72">
        <f t="shared" si="22"/>
        <v>0</v>
      </c>
      <c r="AG55" s="73"/>
      <c r="AH55" s="74">
        <f t="shared" si="23"/>
        <v>0</v>
      </c>
      <c r="AI55" s="74">
        <f t="shared" si="24"/>
        <v>0</v>
      </c>
      <c r="AJ55" s="71" t="str">
        <f t="shared" si="6"/>
        <v>Y</v>
      </c>
      <c r="AK55" s="71"/>
      <c r="AL55" s="71"/>
      <c r="AM55" s="75"/>
      <c r="AN55" s="75"/>
      <c r="AO55" s="75"/>
      <c r="AP55" s="75"/>
      <c r="AQ55" s="64">
        <v>53</v>
      </c>
      <c r="AR55" s="70"/>
      <c r="AU55" s="70" t="e">
        <f>VLOOKUP($AT55,客戶編輯設定自動代出!$A:$C,3,0)</f>
        <v>#N/A</v>
      </c>
      <c r="AV55" s="70" t="e">
        <f>VLOOKUP($AT55,客戶編輯設定自動代出!$A:$C,2,0)</f>
        <v>#N/A</v>
      </c>
      <c r="AW55" s="76" t="s">
        <v>1868</v>
      </c>
      <c r="BA55" s="72">
        <f t="shared" si="13"/>
        <v>0</v>
      </c>
      <c r="BB55" s="77"/>
      <c r="BC55" s="74">
        <f t="shared" si="14"/>
        <v>0</v>
      </c>
      <c r="BD55" s="74">
        <f t="shared" si="15"/>
        <v>0</v>
      </c>
      <c r="BE55" s="71" t="str">
        <f t="shared" si="10"/>
        <v>Y</v>
      </c>
      <c r="BO55" s="78"/>
      <c r="BQ55" s="74"/>
      <c r="BR55" s="74"/>
      <c r="BT55" s="75"/>
    </row>
    <row r="56" spans="1:72" ht="16.5" x14ac:dyDescent="0.25">
      <c r="A56" s="64">
        <v>54</v>
      </c>
      <c r="B56" s="69"/>
      <c r="E56" s="70" t="e">
        <f>VLOOKUP($D56,客戶編輯設定自動代出!$A:$C,3,0)</f>
        <v>#N/A</v>
      </c>
      <c r="F56" s="70" t="e">
        <f>VLOOKUP($D56,客戶編輯設定自動代出!$A:$C,2,0)</f>
        <v>#N/A</v>
      </c>
      <c r="G56" s="70" t="s">
        <v>1415</v>
      </c>
      <c r="K56" s="72">
        <f t="shared" si="0"/>
        <v>0</v>
      </c>
      <c r="M56" s="74">
        <f t="shared" si="1"/>
        <v>0</v>
      </c>
      <c r="N56" s="74">
        <f t="shared" si="21"/>
        <v>0</v>
      </c>
      <c r="O56" s="71" t="str">
        <f t="shared" si="2"/>
        <v>Y</v>
      </c>
      <c r="Q56" s="119"/>
      <c r="R56" s="75"/>
      <c r="S56" s="75"/>
      <c r="T56" s="75"/>
      <c r="U56" s="75"/>
      <c r="V56" s="64">
        <v>54</v>
      </c>
      <c r="W56" s="69"/>
      <c r="X56" s="70"/>
      <c r="Y56" s="71"/>
      <c r="Z56" s="70" t="e">
        <f>VLOOKUP($Y56,客戶編輯設定自動代出!$A:$C,3,0)</f>
        <v>#N/A</v>
      </c>
      <c r="AA56" s="70" t="e">
        <f>VLOOKUP($Y56,客戶編輯設定自動代出!$A:$C,2,0)</f>
        <v>#N/A</v>
      </c>
      <c r="AB56" s="70" t="s">
        <v>1668</v>
      </c>
      <c r="AC56" s="70"/>
      <c r="AD56" s="70"/>
      <c r="AE56" s="72"/>
      <c r="AF56" s="72">
        <f t="shared" si="22"/>
        <v>0</v>
      </c>
      <c r="AG56" s="73"/>
      <c r="AH56" s="74">
        <f t="shared" si="23"/>
        <v>0</v>
      </c>
      <c r="AI56" s="74">
        <f t="shared" si="24"/>
        <v>0</v>
      </c>
      <c r="AJ56" s="71" t="str">
        <f t="shared" si="6"/>
        <v>Y</v>
      </c>
      <c r="AK56" s="71"/>
      <c r="AL56" s="71"/>
      <c r="AM56" s="75"/>
      <c r="AN56" s="75"/>
      <c r="AO56" s="75"/>
      <c r="AP56" s="75"/>
      <c r="AQ56" s="64">
        <v>54</v>
      </c>
      <c r="AR56" s="70"/>
      <c r="AU56" s="70" t="e">
        <f>VLOOKUP($AT56,客戶編輯設定自動代出!$A:$C,3,0)</f>
        <v>#N/A</v>
      </c>
      <c r="AV56" s="70" t="e">
        <f>VLOOKUP($AT56,客戶編輯設定自動代出!$A:$C,2,0)</f>
        <v>#N/A</v>
      </c>
      <c r="AW56" s="76" t="s">
        <v>1869</v>
      </c>
      <c r="BA56" s="72">
        <f t="shared" si="13"/>
        <v>0</v>
      </c>
      <c r="BB56" s="77"/>
      <c r="BC56" s="74">
        <f t="shared" si="14"/>
        <v>0</v>
      </c>
      <c r="BD56" s="74">
        <f t="shared" si="15"/>
        <v>0</v>
      </c>
      <c r="BE56" s="71" t="str">
        <f t="shared" si="10"/>
        <v>Y</v>
      </c>
      <c r="BO56" s="78"/>
      <c r="BQ56" s="74"/>
      <c r="BR56" s="74"/>
      <c r="BT56" s="75"/>
    </row>
    <row r="57" spans="1:72" ht="16.5" x14ac:dyDescent="0.25">
      <c r="A57" s="64">
        <v>55</v>
      </c>
      <c r="B57" s="69"/>
      <c r="E57" s="70" t="e">
        <f>VLOOKUP($D57,客戶編輯設定自動代出!$A:$C,3,0)</f>
        <v>#N/A</v>
      </c>
      <c r="F57" s="70" t="e">
        <f>VLOOKUP($D57,客戶編輯設定自動代出!$A:$C,2,0)</f>
        <v>#N/A</v>
      </c>
      <c r="G57" s="70" t="s">
        <v>1416</v>
      </c>
      <c r="K57" s="72">
        <f t="shared" si="0"/>
        <v>0</v>
      </c>
      <c r="M57" s="74">
        <f t="shared" si="1"/>
        <v>0</v>
      </c>
      <c r="N57" s="74">
        <f t="shared" si="21"/>
        <v>0</v>
      </c>
      <c r="O57" s="71" t="str">
        <f t="shared" si="2"/>
        <v>Y</v>
      </c>
      <c r="Q57" s="119"/>
      <c r="R57" s="75"/>
      <c r="S57" s="75"/>
      <c r="T57" s="75"/>
      <c r="U57" s="75"/>
      <c r="V57" s="64">
        <v>55</v>
      </c>
      <c r="W57" s="69"/>
      <c r="X57" s="70"/>
      <c r="Y57" s="71"/>
      <c r="Z57" s="70" t="e">
        <f>VLOOKUP($Y57,客戶編輯設定自動代出!$A:$C,3,0)</f>
        <v>#N/A</v>
      </c>
      <c r="AA57" s="70" t="e">
        <f>VLOOKUP($Y57,客戶編輯設定自動代出!$A:$C,2,0)</f>
        <v>#N/A</v>
      </c>
      <c r="AB57" s="70" t="s">
        <v>1669</v>
      </c>
      <c r="AC57" s="70"/>
      <c r="AD57" s="70"/>
      <c r="AE57" s="72"/>
      <c r="AF57" s="72">
        <f t="shared" si="22"/>
        <v>0</v>
      </c>
      <c r="AG57" s="73"/>
      <c r="AH57" s="74">
        <f t="shared" si="23"/>
        <v>0</v>
      </c>
      <c r="AI57" s="74">
        <f t="shared" si="24"/>
        <v>0</v>
      </c>
      <c r="AJ57" s="71" t="str">
        <f t="shared" si="6"/>
        <v>Y</v>
      </c>
      <c r="AK57" s="71"/>
      <c r="AL57" s="71"/>
      <c r="AM57" s="75"/>
      <c r="AN57" s="75"/>
      <c r="AO57" s="75"/>
      <c r="AP57" s="75"/>
      <c r="AQ57" s="64">
        <v>55</v>
      </c>
      <c r="AR57" s="70"/>
      <c r="AU57" s="70" t="e">
        <f>VLOOKUP($AT57,客戶編輯設定自動代出!$A:$C,3,0)</f>
        <v>#N/A</v>
      </c>
      <c r="AV57" s="70" t="e">
        <f>VLOOKUP($AT57,客戶編輯設定自動代出!$A:$C,2,0)</f>
        <v>#N/A</v>
      </c>
      <c r="AW57" s="76" t="s">
        <v>1870</v>
      </c>
      <c r="BA57" s="72">
        <f t="shared" si="13"/>
        <v>0</v>
      </c>
      <c r="BB57" s="77"/>
      <c r="BC57" s="74">
        <f t="shared" si="14"/>
        <v>0</v>
      </c>
      <c r="BD57" s="74">
        <f t="shared" si="15"/>
        <v>0</v>
      </c>
      <c r="BE57" s="71" t="str">
        <f t="shared" si="10"/>
        <v>Y</v>
      </c>
      <c r="BO57" s="78"/>
      <c r="BQ57" s="74"/>
      <c r="BR57" s="74"/>
      <c r="BT57" s="75"/>
    </row>
    <row r="58" spans="1:72" ht="16.5" x14ac:dyDescent="0.25">
      <c r="A58" s="64">
        <v>56</v>
      </c>
      <c r="B58" s="69"/>
      <c r="E58" s="70" t="e">
        <f>VLOOKUP($D58,客戶編輯設定自動代出!$A:$C,3,0)</f>
        <v>#N/A</v>
      </c>
      <c r="F58" s="70" t="e">
        <f>VLOOKUP($D58,客戶編輯設定自動代出!$A:$C,2,0)</f>
        <v>#N/A</v>
      </c>
      <c r="G58" s="70" t="s">
        <v>1417</v>
      </c>
      <c r="K58" s="72">
        <f t="shared" si="0"/>
        <v>0</v>
      </c>
      <c r="M58" s="74">
        <f t="shared" si="1"/>
        <v>0</v>
      </c>
      <c r="N58" s="74">
        <f t="shared" si="21"/>
        <v>0</v>
      </c>
      <c r="O58" s="71" t="str">
        <f t="shared" si="2"/>
        <v>Y</v>
      </c>
      <c r="Q58" s="119"/>
      <c r="R58" s="75"/>
      <c r="S58" s="75"/>
      <c r="T58" s="75"/>
      <c r="U58" s="75"/>
      <c r="V58" s="64">
        <v>56</v>
      </c>
      <c r="W58" s="69"/>
      <c r="X58" s="70"/>
      <c r="Y58" s="71"/>
      <c r="Z58" s="70" t="e">
        <f>VLOOKUP($Y58,客戶編輯設定自動代出!$A:$C,3,0)</f>
        <v>#N/A</v>
      </c>
      <c r="AA58" s="70" t="e">
        <f>VLOOKUP($Y58,客戶編輯設定自動代出!$A:$C,2,0)</f>
        <v>#N/A</v>
      </c>
      <c r="AB58" s="70" t="s">
        <v>1670</v>
      </c>
      <c r="AC58" s="70"/>
      <c r="AD58" s="70"/>
      <c r="AE58" s="72"/>
      <c r="AF58" s="72">
        <f t="shared" si="22"/>
        <v>0</v>
      </c>
      <c r="AG58" s="73"/>
      <c r="AH58" s="74">
        <f t="shared" si="23"/>
        <v>0</v>
      </c>
      <c r="AI58" s="74">
        <f t="shared" si="24"/>
        <v>0</v>
      </c>
      <c r="AJ58" s="71" t="str">
        <f t="shared" si="6"/>
        <v>Y</v>
      </c>
      <c r="AK58" s="71"/>
      <c r="AL58" s="71"/>
      <c r="AM58" s="75"/>
      <c r="AN58" s="75"/>
      <c r="AO58" s="75"/>
      <c r="AP58" s="75"/>
      <c r="AQ58" s="64">
        <v>56</v>
      </c>
      <c r="AR58" s="70"/>
      <c r="AU58" s="70" t="e">
        <f>VLOOKUP($AT58,客戶編輯設定自動代出!$A:$C,3,0)</f>
        <v>#N/A</v>
      </c>
      <c r="AV58" s="70" t="e">
        <f>VLOOKUP($AT58,客戶編輯設定自動代出!$A:$C,2,0)</f>
        <v>#N/A</v>
      </c>
      <c r="AW58" s="76" t="s">
        <v>1871</v>
      </c>
      <c r="BA58" s="72">
        <f t="shared" si="13"/>
        <v>0</v>
      </c>
      <c r="BB58" s="77"/>
      <c r="BC58" s="74">
        <f t="shared" si="14"/>
        <v>0</v>
      </c>
      <c r="BD58" s="74">
        <f t="shared" si="15"/>
        <v>0</v>
      </c>
      <c r="BE58" s="71" t="str">
        <f t="shared" si="10"/>
        <v>Y</v>
      </c>
      <c r="BO58" s="78"/>
      <c r="BQ58" s="74"/>
      <c r="BR58" s="74"/>
      <c r="BT58" s="75"/>
    </row>
    <row r="59" spans="1:72" ht="16.5" x14ac:dyDescent="0.25">
      <c r="A59" s="64">
        <v>57</v>
      </c>
      <c r="B59" s="69"/>
      <c r="E59" s="70" t="e">
        <f>VLOOKUP($D59,客戶編輯設定自動代出!$A:$C,3,0)</f>
        <v>#N/A</v>
      </c>
      <c r="F59" s="70" t="e">
        <f>VLOOKUP($D59,客戶編輯設定自動代出!$A:$C,2,0)</f>
        <v>#N/A</v>
      </c>
      <c r="G59" s="70" t="s">
        <v>1418</v>
      </c>
      <c r="K59" s="72">
        <f t="shared" si="0"/>
        <v>0</v>
      </c>
      <c r="M59" s="74">
        <f t="shared" si="1"/>
        <v>0</v>
      </c>
      <c r="N59" s="74">
        <f t="shared" si="21"/>
        <v>0</v>
      </c>
      <c r="O59" s="71" t="str">
        <f t="shared" si="2"/>
        <v>Y</v>
      </c>
      <c r="Q59" s="119"/>
      <c r="R59" s="75"/>
      <c r="S59" s="75"/>
      <c r="T59" s="75"/>
      <c r="U59" s="75"/>
      <c r="V59" s="64">
        <v>57</v>
      </c>
      <c r="W59" s="69"/>
      <c r="X59" s="70"/>
      <c r="Y59" s="71"/>
      <c r="Z59" s="70" t="e">
        <f>VLOOKUP($Y59,客戶編輯設定自動代出!$A:$C,3,0)</f>
        <v>#N/A</v>
      </c>
      <c r="AA59" s="70" t="e">
        <f>VLOOKUP($Y59,客戶編輯設定自動代出!$A:$C,2,0)</f>
        <v>#N/A</v>
      </c>
      <c r="AB59" s="70" t="s">
        <v>1671</v>
      </c>
      <c r="AC59" s="70"/>
      <c r="AD59" s="70"/>
      <c r="AE59" s="72"/>
      <c r="AF59" s="72">
        <f t="shared" si="22"/>
        <v>0</v>
      </c>
      <c r="AG59" s="73"/>
      <c r="AH59" s="74">
        <f t="shared" si="23"/>
        <v>0</v>
      </c>
      <c r="AI59" s="74">
        <f t="shared" si="24"/>
        <v>0</v>
      </c>
      <c r="AJ59" s="71" t="str">
        <f t="shared" si="6"/>
        <v>Y</v>
      </c>
      <c r="AK59" s="71"/>
      <c r="AL59" s="71"/>
      <c r="AM59" s="75"/>
      <c r="AN59" s="75"/>
      <c r="AO59" s="75"/>
      <c r="AP59" s="75"/>
      <c r="AQ59" s="64">
        <v>57</v>
      </c>
      <c r="AR59" s="70"/>
      <c r="AU59" s="70" t="e">
        <f>VLOOKUP($AT59,客戶編輯設定自動代出!$A:$C,3,0)</f>
        <v>#N/A</v>
      </c>
      <c r="AV59" s="70" t="e">
        <f>VLOOKUP($AT59,客戶編輯設定自動代出!$A:$C,2,0)</f>
        <v>#N/A</v>
      </c>
      <c r="AW59" s="76" t="s">
        <v>1872</v>
      </c>
      <c r="BA59" s="72">
        <f t="shared" si="13"/>
        <v>0</v>
      </c>
      <c r="BB59" s="77"/>
      <c r="BC59" s="74">
        <f t="shared" si="14"/>
        <v>0</v>
      </c>
      <c r="BD59" s="74">
        <f t="shared" si="15"/>
        <v>0</v>
      </c>
      <c r="BE59" s="71" t="str">
        <f t="shared" si="10"/>
        <v>Y</v>
      </c>
      <c r="BO59" s="78"/>
      <c r="BQ59" s="74"/>
      <c r="BR59" s="74"/>
      <c r="BT59" s="75"/>
    </row>
    <row r="60" spans="1:72" ht="16.5" x14ac:dyDescent="0.25">
      <c r="A60" s="64">
        <v>58</v>
      </c>
      <c r="B60" s="69"/>
      <c r="E60" s="70" t="e">
        <f>VLOOKUP($D60,客戶編輯設定自動代出!$A:$C,3,0)</f>
        <v>#N/A</v>
      </c>
      <c r="F60" s="70" t="e">
        <f>VLOOKUP($D60,客戶編輯設定自動代出!$A:$C,2,0)</f>
        <v>#N/A</v>
      </c>
      <c r="G60" s="70" t="s">
        <v>1419</v>
      </c>
      <c r="K60" s="72">
        <f t="shared" si="0"/>
        <v>0</v>
      </c>
      <c r="M60" s="74">
        <f t="shared" si="1"/>
        <v>0</v>
      </c>
      <c r="N60" s="74">
        <f t="shared" si="21"/>
        <v>0</v>
      </c>
      <c r="O60" s="71" t="str">
        <f t="shared" si="2"/>
        <v>Y</v>
      </c>
      <c r="Q60" s="119"/>
      <c r="R60" s="75"/>
      <c r="S60" s="75"/>
      <c r="T60" s="75"/>
      <c r="U60" s="75"/>
      <c r="V60" s="64">
        <v>58</v>
      </c>
      <c r="W60" s="69"/>
      <c r="X60" s="70"/>
      <c r="Y60" s="71"/>
      <c r="Z60" s="70" t="e">
        <f>VLOOKUP($Y60,客戶編輯設定自動代出!$A:$C,3,0)</f>
        <v>#N/A</v>
      </c>
      <c r="AA60" s="70" t="e">
        <f>VLOOKUP($Y60,客戶編輯設定自動代出!$A:$C,2,0)</f>
        <v>#N/A</v>
      </c>
      <c r="AB60" s="70" t="s">
        <v>1672</v>
      </c>
      <c r="AC60" s="70"/>
      <c r="AD60" s="70"/>
      <c r="AE60" s="72"/>
      <c r="AF60" s="72">
        <f t="shared" si="22"/>
        <v>0</v>
      </c>
      <c r="AG60" s="73"/>
      <c r="AH60" s="74">
        <f t="shared" si="23"/>
        <v>0</v>
      </c>
      <c r="AI60" s="74">
        <f t="shared" si="24"/>
        <v>0</v>
      </c>
      <c r="AJ60" s="71" t="str">
        <f t="shared" si="6"/>
        <v>Y</v>
      </c>
      <c r="AK60" s="71"/>
      <c r="AL60" s="71"/>
      <c r="AM60" s="75"/>
      <c r="AN60" s="75"/>
      <c r="AO60" s="75"/>
      <c r="AP60" s="75"/>
      <c r="AQ60" s="64">
        <v>58</v>
      </c>
      <c r="AR60" s="70"/>
      <c r="AU60" s="70" t="e">
        <f>VLOOKUP($AT60,客戶編輯設定自動代出!$A:$C,3,0)</f>
        <v>#N/A</v>
      </c>
      <c r="AV60" s="70" t="e">
        <f>VLOOKUP($AT60,客戶編輯設定自動代出!$A:$C,2,0)</f>
        <v>#N/A</v>
      </c>
      <c r="AW60" s="76" t="s">
        <v>1873</v>
      </c>
      <c r="BA60" s="72">
        <f t="shared" si="13"/>
        <v>0</v>
      </c>
      <c r="BB60" s="77"/>
      <c r="BC60" s="74">
        <f t="shared" si="14"/>
        <v>0</v>
      </c>
      <c r="BD60" s="74">
        <f t="shared" si="15"/>
        <v>0</v>
      </c>
      <c r="BE60" s="71" t="str">
        <f t="shared" si="10"/>
        <v>Y</v>
      </c>
      <c r="BO60" s="78"/>
      <c r="BQ60" s="74"/>
      <c r="BR60" s="74"/>
      <c r="BT60" s="75"/>
    </row>
    <row r="61" spans="1:72" ht="16.5" x14ac:dyDescent="0.25">
      <c r="A61" s="64">
        <v>59</v>
      </c>
      <c r="B61" s="69"/>
      <c r="E61" s="70" t="e">
        <f>VLOOKUP($D61,客戶編輯設定自動代出!$A:$C,3,0)</f>
        <v>#N/A</v>
      </c>
      <c r="F61" s="70" t="e">
        <f>VLOOKUP($D61,客戶編輯設定自動代出!$A:$C,2,0)</f>
        <v>#N/A</v>
      </c>
      <c r="G61" s="70" t="s">
        <v>1420</v>
      </c>
      <c r="K61" s="72">
        <f t="shared" si="0"/>
        <v>0</v>
      </c>
      <c r="M61" s="74">
        <f t="shared" si="1"/>
        <v>0</v>
      </c>
      <c r="N61" s="74">
        <f t="shared" si="21"/>
        <v>0</v>
      </c>
      <c r="O61" s="71" t="str">
        <f t="shared" si="2"/>
        <v>Y</v>
      </c>
      <c r="Q61" s="119"/>
      <c r="R61" s="75"/>
      <c r="S61" s="75"/>
      <c r="T61" s="75"/>
      <c r="U61" s="75"/>
      <c r="V61" s="64">
        <v>59</v>
      </c>
      <c r="W61" s="69"/>
      <c r="X61" s="70"/>
      <c r="Y61" s="71"/>
      <c r="Z61" s="70" t="e">
        <f>VLOOKUP($Y61,客戶編輯設定自動代出!$A:$C,3,0)</f>
        <v>#N/A</v>
      </c>
      <c r="AA61" s="70" t="e">
        <f>VLOOKUP($Y61,客戶編輯設定自動代出!$A:$C,2,0)</f>
        <v>#N/A</v>
      </c>
      <c r="AB61" s="70" t="s">
        <v>1673</v>
      </c>
      <c r="AC61" s="70"/>
      <c r="AD61" s="70"/>
      <c r="AE61" s="72"/>
      <c r="AF61" s="72">
        <f t="shared" si="22"/>
        <v>0</v>
      </c>
      <c r="AG61" s="73"/>
      <c r="AH61" s="74">
        <f t="shared" si="23"/>
        <v>0</v>
      </c>
      <c r="AI61" s="74">
        <f t="shared" si="24"/>
        <v>0</v>
      </c>
      <c r="AJ61" s="71" t="str">
        <f t="shared" si="6"/>
        <v>Y</v>
      </c>
      <c r="AK61" s="71"/>
      <c r="AL61" s="71"/>
      <c r="AM61" s="75"/>
      <c r="AN61" s="75"/>
      <c r="AO61" s="75"/>
      <c r="AP61" s="75"/>
      <c r="AQ61" s="64">
        <v>59</v>
      </c>
      <c r="AR61" s="70"/>
      <c r="AU61" s="70" t="e">
        <f>VLOOKUP($AT61,客戶編輯設定自動代出!$A:$C,3,0)</f>
        <v>#N/A</v>
      </c>
      <c r="AV61" s="70" t="e">
        <f>VLOOKUP($AT61,客戶編輯設定自動代出!$A:$C,2,0)</f>
        <v>#N/A</v>
      </c>
      <c r="AW61" s="76" t="s">
        <v>1874</v>
      </c>
      <c r="BA61" s="72">
        <f t="shared" si="13"/>
        <v>0</v>
      </c>
      <c r="BB61" s="77"/>
      <c r="BC61" s="74">
        <f t="shared" si="14"/>
        <v>0</v>
      </c>
      <c r="BD61" s="74">
        <f t="shared" si="15"/>
        <v>0</v>
      </c>
      <c r="BE61" s="71" t="str">
        <f t="shared" si="10"/>
        <v>Y</v>
      </c>
      <c r="BO61" s="78"/>
      <c r="BQ61" s="74"/>
      <c r="BR61" s="74"/>
      <c r="BT61" s="75"/>
    </row>
    <row r="62" spans="1:72" ht="16.5" x14ac:dyDescent="0.25">
      <c r="A62" s="64">
        <v>60</v>
      </c>
      <c r="B62" s="69"/>
      <c r="E62" s="70" t="e">
        <f>VLOOKUP($D62,客戶編輯設定自動代出!$A:$C,3,0)</f>
        <v>#N/A</v>
      </c>
      <c r="F62" s="70" t="e">
        <f>VLOOKUP($D62,客戶編輯設定自動代出!$A:$C,2,0)</f>
        <v>#N/A</v>
      </c>
      <c r="G62" s="70" t="s">
        <v>1421</v>
      </c>
      <c r="K62" s="72">
        <f t="shared" si="0"/>
        <v>0</v>
      </c>
      <c r="M62" s="74">
        <f t="shared" si="1"/>
        <v>0</v>
      </c>
      <c r="N62" s="74">
        <f t="shared" si="21"/>
        <v>0</v>
      </c>
      <c r="O62" s="71" t="str">
        <f t="shared" si="2"/>
        <v>Y</v>
      </c>
      <c r="Q62" s="119"/>
      <c r="R62" s="75"/>
      <c r="S62" s="75"/>
      <c r="T62" s="75"/>
      <c r="U62" s="75"/>
      <c r="V62" s="64">
        <v>60</v>
      </c>
      <c r="W62" s="69"/>
      <c r="X62" s="70"/>
      <c r="Y62" s="71"/>
      <c r="Z62" s="70" t="e">
        <f>VLOOKUP($Y62,客戶編輯設定自動代出!$A:$C,3,0)</f>
        <v>#N/A</v>
      </c>
      <c r="AA62" s="70" t="e">
        <f>VLOOKUP($Y62,客戶編輯設定自動代出!$A:$C,2,0)</f>
        <v>#N/A</v>
      </c>
      <c r="AB62" s="70" t="s">
        <v>1674</v>
      </c>
      <c r="AC62" s="70"/>
      <c r="AD62" s="70"/>
      <c r="AE62" s="72"/>
      <c r="AF62" s="72">
        <f t="shared" si="22"/>
        <v>0</v>
      </c>
      <c r="AG62" s="73"/>
      <c r="AH62" s="74">
        <f t="shared" si="23"/>
        <v>0</v>
      </c>
      <c r="AI62" s="74">
        <f t="shared" si="24"/>
        <v>0</v>
      </c>
      <c r="AJ62" s="71" t="str">
        <f t="shared" si="6"/>
        <v>Y</v>
      </c>
      <c r="AK62" s="71"/>
      <c r="AL62" s="71"/>
      <c r="AM62" s="75"/>
      <c r="AN62" s="75"/>
      <c r="AO62" s="75"/>
      <c r="AP62" s="75"/>
      <c r="AQ62" s="64">
        <v>60</v>
      </c>
      <c r="AR62" s="70"/>
      <c r="AU62" s="70" t="e">
        <f>VLOOKUP($AT62,客戶編輯設定自動代出!$A:$C,3,0)</f>
        <v>#N/A</v>
      </c>
      <c r="AV62" s="70" t="e">
        <f>VLOOKUP($AT62,客戶編輯設定自動代出!$A:$C,2,0)</f>
        <v>#N/A</v>
      </c>
      <c r="AW62" s="76" t="s">
        <v>1875</v>
      </c>
      <c r="BA62" s="72">
        <f t="shared" si="13"/>
        <v>0</v>
      </c>
      <c r="BB62" s="77"/>
      <c r="BC62" s="74">
        <f t="shared" si="14"/>
        <v>0</v>
      </c>
      <c r="BD62" s="74">
        <f t="shared" si="15"/>
        <v>0</v>
      </c>
      <c r="BE62" s="71" t="str">
        <f t="shared" si="10"/>
        <v>Y</v>
      </c>
      <c r="BO62" s="78"/>
      <c r="BQ62" s="74"/>
      <c r="BR62" s="74"/>
      <c r="BT62" s="75"/>
    </row>
    <row r="63" spans="1:72" ht="16.5" x14ac:dyDescent="0.25">
      <c r="A63" s="64">
        <v>61</v>
      </c>
      <c r="B63" s="69"/>
      <c r="E63" s="70" t="e">
        <f>VLOOKUP($D63,客戶編輯設定自動代出!$A:$C,3,0)</f>
        <v>#N/A</v>
      </c>
      <c r="F63" s="70" t="e">
        <f>VLOOKUP($D63,客戶編輯設定自動代出!$A:$C,2,0)</f>
        <v>#N/A</v>
      </c>
      <c r="G63" s="70" t="s">
        <v>1422</v>
      </c>
      <c r="K63" s="72">
        <f t="shared" si="0"/>
        <v>0</v>
      </c>
      <c r="M63" s="74">
        <f t="shared" si="1"/>
        <v>0</v>
      </c>
      <c r="N63" s="74">
        <f t="shared" si="21"/>
        <v>0</v>
      </c>
      <c r="O63" s="71" t="str">
        <f t="shared" si="2"/>
        <v>Y</v>
      </c>
      <c r="Q63" s="119"/>
      <c r="R63" s="75"/>
      <c r="S63" s="75"/>
      <c r="T63" s="75"/>
      <c r="U63" s="75"/>
      <c r="V63" s="64">
        <v>61</v>
      </c>
      <c r="W63" s="69"/>
      <c r="X63" s="70"/>
      <c r="Y63" s="71"/>
      <c r="Z63" s="70" t="e">
        <f>VLOOKUP($Y63,客戶編輯設定自動代出!$A:$C,3,0)</f>
        <v>#N/A</v>
      </c>
      <c r="AA63" s="70" t="e">
        <f>VLOOKUP($Y63,客戶編輯設定自動代出!$A:$C,2,0)</f>
        <v>#N/A</v>
      </c>
      <c r="AB63" s="70" t="s">
        <v>1675</v>
      </c>
      <c r="AC63" s="70"/>
      <c r="AD63" s="70"/>
      <c r="AE63" s="72"/>
      <c r="AF63" s="72">
        <f t="shared" si="22"/>
        <v>0</v>
      </c>
      <c r="AG63" s="73"/>
      <c r="AH63" s="74">
        <f t="shared" si="23"/>
        <v>0</v>
      </c>
      <c r="AI63" s="74">
        <f t="shared" si="24"/>
        <v>0</v>
      </c>
      <c r="AJ63" s="71" t="str">
        <f t="shared" si="6"/>
        <v>Y</v>
      </c>
      <c r="AK63" s="71"/>
      <c r="AL63" s="71"/>
      <c r="AM63" s="75"/>
      <c r="AN63" s="75"/>
      <c r="AO63" s="75"/>
      <c r="AP63" s="75"/>
      <c r="AQ63" s="64">
        <v>61</v>
      </c>
      <c r="AR63" s="70"/>
      <c r="AU63" s="70" t="e">
        <f>VLOOKUP($AT63,客戶編輯設定自動代出!$A:$C,3,0)</f>
        <v>#N/A</v>
      </c>
      <c r="AV63" s="70" t="e">
        <f>VLOOKUP($AT63,客戶編輯設定自動代出!$A:$C,2,0)</f>
        <v>#N/A</v>
      </c>
      <c r="AW63" s="76" t="s">
        <v>1876</v>
      </c>
      <c r="BA63" s="72">
        <f t="shared" si="13"/>
        <v>0</v>
      </c>
      <c r="BB63" s="77"/>
      <c r="BC63" s="74">
        <f t="shared" si="14"/>
        <v>0</v>
      </c>
      <c r="BD63" s="74">
        <f t="shared" si="15"/>
        <v>0</v>
      </c>
      <c r="BE63" s="71" t="str">
        <f t="shared" si="10"/>
        <v>Y</v>
      </c>
      <c r="BO63" s="78"/>
      <c r="BQ63" s="74"/>
      <c r="BR63" s="74"/>
      <c r="BT63" s="75"/>
    </row>
    <row r="64" spans="1:72" ht="16.5" x14ac:dyDescent="0.25">
      <c r="A64" s="64">
        <v>62</v>
      </c>
      <c r="B64" s="69"/>
      <c r="E64" s="70" t="e">
        <f>VLOOKUP($D64,客戶編輯設定自動代出!$A:$C,3,0)</f>
        <v>#N/A</v>
      </c>
      <c r="F64" s="70" t="e">
        <f>VLOOKUP($D64,客戶編輯設定自動代出!$A:$C,2,0)</f>
        <v>#N/A</v>
      </c>
      <c r="G64" s="70" t="s">
        <v>1423</v>
      </c>
      <c r="K64" s="72">
        <f t="shared" si="0"/>
        <v>0</v>
      </c>
      <c r="M64" s="74">
        <f t="shared" si="1"/>
        <v>0</v>
      </c>
      <c r="N64" s="74">
        <f t="shared" si="21"/>
        <v>0</v>
      </c>
      <c r="O64" s="71" t="str">
        <f t="shared" si="2"/>
        <v>Y</v>
      </c>
      <c r="Q64" s="119"/>
      <c r="R64" s="75"/>
      <c r="S64" s="75"/>
      <c r="T64" s="75"/>
      <c r="U64" s="75"/>
      <c r="V64" s="64">
        <v>62</v>
      </c>
      <c r="W64" s="69"/>
      <c r="X64" s="70"/>
      <c r="Y64" s="71"/>
      <c r="Z64" s="70" t="e">
        <f>VLOOKUP($Y64,客戶編輯設定自動代出!$A:$C,3,0)</f>
        <v>#N/A</v>
      </c>
      <c r="AA64" s="70" t="e">
        <f>VLOOKUP($Y64,客戶編輯設定自動代出!$A:$C,2,0)</f>
        <v>#N/A</v>
      </c>
      <c r="AB64" s="70" t="s">
        <v>1676</v>
      </c>
      <c r="AC64" s="70"/>
      <c r="AD64" s="70"/>
      <c r="AE64" s="72"/>
      <c r="AF64" s="72">
        <f t="shared" si="22"/>
        <v>0</v>
      </c>
      <c r="AG64" s="73"/>
      <c r="AH64" s="74">
        <f t="shared" si="23"/>
        <v>0</v>
      </c>
      <c r="AI64" s="74">
        <f t="shared" si="24"/>
        <v>0</v>
      </c>
      <c r="AJ64" s="71" t="str">
        <f t="shared" si="6"/>
        <v>Y</v>
      </c>
      <c r="AK64" s="71"/>
      <c r="AL64" s="71"/>
      <c r="AM64" s="75"/>
      <c r="AN64" s="75"/>
      <c r="AO64" s="75"/>
      <c r="AP64" s="75"/>
      <c r="AQ64" s="64">
        <v>62</v>
      </c>
      <c r="AR64" s="70"/>
      <c r="AU64" s="70" t="e">
        <f>VLOOKUP($AT64,客戶編輯設定自動代出!$A:$C,3,0)</f>
        <v>#N/A</v>
      </c>
      <c r="AV64" s="70" t="e">
        <f>VLOOKUP($AT64,客戶編輯設定自動代出!$A:$C,2,0)</f>
        <v>#N/A</v>
      </c>
      <c r="AW64" s="76" t="s">
        <v>1877</v>
      </c>
      <c r="BA64" s="72">
        <f t="shared" si="13"/>
        <v>0</v>
      </c>
      <c r="BB64" s="77"/>
      <c r="BC64" s="74">
        <f t="shared" si="14"/>
        <v>0</v>
      </c>
      <c r="BD64" s="74">
        <f t="shared" si="15"/>
        <v>0</v>
      </c>
      <c r="BE64" s="71" t="str">
        <f t="shared" si="10"/>
        <v>Y</v>
      </c>
      <c r="BO64" s="78"/>
      <c r="BQ64" s="74"/>
      <c r="BR64" s="74"/>
      <c r="BT64" s="75"/>
    </row>
    <row r="65" spans="1:72" ht="16.5" x14ac:dyDescent="0.25">
      <c r="A65" s="64">
        <v>63</v>
      </c>
      <c r="B65" s="69"/>
      <c r="E65" s="70" t="e">
        <f>VLOOKUP($D65,客戶編輯設定自動代出!$A:$C,3,0)</f>
        <v>#N/A</v>
      </c>
      <c r="F65" s="70" t="e">
        <f>VLOOKUP($D65,客戶編輯設定自動代出!$A:$C,2,0)</f>
        <v>#N/A</v>
      </c>
      <c r="G65" s="70" t="s">
        <v>1423</v>
      </c>
      <c r="K65" s="72">
        <f t="shared" si="0"/>
        <v>0</v>
      </c>
      <c r="M65" s="74">
        <f t="shared" si="1"/>
        <v>0</v>
      </c>
      <c r="N65" s="74">
        <f t="shared" si="21"/>
        <v>0</v>
      </c>
      <c r="O65" s="71" t="str">
        <f t="shared" si="2"/>
        <v>Y</v>
      </c>
      <c r="Q65" s="119"/>
      <c r="R65" s="75"/>
      <c r="S65" s="75"/>
      <c r="T65" s="75"/>
      <c r="U65" s="75"/>
      <c r="V65" s="64">
        <v>63</v>
      </c>
      <c r="W65" s="69"/>
      <c r="X65" s="70"/>
      <c r="Y65" s="71"/>
      <c r="Z65" s="70" t="e">
        <f>VLOOKUP($Y65,客戶編輯設定自動代出!$A:$C,3,0)</f>
        <v>#N/A</v>
      </c>
      <c r="AA65" s="70" t="e">
        <f>VLOOKUP($Y65,客戶編輯設定自動代出!$A:$C,2,0)</f>
        <v>#N/A</v>
      </c>
      <c r="AB65" s="70" t="s">
        <v>1677</v>
      </c>
      <c r="AC65" s="70"/>
      <c r="AD65" s="70"/>
      <c r="AE65" s="72"/>
      <c r="AF65" s="72">
        <f t="shared" si="22"/>
        <v>0</v>
      </c>
      <c r="AG65" s="73"/>
      <c r="AH65" s="74">
        <f t="shared" si="23"/>
        <v>0</v>
      </c>
      <c r="AI65" s="74">
        <f t="shared" si="24"/>
        <v>0</v>
      </c>
      <c r="AJ65" s="71" t="str">
        <f t="shared" si="6"/>
        <v>Y</v>
      </c>
      <c r="AK65" s="71"/>
      <c r="AL65" s="71"/>
      <c r="AM65" s="75"/>
      <c r="AN65" s="75"/>
      <c r="AO65" s="75"/>
      <c r="AP65" s="75"/>
      <c r="AQ65" s="64">
        <v>63</v>
      </c>
      <c r="AR65" s="70"/>
      <c r="AU65" s="70" t="e">
        <f>VLOOKUP($AT65,客戶編輯設定自動代出!$A:$C,3,0)</f>
        <v>#N/A</v>
      </c>
      <c r="AV65" s="70" t="e">
        <f>VLOOKUP($AT65,客戶編輯設定自動代出!$A:$C,2,0)</f>
        <v>#N/A</v>
      </c>
      <c r="AW65" s="76" t="s">
        <v>1878</v>
      </c>
      <c r="BA65" s="72">
        <f t="shared" si="13"/>
        <v>0</v>
      </c>
      <c r="BB65" s="77"/>
      <c r="BC65" s="74">
        <f t="shared" si="14"/>
        <v>0</v>
      </c>
      <c r="BD65" s="74">
        <f t="shared" si="15"/>
        <v>0</v>
      </c>
      <c r="BE65" s="71" t="str">
        <f t="shared" si="10"/>
        <v>Y</v>
      </c>
      <c r="BO65" s="78"/>
      <c r="BQ65" s="74"/>
      <c r="BR65" s="74"/>
      <c r="BT65" s="75"/>
    </row>
    <row r="66" spans="1:72" ht="16.5" x14ac:dyDescent="0.25">
      <c r="A66" s="64">
        <v>64</v>
      </c>
      <c r="B66" s="69"/>
      <c r="E66" s="70" t="e">
        <f>VLOOKUP($D66,客戶編輯設定自動代出!$A:$C,3,0)</f>
        <v>#N/A</v>
      </c>
      <c r="F66" s="70" t="e">
        <f>VLOOKUP($D66,客戶編輯設定自動代出!$A:$C,2,0)</f>
        <v>#N/A</v>
      </c>
      <c r="G66" s="70" t="s">
        <v>1424</v>
      </c>
      <c r="K66" s="72">
        <f t="shared" si="0"/>
        <v>0</v>
      </c>
      <c r="M66" s="74">
        <f t="shared" si="1"/>
        <v>0</v>
      </c>
      <c r="N66" s="74">
        <f t="shared" si="21"/>
        <v>0</v>
      </c>
      <c r="O66" s="71" t="str">
        <f t="shared" si="2"/>
        <v>Y</v>
      </c>
      <c r="Q66" s="119"/>
      <c r="R66" s="75"/>
      <c r="S66" s="75"/>
      <c r="T66" s="75"/>
      <c r="U66" s="75"/>
      <c r="V66" s="64">
        <v>64</v>
      </c>
      <c r="W66" s="69"/>
      <c r="X66" s="70"/>
      <c r="Y66" s="71"/>
      <c r="Z66" s="70" t="e">
        <f>VLOOKUP($Y66,客戶編輯設定自動代出!$A:$C,3,0)</f>
        <v>#N/A</v>
      </c>
      <c r="AA66" s="70" t="e">
        <f>VLOOKUP($Y66,客戶編輯設定自動代出!$A:$C,2,0)</f>
        <v>#N/A</v>
      </c>
      <c r="AB66" s="70" t="s">
        <v>1678</v>
      </c>
      <c r="AC66" s="70"/>
      <c r="AD66" s="70"/>
      <c r="AE66" s="72"/>
      <c r="AF66" s="72">
        <f t="shared" si="22"/>
        <v>0</v>
      </c>
      <c r="AG66" s="73"/>
      <c r="AH66" s="74">
        <f t="shared" si="23"/>
        <v>0</v>
      </c>
      <c r="AI66" s="74">
        <f t="shared" si="24"/>
        <v>0</v>
      </c>
      <c r="AJ66" s="71" t="str">
        <f t="shared" si="6"/>
        <v>Y</v>
      </c>
      <c r="AK66" s="71"/>
      <c r="AL66" s="71"/>
      <c r="AM66" s="75"/>
      <c r="AN66" s="75"/>
      <c r="AO66" s="75"/>
      <c r="AP66" s="75"/>
      <c r="AQ66" s="64">
        <v>64</v>
      </c>
      <c r="AR66" s="70"/>
      <c r="AU66" s="70" t="e">
        <f>VLOOKUP($AT66,客戶編輯設定自動代出!$A:$C,3,0)</f>
        <v>#N/A</v>
      </c>
      <c r="AV66" s="70" t="e">
        <f>VLOOKUP($AT66,客戶編輯設定自動代出!$A:$C,2,0)</f>
        <v>#N/A</v>
      </c>
      <c r="AW66" s="76" t="s">
        <v>1879</v>
      </c>
      <c r="BA66" s="72">
        <f t="shared" si="13"/>
        <v>0</v>
      </c>
      <c r="BB66" s="77"/>
      <c r="BC66" s="74">
        <f t="shared" si="14"/>
        <v>0</v>
      </c>
      <c r="BD66" s="74">
        <f t="shared" si="15"/>
        <v>0</v>
      </c>
      <c r="BE66" s="71" t="str">
        <f t="shared" si="10"/>
        <v>Y</v>
      </c>
      <c r="BO66" s="78"/>
      <c r="BQ66" s="74"/>
      <c r="BR66" s="74"/>
      <c r="BT66" s="75"/>
    </row>
    <row r="67" spans="1:72" ht="16.5" x14ac:dyDescent="0.25">
      <c r="A67" s="64">
        <v>65</v>
      </c>
      <c r="B67" s="69"/>
      <c r="E67" s="70" t="e">
        <f>VLOOKUP($D67,客戶編輯設定自動代出!$A:$C,3,0)</f>
        <v>#N/A</v>
      </c>
      <c r="F67" s="70" t="e">
        <f>VLOOKUP($D67,客戶編輯設定自動代出!$A:$C,2,0)</f>
        <v>#N/A</v>
      </c>
      <c r="G67" s="70" t="s">
        <v>1425</v>
      </c>
      <c r="K67" s="72">
        <f t="shared" si="0"/>
        <v>0</v>
      </c>
      <c r="M67" s="74">
        <f t="shared" si="1"/>
        <v>0</v>
      </c>
      <c r="N67" s="74">
        <f t="shared" si="21"/>
        <v>0</v>
      </c>
      <c r="O67" s="71" t="str">
        <f t="shared" si="2"/>
        <v>Y</v>
      </c>
      <c r="Q67" s="119"/>
      <c r="R67" s="75"/>
      <c r="S67" s="75"/>
      <c r="T67" s="75"/>
      <c r="U67" s="75"/>
      <c r="V67" s="64">
        <v>65</v>
      </c>
      <c r="W67" s="69"/>
      <c r="X67" s="70"/>
      <c r="Y67" s="71"/>
      <c r="Z67" s="70" t="e">
        <f>VLOOKUP($Y67,客戶編輯設定自動代出!$A:$C,3,0)</f>
        <v>#N/A</v>
      </c>
      <c r="AA67" s="70" t="e">
        <f>VLOOKUP($Y67,客戶編輯設定自動代出!$A:$C,2,0)</f>
        <v>#N/A</v>
      </c>
      <c r="AB67" s="70" t="s">
        <v>1679</v>
      </c>
      <c r="AC67" s="70"/>
      <c r="AD67" s="70"/>
      <c r="AE67" s="72"/>
      <c r="AF67" s="72">
        <f t="shared" si="22"/>
        <v>0</v>
      </c>
      <c r="AG67" s="73"/>
      <c r="AH67" s="74">
        <f t="shared" si="23"/>
        <v>0</v>
      </c>
      <c r="AI67" s="74">
        <f t="shared" si="24"/>
        <v>0</v>
      </c>
      <c r="AJ67" s="71" t="str">
        <f t="shared" si="6"/>
        <v>Y</v>
      </c>
      <c r="AK67" s="71"/>
      <c r="AL67" s="71"/>
      <c r="AM67" s="75"/>
      <c r="AN67" s="75"/>
      <c r="AO67" s="75"/>
      <c r="AP67" s="75"/>
      <c r="AQ67" s="64">
        <v>65</v>
      </c>
      <c r="AR67" s="70"/>
      <c r="AU67" s="70" t="e">
        <f>VLOOKUP($AT67,客戶編輯設定自動代出!$A:$C,3,0)</f>
        <v>#N/A</v>
      </c>
      <c r="AV67" s="70" t="e">
        <f>VLOOKUP($AT67,客戶編輯設定自動代出!$A:$C,2,0)</f>
        <v>#N/A</v>
      </c>
      <c r="AW67" s="76" t="s">
        <v>1880</v>
      </c>
      <c r="BA67" s="72">
        <f t="shared" ref="BA67:BA100" si="27">AY67*AZ67</f>
        <v>0</v>
      </c>
      <c r="BB67" s="77"/>
      <c r="BC67" s="74">
        <f t="shared" ref="BC67:BC100" si="28">BB67/1.05</f>
        <v>0</v>
      </c>
      <c r="BD67" s="74">
        <f t="shared" si="15"/>
        <v>0</v>
      </c>
      <c r="BE67" s="71" t="str">
        <f t="shared" si="10"/>
        <v>Y</v>
      </c>
      <c r="BO67" s="78"/>
      <c r="BQ67" s="74"/>
      <c r="BR67" s="74"/>
      <c r="BT67" s="75"/>
    </row>
    <row r="68" spans="1:72" ht="16.5" x14ac:dyDescent="0.25">
      <c r="A68" s="64">
        <v>66</v>
      </c>
      <c r="B68" s="69"/>
      <c r="E68" s="70" t="e">
        <f>VLOOKUP($D68,客戶編輯設定自動代出!$A:$C,3,0)</f>
        <v>#N/A</v>
      </c>
      <c r="F68" s="70" t="e">
        <f>VLOOKUP($D68,客戶編輯設定自動代出!$A:$C,2,0)</f>
        <v>#N/A</v>
      </c>
      <c r="G68" s="70" t="s">
        <v>1425</v>
      </c>
      <c r="K68" s="72">
        <f t="shared" si="0"/>
        <v>0</v>
      </c>
      <c r="M68" s="74">
        <f t="shared" si="1"/>
        <v>0</v>
      </c>
      <c r="N68" s="74">
        <f t="shared" si="21"/>
        <v>0</v>
      </c>
      <c r="O68" s="71" t="str">
        <f t="shared" si="2"/>
        <v>Y</v>
      </c>
      <c r="Q68" s="119"/>
      <c r="R68" s="75"/>
      <c r="S68" s="75"/>
      <c r="T68" s="75"/>
      <c r="U68" s="75"/>
      <c r="V68" s="64">
        <v>66</v>
      </c>
      <c r="W68" s="69"/>
      <c r="X68" s="70"/>
      <c r="Y68" s="71"/>
      <c r="Z68" s="70" t="e">
        <f>VLOOKUP($Y68,客戶編輯設定自動代出!$A:$C,3,0)</f>
        <v>#N/A</v>
      </c>
      <c r="AA68" s="70" t="e">
        <f>VLOOKUP($Y68,客戶編輯設定自動代出!$A:$C,2,0)</f>
        <v>#N/A</v>
      </c>
      <c r="AB68" s="70" t="s">
        <v>1680</v>
      </c>
      <c r="AC68" s="70"/>
      <c r="AD68" s="70"/>
      <c r="AE68" s="72"/>
      <c r="AF68" s="72">
        <f t="shared" si="22"/>
        <v>0</v>
      </c>
      <c r="AG68" s="73"/>
      <c r="AH68" s="74">
        <f t="shared" si="23"/>
        <v>0</v>
      </c>
      <c r="AI68" s="74">
        <f t="shared" si="24"/>
        <v>0</v>
      </c>
      <c r="AJ68" s="71" t="str">
        <f t="shared" si="6"/>
        <v>Y</v>
      </c>
      <c r="AK68" s="71"/>
      <c r="AL68" s="71"/>
      <c r="AM68" s="75"/>
      <c r="AN68" s="75"/>
      <c r="AO68" s="75"/>
      <c r="AP68" s="75"/>
      <c r="AQ68" s="64">
        <v>66</v>
      </c>
      <c r="AR68" s="70"/>
      <c r="AU68" s="70" t="e">
        <f>VLOOKUP($AT68,客戶編輯設定自動代出!$A:$C,3,0)</f>
        <v>#N/A</v>
      </c>
      <c r="AV68" s="70" t="e">
        <f>VLOOKUP($AT68,客戶編輯設定自動代出!$A:$C,2,0)</f>
        <v>#N/A</v>
      </c>
      <c r="AW68" s="76" t="s">
        <v>1881</v>
      </c>
      <c r="BA68" s="72">
        <f t="shared" si="27"/>
        <v>0</v>
      </c>
      <c r="BB68" s="77"/>
      <c r="BC68" s="74">
        <f t="shared" si="28"/>
        <v>0</v>
      </c>
      <c r="BD68" s="74">
        <f t="shared" si="15"/>
        <v>0</v>
      </c>
      <c r="BE68" s="71" t="str">
        <f t="shared" ref="BE68:BE100" si="29">IF($BB68=$BA68,"Y","N")</f>
        <v>Y</v>
      </c>
      <c r="BO68" s="78"/>
      <c r="BQ68" s="74"/>
      <c r="BR68" s="74"/>
      <c r="BT68" s="75"/>
    </row>
    <row r="69" spans="1:72" ht="16.5" x14ac:dyDescent="0.25">
      <c r="A69" s="64">
        <v>67</v>
      </c>
      <c r="B69" s="69"/>
      <c r="E69" s="70" t="e">
        <f>VLOOKUP($D69,客戶編輯設定自動代出!$A:$C,3,0)</f>
        <v>#N/A</v>
      </c>
      <c r="F69" s="70" t="e">
        <f>VLOOKUP($D69,客戶編輯設定自動代出!$A:$C,2,0)</f>
        <v>#N/A</v>
      </c>
      <c r="G69" s="70" t="s">
        <v>1425</v>
      </c>
      <c r="K69" s="72">
        <f t="shared" si="0"/>
        <v>0</v>
      </c>
      <c r="M69" s="74">
        <f t="shared" si="1"/>
        <v>0</v>
      </c>
      <c r="N69" s="74">
        <f t="shared" si="21"/>
        <v>0</v>
      </c>
      <c r="O69" s="71" t="str">
        <f t="shared" si="2"/>
        <v>Y</v>
      </c>
      <c r="Q69" s="119"/>
      <c r="R69" s="75"/>
      <c r="S69" s="75"/>
      <c r="T69" s="75"/>
      <c r="U69" s="75"/>
      <c r="V69" s="64">
        <v>67</v>
      </c>
      <c r="W69" s="69"/>
      <c r="X69" s="70"/>
      <c r="Y69" s="71"/>
      <c r="Z69" s="70" t="e">
        <f>VLOOKUP($Y69,客戶編輯設定自動代出!$A:$C,3,0)</f>
        <v>#N/A</v>
      </c>
      <c r="AA69" s="70" t="e">
        <f>VLOOKUP($Y69,客戶編輯設定自動代出!$A:$C,2,0)</f>
        <v>#N/A</v>
      </c>
      <c r="AB69" s="70" t="s">
        <v>1681</v>
      </c>
      <c r="AC69" s="70"/>
      <c r="AD69" s="70"/>
      <c r="AE69" s="72"/>
      <c r="AF69" s="72">
        <f t="shared" ref="AF69:AF131" si="30">AD69*AE69</f>
        <v>0</v>
      </c>
      <c r="AG69" s="73"/>
      <c r="AH69" s="74">
        <f t="shared" ref="AH69:AH131" si="31">AG69/1.05</f>
        <v>0</v>
      </c>
      <c r="AI69" s="74">
        <f t="shared" ref="AI69:AI131" si="32">AH69*0.05</f>
        <v>0</v>
      </c>
      <c r="AJ69" s="71" t="str">
        <f t="shared" si="6"/>
        <v>Y</v>
      </c>
      <c r="AK69" s="71"/>
      <c r="AL69" s="71"/>
      <c r="AM69" s="75"/>
      <c r="AN69" s="75"/>
      <c r="AO69" s="75"/>
      <c r="AP69" s="75"/>
      <c r="AQ69" s="64">
        <v>67</v>
      </c>
      <c r="AR69" s="70"/>
      <c r="AU69" s="70" t="e">
        <f>VLOOKUP($AT69,客戶編輯設定自動代出!$A:$C,3,0)</f>
        <v>#N/A</v>
      </c>
      <c r="AV69" s="70" t="e">
        <f>VLOOKUP($AT69,客戶編輯設定自動代出!$A:$C,2,0)</f>
        <v>#N/A</v>
      </c>
      <c r="AW69" s="76" t="s">
        <v>1882</v>
      </c>
      <c r="BA69" s="72">
        <f t="shared" si="27"/>
        <v>0</v>
      </c>
      <c r="BB69" s="77"/>
      <c r="BC69" s="74">
        <f t="shared" si="28"/>
        <v>0</v>
      </c>
      <c r="BD69" s="74">
        <f t="shared" ref="BD69:BD100" si="33">BC69*0.05</f>
        <v>0</v>
      </c>
      <c r="BE69" s="71" t="str">
        <f t="shared" si="29"/>
        <v>Y</v>
      </c>
      <c r="BO69" s="78"/>
      <c r="BQ69" s="74"/>
      <c r="BR69" s="74"/>
      <c r="BT69" s="75"/>
    </row>
    <row r="70" spans="1:72" ht="16.5" x14ac:dyDescent="0.25">
      <c r="A70" s="64">
        <v>68</v>
      </c>
      <c r="B70" s="69"/>
      <c r="E70" s="70" t="e">
        <f>VLOOKUP($D70,客戶編輯設定自動代出!$A:$C,3,0)</f>
        <v>#N/A</v>
      </c>
      <c r="F70" s="70" t="e">
        <f>VLOOKUP($D70,客戶編輯設定自動代出!$A:$C,2,0)</f>
        <v>#N/A</v>
      </c>
      <c r="G70" s="70" t="s">
        <v>1425</v>
      </c>
      <c r="K70" s="72">
        <f t="shared" si="0"/>
        <v>0</v>
      </c>
      <c r="M70" s="74">
        <f t="shared" si="1"/>
        <v>0</v>
      </c>
      <c r="N70" s="74">
        <f t="shared" si="21"/>
        <v>0</v>
      </c>
      <c r="O70" s="71" t="str">
        <f t="shared" si="2"/>
        <v>Y</v>
      </c>
      <c r="Q70" s="119"/>
      <c r="R70" s="75"/>
      <c r="S70" s="75"/>
      <c r="T70" s="75"/>
      <c r="U70" s="75"/>
      <c r="V70" s="64">
        <v>68</v>
      </c>
      <c r="W70" s="69"/>
      <c r="X70" s="70"/>
      <c r="Y70" s="71"/>
      <c r="Z70" s="70" t="e">
        <f>VLOOKUP($Y70,客戶編輯設定自動代出!$A:$C,3,0)</f>
        <v>#N/A</v>
      </c>
      <c r="AA70" s="70" t="e">
        <f>VLOOKUP($Y70,客戶編輯設定自動代出!$A:$C,2,0)</f>
        <v>#N/A</v>
      </c>
      <c r="AB70" s="70" t="s">
        <v>1682</v>
      </c>
      <c r="AC70" s="70"/>
      <c r="AD70" s="70"/>
      <c r="AE70" s="72"/>
      <c r="AF70" s="72">
        <f t="shared" si="30"/>
        <v>0</v>
      </c>
      <c r="AG70" s="73"/>
      <c r="AH70" s="74">
        <f t="shared" si="31"/>
        <v>0</v>
      </c>
      <c r="AI70" s="74">
        <f t="shared" si="32"/>
        <v>0</v>
      </c>
      <c r="AJ70" s="71" t="str">
        <f t="shared" ref="AJ70:AJ132" si="34">IF($AF70=$AG70,"Y","N")</f>
        <v>Y</v>
      </c>
      <c r="AK70" s="71"/>
      <c r="AL70" s="71"/>
      <c r="AM70" s="75"/>
      <c r="AN70" s="75"/>
      <c r="AO70" s="75"/>
      <c r="AP70" s="75"/>
      <c r="AQ70" s="64">
        <v>68</v>
      </c>
      <c r="AR70" s="70"/>
      <c r="AU70" s="70" t="e">
        <f>VLOOKUP($AT70,客戶編輯設定自動代出!$A:$C,3,0)</f>
        <v>#N/A</v>
      </c>
      <c r="AV70" s="70" t="e">
        <f>VLOOKUP($AT70,客戶編輯設定自動代出!$A:$C,2,0)</f>
        <v>#N/A</v>
      </c>
      <c r="AW70" s="76" t="s">
        <v>1883</v>
      </c>
      <c r="BA70" s="72">
        <f t="shared" si="27"/>
        <v>0</v>
      </c>
      <c r="BB70" s="77"/>
      <c r="BC70" s="74">
        <f t="shared" si="28"/>
        <v>0</v>
      </c>
      <c r="BD70" s="74">
        <f t="shared" si="33"/>
        <v>0</v>
      </c>
      <c r="BE70" s="71" t="str">
        <f t="shared" si="29"/>
        <v>Y</v>
      </c>
      <c r="BO70" s="78"/>
      <c r="BQ70" s="74"/>
      <c r="BR70" s="74"/>
      <c r="BT70" s="75"/>
    </row>
    <row r="71" spans="1:72" ht="16.5" x14ac:dyDescent="0.25">
      <c r="A71" s="64">
        <v>69</v>
      </c>
      <c r="B71" s="69"/>
      <c r="E71" s="70" t="e">
        <f>VLOOKUP($D71,客戶編輯設定自動代出!$A:$C,3,0)</f>
        <v>#N/A</v>
      </c>
      <c r="F71" s="70" t="e">
        <f>VLOOKUP($D71,客戶編輯設定自動代出!$A:$C,2,0)</f>
        <v>#N/A</v>
      </c>
      <c r="G71" s="70" t="s">
        <v>1425</v>
      </c>
      <c r="K71" s="72">
        <f t="shared" si="0"/>
        <v>0</v>
      </c>
      <c r="M71" s="74">
        <f t="shared" si="1"/>
        <v>0</v>
      </c>
      <c r="N71" s="74">
        <f t="shared" si="21"/>
        <v>0</v>
      </c>
      <c r="O71" s="71" t="str">
        <f t="shared" si="2"/>
        <v>Y</v>
      </c>
      <c r="Q71" s="119"/>
      <c r="R71" s="75"/>
      <c r="S71" s="75"/>
      <c r="T71" s="75"/>
      <c r="U71" s="75"/>
      <c r="V71" s="64">
        <v>69</v>
      </c>
      <c r="W71" s="69"/>
      <c r="X71" s="70"/>
      <c r="Y71" s="71"/>
      <c r="Z71" s="70" t="e">
        <f>VLOOKUP($Y71,客戶編輯設定自動代出!$A:$C,3,0)</f>
        <v>#N/A</v>
      </c>
      <c r="AA71" s="70" t="e">
        <f>VLOOKUP($Y71,客戶編輯設定自動代出!$A:$C,2,0)</f>
        <v>#N/A</v>
      </c>
      <c r="AB71" s="70" t="s">
        <v>1683</v>
      </c>
      <c r="AC71" s="70"/>
      <c r="AD71" s="70"/>
      <c r="AE71" s="72"/>
      <c r="AF71" s="72">
        <f t="shared" si="30"/>
        <v>0</v>
      </c>
      <c r="AG71" s="73"/>
      <c r="AH71" s="74">
        <f t="shared" si="31"/>
        <v>0</v>
      </c>
      <c r="AI71" s="74">
        <f t="shared" si="32"/>
        <v>0</v>
      </c>
      <c r="AJ71" s="71" t="str">
        <f t="shared" si="34"/>
        <v>Y</v>
      </c>
      <c r="AK71" s="71"/>
      <c r="AL71" s="71"/>
      <c r="AM71" s="75"/>
      <c r="AN71" s="75"/>
      <c r="AO71" s="75"/>
      <c r="AP71" s="75"/>
      <c r="AQ71" s="64">
        <v>69</v>
      </c>
      <c r="AR71" s="70"/>
      <c r="AU71" s="70" t="e">
        <f>VLOOKUP($AT71,客戶編輯設定自動代出!$A:$C,3,0)</f>
        <v>#N/A</v>
      </c>
      <c r="AV71" s="70" t="e">
        <f>VLOOKUP($AT71,客戶編輯設定自動代出!$A:$C,2,0)</f>
        <v>#N/A</v>
      </c>
      <c r="AW71" s="76" t="s">
        <v>1884</v>
      </c>
      <c r="BA71" s="72">
        <f t="shared" si="27"/>
        <v>0</v>
      </c>
      <c r="BB71" s="77"/>
      <c r="BC71" s="74">
        <f t="shared" si="28"/>
        <v>0</v>
      </c>
      <c r="BD71" s="74">
        <f t="shared" si="33"/>
        <v>0</v>
      </c>
      <c r="BE71" s="71" t="str">
        <f t="shared" si="29"/>
        <v>Y</v>
      </c>
      <c r="BO71" s="78"/>
      <c r="BQ71" s="74"/>
      <c r="BR71" s="74"/>
      <c r="BT71" s="75"/>
    </row>
    <row r="72" spans="1:72" ht="16.5" x14ac:dyDescent="0.25">
      <c r="A72" s="64">
        <v>70</v>
      </c>
      <c r="B72" s="69"/>
      <c r="E72" s="70" t="e">
        <f>VLOOKUP($D72,客戶編輯設定自動代出!$A:$C,3,0)</f>
        <v>#N/A</v>
      </c>
      <c r="F72" s="70" t="e">
        <f>VLOOKUP($D72,客戶編輯設定自動代出!$A:$C,2,0)</f>
        <v>#N/A</v>
      </c>
      <c r="G72" s="70" t="s">
        <v>1425</v>
      </c>
      <c r="K72" s="72">
        <f t="shared" si="0"/>
        <v>0</v>
      </c>
      <c r="M72" s="74">
        <f t="shared" si="1"/>
        <v>0</v>
      </c>
      <c r="N72" s="74">
        <f t="shared" si="21"/>
        <v>0</v>
      </c>
      <c r="O72" s="71" t="str">
        <f t="shared" si="2"/>
        <v>Y</v>
      </c>
      <c r="Q72" s="119"/>
      <c r="R72" s="75"/>
      <c r="S72" s="75"/>
      <c r="T72" s="75"/>
      <c r="U72" s="75"/>
      <c r="V72" s="64">
        <v>70</v>
      </c>
      <c r="W72" s="69"/>
      <c r="X72" s="70"/>
      <c r="Y72" s="71"/>
      <c r="Z72" s="70" t="e">
        <f>VLOOKUP($Y72,客戶編輯設定自動代出!$A:$C,3,0)</f>
        <v>#N/A</v>
      </c>
      <c r="AA72" s="70" t="e">
        <f>VLOOKUP($Y72,客戶編輯設定自動代出!$A:$C,2,0)</f>
        <v>#N/A</v>
      </c>
      <c r="AB72" s="70" t="s">
        <v>1684</v>
      </c>
      <c r="AC72" s="70"/>
      <c r="AD72" s="70"/>
      <c r="AE72" s="72"/>
      <c r="AF72" s="72">
        <f t="shared" si="30"/>
        <v>0</v>
      </c>
      <c r="AG72" s="73"/>
      <c r="AH72" s="74">
        <f t="shared" si="31"/>
        <v>0</v>
      </c>
      <c r="AI72" s="74">
        <f t="shared" si="32"/>
        <v>0</v>
      </c>
      <c r="AJ72" s="71" t="str">
        <f t="shared" si="34"/>
        <v>Y</v>
      </c>
      <c r="AK72" s="71"/>
      <c r="AL72" s="71"/>
      <c r="AM72" s="75"/>
      <c r="AN72" s="75"/>
      <c r="AO72" s="75"/>
      <c r="AP72" s="75"/>
      <c r="AQ72" s="64">
        <v>70</v>
      </c>
      <c r="AR72" s="70"/>
      <c r="AU72" s="70" t="e">
        <f>VLOOKUP($AT72,客戶編輯設定自動代出!$A:$C,3,0)</f>
        <v>#N/A</v>
      </c>
      <c r="AV72" s="70" t="e">
        <f>VLOOKUP($AT72,客戶編輯設定自動代出!$A:$C,2,0)</f>
        <v>#N/A</v>
      </c>
      <c r="AW72" s="76" t="s">
        <v>1885</v>
      </c>
      <c r="BA72" s="72">
        <f t="shared" si="27"/>
        <v>0</v>
      </c>
      <c r="BB72" s="77"/>
      <c r="BC72" s="74">
        <f t="shared" si="28"/>
        <v>0</v>
      </c>
      <c r="BD72" s="74">
        <f t="shared" si="33"/>
        <v>0</v>
      </c>
      <c r="BE72" s="71" t="str">
        <f t="shared" si="29"/>
        <v>Y</v>
      </c>
      <c r="BO72" s="78"/>
      <c r="BQ72" s="74"/>
      <c r="BR72" s="74"/>
      <c r="BT72" s="75"/>
    </row>
    <row r="73" spans="1:72" ht="16.5" x14ac:dyDescent="0.25">
      <c r="A73" s="64">
        <v>72</v>
      </c>
      <c r="B73" s="69"/>
      <c r="E73" s="70" t="e">
        <f>VLOOKUP($D73,客戶編輯設定自動代出!$A:$C,3,0)</f>
        <v>#N/A</v>
      </c>
      <c r="F73" s="70" t="e">
        <f>VLOOKUP($D73,客戶編輯設定自動代出!$A:$C,2,0)</f>
        <v>#N/A</v>
      </c>
      <c r="G73" s="70" t="s">
        <v>1426</v>
      </c>
      <c r="K73" s="72">
        <f t="shared" si="0"/>
        <v>0</v>
      </c>
      <c r="M73" s="74">
        <f t="shared" si="1"/>
        <v>0</v>
      </c>
      <c r="N73" s="74">
        <f t="shared" si="21"/>
        <v>0</v>
      </c>
      <c r="O73" s="71" t="str">
        <f t="shared" si="2"/>
        <v>Y</v>
      </c>
      <c r="Q73" s="119"/>
      <c r="R73" s="75"/>
      <c r="S73" s="75"/>
      <c r="T73" s="75"/>
      <c r="U73" s="75"/>
      <c r="V73" s="64">
        <v>72</v>
      </c>
      <c r="W73" s="69"/>
      <c r="X73" s="70"/>
      <c r="Y73" s="71"/>
      <c r="Z73" s="70" t="e">
        <f>VLOOKUP($Y73,客戶編輯設定自動代出!$A:$C,3,0)</f>
        <v>#N/A</v>
      </c>
      <c r="AA73" s="70" t="e">
        <f>VLOOKUP($Y73,客戶編輯設定自動代出!$A:$C,2,0)</f>
        <v>#N/A</v>
      </c>
      <c r="AB73" s="70" t="s">
        <v>1685</v>
      </c>
      <c r="AC73" s="70"/>
      <c r="AD73" s="70"/>
      <c r="AE73" s="72"/>
      <c r="AF73" s="72">
        <f t="shared" si="30"/>
        <v>0</v>
      </c>
      <c r="AG73" s="73"/>
      <c r="AH73" s="74">
        <f t="shared" si="31"/>
        <v>0</v>
      </c>
      <c r="AI73" s="74">
        <f t="shared" si="32"/>
        <v>0</v>
      </c>
      <c r="AJ73" s="71" t="str">
        <f t="shared" si="34"/>
        <v>Y</v>
      </c>
      <c r="AK73" s="71"/>
      <c r="AL73" s="71"/>
      <c r="AM73" s="75"/>
      <c r="AN73" s="75"/>
      <c r="AO73" s="75"/>
      <c r="AP73" s="75"/>
      <c r="AQ73" s="64">
        <v>72</v>
      </c>
      <c r="AR73" s="70"/>
      <c r="AU73" s="70" t="e">
        <f>VLOOKUP($AT73,客戶編輯設定自動代出!$A:$C,3,0)</f>
        <v>#N/A</v>
      </c>
      <c r="AV73" s="70" t="e">
        <f>VLOOKUP($AT73,客戶編輯設定自動代出!$A:$C,2,0)</f>
        <v>#N/A</v>
      </c>
      <c r="AW73" s="76" t="s">
        <v>1886</v>
      </c>
      <c r="BA73" s="72">
        <f t="shared" si="27"/>
        <v>0</v>
      </c>
      <c r="BB73" s="77"/>
      <c r="BC73" s="74">
        <f t="shared" si="28"/>
        <v>0</v>
      </c>
      <c r="BD73" s="74">
        <f t="shared" si="33"/>
        <v>0</v>
      </c>
      <c r="BE73" s="71" t="str">
        <f t="shared" si="29"/>
        <v>Y</v>
      </c>
      <c r="BO73" s="78"/>
      <c r="BQ73" s="74"/>
      <c r="BR73" s="74"/>
      <c r="BT73" s="75"/>
    </row>
    <row r="74" spans="1:72" ht="16.5" x14ac:dyDescent="0.25">
      <c r="A74" s="64">
        <v>73</v>
      </c>
      <c r="B74" s="69"/>
      <c r="E74" s="70" t="e">
        <f>VLOOKUP($D74,客戶編輯設定自動代出!$A:$C,3,0)</f>
        <v>#N/A</v>
      </c>
      <c r="F74" s="70" t="e">
        <f>VLOOKUP($D74,客戶編輯設定自動代出!$A:$C,2,0)</f>
        <v>#N/A</v>
      </c>
      <c r="G74" s="70" t="s">
        <v>1426</v>
      </c>
      <c r="K74" s="72">
        <f t="shared" si="0"/>
        <v>0</v>
      </c>
      <c r="M74" s="74">
        <f t="shared" si="1"/>
        <v>0</v>
      </c>
      <c r="N74" s="74">
        <f t="shared" si="21"/>
        <v>0</v>
      </c>
      <c r="O74" s="71" t="str">
        <f t="shared" si="2"/>
        <v>Y</v>
      </c>
      <c r="Q74" s="119"/>
      <c r="R74" s="75"/>
      <c r="S74" s="75"/>
      <c r="T74" s="75"/>
      <c r="U74" s="75"/>
      <c r="V74" s="64">
        <v>73</v>
      </c>
      <c r="W74" s="69"/>
      <c r="X74" s="70"/>
      <c r="Y74" s="71"/>
      <c r="Z74" s="70" t="e">
        <f>VLOOKUP($Y74,客戶編輯設定自動代出!$A:$C,3,0)</f>
        <v>#N/A</v>
      </c>
      <c r="AA74" s="70" t="e">
        <f>VLOOKUP($Y74,客戶編輯設定自動代出!$A:$C,2,0)</f>
        <v>#N/A</v>
      </c>
      <c r="AB74" s="70" t="s">
        <v>1686</v>
      </c>
      <c r="AC74" s="70"/>
      <c r="AD74" s="70"/>
      <c r="AE74" s="72"/>
      <c r="AF74" s="72">
        <f t="shared" si="30"/>
        <v>0</v>
      </c>
      <c r="AG74" s="73"/>
      <c r="AH74" s="74">
        <f t="shared" si="31"/>
        <v>0</v>
      </c>
      <c r="AI74" s="74">
        <f t="shared" si="32"/>
        <v>0</v>
      </c>
      <c r="AJ74" s="71" t="str">
        <f t="shared" si="34"/>
        <v>Y</v>
      </c>
      <c r="AK74" s="71"/>
      <c r="AL74" s="71"/>
      <c r="AM74" s="75"/>
      <c r="AN74" s="75"/>
      <c r="AO74" s="75"/>
      <c r="AP74" s="75"/>
      <c r="AQ74" s="64">
        <v>73</v>
      </c>
      <c r="AR74" s="70"/>
      <c r="AU74" s="70" t="e">
        <f>VLOOKUP($AT74,客戶編輯設定自動代出!$A:$C,3,0)</f>
        <v>#N/A</v>
      </c>
      <c r="AV74" s="70" t="e">
        <f>VLOOKUP($AT74,客戶編輯設定自動代出!$A:$C,2,0)</f>
        <v>#N/A</v>
      </c>
      <c r="AW74" s="76" t="s">
        <v>1887</v>
      </c>
      <c r="BA74" s="72">
        <f t="shared" si="27"/>
        <v>0</v>
      </c>
      <c r="BB74" s="77"/>
      <c r="BC74" s="74">
        <f t="shared" si="28"/>
        <v>0</v>
      </c>
      <c r="BD74" s="74">
        <f t="shared" si="33"/>
        <v>0</v>
      </c>
      <c r="BE74" s="71" t="str">
        <f t="shared" si="29"/>
        <v>Y</v>
      </c>
      <c r="BO74" s="78"/>
      <c r="BQ74" s="74"/>
      <c r="BR74" s="74"/>
      <c r="BT74" s="75"/>
    </row>
    <row r="75" spans="1:72" ht="16.5" x14ac:dyDescent="0.25">
      <c r="A75" s="64">
        <v>74</v>
      </c>
      <c r="B75" s="69"/>
      <c r="E75" s="70" t="e">
        <f>VLOOKUP($D75,客戶編輯設定自動代出!$A:$C,3,0)</f>
        <v>#N/A</v>
      </c>
      <c r="F75" s="70" t="e">
        <f>VLOOKUP($D75,客戶編輯設定自動代出!$A:$C,2,0)</f>
        <v>#N/A</v>
      </c>
      <c r="G75" s="70" t="s">
        <v>1427</v>
      </c>
      <c r="K75" s="72">
        <f t="shared" si="0"/>
        <v>0</v>
      </c>
      <c r="M75" s="74">
        <f t="shared" si="1"/>
        <v>0</v>
      </c>
      <c r="N75" s="74">
        <f t="shared" si="21"/>
        <v>0</v>
      </c>
      <c r="O75" s="71" t="str">
        <f t="shared" si="2"/>
        <v>Y</v>
      </c>
      <c r="Q75" s="119"/>
      <c r="R75" s="75"/>
      <c r="S75" s="75"/>
      <c r="T75" s="75"/>
      <c r="U75" s="75"/>
      <c r="V75" s="64">
        <v>74</v>
      </c>
      <c r="W75" s="69"/>
      <c r="X75" s="70"/>
      <c r="Y75" s="71"/>
      <c r="Z75" s="70" t="e">
        <f>VLOOKUP($Y75,客戶編輯設定自動代出!$A:$C,3,0)</f>
        <v>#N/A</v>
      </c>
      <c r="AA75" s="70" t="e">
        <f>VLOOKUP($Y75,客戶編輯設定自動代出!$A:$C,2,0)</f>
        <v>#N/A</v>
      </c>
      <c r="AB75" s="70" t="s">
        <v>1687</v>
      </c>
      <c r="AC75" s="70"/>
      <c r="AD75" s="70"/>
      <c r="AE75" s="72"/>
      <c r="AF75" s="72">
        <f t="shared" si="30"/>
        <v>0</v>
      </c>
      <c r="AG75" s="73"/>
      <c r="AH75" s="74">
        <f t="shared" si="31"/>
        <v>0</v>
      </c>
      <c r="AI75" s="74">
        <f t="shared" si="32"/>
        <v>0</v>
      </c>
      <c r="AJ75" s="71" t="str">
        <f t="shared" si="34"/>
        <v>Y</v>
      </c>
      <c r="AK75" s="71"/>
      <c r="AL75" s="71"/>
      <c r="AM75" s="75"/>
      <c r="AN75" s="75"/>
      <c r="AO75" s="75"/>
      <c r="AP75" s="75"/>
      <c r="AQ75" s="64">
        <v>74</v>
      </c>
      <c r="AR75" s="70"/>
      <c r="AU75" s="70" t="e">
        <f>VLOOKUP($AT75,客戶編輯設定自動代出!$A:$C,3,0)</f>
        <v>#N/A</v>
      </c>
      <c r="AV75" s="70" t="e">
        <f>VLOOKUP($AT75,客戶編輯設定自動代出!$A:$C,2,0)</f>
        <v>#N/A</v>
      </c>
      <c r="AW75" s="76" t="s">
        <v>1888</v>
      </c>
      <c r="BA75" s="72">
        <f t="shared" si="27"/>
        <v>0</v>
      </c>
      <c r="BB75" s="77"/>
      <c r="BC75" s="74">
        <f t="shared" si="28"/>
        <v>0</v>
      </c>
      <c r="BD75" s="74">
        <f t="shared" si="33"/>
        <v>0</v>
      </c>
      <c r="BE75" s="71" t="str">
        <f t="shared" si="29"/>
        <v>Y</v>
      </c>
      <c r="BO75" s="78"/>
      <c r="BQ75" s="74"/>
      <c r="BR75" s="74"/>
      <c r="BT75" s="75"/>
    </row>
    <row r="76" spans="1:72" ht="16.5" x14ac:dyDescent="0.25">
      <c r="A76" s="64">
        <v>75</v>
      </c>
      <c r="B76" s="69"/>
      <c r="E76" s="70" t="e">
        <f>VLOOKUP($D76,客戶編輯設定自動代出!$A:$C,3,0)</f>
        <v>#N/A</v>
      </c>
      <c r="F76" s="70" t="e">
        <f>VLOOKUP($D76,客戶編輯設定自動代出!$A:$C,2,0)</f>
        <v>#N/A</v>
      </c>
      <c r="G76" s="70" t="s">
        <v>1428</v>
      </c>
      <c r="K76" s="72">
        <f t="shared" si="0"/>
        <v>0</v>
      </c>
      <c r="M76" s="74">
        <f t="shared" si="1"/>
        <v>0</v>
      </c>
      <c r="N76" s="74">
        <f t="shared" si="21"/>
        <v>0</v>
      </c>
      <c r="O76" s="71" t="str">
        <f t="shared" si="2"/>
        <v>Y</v>
      </c>
      <c r="Q76" s="119"/>
      <c r="R76" s="75"/>
      <c r="S76" s="75"/>
      <c r="T76" s="75"/>
      <c r="U76" s="75"/>
      <c r="V76" s="64">
        <v>75</v>
      </c>
      <c r="W76" s="69"/>
      <c r="X76" s="70"/>
      <c r="Y76" s="71"/>
      <c r="Z76" s="70" t="e">
        <f>VLOOKUP($Y76,客戶編輯設定自動代出!$A:$C,3,0)</f>
        <v>#N/A</v>
      </c>
      <c r="AA76" s="70" t="e">
        <f>VLOOKUP($Y76,客戶編輯設定自動代出!$A:$C,2,0)</f>
        <v>#N/A</v>
      </c>
      <c r="AB76" s="70" t="s">
        <v>1688</v>
      </c>
      <c r="AC76" s="70"/>
      <c r="AD76" s="70"/>
      <c r="AE76" s="72"/>
      <c r="AF76" s="72">
        <f t="shared" si="30"/>
        <v>0</v>
      </c>
      <c r="AG76" s="73"/>
      <c r="AH76" s="74">
        <f t="shared" si="31"/>
        <v>0</v>
      </c>
      <c r="AI76" s="74">
        <f t="shared" si="32"/>
        <v>0</v>
      </c>
      <c r="AJ76" s="71" t="str">
        <f t="shared" si="34"/>
        <v>Y</v>
      </c>
      <c r="AK76" s="71"/>
      <c r="AL76" s="71"/>
      <c r="AM76" s="75"/>
      <c r="AN76" s="75"/>
      <c r="AO76" s="75"/>
      <c r="AP76" s="75"/>
      <c r="AQ76" s="64">
        <v>75</v>
      </c>
      <c r="AR76" s="70"/>
      <c r="AU76" s="70" t="e">
        <f>VLOOKUP($AT76,客戶編輯設定自動代出!$A:$C,3,0)</f>
        <v>#N/A</v>
      </c>
      <c r="AV76" s="70" t="e">
        <f>VLOOKUP($AT76,客戶編輯設定自動代出!$A:$C,2,0)</f>
        <v>#N/A</v>
      </c>
      <c r="AW76" s="76" t="s">
        <v>1889</v>
      </c>
      <c r="BA76" s="72">
        <f t="shared" si="27"/>
        <v>0</v>
      </c>
      <c r="BB76" s="77"/>
      <c r="BC76" s="74">
        <f t="shared" si="28"/>
        <v>0</v>
      </c>
      <c r="BD76" s="74">
        <f t="shared" si="33"/>
        <v>0</v>
      </c>
      <c r="BE76" s="71" t="str">
        <f t="shared" si="29"/>
        <v>Y</v>
      </c>
      <c r="BO76" s="78"/>
      <c r="BQ76" s="74"/>
      <c r="BR76" s="74"/>
      <c r="BT76" s="75"/>
    </row>
    <row r="77" spans="1:72" ht="16.5" x14ac:dyDescent="0.25">
      <c r="A77" s="64">
        <v>76</v>
      </c>
      <c r="B77" s="69"/>
      <c r="E77" s="70" t="e">
        <f>VLOOKUP($D77,客戶編輯設定自動代出!$A:$C,3,0)</f>
        <v>#N/A</v>
      </c>
      <c r="F77" s="70" t="e">
        <f>VLOOKUP($D77,客戶編輯設定自動代出!$A:$C,2,0)</f>
        <v>#N/A</v>
      </c>
      <c r="G77" s="70" t="s">
        <v>1429</v>
      </c>
      <c r="K77" s="72">
        <f t="shared" si="0"/>
        <v>0</v>
      </c>
      <c r="M77" s="74">
        <f t="shared" si="1"/>
        <v>0</v>
      </c>
      <c r="N77" s="74">
        <f t="shared" si="21"/>
        <v>0</v>
      </c>
      <c r="O77" s="71" t="str">
        <f t="shared" si="2"/>
        <v>Y</v>
      </c>
      <c r="Q77" s="119"/>
      <c r="R77" s="75"/>
      <c r="S77" s="75"/>
      <c r="T77" s="75"/>
      <c r="U77" s="75"/>
      <c r="V77" s="64">
        <v>76</v>
      </c>
      <c r="W77" s="69"/>
      <c r="X77" s="70"/>
      <c r="Y77" s="71"/>
      <c r="Z77" s="70" t="e">
        <f>VLOOKUP($Y77,客戶編輯設定自動代出!$A:$C,3,0)</f>
        <v>#N/A</v>
      </c>
      <c r="AA77" s="70" t="e">
        <f>VLOOKUP($Y77,客戶編輯設定自動代出!$A:$C,2,0)</f>
        <v>#N/A</v>
      </c>
      <c r="AB77" s="70" t="s">
        <v>1689</v>
      </c>
      <c r="AC77" s="70"/>
      <c r="AD77" s="70"/>
      <c r="AE77" s="72"/>
      <c r="AF77" s="72">
        <f t="shared" si="30"/>
        <v>0</v>
      </c>
      <c r="AG77" s="73"/>
      <c r="AH77" s="74">
        <f t="shared" si="31"/>
        <v>0</v>
      </c>
      <c r="AI77" s="74">
        <f t="shared" si="32"/>
        <v>0</v>
      </c>
      <c r="AJ77" s="71" t="str">
        <f t="shared" si="34"/>
        <v>Y</v>
      </c>
      <c r="AK77" s="71"/>
      <c r="AL77" s="71"/>
      <c r="AM77" s="75"/>
      <c r="AN77" s="75"/>
      <c r="AO77" s="75"/>
      <c r="AP77" s="75"/>
      <c r="AQ77" s="64">
        <v>76</v>
      </c>
      <c r="AR77" s="70"/>
      <c r="AU77" s="70" t="e">
        <f>VLOOKUP($AT77,客戶編輯設定自動代出!$A:$C,3,0)</f>
        <v>#N/A</v>
      </c>
      <c r="AV77" s="70" t="e">
        <f>VLOOKUP($AT77,客戶編輯設定自動代出!$A:$C,2,0)</f>
        <v>#N/A</v>
      </c>
      <c r="AW77" s="76" t="s">
        <v>1890</v>
      </c>
      <c r="BA77" s="72">
        <f t="shared" si="27"/>
        <v>0</v>
      </c>
      <c r="BB77" s="77"/>
      <c r="BC77" s="74">
        <f t="shared" si="28"/>
        <v>0</v>
      </c>
      <c r="BD77" s="74">
        <f t="shared" si="33"/>
        <v>0</v>
      </c>
      <c r="BE77" s="71" t="str">
        <f t="shared" si="29"/>
        <v>Y</v>
      </c>
      <c r="BO77" s="78"/>
      <c r="BQ77" s="74"/>
      <c r="BR77" s="74"/>
      <c r="BT77" s="75"/>
    </row>
    <row r="78" spans="1:72" ht="16.5" x14ac:dyDescent="0.25">
      <c r="A78" s="64">
        <v>77</v>
      </c>
      <c r="B78" s="69"/>
      <c r="E78" s="70" t="e">
        <f>VLOOKUP($D78,客戶編輯設定自動代出!$A:$C,3,0)</f>
        <v>#N/A</v>
      </c>
      <c r="F78" s="70" t="e">
        <f>VLOOKUP($D78,客戶編輯設定自動代出!$A:$C,2,0)</f>
        <v>#N/A</v>
      </c>
      <c r="G78" s="70" t="s">
        <v>1430</v>
      </c>
      <c r="K78" s="72">
        <f t="shared" si="0"/>
        <v>0</v>
      </c>
      <c r="M78" s="74">
        <f t="shared" si="1"/>
        <v>0</v>
      </c>
      <c r="N78" s="74">
        <f t="shared" si="21"/>
        <v>0</v>
      </c>
      <c r="O78" s="71" t="str">
        <f t="shared" si="2"/>
        <v>Y</v>
      </c>
      <c r="Q78" s="119"/>
      <c r="R78" s="75"/>
      <c r="S78" s="75"/>
      <c r="T78" s="75"/>
      <c r="U78" s="75"/>
      <c r="V78" s="64">
        <v>77</v>
      </c>
      <c r="W78" s="69"/>
      <c r="X78" s="70"/>
      <c r="Y78" s="71"/>
      <c r="Z78" s="70" t="e">
        <f>VLOOKUP($Y78,客戶編輯設定自動代出!$A:$C,3,0)</f>
        <v>#N/A</v>
      </c>
      <c r="AA78" s="70" t="e">
        <f>VLOOKUP($Y78,客戶編輯設定自動代出!$A:$C,2,0)</f>
        <v>#N/A</v>
      </c>
      <c r="AB78" s="70" t="s">
        <v>1690</v>
      </c>
      <c r="AC78" s="70"/>
      <c r="AD78" s="70"/>
      <c r="AE78" s="72"/>
      <c r="AF78" s="72">
        <f t="shared" si="30"/>
        <v>0</v>
      </c>
      <c r="AG78" s="73"/>
      <c r="AH78" s="74">
        <f t="shared" si="31"/>
        <v>0</v>
      </c>
      <c r="AI78" s="74">
        <f t="shared" si="32"/>
        <v>0</v>
      </c>
      <c r="AJ78" s="71" t="str">
        <f t="shared" si="34"/>
        <v>Y</v>
      </c>
      <c r="AK78" s="71"/>
      <c r="AL78" s="71"/>
      <c r="AM78" s="75"/>
      <c r="AN78" s="75"/>
      <c r="AO78" s="75"/>
      <c r="AP78" s="75"/>
      <c r="AQ78" s="64">
        <v>77</v>
      </c>
      <c r="AR78" s="70"/>
      <c r="AU78" s="70" t="e">
        <f>VLOOKUP($AT78,客戶編輯設定自動代出!$A:$C,3,0)</f>
        <v>#N/A</v>
      </c>
      <c r="AV78" s="70" t="e">
        <f>VLOOKUP($AT78,客戶編輯設定自動代出!$A:$C,2,0)</f>
        <v>#N/A</v>
      </c>
      <c r="AW78" s="76" t="s">
        <v>1891</v>
      </c>
      <c r="BA78" s="72">
        <f t="shared" si="27"/>
        <v>0</v>
      </c>
      <c r="BB78" s="77"/>
      <c r="BC78" s="74">
        <f t="shared" si="28"/>
        <v>0</v>
      </c>
      <c r="BD78" s="74">
        <f t="shared" si="33"/>
        <v>0</v>
      </c>
      <c r="BE78" s="71" t="str">
        <f t="shared" si="29"/>
        <v>Y</v>
      </c>
      <c r="BO78" s="78"/>
      <c r="BQ78" s="74"/>
      <c r="BR78" s="74"/>
      <c r="BT78" s="75"/>
    </row>
    <row r="79" spans="1:72" ht="16.5" x14ac:dyDescent="0.25">
      <c r="A79" s="64">
        <v>78</v>
      </c>
      <c r="B79" s="69"/>
      <c r="E79" s="70" t="e">
        <f>VLOOKUP($D79,客戶編輯設定自動代出!$A:$C,3,0)</f>
        <v>#N/A</v>
      </c>
      <c r="F79" s="70" t="e">
        <f>VLOOKUP($D79,客戶編輯設定自動代出!$A:$C,2,0)</f>
        <v>#N/A</v>
      </c>
      <c r="G79" s="70" t="s">
        <v>1431</v>
      </c>
      <c r="K79" s="72">
        <f t="shared" ref="K79:K96" si="35">I79*J79</f>
        <v>0</v>
      </c>
      <c r="M79" s="74">
        <f t="shared" ref="M79:M96" si="36">L79/1.05</f>
        <v>0</v>
      </c>
      <c r="N79" s="74">
        <f t="shared" si="21"/>
        <v>0</v>
      </c>
      <c r="O79" s="71" t="str">
        <f t="shared" ref="O79:O96" si="37">IF($K79=$L79,"Y","N")</f>
        <v>Y</v>
      </c>
      <c r="Q79" s="119"/>
      <c r="R79" s="75"/>
      <c r="S79" s="75"/>
      <c r="T79" s="75"/>
      <c r="U79" s="75"/>
      <c r="V79" s="64">
        <v>78</v>
      </c>
      <c r="W79" s="69"/>
      <c r="X79" s="70"/>
      <c r="Y79" s="71"/>
      <c r="Z79" s="70" t="e">
        <f>VLOOKUP($Y79,客戶編輯設定自動代出!$A:$C,3,0)</f>
        <v>#N/A</v>
      </c>
      <c r="AA79" s="70" t="e">
        <f>VLOOKUP($Y79,客戶編輯設定自動代出!$A:$C,2,0)</f>
        <v>#N/A</v>
      </c>
      <c r="AB79" s="70" t="s">
        <v>1691</v>
      </c>
      <c r="AC79" s="70"/>
      <c r="AD79" s="70"/>
      <c r="AE79" s="72"/>
      <c r="AF79" s="72">
        <f t="shared" si="30"/>
        <v>0</v>
      </c>
      <c r="AG79" s="73"/>
      <c r="AH79" s="74">
        <f t="shared" si="31"/>
        <v>0</v>
      </c>
      <c r="AI79" s="74">
        <f t="shared" si="32"/>
        <v>0</v>
      </c>
      <c r="AJ79" s="71" t="str">
        <f t="shared" si="34"/>
        <v>Y</v>
      </c>
      <c r="AK79" s="71"/>
      <c r="AL79" s="71"/>
      <c r="AM79" s="75"/>
      <c r="AN79" s="75"/>
      <c r="AO79" s="75"/>
      <c r="AP79" s="75"/>
      <c r="AQ79" s="64">
        <v>78</v>
      </c>
      <c r="AR79" s="70"/>
      <c r="AU79" s="70" t="e">
        <f>VLOOKUP($AT79,客戶編輯設定自動代出!$A:$C,3,0)</f>
        <v>#N/A</v>
      </c>
      <c r="AV79" s="70" t="e">
        <f>VLOOKUP($AT79,客戶編輯設定自動代出!$A:$C,2,0)</f>
        <v>#N/A</v>
      </c>
      <c r="AW79" s="76" t="s">
        <v>1892</v>
      </c>
      <c r="BA79" s="72">
        <f t="shared" si="27"/>
        <v>0</v>
      </c>
      <c r="BB79" s="77"/>
      <c r="BC79" s="74">
        <f t="shared" si="28"/>
        <v>0</v>
      </c>
      <c r="BD79" s="74">
        <f t="shared" si="33"/>
        <v>0</v>
      </c>
      <c r="BE79" s="71" t="str">
        <f t="shared" si="29"/>
        <v>Y</v>
      </c>
      <c r="BO79" s="78"/>
      <c r="BQ79" s="74"/>
      <c r="BR79" s="74"/>
      <c r="BT79" s="75"/>
    </row>
    <row r="80" spans="1:72" ht="16.5" x14ac:dyDescent="0.25">
      <c r="A80" s="64">
        <v>79</v>
      </c>
      <c r="B80" s="69"/>
      <c r="E80" s="70" t="e">
        <f>VLOOKUP($D80,客戶編輯設定自動代出!$A:$C,3,0)</f>
        <v>#N/A</v>
      </c>
      <c r="F80" s="70" t="e">
        <f>VLOOKUP($D80,客戶編輯設定自動代出!$A:$C,2,0)</f>
        <v>#N/A</v>
      </c>
      <c r="G80" s="70" t="s">
        <v>1432</v>
      </c>
      <c r="K80" s="72">
        <f t="shared" si="35"/>
        <v>0</v>
      </c>
      <c r="M80" s="74">
        <f t="shared" si="36"/>
        <v>0</v>
      </c>
      <c r="N80" s="74">
        <f t="shared" si="21"/>
        <v>0</v>
      </c>
      <c r="O80" s="71" t="str">
        <f t="shared" si="37"/>
        <v>Y</v>
      </c>
      <c r="Q80" s="119"/>
      <c r="R80" s="75"/>
      <c r="S80" s="75"/>
      <c r="T80" s="75"/>
      <c r="U80" s="75"/>
      <c r="V80" s="64">
        <v>79</v>
      </c>
      <c r="W80" s="69"/>
      <c r="X80" s="70"/>
      <c r="Y80" s="71"/>
      <c r="Z80" s="70" t="e">
        <f>VLOOKUP($Y80,客戶編輯設定自動代出!$A:$C,3,0)</f>
        <v>#N/A</v>
      </c>
      <c r="AA80" s="70" t="e">
        <f>VLOOKUP($Y80,客戶編輯設定自動代出!$A:$C,2,0)</f>
        <v>#N/A</v>
      </c>
      <c r="AB80" s="70" t="s">
        <v>1692</v>
      </c>
      <c r="AC80" s="70"/>
      <c r="AD80" s="70"/>
      <c r="AE80" s="72"/>
      <c r="AF80" s="72">
        <f t="shared" si="30"/>
        <v>0</v>
      </c>
      <c r="AG80" s="73"/>
      <c r="AH80" s="74">
        <f t="shared" si="31"/>
        <v>0</v>
      </c>
      <c r="AI80" s="74">
        <f t="shared" si="32"/>
        <v>0</v>
      </c>
      <c r="AJ80" s="71" t="str">
        <f t="shared" si="34"/>
        <v>Y</v>
      </c>
      <c r="AK80" s="71"/>
      <c r="AL80" s="71"/>
      <c r="AM80" s="75"/>
      <c r="AN80" s="75"/>
      <c r="AO80" s="75"/>
      <c r="AP80" s="75"/>
      <c r="AQ80" s="64">
        <v>79</v>
      </c>
      <c r="AR80" s="70"/>
      <c r="AU80" s="70" t="e">
        <f>VLOOKUP($AT80,客戶編輯設定自動代出!$A:$C,3,0)</f>
        <v>#N/A</v>
      </c>
      <c r="AV80" s="70" t="e">
        <f>VLOOKUP($AT80,客戶編輯設定自動代出!$A:$C,2,0)</f>
        <v>#N/A</v>
      </c>
      <c r="AW80" s="76" t="s">
        <v>1893</v>
      </c>
      <c r="BA80" s="72">
        <f t="shared" si="27"/>
        <v>0</v>
      </c>
      <c r="BB80" s="77"/>
      <c r="BC80" s="74">
        <f t="shared" si="28"/>
        <v>0</v>
      </c>
      <c r="BD80" s="74">
        <f t="shared" si="33"/>
        <v>0</v>
      </c>
      <c r="BE80" s="71" t="str">
        <f t="shared" si="29"/>
        <v>Y</v>
      </c>
      <c r="BO80" s="78"/>
      <c r="BQ80" s="74"/>
      <c r="BR80" s="74"/>
      <c r="BT80" s="75"/>
    </row>
    <row r="81" spans="1:72" ht="16.5" x14ac:dyDescent="0.25">
      <c r="A81" s="64">
        <v>80</v>
      </c>
      <c r="B81" s="69"/>
      <c r="E81" s="70" t="e">
        <f>VLOOKUP($D81,客戶編輯設定自動代出!$A:$C,3,0)</f>
        <v>#N/A</v>
      </c>
      <c r="F81" s="70" t="e">
        <f>VLOOKUP($D81,客戶編輯設定自動代出!$A:$C,2,0)</f>
        <v>#N/A</v>
      </c>
      <c r="G81" s="70" t="s">
        <v>1433</v>
      </c>
      <c r="K81" s="72">
        <f t="shared" si="35"/>
        <v>0</v>
      </c>
      <c r="M81" s="74">
        <f t="shared" si="36"/>
        <v>0</v>
      </c>
      <c r="N81" s="74">
        <f t="shared" si="21"/>
        <v>0</v>
      </c>
      <c r="O81" s="71" t="str">
        <f t="shared" si="37"/>
        <v>Y</v>
      </c>
      <c r="Q81" s="119"/>
      <c r="R81" s="75"/>
      <c r="S81" s="75"/>
      <c r="T81" s="75"/>
      <c r="U81" s="75"/>
      <c r="V81" s="64">
        <v>80</v>
      </c>
      <c r="W81" s="69"/>
      <c r="X81" s="70"/>
      <c r="Y81" s="71"/>
      <c r="Z81" s="70" t="e">
        <f>VLOOKUP($Y81,客戶編輯設定自動代出!$A:$C,3,0)</f>
        <v>#N/A</v>
      </c>
      <c r="AA81" s="70" t="e">
        <f>VLOOKUP($Y81,客戶編輯設定自動代出!$A:$C,2,0)</f>
        <v>#N/A</v>
      </c>
      <c r="AB81" s="70" t="s">
        <v>1693</v>
      </c>
      <c r="AC81" s="70"/>
      <c r="AD81" s="70"/>
      <c r="AE81" s="72"/>
      <c r="AF81" s="72">
        <f t="shared" si="30"/>
        <v>0</v>
      </c>
      <c r="AG81" s="73"/>
      <c r="AH81" s="74">
        <f t="shared" si="31"/>
        <v>0</v>
      </c>
      <c r="AI81" s="74">
        <f t="shared" si="32"/>
        <v>0</v>
      </c>
      <c r="AJ81" s="71" t="str">
        <f t="shared" si="34"/>
        <v>Y</v>
      </c>
      <c r="AK81" s="71"/>
      <c r="AL81" s="71"/>
      <c r="AM81" s="75"/>
      <c r="AN81" s="75"/>
      <c r="AO81" s="75"/>
      <c r="AP81" s="75"/>
      <c r="AQ81" s="64">
        <v>80</v>
      </c>
      <c r="AR81" s="70"/>
      <c r="AU81" s="70" t="e">
        <f>VLOOKUP($AT81,客戶編輯設定自動代出!$A:$C,3,0)</f>
        <v>#N/A</v>
      </c>
      <c r="AV81" s="70" t="e">
        <f>VLOOKUP($AT81,客戶編輯設定自動代出!$A:$C,2,0)</f>
        <v>#N/A</v>
      </c>
      <c r="AW81" s="76" t="s">
        <v>1894</v>
      </c>
      <c r="BA81" s="72">
        <f t="shared" si="27"/>
        <v>0</v>
      </c>
      <c r="BB81" s="77"/>
      <c r="BC81" s="74">
        <f t="shared" si="28"/>
        <v>0</v>
      </c>
      <c r="BD81" s="74">
        <f t="shared" si="33"/>
        <v>0</v>
      </c>
      <c r="BE81" s="71" t="str">
        <f t="shared" si="29"/>
        <v>Y</v>
      </c>
      <c r="BO81" s="78"/>
      <c r="BQ81" s="74"/>
      <c r="BR81" s="74"/>
      <c r="BT81" s="75"/>
    </row>
    <row r="82" spans="1:72" ht="16.5" x14ac:dyDescent="0.25">
      <c r="A82" s="64">
        <v>81</v>
      </c>
      <c r="B82" s="69"/>
      <c r="E82" s="70" t="e">
        <f>VLOOKUP($D82,客戶編輯設定自動代出!$A:$C,3,0)</f>
        <v>#N/A</v>
      </c>
      <c r="F82" s="70" t="e">
        <f>VLOOKUP($D82,客戶編輯設定自動代出!$A:$C,2,0)</f>
        <v>#N/A</v>
      </c>
      <c r="G82" s="70" t="s">
        <v>1434</v>
      </c>
      <c r="K82" s="72">
        <f t="shared" si="35"/>
        <v>0</v>
      </c>
      <c r="M82" s="74">
        <f t="shared" si="36"/>
        <v>0</v>
      </c>
      <c r="N82" s="74">
        <f t="shared" si="21"/>
        <v>0</v>
      </c>
      <c r="O82" s="71" t="str">
        <f t="shared" si="37"/>
        <v>Y</v>
      </c>
      <c r="Q82" s="119"/>
      <c r="R82" s="75"/>
      <c r="S82" s="75"/>
      <c r="T82" s="75"/>
      <c r="U82" s="75"/>
      <c r="V82" s="64">
        <v>81</v>
      </c>
      <c r="W82" s="69"/>
      <c r="X82" s="70"/>
      <c r="Y82" s="71"/>
      <c r="Z82" s="70" t="e">
        <f>VLOOKUP($Y82,客戶編輯設定自動代出!$A:$C,3,0)</f>
        <v>#N/A</v>
      </c>
      <c r="AA82" s="70" t="e">
        <f>VLOOKUP($Y82,客戶編輯設定自動代出!$A:$C,2,0)</f>
        <v>#N/A</v>
      </c>
      <c r="AB82" s="70" t="s">
        <v>1694</v>
      </c>
      <c r="AC82" s="70"/>
      <c r="AD82" s="70"/>
      <c r="AE82" s="72"/>
      <c r="AF82" s="72">
        <f t="shared" si="30"/>
        <v>0</v>
      </c>
      <c r="AG82" s="73"/>
      <c r="AH82" s="74">
        <f t="shared" si="31"/>
        <v>0</v>
      </c>
      <c r="AI82" s="74">
        <f t="shared" si="32"/>
        <v>0</v>
      </c>
      <c r="AJ82" s="71" t="str">
        <f t="shared" si="34"/>
        <v>Y</v>
      </c>
      <c r="AK82" s="71"/>
      <c r="AL82" s="71"/>
      <c r="AM82" s="75"/>
      <c r="AN82" s="75"/>
      <c r="AO82" s="75"/>
      <c r="AP82" s="75"/>
      <c r="AQ82" s="64">
        <v>81</v>
      </c>
      <c r="AR82" s="70"/>
      <c r="AU82" s="70" t="e">
        <f>VLOOKUP($AT82,客戶編輯設定自動代出!$A:$C,3,0)</f>
        <v>#N/A</v>
      </c>
      <c r="AV82" s="70" t="e">
        <f>VLOOKUP($AT82,客戶編輯設定自動代出!$A:$C,2,0)</f>
        <v>#N/A</v>
      </c>
      <c r="AW82" s="76" t="s">
        <v>1895</v>
      </c>
      <c r="BA82" s="72">
        <f t="shared" si="27"/>
        <v>0</v>
      </c>
      <c r="BB82" s="77"/>
      <c r="BC82" s="74">
        <f t="shared" si="28"/>
        <v>0</v>
      </c>
      <c r="BD82" s="74">
        <f t="shared" si="33"/>
        <v>0</v>
      </c>
      <c r="BE82" s="71" t="str">
        <f t="shared" si="29"/>
        <v>Y</v>
      </c>
      <c r="BO82" s="78"/>
      <c r="BQ82" s="74"/>
      <c r="BR82" s="74"/>
      <c r="BT82" s="75"/>
    </row>
    <row r="83" spans="1:72" ht="16.5" x14ac:dyDescent="0.25">
      <c r="A83" s="64">
        <v>82</v>
      </c>
      <c r="B83" s="69"/>
      <c r="E83" s="70" t="e">
        <f>VLOOKUP($D83,客戶編輯設定自動代出!$A:$C,3,0)</f>
        <v>#N/A</v>
      </c>
      <c r="F83" s="70" t="e">
        <f>VLOOKUP($D83,客戶編輯設定自動代出!$A:$C,2,0)</f>
        <v>#N/A</v>
      </c>
      <c r="G83" s="70" t="s">
        <v>1435</v>
      </c>
      <c r="K83" s="72">
        <f t="shared" si="35"/>
        <v>0</v>
      </c>
      <c r="M83" s="74">
        <f t="shared" si="36"/>
        <v>0</v>
      </c>
      <c r="N83" s="74">
        <f t="shared" si="21"/>
        <v>0</v>
      </c>
      <c r="O83" s="71" t="str">
        <f t="shared" si="37"/>
        <v>Y</v>
      </c>
      <c r="Q83" s="119"/>
      <c r="R83" s="75"/>
      <c r="S83" s="75"/>
      <c r="T83" s="75"/>
      <c r="U83" s="75"/>
      <c r="V83" s="64">
        <v>82</v>
      </c>
      <c r="W83" s="69"/>
      <c r="X83" s="70"/>
      <c r="Y83" s="71"/>
      <c r="Z83" s="70" t="e">
        <f>VLOOKUP($Y83,客戶編輯設定自動代出!$A:$C,3,0)</f>
        <v>#N/A</v>
      </c>
      <c r="AA83" s="70" t="e">
        <f>VLOOKUP($Y83,客戶編輯設定自動代出!$A:$C,2,0)</f>
        <v>#N/A</v>
      </c>
      <c r="AB83" s="70" t="s">
        <v>1695</v>
      </c>
      <c r="AC83" s="70"/>
      <c r="AD83" s="70"/>
      <c r="AE83" s="72"/>
      <c r="AF83" s="72">
        <f t="shared" si="30"/>
        <v>0</v>
      </c>
      <c r="AG83" s="73"/>
      <c r="AH83" s="74">
        <f t="shared" si="31"/>
        <v>0</v>
      </c>
      <c r="AI83" s="74">
        <f t="shared" si="32"/>
        <v>0</v>
      </c>
      <c r="AJ83" s="71" t="str">
        <f t="shared" si="34"/>
        <v>Y</v>
      </c>
      <c r="AK83" s="71"/>
      <c r="AL83" s="71"/>
      <c r="AM83" s="75"/>
      <c r="AN83" s="75"/>
      <c r="AO83" s="75"/>
      <c r="AP83" s="75"/>
      <c r="AQ83" s="64">
        <v>82</v>
      </c>
      <c r="AR83" s="70"/>
      <c r="AU83" s="70" t="e">
        <f>VLOOKUP($AT83,客戶編輯設定自動代出!$A:$C,3,0)</f>
        <v>#N/A</v>
      </c>
      <c r="AV83" s="70" t="e">
        <f>VLOOKUP($AT83,客戶編輯設定自動代出!$A:$C,2,0)</f>
        <v>#N/A</v>
      </c>
      <c r="AW83" s="76" t="s">
        <v>1896</v>
      </c>
      <c r="BA83" s="72">
        <f t="shared" si="27"/>
        <v>0</v>
      </c>
      <c r="BB83" s="77"/>
      <c r="BC83" s="74">
        <f t="shared" si="28"/>
        <v>0</v>
      </c>
      <c r="BD83" s="74">
        <f t="shared" si="33"/>
        <v>0</v>
      </c>
      <c r="BE83" s="71" t="str">
        <f t="shared" si="29"/>
        <v>Y</v>
      </c>
      <c r="BO83" s="78"/>
      <c r="BQ83" s="74"/>
      <c r="BR83" s="74"/>
      <c r="BT83" s="75"/>
    </row>
    <row r="84" spans="1:72" ht="16.5" x14ac:dyDescent="0.25">
      <c r="A84" s="64">
        <v>83</v>
      </c>
      <c r="B84" s="69"/>
      <c r="E84" s="70" t="e">
        <f>VLOOKUP($D84,客戶編輯設定自動代出!$A:$C,3,0)</f>
        <v>#N/A</v>
      </c>
      <c r="F84" s="70" t="e">
        <f>VLOOKUP($D84,客戶編輯設定自動代出!$A:$C,2,0)</f>
        <v>#N/A</v>
      </c>
      <c r="G84" s="70" t="s">
        <v>1436</v>
      </c>
      <c r="K84" s="72">
        <f t="shared" si="35"/>
        <v>0</v>
      </c>
      <c r="M84" s="74">
        <f t="shared" si="36"/>
        <v>0</v>
      </c>
      <c r="N84" s="74">
        <f t="shared" si="21"/>
        <v>0</v>
      </c>
      <c r="O84" s="71" t="str">
        <f t="shared" si="37"/>
        <v>Y</v>
      </c>
      <c r="Q84" s="119"/>
      <c r="R84" s="75"/>
      <c r="S84" s="75"/>
      <c r="T84" s="75"/>
      <c r="U84" s="75"/>
      <c r="V84" s="64">
        <v>83</v>
      </c>
      <c r="W84" s="69"/>
      <c r="X84" s="70"/>
      <c r="Y84" s="71"/>
      <c r="Z84" s="70" t="e">
        <f>VLOOKUP($Y84,客戶編輯設定自動代出!$A:$C,3,0)</f>
        <v>#N/A</v>
      </c>
      <c r="AA84" s="70" t="e">
        <f>VLOOKUP($Y84,客戶編輯設定自動代出!$A:$C,2,0)</f>
        <v>#N/A</v>
      </c>
      <c r="AB84" s="70" t="s">
        <v>1696</v>
      </c>
      <c r="AC84" s="70"/>
      <c r="AD84" s="70"/>
      <c r="AE84" s="72"/>
      <c r="AF84" s="72">
        <f t="shared" si="30"/>
        <v>0</v>
      </c>
      <c r="AG84" s="73"/>
      <c r="AH84" s="74">
        <f t="shared" si="31"/>
        <v>0</v>
      </c>
      <c r="AI84" s="74">
        <f t="shared" si="32"/>
        <v>0</v>
      </c>
      <c r="AJ84" s="71" t="str">
        <f t="shared" si="34"/>
        <v>Y</v>
      </c>
      <c r="AK84" s="71"/>
      <c r="AL84" s="71"/>
      <c r="AM84" s="75"/>
      <c r="AN84" s="75"/>
      <c r="AO84" s="75"/>
      <c r="AP84" s="75"/>
      <c r="AQ84" s="64">
        <v>83</v>
      </c>
      <c r="AR84" s="70"/>
      <c r="AU84" s="70" t="e">
        <f>VLOOKUP($AT84,客戶編輯設定自動代出!$A:$C,3,0)</f>
        <v>#N/A</v>
      </c>
      <c r="AV84" s="70" t="e">
        <f>VLOOKUP($AT84,客戶編輯設定自動代出!$A:$C,2,0)</f>
        <v>#N/A</v>
      </c>
      <c r="AW84" s="76" t="s">
        <v>1897</v>
      </c>
      <c r="BA84" s="72">
        <f t="shared" si="27"/>
        <v>0</v>
      </c>
      <c r="BB84" s="77"/>
      <c r="BC84" s="74">
        <f t="shared" si="28"/>
        <v>0</v>
      </c>
      <c r="BD84" s="74">
        <f t="shared" si="33"/>
        <v>0</v>
      </c>
      <c r="BE84" s="71" t="str">
        <f t="shared" si="29"/>
        <v>Y</v>
      </c>
      <c r="BO84" s="78"/>
      <c r="BQ84" s="74"/>
      <c r="BR84" s="74"/>
      <c r="BT84" s="75"/>
    </row>
    <row r="85" spans="1:72" ht="16.5" x14ac:dyDescent="0.25">
      <c r="A85" s="64">
        <v>84</v>
      </c>
      <c r="B85" s="69"/>
      <c r="E85" s="70" t="e">
        <f>VLOOKUP($D85,客戶編輯設定自動代出!$A:$C,3,0)</f>
        <v>#N/A</v>
      </c>
      <c r="F85" s="70" t="e">
        <f>VLOOKUP($D85,客戶編輯設定自動代出!$A:$C,2,0)</f>
        <v>#N/A</v>
      </c>
      <c r="G85" s="70" t="s">
        <v>1437</v>
      </c>
      <c r="K85" s="72">
        <f t="shared" si="35"/>
        <v>0</v>
      </c>
      <c r="M85" s="74">
        <f t="shared" si="36"/>
        <v>0</v>
      </c>
      <c r="N85" s="74">
        <f t="shared" si="21"/>
        <v>0</v>
      </c>
      <c r="O85" s="71" t="str">
        <f t="shared" si="37"/>
        <v>Y</v>
      </c>
      <c r="Q85" s="119"/>
      <c r="R85" s="75"/>
      <c r="S85" s="75"/>
      <c r="T85" s="75"/>
      <c r="U85" s="75"/>
      <c r="V85" s="64">
        <v>84</v>
      </c>
      <c r="W85" s="69"/>
      <c r="X85" s="70"/>
      <c r="Y85" s="71"/>
      <c r="Z85" s="70" t="e">
        <f>VLOOKUP($Y85,客戶編輯設定自動代出!$A:$C,3,0)</f>
        <v>#N/A</v>
      </c>
      <c r="AA85" s="70" t="e">
        <f>VLOOKUP($Y85,客戶編輯設定自動代出!$A:$C,2,0)</f>
        <v>#N/A</v>
      </c>
      <c r="AB85" s="70" t="s">
        <v>1697</v>
      </c>
      <c r="AC85" s="70"/>
      <c r="AD85" s="70"/>
      <c r="AE85" s="72"/>
      <c r="AF85" s="72">
        <f t="shared" si="30"/>
        <v>0</v>
      </c>
      <c r="AG85" s="73"/>
      <c r="AH85" s="74">
        <f t="shared" si="31"/>
        <v>0</v>
      </c>
      <c r="AI85" s="74">
        <f t="shared" si="32"/>
        <v>0</v>
      </c>
      <c r="AJ85" s="71" t="str">
        <f t="shared" si="34"/>
        <v>Y</v>
      </c>
      <c r="AK85" s="71"/>
      <c r="AL85" s="71"/>
      <c r="AM85" s="75"/>
      <c r="AN85" s="75"/>
      <c r="AO85" s="75"/>
      <c r="AP85" s="75"/>
      <c r="AQ85" s="64">
        <v>84</v>
      </c>
      <c r="AR85" s="70"/>
      <c r="AU85" s="70" t="e">
        <f>VLOOKUP($AT85,客戶編輯設定自動代出!$A:$C,3,0)</f>
        <v>#N/A</v>
      </c>
      <c r="AV85" s="70" t="e">
        <f>VLOOKUP($AT85,客戶編輯設定自動代出!$A:$C,2,0)</f>
        <v>#N/A</v>
      </c>
      <c r="AW85" s="76" t="s">
        <v>1898</v>
      </c>
      <c r="BA85" s="72">
        <f t="shared" si="27"/>
        <v>0</v>
      </c>
      <c r="BB85" s="77"/>
      <c r="BC85" s="74">
        <f t="shared" si="28"/>
        <v>0</v>
      </c>
      <c r="BD85" s="74">
        <f t="shared" si="33"/>
        <v>0</v>
      </c>
      <c r="BE85" s="71" t="str">
        <f t="shared" si="29"/>
        <v>Y</v>
      </c>
      <c r="BO85" s="78"/>
      <c r="BQ85" s="74"/>
      <c r="BR85" s="74"/>
      <c r="BT85" s="75"/>
    </row>
    <row r="86" spans="1:72" ht="16.5" x14ac:dyDescent="0.25">
      <c r="A86" s="64">
        <v>85</v>
      </c>
      <c r="B86" s="69"/>
      <c r="E86" s="70" t="e">
        <f>VLOOKUP($D86,客戶編輯設定自動代出!$A:$C,3,0)</f>
        <v>#N/A</v>
      </c>
      <c r="F86" s="70" t="e">
        <f>VLOOKUP($D86,客戶編輯設定自動代出!$A:$C,2,0)</f>
        <v>#N/A</v>
      </c>
      <c r="G86" s="70" t="s">
        <v>1438</v>
      </c>
      <c r="K86" s="72">
        <f t="shared" si="35"/>
        <v>0</v>
      </c>
      <c r="M86" s="74">
        <f t="shared" si="36"/>
        <v>0</v>
      </c>
      <c r="N86" s="74">
        <f t="shared" si="21"/>
        <v>0</v>
      </c>
      <c r="O86" s="71" t="str">
        <f t="shared" si="37"/>
        <v>Y</v>
      </c>
      <c r="Q86" s="119"/>
      <c r="R86" s="75"/>
      <c r="S86" s="75"/>
      <c r="T86" s="75"/>
      <c r="U86" s="75"/>
      <c r="V86" s="64">
        <v>85</v>
      </c>
      <c r="W86" s="69"/>
      <c r="X86" s="70"/>
      <c r="Y86" s="71"/>
      <c r="Z86" s="70" t="e">
        <f>VLOOKUP($Y86,客戶編輯設定自動代出!$A:$C,3,0)</f>
        <v>#N/A</v>
      </c>
      <c r="AA86" s="70" t="e">
        <f>VLOOKUP($Y86,客戶編輯設定自動代出!$A:$C,2,0)</f>
        <v>#N/A</v>
      </c>
      <c r="AB86" s="70" t="s">
        <v>1698</v>
      </c>
      <c r="AC86" s="70"/>
      <c r="AD86" s="70"/>
      <c r="AE86" s="72"/>
      <c r="AF86" s="72">
        <f t="shared" si="30"/>
        <v>0</v>
      </c>
      <c r="AG86" s="73"/>
      <c r="AH86" s="74">
        <f t="shared" si="31"/>
        <v>0</v>
      </c>
      <c r="AI86" s="74">
        <f t="shared" si="32"/>
        <v>0</v>
      </c>
      <c r="AJ86" s="71" t="str">
        <f t="shared" si="34"/>
        <v>Y</v>
      </c>
      <c r="AK86" s="71"/>
      <c r="AL86" s="71"/>
      <c r="AM86" s="75"/>
      <c r="AN86" s="75"/>
      <c r="AO86" s="75"/>
      <c r="AP86" s="75"/>
      <c r="AQ86" s="64">
        <v>85</v>
      </c>
      <c r="AR86" s="70"/>
      <c r="AU86" s="70" t="e">
        <f>VLOOKUP($AT86,客戶編輯設定自動代出!$A:$C,3,0)</f>
        <v>#N/A</v>
      </c>
      <c r="AV86" s="70" t="e">
        <f>VLOOKUP($AT86,客戶編輯設定自動代出!$A:$C,2,0)</f>
        <v>#N/A</v>
      </c>
      <c r="AW86" s="76" t="s">
        <v>1899</v>
      </c>
      <c r="BA86" s="72">
        <f t="shared" si="27"/>
        <v>0</v>
      </c>
      <c r="BB86" s="77"/>
      <c r="BC86" s="74">
        <f t="shared" si="28"/>
        <v>0</v>
      </c>
      <c r="BD86" s="74">
        <f t="shared" si="33"/>
        <v>0</v>
      </c>
      <c r="BE86" s="71" t="str">
        <f t="shared" si="29"/>
        <v>Y</v>
      </c>
      <c r="BO86" s="78"/>
      <c r="BQ86" s="74"/>
      <c r="BR86" s="74"/>
      <c r="BT86" s="75"/>
    </row>
    <row r="87" spans="1:72" ht="16.5" x14ac:dyDescent="0.25">
      <c r="A87" s="64">
        <v>86</v>
      </c>
      <c r="B87" s="69"/>
      <c r="E87" s="70" t="e">
        <f>VLOOKUP($D87,客戶編輯設定自動代出!$A:$C,3,0)</f>
        <v>#N/A</v>
      </c>
      <c r="F87" s="70" t="e">
        <f>VLOOKUP($D87,客戶編輯設定自動代出!$A:$C,2,0)</f>
        <v>#N/A</v>
      </c>
      <c r="G87" s="70" t="s">
        <v>1439</v>
      </c>
      <c r="K87" s="72">
        <f t="shared" si="35"/>
        <v>0</v>
      </c>
      <c r="M87" s="74">
        <f t="shared" si="36"/>
        <v>0</v>
      </c>
      <c r="N87" s="74">
        <f t="shared" si="21"/>
        <v>0</v>
      </c>
      <c r="O87" s="71" t="str">
        <f t="shared" si="37"/>
        <v>Y</v>
      </c>
      <c r="Q87" s="119"/>
      <c r="R87" s="75"/>
      <c r="S87" s="75"/>
      <c r="T87" s="75"/>
      <c r="U87" s="75"/>
      <c r="V87" s="64">
        <v>86</v>
      </c>
      <c r="W87" s="69"/>
      <c r="X87" s="70"/>
      <c r="Y87" s="71"/>
      <c r="Z87" s="70" t="e">
        <f>VLOOKUP($Y87,客戶編輯設定自動代出!$A:$C,3,0)</f>
        <v>#N/A</v>
      </c>
      <c r="AA87" s="70" t="e">
        <f>VLOOKUP($Y87,客戶編輯設定自動代出!$A:$C,2,0)</f>
        <v>#N/A</v>
      </c>
      <c r="AB87" s="70" t="s">
        <v>1699</v>
      </c>
      <c r="AC87" s="70"/>
      <c r="AD87" s="70"/>
      <c r="AE87" s="72"/>
      <c r="AF87" s="72">
        <f t="shared" si="30"/>
        <v>0</v>
      </c>
      <c r="AG87" s="73"/>
      <c r="AH87" s="74">
        <f t="shared" si="31"/>
        <v>0</v>
      </c>
      <c r="AI87" s="74">
        <f t="shared" si="32"/>
        <v>0</v>
      </c>
      <c r="AJ87" s="71" t="str">
        <f t="shared" si="34"/>
        <v>Y</v>
      </c>
      <c r="AK87" s="71"/>
      <c r="AL87" s="71"/>
      <c r="AM87" s="75"/>
      <c r="AN87" s="75"/>
      <c r="AO87" s="75"/>
      <c r="AP87" s="75"/>
      <c r="AQ87" s="64">
        <v>86</v>
      </c>
      <c r="AR87" s="70"/>
      <c r="AU87" s="70" t="e">
        <f>VLOOKUP($AT87,客戶編輯設定自動代出!$A:$C,3,0)</f>
        <v>#N/A</v>
      </c>
      <c r="AV87" s="70" t="e">
        <f>VLOOKUP($AT87,客戶編輯設定自動代出!$A:$C,2,0)</f>
        <v>#N/A</v>
      </c>
      <c r="AW87" s="76" t="s">
        <v>1900</v>
      </c>
      <c r="BA87" s="72">
        <f t="shared" si="27"/>
        <v>0</v>
      </c>
      <c r="BB87" s="77"/>
      <c r="BC87" s="74">
        <f t="shared" si="28"/>
        <v>0</v>
      </c>
      <c r="BD87" s="74">
        <f t="shared" si="33"/>
        <v>0</v>
      </c>
      <c r="BE87" s="71" t="str">
        <f t="shared" si="29"/>
        <v>Y</v>
      </c>
      <c r="BO87" s="78"/>
      <c r="BQ87" s="74"/>
      <c r="BR87" s="74"/>
      <c r="BT87" s="75"/>
    </row>
    <row r="88" spans="1:72" ht="16.5" x14ac:dyDescent="0.25">
      <c r="A88" s="64">
        <v>87</v>
      </c>
      <c r="B88" s="69"/>
      <c r="E88" s="70" t="e">
        <f>VLOOKUP($D88,客戶編輯設定自動代出!$A:$C,3,0)</f>
        <v>#N/A</v>
      </c>
      <c r="F88" s="70" t="e">
        <f>VLOOKUP($D88,客戶編輯設定自動代出!$A:$C,2,0)</f>
        <v>#N/A</v>
      </c>
      <c r="G88" s="70" t="s">
        <v>1440</v>
      </c>
      <c r="K88" s="72">
        <f t="shared" si="35"/>
        <v>0</v>
      </c>
      <c r="M88" s="74">
        <f t="shared" si="36"/>
        <v>0</v>
      </c>
      <c r="N88" s="74">
        <f t="shared" si="21"/>
        <v>0</v>
      </c>
      <c r="O88" s="71" t="str">
        <f t="shared" si="37"/>
        <v>Y</v>
      </c>
      <c r="Q88" s="119"/>
      <c r="R88" s="75"/>
      <c r="S88" s="75"/>
      <c r="T88" s="75"/>
      <c r="U88" s="75"/>
      <c r="V88" s="64">
        <v>87</v>
      </c>
      <c r="W88" s="69"/>
      <c r="X88" s="70"/>
      <c r="Y88" s="71"/>
      <c r="Z88" s="70" t="e">
        <f>VLOOKUP($Y88,客戶編輯設定自動代出!$A:$C,3,0)</f>
        <v>#N/A</v>
      </c>
      <c r="AA88" s="70" t="e">
        <f>VLOOKUP($Y88,客戶編輯設定自動代出!$A:$C,2,0)</f>
        <v>#N/A</v>
      </c>
      <c r="AB88" s="70" t="s">
        <v>1700</v>
      </c>
      <c r="AC88" s="70"/>
      <c r="AD88" s="70"/>
      <c r="AE88" s="72"/>
      <c r="AF88" s="72">
        <f t="shared" si="30"/>
        <v>0</v>
      </c>
      <c r="AG88" s="73"/>
      <c r="AH88" s="74">
        <f t="shared" si="31"/>
        <v>0</v>
      </c>
      <c r="AI88" s="74">
        <f t="shared" si="32"/>
        <v>0</v>
      </c>
      <c r="AJ88" s="71" t="str">
        <f t="shared" si="34"/>
        <v>Y</v>
      </c>
      <c r="AK88" s="71"/>
      <c r="AL88" s="71"/>
      <c r="AM88" s="75"/>
      <c r="AN88" s="75"/>
      <c r="AO88" s="75"/>
      <c r="AP88" s="75"/>
      <c r="AQ88" s="64">
        <v>87</v>
      </c>
      <c r="AR88" s="70"/>
      <c r="AU88" s="70" t="e">
        <f>VLOOKUP($AT88,客戶編輯設定自動代出!$A:$C,3,0)</f>
        <v>#N/A</v>
      </c>
      <c r="AV88" s="70" t="e">
        <f>VLOOKUP($AT88,客戶編輯設定自動代出!$A:$C,2,0)</f>
        <v>#N/A</v>
      </c>
      <c r="AW88" s="76" t="s">
        <v>1901</v>
      </c>
      <c r="BA88" s="72">
        <f t="shared" si="27"/>
        <v>0</v>
      </c>
      <c r="BB88" s="77"/>
      <c r="BC88" s="74">
        <f t="shared" si="28"/>
        <v>0</v>
      </c>
      <c r="BD88" s="74">
        <f t="shared" si="33"/>
        <v>0</v>
      </c>
      <c r="BE88" s="71" t="str">
        <f t="shared" si="29"/>
        <v>Y</v>
      </c>
      <c r="BO88" s="78"/>
      <c r="BQ88" s="74"/>
      <c r="BR88" s="74"/>
      <c r="BT88" s="75"/>
    </row>
    <row r="89" spans="1:72" ht="16.5" x14ac:dyDescent="0.25">
      <c r="A89" s="64">
        <v>88</v>
      </c>
      <c r="B89" s="69"/>
      <c r="E89" s="70" t="e">
        <f>VLOOKUP($D89,客戶編輯設定自動代出!$A:$C,3,0)</f>
        <v>#N/A</v>
      </c>
      <c r="F89" s="70" t="e">
        <f>VLOOKUP($D89,客戶編輯設定自動代出!$A:$C,2,0)</f>
        <v>#N/A</v>
      </c>
      <c r="G89" s="70" t="s">
        <v>1441</v>
      </c>
      <c r="K89" s="72">
        <f t="shared" si="35"/>
        <v>0</v>
      </c>
      <c r="M89" s="74">
        <f t="shared" si="36"/>
        <v>0</v>
      </c>
      <c r="N89" s="74">
        <f t="shared" si="21"/>
        <v>0</v>
      </c>
      <c r="O89" s="71" t="str">
        <f t="shared" si="37"/>
        <v>Y</v>
      </c>
      <c r="Q89" s="119"/>
      <c r="R89" s="75"/>
      <c r="S89" s="75"/>
      <c r="T89" s="75"/>
      <c r="U89" s="75"/>
      <c r="V89" s="64">
        <v>88</v>
      </c>
      <c r="W89" s="69"/>
      <c r="X89" s="70"/>
      <c r="Y89" s="71"/>
      <c r="Z89" s="70" t="e">
        <f>VLOOKUP($Y89,客戶編輯設定自動代出!$A:$C,3,0)</f>
        <v>#N/A</v>
      </c>
      <c r="AA89" s="70" t="e">
        <f>VLOOKUP($Y89,客戶編輯設定自動代出!$A:$C,2,0)</f>
        <v>#N/A</v>
      </c>
      <c r="AB89" s="70" t="s">
        <v>1701</v>
      </c>
      <c r="AC89" s="70"/>
      <c r="AD89" s="70"/>
      <c r="AE89" s="72"/>
      <c r="AF89" s="72">
        <f t="shared" si="30"/>
        <v>0</v>
      </c>
      <c r="AG89" s="73"/>
      <c r="AH89" s="74">
        <f t="shared" si="31"/>
        <v>0</v>
      </c>
      <c r="AI89" s="74">
        <f t="shared" si="32"/>
        <v>0</v>
      </c>
      <c r="AJ89" s="71" t="str">
        <f t="shared" si="34"/>
        <v>Y</v>
      </c>
      <c r="AK89" s="71"/>
      <c r="AL89" s="71"/>
      <c r="AM89" s="75"/>
      <c r="AN89" s="75"/>
      <c r="AO89" s="75"/>
      <c r="AP89" s="75"/>
      <c r="AQ89" s="64">
        <v>88</v>
      </c>
      <c r="AR89" s="70"/>
      <c r="AU89" s="70" t="e">
        <f>VLOOKUP($AT89,客戶編輯設定自動代出!$A:$C,3,0)</f>
        <v>#N/A</v>
      </c>
      <c r="AV89" s="70" t="e">
        <f>VLOOKUP($AT89,客戶編輯設定自動代出!$A:$C,2,0)</f>
        <v>#N/A</v>
      </c>
      <c r="AW89" s="76" t="s">
        <v>1902</v>
      </c>
      <c r="BA89" s="72">
        <f t="shared" si="27"/>
        <v>0</v>
      </c>
      <c r="BB89" s="77"/>
      <c r="BC89" s="74">
        <f t="shared" si="28"/>
        <v>0</v>
      </c>
      <c r="BD89" s="74">
        <f t="shared" si="33"/>
        <v>0</v>
      </c>
      <c r="BE89" s="71" t="str">
        <f t="shared" si="29"/>
        <v>Y</v>
      </c>
      <c r="BO89" s="78"/>
      <c r="BQ89" s="74"/>
      <c r="BR89" s="74"/>
      <c r="BT89" s="75"/>
    </row>
    <row r="90" spans="1:72" ht="16.5" x14ac:dyDescent="0.25">
      <c r="A90" s="64">
        <v>89</v>
      </c>
      <c r="B90" s="69"/>
      <c r="E90" s="70" t="e">
        <f>VLOOKUP($D90,客戶編輯設定自動代出!$A:$C,3,0)</f>
        <v>#N/A</v>
      </c>
      <c r="F90" s="70" t="e">
        <f>VLOOKUP($D90,客戶編輯設定自動代出!$A:$C,2,0)</f>
        <v>#N/A</v>
      </c>
      <c r="G90" s="70" t="s">
        <v>1442</v>
      </c>
      <c r="K90" s="72">
        <f t="shared" si="35"/>
        <v>0</v>
      </c>
      <c r="M90" s="74">
        <f t="shared" si="36"/>
        <v>0</v>
      </c>
      <c r="N90" s="74">
        <f t="shared" si="21"/>
        <v>0</v>
      </c>
      <c r="O90" s="71" t="str">
        <f t="shared" si="37"/>
        <v>Y</v>
      </c>
      <c r="Q90" s="119"/>
      <c r="R90" s="75"/>
      <c r="S90" s="75"/>
      <c r="T90" s="75"/>
      <c r="U90" s="75"/>
      <c r="V90" s="64">
        <v>89</v>
      </c>
      <c r="W90" s="69"/>
      <c r="X90" s="70"/>
      <c r="Y90" s="71"/>
      <c r="Z90" s="70" t="e">
        <f>VLOOKUP($Y90,客戶編輯設定自動代出!$A:$C,3,0)</f>
        <v>#N/A</v>
      </c>
      <c r="AA90" s="70" t="e">
        <f>VLOOKUP($Y90,客戶編輯設定自動代出!$A:$C,2,0)</f>
        <v>#N/A</v>
      </c>
      <c r="AB90" s="70" t="s">
        <v>1702</v>
      </c>
      <c r="AC90" s="70"/>
      <c r="AD90" s="70"/>
      <c r="AE90" s="72"/>
      <c r="AF90" s="72">
        <f t="shared" si="30"/>
        <v>0</v>
      </c>
      <c r="AG90" s="73"/>
      <c r="AH90" s="74">
        <f t="shared" si="31"/>
        <v>0</v>
      </c>
      <c r="AI90" s="74">
        <f t="shared" si="32"/>
        <v>0</v>
      </c>
      <c r="AJ90" s="71" t="str">
        <f t="shared" si="34"/>
        <v>Y</v>
      </c>
      <c r="AK90" s="71"/>
      <c r="AL90" s="71"/>
      <c r="AM90" s="75"/>
      <c r="AN90" s="75"/>
      <c r="AO90" s="75"/>
      <c r="AP90" s="75"/>
      <c r="AQ90" s="64">
        <v>89</v>
      </c>
      <c r="AR90" s="70"/>
      <c r="AU90" s="70" t="e">
        <f>VLOOKUP($AT90,客戶編輯設定自動代出!$A:$C,3,0)</f>
        <v>#N/A</v>
      </c>
      <c r="AV90" s="70" t="e">
        <f>VLOOKUP($AT90,客戶編輯設定自動代出!$A:$C,2,0)</f>
        <v>#N/A</v>
      </c>
      <c r="AW90" s="76" t="s">
        <v>1903</v>
      </c>
      <c r="BA90" s="72">
        <f t="shared" si="27"/>
        <v>0</v>
      </c>
      <c r="BB90" s="77"/>
      <c r="BC90" s="74">
        <f t="shared" si="28"/>
        <v>0</v>
      </c>
      <c r="BD90" s="74">
        <f t="shared" si="33"/>
        <v>0</v>
      </c>
      <c r="BE90" s="71" t="str">
        <f t="shared" si="29"/>
        <v>Y</v>
      </c>
      <c r="BO90" s="78"/>
      <c r="BQ90" s="74"/>
      <c r="BR90" s="74"/>
      <c r="BT90" s="75"/>
    </row>
    <row r="91" spans="1:72" ht="16.5" x14ac:dyDescent="0.25">
      <c r="A91" s="64">
        <v>90</v>
      </c>
      <c r="B91" s="69"/>
      <c r="E91" s="70" t="e">
        <f>VLOOKUP($D91,客戶編輯設定自動代出!$A:$C,3,0)</f>
        <v>#N/A</v>
      </c>
      <c r="F91" s="70" t="e">
        <f>VLOOKUP($D91,客戶編輯設定自動代出!$A:$C,2,0)</f>
        <v>#N/A</v>
      </c>
      <c r="G91" s="70" t="s">
        <v>1443</v>
      </c>
      <c r="K91" s="72">
        <f t="shared" si="35"/>
        <v>0</v>
      </c>
      <c r="M91" s="74">
        <f t="shared" si="36"/>
        <v>0</v>
      </c>
      <c r="N91" s="74">
        <f t="shared" si="21"/>
        <v>0</v>
      </c>
      <c r="O91" s="71" t="str">
        <f t="shared" si="37"/>
        <v>Y</v>
      </c>
      <c r="Q91" s="119"/>
      <c r="R91" s="75"/>
      <c r="S91" s="75"/>
      <c r="T91" s="75"/>
      <c r="U91" s="75"/>
      <c r="V91" s="64">
        <v>90</v>
      </c>
      <c r="W91" s="69"/>
      <c r="X91" s="70"/>
      <c r="Y91" s="71"/>
      <c r="Z91" s="70" t="e">
        <f>VLOOKUP($Y91,客戶編輯設定自動代出!$A:$C,3,0)</f>
        <v>#N/A</v>
      </c>
      <c r="AA91" s="70" t="e">
        <f>VLOOKUP($Y91,客戶編輯設定自動代出!$A:$C,2,0)</f>
        <v>#N/A</v>
      </c>
      <c r="AB91" s="70" t="s">
        <v>1703</v>
      </c>
      <c r="AC91" s="70"/>
      <c r="AD91" s="70"/>
      <c r="AE91" s="72"/>
      <c r="AF91" s="72">
        <f t="shared" si="30"/>
        <v>0</v>
      </c>
      <c r="AG91" s="73"/>
      <c r="AH91" s="74">
        <f t="shared" si="31"/>
        <v>0</v>
      </c>
      <c r="AI91" s="74">
        <f t="shared" si="32"/>
        <v>0</v>
      </c>
      <c r="AJ91" s="71" t="str">
        <f t="shared" si="34"/>
        <v>Y</v>
      </c>
      <c r="AK91" s="71"/>
      <c r="AL91" s="71"/>
      <c r="AM91" s="75"/>
      <c r="AN91" s="75"/>
      <c r="AO91" s="75"/>
      <c r="AP91" s="75"/>
      <c r="AQ91" s="64">
        <v>90</v>
      </c>
      <c r="AR91" s="70"/>
      <c r="AU91" s="70" t="e">
        <f>VLOOKUP($AT91,客戶編輯設定自動代出!$A:$C,3,0)</f>
        <v>#N/A</v>
      </c>
      <c r="AV91" s="70" t="e">
        <f>VLOOKUP($AT91,客戶編輯設定自動代出!$A:$C,2,0)</f>
        <v>#N/A</v>
      </c>
      <c r="AW91" s="76" t="s">
        <v>1904</v>
      </c>
      <c r="BA91" s="72">
        <f t="shared" si="27"/>
        <v>0</v>
      </c>
      <c r="BB91" s="77"/>
      <c r="BC91" s="74">
        <f t="shared" si="28"/>
        <v>0</v>
      </c>
      <c r="BD91" s="74">
        <f t="shared" si="33"/>
        <v>0</v>
      </c>
      <c r="BE91" s="71" t="str">
        <f t="shared" si="29"/>
        <v>Y</v>
      </c>
      <c r="BO91" s="78"/>
      <c r="BQ91" s="74"/>
      <c r="BR91" s="74"/>
      <c r="BT91" s="75"/>
    </row>
    <row r="92" spans="1:72" ht="16.5" x14ac:dyDescent="0.25">
      <c r="A92" s="64">
        <v>91</v>
      </c>
      <c r="B92" s="69"/>
      <c r="E92" s="70" t="e">
        <f>VLOOKUP($D92,客戶編輯設定自動代出!$A:$C,3,0)</f>
        <v>#N/A</v>
      </c>
      <c r="F92" s="70" t="e">
        <f>VLOOKUP($D92,客戶編輯設定自動代出!$A:$C,2,0)</f>
        <v>#N/A</v>
      </c>
      <c r="G92" s="70" t="s">
        <v>1444</v>
      </c>
      <c r="K92" s="72">
        <f t="shared" si="35"/>
        <v>0</v>
      </c>
      <c r="M92" s="74">
        <f t="shared" si="36"/>
        <v>0</v>
      </c>
      <c r="N92" s="74">
        <f t="shared" si="21"/>
        <v>0</v>
      </c>
      <c r="O92" s="71" t="str">
        <f t="shared" si="37"/>
        <v>Y</v>
      </c>
      <c r="Q92" s="119"/>
      <c r="R92" s="75"/>
      <c r="S92" s="75"/>
      <c r="T92" s="75"/>
      <c r="U92" s="75"/>
      <c r="V92" s="64">
        <v>91</v>
      </c>
      <c r="W92" s="69"/>
      <c r="X92" s="70"/>
      <c r="Y92" s="71"/>
      <c r="Z92" s="70" t="e">
        <f>VLOOKUP($Y92,客戶編輯設定自動代出!$A:$C,3,0)</f>
        <v>#N/A</v>
      </c>
      <c r="AA92" s="70" t="e">
        <f>VLOOKUP($Y92,客戶編輯設定自動代出!$A:$C,2,0)</f>
        <v>#N/A</v>
      </c>
      <c r="AB92" s="70" t="s">
        <v>1704</v>
      </c>
      <c r="AC92" s="70"/>
      <c r="AD92" s="70"/>
      <c r="AE92" s="72"/>
      <c r="AF92" s="72">
        <f t="shared" si="30"/>
        <v>0</v>
      </c>
      <c r="AG92" s="73"/>
      <c r="AH92" s="74">
        <f t="shared" si="31"/>
        <v>0</v>
      </c>
      <c r="AI92" s="74">
        <f t="shared" si="32"/>
        <v>0</v>
      </c>
      <c r="AJ92" s="71" t="str">
        <f t="shared" si="34"/>
        <v>Y</v>
      </c>
      <c r="AK92" s="71"/>
      <c r="AL92" s="71"/>
      <c r="AM92" s="75"/>
      <c r="AN92" s="75"/>
      <c r="AO92" s="75"/>
      <c r="AP92" s="75"/>
      <c r="AQ92" s="64">
        <v>91</v>
      </c>
      <c r="AR92" s="70"/>
      <c r="AU92" s="70" t="e">
        <f>VLOOKUP($AT92,客戶編輯設定自動代出!$A:$C,3,0)</f>
        <v>#N/A</v>
      </c>
      <c r="AV92" s="70" t="e">
        <f>VLOOKUP($AT92,客戶編輯設定自動代出!$A:$C,2,0)</f>
        <v>#N/A</v>
      </c>
      <c r="AW92" s="76" t="s">
        <v>1905</v>
      </c>
      <c r="BA92" s="72">
        <f t="shared" si="27"/>
        <v>0</v>
      </c>
      <c r="BB92" s="77"/>
      <c r="BC92" s="74">
        <f t="shared" si="28"/>
        <v>0</v>
      </c>
      <c r="BD92" s="74">
        <f t="shared" si="33"/>
        <v>0</v>
      </c>
      <c r="BE92" s="71" t="str">
        <f t="shared" si="29"/>
        <v>Y</v>
      </c>
      <c r="BO92" s="78"/>
      <c r="BQ92" s="74"/>
      <c r="BR92" s="74"/>
      <c r="BT92" s="75"/>
    </row>
    <row r="93" spans="1:72" ht="16.5" x14ac:dyDescent="0.25">
      <c r="A93" s="64">
        <v>92</v>
      </c>
      <c r="B93" s="69"/>
      <c r="E93" s="70" t="e">
        <f>VLOOKUP($D93,客戶編輯設定自動代出!$A:$C,3,0)</f>
        <v>#N/A</v>
      </c>
      <c r="F93" s="70" t="e">
        <f>VLOOKUP($D93,客戶編輯設定自動代出!$A:$C,2,0)</f>
        <v>#N/A</v>
      </c>
      <c r="G93" s="70" t="s">
        <v>1445</v>
      </c>
      <c r="K93" s="72">
        <f t="shared" si="35"/>
        <v>0</v>
      </c>
      <c r="M93" s="74">
        <f t="shared" si="36"/>
        <v>0</v>
      </c>
      <c r="N93" s="74">
        <f t="shared" si="21"/>
        <v>0</v>
      </c>
      <c r="O93" s="71" t="str">
        <f t="shared" si="37"/>
        <v>Y</v>
      </c>
      <c r="Q93" s="119"/>
      <c r="R93" s="75"/>
      <c r="S93" s="75"/>
      <c r="T93" s="75"/>
      <c r="U93" s="75"/>
      <c r="V93" s="64">
        <v>92</v>
      </c>
      <c r="W93" s="69"/>
      <c r="X93" s="70"/>
      <c r="Y93" s="71"/>
      <c r="Z93" s="70" t="e">
        <f>VLOOKUP($Y93,客戶編輯設定自動代出!$A:$C,3,0)</f>
        <v>#N/A</v>
      </c>
      <c r="AA93" s="70" t="e">
        <f>VLOOKUP($Y93,客戶編輯設定自動代出!$A:$C,2,0)</f>
        <v>#N/A</v>
      </c>
      <c r="AB93" s="70" t="s">
        <v>1705</v>
      </c>
      <c r="AC93" s="70"/>
      <c r="AD93" s="70"/>
      <c r="AE93" s="72"/>
      <c r="AF93" s="72">
        <f t="shared" si="30"/>
        <v>0</v>
      </c>
      <c r="AG93" s="73"/>
      <c r="AH93" s="74">
        <f t="shared" si="31"/>
        <v>0</v>
      </c>
      <c r="AI93" s="74">
        <f t="shared" si="32"/>
        <v>0</v>
      </c>
      <c r="AJ93" s="71" t="str">
        <f t="shared" si="34"/>
        <v>Y</v>
      </c>
      <c r="AK93" s="71"/>
      <c r="AL93" s="71"/>
      <c r="AM93" s="75"/>
      <c r="AN93" s="75"/>
      <c r="AO93" s="75"/>
      <c r="AP93" s="75"/>
      <c r="AQ93" s="64">
        <v>92</v>
      </c>
      <c r="AR93" s="70"/>
      <c r="AU93" s="70" t="e">
        <f>VLOOKUP($AT93,客戶編輯設定自動代出!$A:$C,3,0)</f>
        <v>#N/A</v>
      </c>
      <c r="AV93" s="70" t="e">
        <f>VLOOKUP($AT93,客戶編輯設定自動代出!$A:$C,2,0)</f>
        <v>#N/A</v>
      </c>
      <c r="AW93" s="76" t="s">
        <v>1906</v>
      </c>
      <c r="BA93" s="72">
        <f t="shared" si="27"/>
        <v>0</v>
      </c>
      <c r="BB93" s="77"/>
      <c r="BC93" s="74">
        <f t="shared" si="28"/>
        <v>0</v>
      </c>
      <c r="BD93" s="74">
        <f t="shared" si="33"/>
        <v>0</v>
      </c>
      <c r="BE93" s="71" t="str">
        <f t="shared" si="29"/>
        <v>Y</v>
      </c>
      <c r="BO93" s="78"/>
      <c r="BQ93" s="74"/>
      <c r="BR93" s="74"/>
      <c r="BT93" s="75"/>
    </row>
    <row r="94" spans="1:72" ht="16.5" x14ac:dyDescent="0.25">
      <c r="A94" s="64">
        <v>93</v>
      </c>
      <c r="B94" s="69"/>
      <c r="E94" s="70" t="e">
        <f>VLOOKUP($D94,客戶編輯設定自動代出!$A:$C,3,0)</f>
        <v>#N/A</v>
      </c>
      <c r="F94" s="70" t="e">
        <f>VLOOKUP($D94,客戶編輯設定自動代出!$A:$C,2,0)</f>
        <v>#N/A</v>
      </c>
      <c r="G94" s="70" t="s">
        <v>1446</v>
      </c>
      <c r="K94" s="72">
        <f t="shared" si="35"/>
        <v>0</v>
      </c>
      <c r="M94" s="74">
        <f t="shared" si="36"/>
        <v>0</v>
      </c>
      <c r="N94" s="74">
        <f t="shared" si="21"/>
        <v>0</v>
      </c>
      <c r="O94" s="71" t="str">
        <f t="shared" si="37"/>
        <v>Y</v>
      </c>
      <c r="Q94" s="119"/>
      <c r="R94" s="75"/>
      <c r="S94" s="75"/>
      <c r="T94" s="75"/>
      <c r="U94" s="75"/>
      <c r="V94" s="64">
        <v>93</v>
      </c>
      <c r="W94" s="69"/>
      <c r="X94" s="70"/>
      <c r="Y94" s="71"/>
      <c r="Z94" s="70" t="e">
        <f>VLOOKUP($Y94,客戶編輯設定自動代出!$A:$C,3,0)</f>
        <v>#N/A</v>
      </c>
      <c r="AA94" s="70" t="e">
        <f>VLOOKUP($Y94,客戶編輯設定自動代出!$A:$C,2,0)</f>
        <v>#N/A</v>
      </c>
      <c r="AB94" s="70" t="s">
        <v>1706</v>
      </c>
      <c r="AC94" s="70"/>
      <c r="AD94" s="70"/>
      <c r="AE94" s="72"/>
      <c r="AF94" s="72">
        <f t="shared" si="30"/>
        <v>0</v>
      </c>
      <c r="AG94" s="73"/>
      <c r="AH94" s="74">
        <f t="shared" si="31"/>
        <v>0</v>
      </c>
      <c r="AI94" s="74">
        <f t="shared" si="32"/>
        <v>0</v>
      </c>
      <c r="AJ94" s="71" t="str">
        <f t="shared" si="34"/>
        <v>Y</v>
      </c>
      <c r="AK94" s="71"/>
      <c r="AL94" s="71"/>
      <c r="AM94" s="75"/>
      <c r="AN94" s="75"/>
      <c r="AO94" s="75"/>
      <c r="AP94" s="75"/>
      <c r="AQ94" s="64">
        <v>93</v>
      </c>
      <c r="AR94" s="70"/>
      <c r="AU94" s="70" t="e">
        <f>VLOOKUP($AT94,客戶編輯設定自動代出!$A:$C,3,0)</f>
        <v>#N/A</v>
      </c>
      <c r="AV94" s="70" t="e">
        <f>VLOOKUP($AT94,客戶編輯設定自動代出!$A:$C,2,0)</f>
        <v>#N/A</v>
      </c>
      <c r="AW94" s="76" t="s">
        <v>1907</v>
      </c>
      <c r="BA94" s="72">
        <f t="shared" si="27"/>
        <v>0</v>
      </c>
      <c r="BB94" s="77"/>
      <c r="BC94" s="74">
        <f t="shared" si="28"/>
        <v>0</v>
      </c>
      <c r="BD94" s="74">
        <f t="shared" si="33"/>
        <v>0</v>
      </c>
      <c r="BE94" s="71" t="str">
        <f t="shared" si="29"/>
        <v>Y</v>
      </c>
      <c r="BO94" s="78"/>
      <c r="BQ94" s="74"/>
      <c r="BR94" s="74"/>
      <c r="BT94" s="75"/>
    </row>
    <row r="95" spans="1:72" ht="16.5" x14ac:dyDescent="0.25">
      <c r="A95" s="64">
        <v>94</v>
      </c>
      <c r="B95" s="69"/>
      <c r="E95" s="70" t="e">
        <f>VLOOKUP($D95,客戶編輯設定自動代出!$A:$C,3,0)</f>
        <v>#N/A</v>
      </c>
      <c r="F95" s="70" t="e">
        <f>VLOOKUP($D95,客戶編輯設定自動代出!$A:$C,2,0)</f>
        <v>#N/A</v>
      </c>
      <c r="G95" s="70" t="s">
        <v>1447</v>
      </c>
      <c r="K95" s="72">
        <f t="shared" si="35"/>
        <v>0</v>
      </c>
      <c r="M95" s="74">
        <f t="shared" si="36"/>
        <v>0</v>
      </c>
      <c r="N95" s="74">
        <f t="shared" si="21"/>
        <v>0</v>
      </c>
      <c r="O95" s="71" t="str">
        <f t="shared" si="37"/>
        <v>Y</v>
      </c>
      <c r="Q95" s="119"/>
      <c r="R95" s="75"/>
      <c r="S95" s="75"/>
      <c r="T95" s="75"/>
      <c r="U95" s="75"/>
      <c r="V95" s="64">
        <v>94</v>
      </c>
      <c r="W95" s="69"/>
      <c r="X95" s="70"/>
      <c r="Y95" s="71"/>
      <c r="Z95" s="70" t="e">
        <f>VLOOKUP($Y95,客戶編輯設定自動代出!$A:$C,3,0)</f>
        <v>#N/A</v>
      </c>
      <c r="AA95" s="70" t="e">
        <f>VLOOKUP($Y95,客戶編輯設定自動代出!$A:$C,2,0)</f>
        <v>#N/A</v>
      </c>
      <c r="AB95" s="70" t="s">
        <v>1707</v>
      </c>
      <c r="AC95" s="70"/>
      <c r="AD95" s="70"/>
      <c r="AE95" s="72"/>
      <c r="AF95" s="72">
        <f t="shared" si="30"/>
        <v>0</v>
      </c>
      <c r="AG95" s="73"/>
      <c r="AH95" s="74">
        <f t="shared" si="31"/>
        <v>0</v>
      </c>
      <c r="AI95" s="74">
        <f t="shared" si="32"/>
        <v>0</v>
      </c>
      <c r="AJ95" s="71" t="str">
        <f t="shared" si="34"/>
        <v>Y</v>
      </c>
      <c r="AK95" s="71"/>
      <c r="AL95" s="71"/>
      <c r="AM95" s="75"/>
      <c r="AN95" s="75"/>
      <c r="AO95" s="75"/>
      <c r="AP95" s="75"/>
      <c r="AQ95" s="64">
        <v>94</v>
      </c>
      <c r="AR95" s="70"/>
      <c r="AU95" s="70" t="e">
        <f>VLOOKUP($AT95,客戶編輯設定自動代出!$A:$C,3,0)</f>
        <v>#N/A</v>
      </c>
      <c r="AV95" s="70" t="e">
        <f>VLOOKUP($AT95,客戶編輯設定自動代出!$A:$C,2,0)</f>
        <v>#N/A</v>
      </c>
      <c r="AW95" s="76" t="s">
        <v>1908</v>
      </c>
      <c r="BA95" s="72">
        <f t="shared" si="27"/>
        <v>0</v>
      </c>
      <c r="BB95" s="77"/>
      <c r="BC95" s="74">
        <f t="shared" si="28"/>
        <v>0</v>
      </c>
      <c r="BD95" s="74">
        <f t="shared" si="33"/>
        <v>0</v>
      </c>
      <c r="BE95" s="71" t="str">
        <f t="shared" si="29"/>
        <v>Y</v>
      </c>
      <c r="BO95" s="78"/>
      <c r="BQ95" s="74"/>
      <c r="BR95" s="74"/>
      <c r="BT95" s="75"/>
    </row>
    <row r="96" spans="1:72" ht="16.5" x14ac:dyDescent="0.25">
      <c r="A96" s="64">
        <v>95</v>
      </c>
      <c r="B96" s="69"/>
      <c r="E96" s="70" t="e">
        <f>VLOOKUP($D96,客戶編輯設定自動代出!$A:$C,3,0)</f>
        <v>#N/A</v>
      </c>
      <c r="F96" s="70" t="e">
        <f>VLOOKUP($D96,客戶編輯設定自動代出!$A:$C,2,0)</f>
        <v>#N/A</v>
      </c>
      <c r="G96" s="70" t="s">
        <v>1448</v>
      </c>
      <c r="K96" s="72">
        <f t="shared" si="35"/>
        <v>0</v>
      </c>
      <c r="M96" s="74">
        <f t="shared" si="36"/>
        <v>0</v>
      </c>
      <c r="N96" s="74">
        <f t="shared" si="21"/>
        <v>0</v>
      </c>
      <c r="O96" s="71" t="str">
        <f t="shared" si="37"/>
        <v>Y</v>
      </c>
      <c r="Q96" s="119"/>
      <c r="R96" s="75"/>
      <c r="S96" s="75"/>
      <c r="T96" s="75"/>
      <c r="U96" s="75"/>
      <c r="V96" s="64">
        <v>95</v>
      </c>
      <c r="W96" s="69"/>
      <c r="X96" s="70"/>
      <c r="Y96" s="71"/>
      <c r="Z96" s="70" t="e">
        <f>VLOOKUP($Y96,客戶編輯設定自動代出!$A:$C,3,0)</f>
        <v>#N/A</v>
      </c>
      <c r="AA96" s="70" t="e">
        <f>VLOOKUP($Y96,客戶編輯設定自動代出!$A:$C,2,0)</f>
        <v>#N/A</v>
      </c>
      <c r="AB96" s="70" t="s">
        <v>1708</v>
      </c>
      <c r="AC96" s="70"/>
      <c r="AD96" s="70"/>
      <c r="AE96" s="72"/>
      <c r="AF96" s="72">
        <f t="shared" si="30"/>
        <v>0</v>
      </c>
      <c r="AG96" s="73"/>
      <c r="AH96" s="74">
        <f t="shared" si="31"/>
        <v>0</v>
      </c>
      <c r="AI96" s="74">
        <f t="shared" si="32"/>
        <v>0</v>
      </c>
      <c r="AJ96" s="71" t="str">
        <f t="shared" si="34"/>
        <v>Y</v>
      </c>
      <c r="AK96" s="71"/>
      <c r="AL96" s="71"/>
      <c r="AM96" s="75"/>
      <c r="AN96" s="75"/>
      <c r="AO96" s="75"/>
      <c r="AP96" s="75"/>
      <c r="AQ96" s="64">
        <v>95</v>
      </c>
      <c r="AR96" s="70"/>
      <c r="AU96" s="70" t="e">
        <f>VLOOKUP($AT96,客戶編輯設定自動代出!$A:$C,3,0)</f>
        <v>#N/A</v>
      </c>
      <c r="AV96" s="70" t="e">
        <f>VLOOKUP($AT96,客戶編輯設定自動代出!$A:$C,2,0)</f>
        <v>#N/A</v>
      </c>
      <c r="AW96" s="76" t="s">
        <v>1909</v>
      </c>
      <c r="BA96" s="72">
        <f t="shared" si="27"/>
        <v>0</v>
      </c>
      <c r="BB96" s="77"/>
      <c r="BC96" s="74">
        <f t="shared" si="28"/>
        <v>0</v>
      </c>
      <c r="BD96" s="74">
        <f t="shared" si="33"/>
        <v>0</v>
      </c>
      <c r="BE96" s="71" t="str">
        <f t="shared" si="29"/>
        <v>Y</v>
      </c>
      <c r="BO96" s="78"/>
      <c r="BQ96" s="74"/>
      <c r="BR96" s="74"/>
      <c r="BT96" s="75"/>
    </row>
    <row r="97" spans="1:72" ht="16.5" x14ac:dyDescent="0.25">
      <c r="A97" s="64">
        <v>96</v>
      </c>
      <c r="B97" s="69"/>
      <c r="E97" s="70" t="e">
        <f>VLOOKUP($D97,客戶編輯設定自動代出!$A:$C,3,0)</f>
        <v>#N/A</v>
      </c>
      <c r="F97" s="70" t="e">
        <f>VLOOKUP($D97,客戶編輯設定自動代出!$A:$C,2,0)</f>
        <v>#N/A</v>
      </c>
      <c r="G97" s="70" t="s">
        <v>1449</v>
      </c>
      <c r="K97" s="72">
        <f t="shared" ref="K79:K142" si="38">I97*J97</f>
        <v>0</v>
      </c>
      <c r="M97" s="74">
        <f t="shared" ref="M79:M142" si="39">L97/1.05</f>
        <v>0</v>
      </c>
      <c r="N97" s="74">
        <f t="shared" ref="N89:N142" si="40">M97*0.05</f>
        <v>0</v>
      </c>
      <c r="O97" s="71" t="str">
        <f t="shared" ref="O79:O142" si="41">IF($K97=$L97,"Y","N")</f>
        <v>Y</v>
      </c>
      <c r="Q97" s="119"/>
      <c r="R97" s="75"/>
      <c r="S97" s="75"/>
      <c r="T97" s="75"/>
      <c r="U97" s="75"/>
      <c r="V97" s="64">
        <v>96</v>
      </c>
      <c r="W97" s="69"/>
      <c r="X97" s="70"/>
      <c r="Y97" s="71"/>
      <c r="Z97" s="70" t="e">
        <f>VLOOKUP($Y97,客戶編輯設定自動代出!$A:$C,3,0)</f>
        <v>#N/A</v>
      </c>
      <c r="AA97" s="70" t="e">
        <f>VLOOKUP($Y97,客戶編輯設定自動代出!$A:$C,2,0)</f>
        <v>#N/A</v>
      </c>
      <c r="AB97" s="70" t="s">
        <v>1709</v>
      </c>
      <c r="AC97" s="70"/>
      <c r="AD97" s="70"/>
      <c r="AE97" s="72"/>
      <c r="AF97" s="72">
        <f t="shared" si="30"/>
        <v>0</v>
      </c>
      <c r="AG97" s="73"/>
      <c r="AH97" s="74">
        <f t="shared" si="31"/>
        <v>0</v>
      </c>
      <c r="AI97" s="74">
        <f t="shared" si="32"/>
        <v>0</v>
      </c>
      <c r="AJ97" s="71" t="str">
        <f t="shared" si="34"/>
        <v>Y</v>
      </c>
      <c r="AK97" s="71"/>
      <c r="AL97" s="71"/>
      <c r="AM97" s="75"/>
      <c r="AN97" s="75"/>
      <c r="AO97" s="75"/>
      <c r="AP97" s="75"/>
      <c r="AQ97" s="64">
        <v>96</v>
      </c>
      <c r="AR97" s="70"/>
      <c r="AU97" s="70" t="e">
        <f>VLOOKUP($AT97,客戶編輯設定自動代出!$A:$C,3,0)</f>
        <v>#N/A</v>
      </c>
      <c r="AV97" s="70" t="e">
        <f>VLOOKUP($AT97,客戶編輯設定自動代出!$A:$C,2,0)</f>
        <v>#N/A</v>
      </c>
      <c r="AW97" s="76" t="s">
        <v>1910</v>
      </c>
      <c r="BA97" s="72">
        <f t="shared" si="27"/>
        <v>0</v>
      </c>
      <c r="BB97" s="77"/>
      <c r="BC97" s="74">
        <f t="shared" si="28"/>
        <v>0</v>
      </c>
      <c r="BD97" s="74">
        <f t="shared" si="33"/>
        <v>0</v>
      </c>
      <c r="BE97" s="71" t="str">
        <f t="shared" si="29"/>
        <v>Y</v>
      </c>
      <c r="BO97" s="78"/>
      <c r="BQ97" s="74"/>
      <c r="BR97" s="74"/>
      <c r="BT97" s="75"/>
    </row>
    <row r="98" spans="1:72" ht="16.5" x14ac:dyDescent="0.25">
      <c r="A98" s="64">
        <v>97</v>
      </c>
      <c r="B98" s="69"/>
      <c r="E98" s="70" t="e">
        <f>VLOOKUP($D98,客戶編輯設定自動代出!$A:$C,3,0)</f>
        <v>#N/A</v>
      </c>
      <c r="F98" s="70" t="e">
        <f>VLOOKUP($D98,客戶編輯設定自動代出!$A:$C,2,0)</f>
        <v>#N/A</v>
      </c>
      <c r="G98" s="70" t="s">
        <v>1450</v>
      </c>
      <c r="K98" s="72">
        <f t="shared" si="38"/>
        <v>0</v>
      </c>
      <c r="M98" s="74">
        <f t="shared" si="39"/>
        <v>0</v>
      </c>
      <c r="N98" s="74">
        <f t="shared" si="40"/>
        <v>0</v>
      </c>
      <c r="O98" s="71" t="str">
        <f t="shared" si="41"/>
        <v>Y</v>
      </c>
      <c r="Q98" s="119"/>
      <c r="R98" s="75"/>
      <c r="S98" s="75"/>
      <c r="T98" s="75"/>
      <c r="U98" s="75"/>
      <c r="V98" s="64">
        <v>97</v>
      </c>
      <c r="W98" s="69"/>
      <c r="X98" s="70"/>
      <c r="Y98" s="71"/>
      <c r="Z98" s="70" t="e">
        <f>VLOOKUP($Y98,客戶編輯設定自動代出!$A:$C,3,0)</f>
        <v>#N/A</v>
      </c>
      <c r="AA98" s="70" t="e">
        <f>VLOOKUP($Y98,客戶編輯設定自動代出!$A:$C,2,0)</f>
        <v>#N/A</v>
      </c>
      <c r="AB98" s="70" t="s">
        <v>1710</v>
      </c>
      <c r="AC98" s="70"/>
      <c r="AD98" s="70"/>
      <c r="AE98" s="72"/>
      <c r="AF98" s="72">
        <f t="shared" si="30"/>
        <v>0</v>
      </c>
      <c r="AG98" s="73"/>
      <c r="AH98" s="74">
        <f t="shared" si="31"/>
        <v>0</v>
      </c>
      <c r="AI98" s="74">
        <f t="shared" si="32"/>
        <v>0</v>
      </c>
      <c r="AJ98" s="71" t="str">
        <f t="shared" si="34"/>
        <v>Y</v>
      </c>
      <c r="AK98" s="71"/>
      <c r="AL98" s="71"/>
      <c r="AM98" s="75"/>
      <c r="AN98" s="75"/>
      <c r="AO98" s="75"/>
      <c r="AP98" s="75"/>
      <c r="AQ98" s="64">
        <v>97</v>
      </c>
      <c r="AR98" s="70"/>
      <c r="AU98" s="70" t="e">
        <f>VLOOKUP($AT98,客戶編輯設定自動代出!$A:$C,3,0)</f>
        <v>#N/A</v>
      </c>
      <c r="AV98" s="70" t="e">
        <f>VLOOKUP($AT98,客戶編輯設定自動代出!$A:$C,2,0)</f>
        <v>#N/A</v>
      </c>
      <c r="AW98" s="76" t="s">
        <v>1911</v>
      </c>
      <c r="BA98" s="72">
        <f t="shared" si="27"/>
        <v>0</v>
      </c>
      <c r="BB98" s="77"/>
      <c r="BC98" s="74">
        <f t="shared" si="28"/>
        <v>0</v>
      </c>
      <c r="BD98" s="74">
        <f t="shared" si="33"/>
        <v>0</v>
      </c>
      <c r="BE98" s="71" t="str">
        <f t="shared" si="29"/>
        <v>Y</v>
      </c>
      <c r="BO98" s="78"/>
      <c r="BQ98" s="74"/>
      <c r="BR98" s="74"/>
      <c r="BT98" s="75"/>
    </row>
    <row r="99" spans="1:72" ht="16.5" x14ac:dyDescent="0.25">
      <c r="A99" s="64">
        <v>98</v>
      </c>
      <c r="B99" s="69"/>
      <c r="E99" s="70" t="e">
        <f>VLOOKUP($D99,客戶編輯設定自動代出!$A:$C,3,0)</f>
        <v>#N/A</v>
      </c>
      <c r="F99" s="70" t="e">
        <f>VLOOKUP($D99,客戶編輯設定自動代出!$A:$C,2,0)</f>
        <v>#N/A</v>
      </c>
      <c r="G99" s="70" t="s">
        <v>1451</v>
      </c>
      <c r="K99" s="72">
        <f t="shared" si="38"/>
        <v>0</v>
      </c>
      <c r="M99" s="74">
        <f t="shared" si="39"/>
        <v>0</v>
      </c>
      <c r="N99" s="74">
        <f t="shared" si="40"/>
        <v>0</v>
      </c>
      <c r="O99" s="71" t="str">
        <f t="shared" si="41"/>
        <v>Y</v>
      </c>
      <c r="Q99" s="119"/>
      <c r="R99" s="75"/>
      <c r="S99" s="75"/>
      <c r="T99" s="75"/>
      <c r="U99" s="75"/>
      <c r="V99" s="64">
        <v>98</v>
      </c>
      <c r="W99" s="69"/>
      <c r="X99" s="70"/>
      <c r="Y99" s="71"/>
      <c r="Z99" s="70" t="e">
        <f>VLOOKUP($Y99,客戶編輯設定自動代出!$A:$C,3,0)</f>
        <v>#N/A</v>
      </c>
      <c r="AA99" s="70" t="e">
        <f>VLOOKUP($Y99,客戶編輯設定自動代出!$A:$C,2,0)</f>
        <v>#N/A</v>
      </c>
      <c r="AB99" s="70" t="s">
        <v>1711</v>
      </c>
      <c r="AC99" s="70"/>
      <c r="AD99" s="70"/>
      <c r="AE99" s="72"/>
      <c r="AF99" s="72">
        <f t="shared" si="30"/>
        <v>0</v>
      </c>
      <c r="AG99" s="73"/>
      <c r="AH99" s="74">
        <f t="shared" si="31"/>
        <v>0</v>
      </c>
      <c r="AI99" s="74">
        <f t="shared" si="32"/>
        <v>0</v>
      </c>
      <c r="AJ99" s="71" t="str">
        <f t="shared" si="34"/>
        <v>Y</v>
      </c>
      <c r="AK99" s="71"/>
      <c r="AL99" s="71"/>
      <c r="AM99" s="75"/>
      <c r="AN99" s="75"/>
      <c r="AO99" s="75"/>
      <c r="AP99" s="75"/>
      <c r="AQ99" s="64">
        <v>98</v>
      </c>
      <c r="AR99" s="70"/>
      <c r="AU99" s="70" t="e">
        <f>VLOOKUP($AT99,客戶編輯設定自動代出!$A:$C,3,0)</f>
        <v>#N/A</v>
      </c>
      <c r="AV99" s="70" t="e">
        <f>VLOOKUP($AT99,客戶編輯設定自動代出!$A:$C,2,0)</f>
        <v>#N/A</v>
      </c>
      <c r="AW99" s="76" t="s">
        <v>1912</v>
      </c>
      <c r="BA99" s="72">
        <f t="shared" si="27"/>
        <v>0</v>
      </c>
      <c r="BB99" s="77"/>
      <c r="BC99" s="74">
        <f t="shared" si="28"/>
        <v>0</v>
      </c>
      <c r="BD99" s="74">
        <f t="shared" si="33"/>
        <v>0</v>
      </c>
      <c r="BE99" s="71" t="str">
        <f t="shared" si="29"/>
        <v>Y</v>
      </c>
      <c r="BO99" s="78"/>
      <c r="BQ99" s="74"/>
      <c r="BR99" s="74"/>
      <c r="BT99" s="75"/>
    </row>
    <row r="100" spans="1:72" ht="16.5" x14ac:dyDescent="0.25">
      <c r="A100" s="64">
        <v>99</v>
      </c>
      <c r="B100" s="69"/>
      <c r="E100" s="70" t="e">
        <f>VLOOKUP($D100,客戶編輯設定自動代出!$A:$C,3,0)</f>
        <v>#N/A</v>
      </c>
      <c r="F100" s="70" t="e">
        <f>VLOOKUP($D100,客戶編輯設定自動代出!$A:$C,2,0)</f>
        <v>#N/A</v>
      </c>
      <c r="G100" s="70" t="s">
        <v>1452</v>
      </c>
      <c r="K100" s="72">
        <f t="shared" si="38"/>
        <v>0</v>
      </c>
      <c r="M100" s="74">
        <f t="shared" si="39"/>
        <v>0</v>
      </c>
      <c r="N100" s="74">
        <f t="shared" si="40"/>
        <v>0</v>
      </c>
      <c r="O100" s="71" t="str">
        <f t="shared" si="41"/>
        <v>Y</v>
      </c>
      <c r="Q100" s="119"/>
      <c r="R100" s="75"/>
      <c r="S100" s="75"/>
      <c r="T100" s="75"/>
      <c r="U100" s="75"/>
      <c r="V100" s="64">
        <v>99</v>
      </c>
      <c r="W100" s="69"/>
      <c r="X100" s="70"/>
      <c r="Y100" s="71"/>
      <c r="Z100" s="70" t="e">
        <f>VLOOKUP($Y100,客戶編輯設定自動代出!$A:$C,3,0)</f>
        <v>#N/A</v>
      </c>
      <c r="AA100" s="70" t="e">
        <f>VLOOKUP($Y100,客戶編輯設定自動代出!$A:$C,2,0)</f>
        <v>#N/A</v>
      </c>
      <c r="AB100" s="70" t="s">
        <v>1712</v>
      </c>
      <c r="AC100" s="70"/>
      <c r="AD100" s="70"/>
      <c r="AE100" s="72"/>
      <c r="AF100" s="72">
        <f t="shared" si="30"/>
        <v>0</v>
      </c>
      <c r="AG100" s="73"/>
      <c r="AH100" s="74">
        <f t="shared" si="31"/>
        <v>0</v>
      </c>
      <c r="AI100" s="74">
        <f t="shared" si="32"/>
        <v>0</v>
      </c>
      <c r="AJ100" s="71" t="str">
        <f t="shared" si="34"/>
        <v>Y</v>
      </c>
      <c r="AK100" s="71"/>
      <c r="AL100" s="71"/>
      <c r="AM100" s="75"/>
      <c r="AN100" s="75"/>
      <c r="AO100" s="75"/>
      <c r="AP100" s="75"/>
      <c r="AQ100" s="64">
        <v>99</v>
      </c>
      <c r="AR100" s="70"/>
      <c r="AU100" s="70" t="e">
        <f>VLOOKUP($AT100,客戶編輯設定自動代出!$A:$C,3,0)</f>
        <v>#N/A</v>
      </c>
      <c r="AV100" s="70" t="e">
        <f>VLOOKUP($AT100,客戶編輯設定自動代出!$A:$C,2,0)</f>
        <v>#N/A</v>
      </c>
      <c r="AW100" s="76" t="s">
        <v>1913</v>
      </c>
      <c r="BA100" s="72">
        <f t="shared" si="27"/>
        <v>0</v>
      </c>
      <c r="BB100" s="77"/>
      <c r="BC100" s="74">
        <f t="shared" si="28"/>
        <v>0</v>
      </c>
      <c r="BD100" s="74">
        <f t="shared" si="33"/>
        <v>0</v>
      </c>
      <c r="BE100" s="71" t="str">
        <f t="shared" si="29"/>
        <v>Y</v>
      </c>
      <c r="BO100" s="78"/>
      <c r="BQ100" s="74"/>
      <c r="BR100" s="74"/>
      <c r="BT100" s="75"/>
    </row>
    <row r="101" spans="1:72" ht="16.5" x14ac:dyDescent="0.25">
      <c r="A101" s="64">
        <v>100</v>
      </c>
      <c r="B101" s="69"/>
      <c r="E101" s="70" t="e">
        <f>VLOOKUP($D101,客戶編輯設定自動代出!$A:$C,3,0)</f>
        <v>#N/A</v>
      </c>
      <c r="F101" s="70" t="e">
        <f>VLOOKUP($D101,客戶編輯設定自動代出!$A:$C,2,0)</f>
        <v>#N/A</v>
      </c>
      <c r="G101" s="70" t="s">
        <v>1453</v>
      </c>
      <c r="K101" s="72">
        <f t="shared" si="38"/>
        <v>0</v>
      </c>
      <c r="M101" s="74">
        <f t="shared" si="39"/>
        <v>0</v>
      </c>
      <c r="N101" s="74">
        <f t="shared" si="40"/>
        <v>0</v>
      </c>
      <c r="O101" s="71" t="str">
        <f t="shared" si="41"/>
        <v>Y</v>
      </c>
      <c r="Q101" s="119"/>
      <c r="R101" s="75"/>
      <c r="S101" s="75"/>
      <c r="T101" s="75"/>
      <c r="U101" s="75"/>
      <c r="V101" s="64">
        <v>100</v>
      </c>
      <c r="W101" s="69"/>
      <c r="X101" s="70"/>
      <c r="Y101" s="71"/>
      <c r="Z101" s="70" t="e">
        <f>VLOOKUP($Y101,客戶編輯設定自動代出!$A:$C,3,0)</f>
        <v>#N/A</v>
      </c>
      <c r="AA101" s="70" t="e">
        <f>VLOOKUP($Y101,客戶編輯設定自動代出!$A:$C,2,0)</f>
        <v>#N/A</v>
      </c>
      <c r="AB101" s="70" t="s">
        <v>1713</v>
      </c>
      <c r="AC101" s="70"/>
      <c r="AD101" s="70"/>
      <c r="AE101" s="72"/>
      <c r="AF101" s="72">
        <f t="shared" si="30"/>
        <v>0</v>
      </c>
      <c r="AG101" s="73"/>
      <c r="AH101" s="74">
        <f t="shared" si="31"/>
        <v>0</v>
      </c>
      <c r="AI101" s="74">
        <f t="shared" si="32"/>
        <v>0</v>
      </c>
      <c r="AJ101" s="71" t="str">
        <f t="shared" si="34"/>
        <v>Y</v>
      </c>
      <c r="AK101" s="71"/>
      <c r="AL101" s="71"/>
      <c r="AM101" s="75"/>
      <c r="AN101" s="75"/>
      <c r="AO101" s="75"/>
      <c r="AP101" s="75"/>
      <c r="AQ101" s="64">
        <v>100</v>
      </c>
      <c r="AR101" s="70"/>
      <c r="AU101" s="70" t="e">
        <f>VLOOKUP($AT101,客戶編輯設定自動代出!$A:$C,3,0)</f>
        <v>#N/A</v>
      </c>
      <c r="AV101" s="70" t="e">
        <f>VLOOKUP($AT101,客戶編輯設定自動代出!$A:$C,2,0)</f>
        <v>#N/A</v>
      </c>
      <c r="AW101" s="76" t="s">
        <v>1914</v>
      </c>
      <c r="BA101" s="72">
        <f t="shared" ref="BA101" si="42">AY101*AZ101</f>
        <v>0</v>
      </c>
      <c r="BB101" s="77"/>
      <c r="BC101" s="74">
        <f t="shared" ref="BC101" si="43">BB101/1.05</f>
        <v>0</v>
      </c>
      <c r="BD101" s="74">
        <f t="shared" ref="BD101" si="44">BC101*0.05</f>
        <v>0</v>
      </c>
      <c r="BE101" s="71" t="str">
        <f t="shared" ref="BE101" si="45">IF($BB101=$BA101,"Y","N")</f>
        <v>Y</v>
      </c>
      <c r="BO101" s="78"/>
      <c r="BQ101" s="74"/>
      <c r="BR101" s="74"/>
      <c r="BT101" s="75"/>
    </row>
    <row r="102" spans="1:72" ht="16.5" x14ac:dyDescent="0.25">
      <c r="A102" s="64">
        <v>101</v>
      </c>
      <c r="B102" s="69"/>
      <c r="E102" s="70" t="e">
        <f>VLOOKUP($D102,客戶編輯設定自動代出!$A:$C,3,0)</f>
        <v>#N/A</v>
      </c>
      <c r="F102" s="70" t="e">
        <f>VLOOKUP($D102,客戶編輯設定自動代出!$A:$C,2,0)</f>
        <v>#N/A</v>
      </c>
      <c r="G102" s="70" t="s">
        <v>1454</v>
      </c>
      <c r="K102" s="72">
        <f t="shared" si="38"/>
        <v>0</v>
      </c>
      <c r="M102" s="74">
        <f t="shared" si="39"/>
        <v>0</v>
      </c>
      <c r="N102" s="74">
        <f t="shared" si="40"/>
        <v>0</v>
      </c>
      <c r="O102" s="71" t="str">
        <f t="shared" si="41"/>
        <v>Y</v>
      </c>
      <c r="Q102" s="119"/>
      <c r="R102" s="75"/>
      <c r="S102" s="75"/>
      <c r="T102" s="75"/>
      <c r="U102" s="75"/>
      <c r="V102" s="64">
        <v>101</v>
      </c>
      <c r="W102" s="69"/>
      <c r="X102" s="70"/>
      <c r="Y102" s="71"/>
      <c r="Z102" s="70" t="e">
        <f>VLOOKUP($Y102,客戶編輯設定自動代出!$A:$C,3,0)</f>
        <v>#N/A</v>
      </c>
      <c r="AA102" s="70" t="e">
        <f>VLOOKUP($Y102,客戶編輯設定自動代出!$A:$C,2,0)</f>
        <v>#N/A</v>
      </c>
      <c r="AB102" s="70" t="s">
        <v>1714</v>
      </c>
      <c r="AC102" s="70"/>
      <c r="AD102" s="70"/>
      <c r="AE102" s="72"/>
      <c r="AF102" s="72">
        <f t="shared" si="30"/>
        <v>0</v>
      </c>
      <c r="AG102" s="73"/>
      <c r="AH102" s="74">
        <f t="shared" si="31"/>
        <v>0</v>
      </c>
      <c r="AI102" s="74">
        <f t="shared" si="32"/>
        <v>0</v>
      </c>
      <c r="AJ102" s="71" t="str">
        <f t="shared" si="34"/>
        <v>Y</v>
      </c>
      <c r="AK102" s="71"/>
      <c r="AL102" s="71"/>
      <c r="AM102" s="75"/>
      <c r="AN102" s="75"/>
      <c r="AO102" s="75"/>
      <c r="AP102" s="75"/>
      <c r="AR102" s="70"/>
      <c r="BB102" s="80">
        <f>SUM(BB3:BB101)</f>
        <v>0</v>
      </c>
      <c r="BC102" s="81">
        <f>SUM(BC3:BC101)</f>
        <v>0</v>
      </c>
      <c r="BD102" s="81">
        <f>SUM(BD3:BD101)</f>
        <v>0</v>
      </c>
      <c r="BE102" s="71" t="str">
        <f>IF($BB102=$BA102,"Y","N")</f>
        <v>Y</v>
      </c>
      <c r="BO102" s="78"/>
      <c r="BQ102" s="74"/>
      <c r="BR102" s="74"/>
      <c r="BT102" s="75"/>
    </row>
    <row r="103" spans="1:72" ht="16.5" x14ac:dyDescent="0.25">
      <c r="A103" s="64">
        <v>102</v>
      </c>
      <c r="B103" s="69"/>
      <c r="E103" s="70" t="e">
        <f>VLOOKUP($D103,客戶編輯設定自動代出!$A:$C,3,0)</f>
        <v>#N/A</v>
      </c>
      <c r="F103" s="70" t="e">
        <f>VLOOKUP($D103,客戶編輯設定自動代出!$A:$C,2,0)</f>
        <v>#N/A</v>
      </c>
      <c r="G103" s="70" t="s">
        <v>1455</v>
      </c>
      <c r="K103" s="72">
        <f t="shared" si="38"/>
        <v>0</v>
      </c>
      <c r="M103" s="74">
        <f t="shared" si="39"/>
        <v>0</v>
      </c>
      <c r="N103" s="74">
        <f t="shared" si="40"/>
        <v>0</v>
      </c>
      <c r="O103" s="71" t="str">
        <f t="shared" si="41"/>
        <v>Y</v>
      </c>
      <c r="Q103" s="119"/>
      <c r="R103" s="75"/>
      <c r="S103" s="75"/>
      <c r="T103" s="75"/>
      <c r="U103" s="75"/>
      <c r="V103" s="64">
        <v>102</v>
      </c>
      <c r="W103" s="69"/>
      <c r="X103" s="70"/>
      <c r="Y103" s="71"/>
      <c r="Z103" s="70" t="e">
        <f>VLOOKUP($Y103,客戶編輯設定自動代出!$A:$C,3,0)</f>
        <v>#N/A</v>
      </c>
      <c r="AA103" s="70" t="e">
        <f>VLOOKUP($Y103,客戶編輯設定自動代出!$A:$C,2,0)</f>
        <v>#N/A</v>
      </c>
      <c r="AB103" s="70" t="s">
        <v>1715</v>
      </c>
      <c r="AC103" s="70"/>
      <c r="AD103" s="70"/>
      <c r="AE103" s="72"/>
      <c r="AF103" s="72">
        <f t="shared" si="30"/>
        <v>0</v>
      </c>
      <c r="AG103" s="73"/>
      <c r="AH103" s="74">
        <f t="shared" si="31"/>
        <v>0</v>
      </c>
      <c r="AI103" s="74">
        <f t="shared" si="32"/>
        <v>0</v>
      </c>
      <c r="AJ103" s="71" t="str">
        <f t="shared" si="34"/>
        <v>Y</v>
      </c>
      <c r="AK103" s="71"/>
      <c r="AL103" s="71"/>
      <c r="AM103" s="75"/>
      <c r="AN103" s="75"/>
      <c r="AO103" s="75"/>
      <c r="AP103" s="75"/>
      <c r="AR103" s="70"/>
      <c r="BO103" s="78"/>
      <c r="BQ103" s="74"/>
      <c r="BR103" s="74"/>
      <c r="BT103" s="75"/>
    </row>
    <row r="104" spans="1:72" ht="16.5" x14ac:dyDescent="0.25">
      <c r="A104" s="64">
        <v>103</v>
      </c>
      <c r="B104" s="69"/>
      <c r="E104" s="70" t="e">
        <f>VLOOKUP($D104,客戶編輯設定自動代出!$A:$C,3,0)</f>
        <v>#N/A</v>
      </c>
      <c r="F104" s="70" t="e">
        <f>VLOOKUP($D104,客戶編輯設定自動代出!$A:$C,2,0)</f>
        <v>#N/A</v>
      </c>
      <c r="G104" s="70" t="s">
        <v>1456</v>
      </c>
      <c r="K104" s="72">
        <f t="shared" si="38"/>
        <v>0</v>
      </c>
      <c r="M104" s="74">
        <f t="shared" si="39"/>
        <v>0</v>
      </c>
      <c r="N104" s="74">
        <f t="shared" si="40"/>
        <v>0</v>
      </c>
      <c r="O104" s="71" t="str">
        <f t="shared" si="41"/>
        <v>Y</v>
      </c>
      <c r="Q104" s="119"/>
      <c r="R104" s="75"/>
      <c r="S104" s="75"/>
      <c r="T104" s="75"/>
      <c r="U104" s="75"/>
      <c r="V104" s="64">
        <v>103</v>
      </c>
      <c r="W104" s="69"/>
      <c r="X104" s="70"/>
      <c r="Y104" s="71"/>
      <c r="Z104" s="70" t="e">
        <f>VLOOKUP($Y104,客戶編輯設定自動代出!$A:$C,3,0)</f>
        <v>#N/A</v>
      </c>
      <c r="AA104" s="70" t="e">
        <f>VLOOKUP($Y104,客戶編輯設定自動代出!$A:$C,2,0)</f>
        <v>#N/A</v>
      </c>
      <c r="AB104" s="70" t="s">
        <v>1716</v>
      </c>
      <c r="AC104" s="70"/>
      <c r="AD104" s="70"/>
      <c r="AE104" s="72"/>
      <c r="AF104" s="72">
        <f t="shared" si="30"/>
        <v>0</v>
      </c>
      <c r="AG104" s="73"/>
      <c r="AH104" s="74">
        <f t="shared" si="31"/>
        <v>0</v>
      </c>
      <c r="AI104" s="74">
        <f t="shared" si="32"/>
        <v>0</v>
      </c>
      <c r="AJ104" s="71" t="str">
        <f t="shared" si="34"/>
        <v>Y</v>
      </c>
      <c r="AK104" s="71"/>
      <c r="AL104" s="71"/>
      <c r="AM104" s="75"/>
      <c r="AN104" s="75"/>
      <c r="AO104" s="75"/>
      <c r="AP104" s="75"/>
      <c r="AR104" s="70"/>
      <c r="BO104" s="78"/>
      <c r="BQ104" s="74"/>
      <c r="BR104" s="74"/>
      <c r="BT104" s="75"/>
    </row>
    <row r="105" spans="1:72" ht="16.5" x14ac:dyDescent="0.25">
      <c r="A105" s="64">
        <v>104</v>
      </c>
      <c r="B105" s="69"/>
      <c r="E105" s="70" t="e">
        <f>VLOOKUP($D105,客戶編輯設定自動代出!$A:$C,3,0)</f>
        <v>#N/A</v>
      </c>
      <c r="F105" s="70" t="e">
        <f>VLOOKUP($D105,客戶編輯設定自動代出!$A:$C,2,0)</f>
        <v>#N/A</v>
      </c>
      <c r="G105" s="70" t="s">
        <v>1457</v>
      </c>
      <c r="K105" s="72">
        <f t="shared" si="38"/>
        <v>0</v>
      </c>
      <c r="M105" s="74">
        <f t="shared" si="39"/>
        <v>0</v>
      </c>
      <c r="N105" s="74">
        <f t="shared" si="40"/>
        <v>0</v>
      </c>
      <c r="O105" s="71" t="str">
        <f t="shared" si="41"/>
        <v>Y</v>
      </c>
      <c r="Q105" s="119"/>
      <c r="R105" s="75"/>
      <c r="S105" s="75"/>
      <c r="T105" s="75"/>
      <c r="U105" s="75"/>
      <c r="V105" s="64">
        <v>104</v>
      </c>
      <c r="W105" s="69"/>
      <c r="X105" s="70"/>
      <c r="Y105" s="71"/>
      <c r="Z105" s="70" t="e">
        <f>VLOOKUP($Y105,客戶編輯設定自動代出!$A:$C,3,0)</f>
        <v>#N/A</v>
      </c>
      <c r="AA105" s="70" t="e">
        <f>VLOOKUP($Y105,客戶編輯設定自動代出!$A:$C,2,0)</f>
        <v>#N/A</v>
      </c>
      <c r="AB105" s="70" t="s">
        <v>1717</v>
      </c>
      <c r="AC105" s="70"/>
      <c r="AD105" s="70"/>
      <c r="AE105" s="72"/>
      <c r="AF105" s="72">
        <f t="shared" si="30"/>
        <v>0</v>
      </c>
      <c r="AG105" s="73"/>
      <c r="AH105" s="74">
        <f t="shared" si="31"/>
        <v>0</v>
      </c>
      <c r="AI105" s="74">
        <f t="shared" si="32"/>
        <v>0</v>
      </c>
      <c r="AJ105" s="71" t="str">
        <f t="shared" si="34"/>
        <v>Y</v>
      </c>
      <c r="AK105" s="71"/>
      <c r="AL105" s="71"/>
      <c r="AM105" s="75"/>
      <c r="AN105" s="75"/>
      <c r="AO105" s="75"/>
      <c r="AP105" s="75"/>
      <c r="AR105" s="70"/>
      <c r="BO105" s="78"/>
      <c r="BQ105" s="74"/>
      <c r="BR105" s="74"/>
      <c r="BT105" s="75"/>
    </row>
    <row r="106" spans="1:72" ht="16.5" x14ac:dyDescent="0.25">
      <c r="A106" s="64">
        <v>105</v>
      </c>
      <c r="B106" s="69"/>
      <c r="E106" s="70" t="e">
        <f>VLOOKUP($D106,客戶編輯設定自動代出!$A:$C,3,0)</f>
        <v>#N/A</v>
      </c>
      <c r="F106" s="70" t="e">
        <f>VLOOKUP($D106,客戶編輯設定自動代出!$A:$C,2,0)</f>
        <v>#N/A</v>
      </c>
      <c r="G106" s="70" t="s">
        <v>1458</v>
      </c>
      <c r="K106" s="72">
        <f t="shared" si="38"/>
        <v>0</v>
      </c>
      <c r="M106" s="74">
        <f t="shared" si="39"/>
        <v>0</v>
      </c>
      <c r="N106" s="74">
        <f t="shared" si="40"/>
        <v>0</v>
      </c>
      <c r="O106" s="71" t="str">
        <f t="shared" si="41"/>
        <v>Y</v>
      </c>
      <c r="Q106" s="119"/>
      <c r="R106" s="75"/>
      <c r="S106" s="75"/>
      <c r="T106" s="75"/>
      <c r="U106" s="75"/>
      <c r="V106" s="64">
        <v>105</v>
      </c>
      <c r="W106" s="69"/>
      <c r="X106" s="70"/>
      <c r="Y106" s="71"/>
      <c r="Z106" s="70" t="e">
        <f>VLOOKUP($Y106,客戶編輯設定自動代出!$A:$C,3,0)</f>
        <v>#N/A</v>
      </c>
      <c r="AA106" s="70" t="e">
        <f>VLOOKUP($Y106,客戶編輯設定自動代出!$A:$C,2,0)</f>
        <v>#N/A</v>
      </c>
      <c r="AB106" s="70" t="s">
        <v>1718</v>
      </c>
      <c r="AC106" s="70"/>
      <c r="AD106" s="70"/>
      <c r="AE106" s="72"/>
      <c r="AF106" s="72">
        <f t="shared" si="30"/>
        <v>0</v>
      </c>
      <c r="AG106" s="73"/>
      <c r="AH106" s="74">
        <f t="shared" si="31"/>
        <v>0</v>
      </c>
      <c r="AI106" s="74">
        <f t="shared" si="32"/>
        <v>0</v>
      </c>
      <c r="AJ106" s="71" t="str">
        <f t="shared" si="34"/>
        <v>Y</v>
      </c>
      <c r="AK106" s="71"/>
      <c r="AL106" s="71"/>
      <c r="AM106" s="75"/>
      <c r="AN106" s="75"/>
      <c r="AO106" s="75"/>
      <c r="AP106" s="75"/>
      <c r="AR106" s="70"/>
      <c r="BO106" s="78"/>
      <c r="BT106" s="75"/>
    </row>
    <row r="107" spans="1:72" ht="16.5" x14ac:dyDescent="0.25">
      <c r="A107" s="64">
        <v>106</v>
      </c>
      <c r="B107" s="69"/>
      <c r="E107" s="70" t="e">
        <f>VLOOKUP($D107,客戶編輯設定自動代出!$A:$C,3,0)</f>
        <v>#N/A</v>
      </c>
      <c r="F107" s="70" t="e">
        <f>VLOOKUP($D107,客戶編輯設定自動代出!$A:$C,2,0)</f>
        <v>#N/A</v>
      </c>
      <c r="G107" s="70" t="s">
        <v>1459</v>
      </c>
      <c r="K107" s="72">
        <f t="shared" si="38"/>
        <v>0</v>
      </c>
      <c r="M107" s="74">
        <f t="shared" si="39"/>
        <v>0</v>
      </c>
      <c r="N107" s="74">
        <f t="shared" si="40"/>
        <v>0</v>
      </c>
      <c r="O107" s="71" t="str">
        <f t="shared" si="41"/>
        <v>Y</v>
      </c>
      <c r="Q107" s="119"/>
      <c r="R107" s="75"/>
      <c r="S107" s="75"/>
      <c r="T107" s="75"/>
      <c r="U107" s="75"/>
      <c r="V107" s="64">
        <v>106</v>
      </c>
      <c r="W107" s="69"/>
      <c r="X107" s="70"/>
      <c r="Y107" s="71"/>
      <c r="Z107" s="70" t="e">
        <f>VLOOKUP($Y107,客戶編輯設定自動代出!$A:$C,3,0)</f>
        <v>#N/A</v>
      </c>
      <c r="AA107" s="70" t="e">
        <f>VLOOKUP($Y107,客戶編輯設定自動代出!$A:$C,2,0)</f>
        <v>#N/A</v>
      </c>
      <c r="AB107" s="70" t="s">
        <v>1719</v>
      </c>
      <c r="AC107" s="70"/>
      <c r="AD107" s="70"/>
      <c r="AE107" s="72"/>
      <c r="AF107" s="72">
        <f t="shared" si="30"/>
        <v>0</v>
      </c>
      <c r="AG107" s="73"/>
      <c r="AH107" s="74">
        <f t="shared" si="31"/>
        <v>0</v>
      </c>
      <c r="AI107" s="74">
        <f t="shared" si="32"/>
        <v>0</v>
      </c>
      <c r="AJ107" s="71" t="str">
        <f t="shared" si="34"/>
        <v>Y</v>
      </c>
      <c r="AK107" s="71"/>
      <c r="AL107" s="71"/>
      <c r="AM107" s="75"/>
      <c r="AN107" s="75"/>
      <c r="AO107" s="75"/>
      <c r="AP107" s="75"/>
      <c r="AR107" s="70"/>
      <c r="BB107" s="77"/>
      <c r="BC107" s="74"/>
      <c r="BD107" s="74"/>
      <c r="BO107" s="78"/>
      <c r="BP107" s="77"/>
      <c r="BQ107" s="74"/>
      <c r="BR107" s="74"/>
      <c r="BT107" s="75"/>
    </row>
    <row r="108" spans="1:72" ht="16.5" x14ac:dyDescent="0.25">
      <c r="A108" s="64">
        <v>107</v>
      </c>
      <c r="B108" s="69"/>
      <c r="E108" s="70" t="e">
        <f>VLOOKUP($D108,客戶編輯設定自動代出!$A:$C,3,0)</f>
        <v>#N/A</v>
      </c>
      <c r="F108" s="70" t="e">
        <f>VLOOKUP($D108,客戶編輯設定自動代出!$A:$C,2,0)</f>
        <v>#N/A</v>
      </c>
      <c r="G108" s="70" t="s">
        <v>1460</v>
      </c>
      <c r="K108" s="72">
        <f t="shared" si="38"/>
        <v>0</v>
      </c>
      <c r="M108" s="74">
        <f t="shared" si="39"/>
        <v>0</v>
      </c>
      <c r="N108" s="74">
        <f t="shared" si="40"/>
        <v>0</v>
      </c>
      <c r="O108" s="71" t="str">
        <f t="shared" si="41"/>
        <v>Y</v>
      </c>
      <c r="Q108" s="119"/>
      <c r="R108" s="75"/>
      <c r="S108" s="75"/>
      <c r="T108" s="75"/>
      <c r="U108" s="75"/>
      <c r="V108" s="64">
        <v>107</v>
      </c>
      <c r="W108" s="69"/>
      <c r="X108" s="70"/>
      <c r="Y108" s="71"/>
      <c r="Z108" s="70" t="e">
        <f>VLOOKUP($Y108,客戶編輯設定自動代出!$A:$C,3,0)</f>
        <v>#N/A</v>
      </c>
      <c r="AA108" s="70" t="e">
        <f>VLOOKUP($Y108,客戶編輯設定自動代出!$A:$C,2,0)</f>
        <v>#N/A</v>
      </c>
      <c r="AB108" s="70" t="s">
        <v>1720</v>
      </c>
      <c r="AC108" s="70"/>
      <c r="AD108" s="70"/>
      <c r="AE108" s="72"/>
      <c r="AF108" s="72">
        <f t="shared" si="30"/>
        <v>0</v>
      </c>
      <c r="AG108" s="73"/>
      <c r="AH108" s="74">
        <f t="shared" si="31"/>
        <v>0</v>
      </c>
      <c r="AI108" s="74">
        <f t="shared" si="32"/>
        <v>0</v>
      </c>
      <c r="AJ108" s="71" t="str">
        <f t="shared" si="34"/>
        <v>Y</v>
      </c>
      <c r="AK108" s="71"/>
      <c r="AL108" s="71"/>
      <c r="AM108" s="75"/>
      <c r="AN108" s="75"/>
      <c r="AO108" s="75"/>
      <c r="AP108" s="75"/>
      <c r="AR108" s="70"/>
      <c r="BB108" s="77"/>
      <c r="BC108" s="74"/>
      <c r="BD108" s="74"/>
      <c r="BO108" s="78"/>
      <c r="BT108" s="75"/>
    </row>
    <row r="109" spans="1:72" ht="16.5" x14ac:dyDescent="0.25">
      <c r="A109" s="64">
        <v>108</v>
      </c>
      <c r="B109" s="69"/>
      <c r="E109" s="70" t="e">
        <f>VLOOKUP($D109,客戶編輯設定自動代出!$A:$C,3,0)</f>
        <v>#N/A</v>
      </c>
      <c r="F109" s="70" t="e">
        <f>VLOOKUP($D109,客戶編輯設定自動代出!$A:$C,2,0)</f>
        <v>#N/A</v>
      </c>
      <c r="G109" s="70" t="s">
        <v>1461</v>
      </c>
      <c r="K109" s="72">
        <f t="shared" si="38"/>
        <v>0</v>
      </c>
      <c r="M109" s="74">
        <f t="shared" si="39"/>
        <v>0</v>
      </c>
      <c r="N109" s="74">
        <f t="shared" si="40"/>
        <v>0</v>
      </c>
      <c r="O109" s="71" t="str">
        <f t="shared" si="41"/>
        <v>Y</v>
      </c>
      <c r="Q109" s="119"/>
      <c r="R109" s="75"/>
      <c r="S109" s="75"/>
      <c r="T109" s="75"/>
      <c r="U109" s="75"/>
      <c r="V109" s="64">
        <v>108</v>
      </c>
      <c r="W109" s="69"/>
      <c r="X109" s="70"/>
      <c r="Y109" s="71"/>
      <c r="Z109" s="70" t="e">
        <f>VLOOKUP($Y109,客戶編輯設定自動代出!$A:$C,3,0)</f>
        <v>#N/A</v>
      </c>
      <c r="AA109" s="70" t="e">
        <f>VLOOKUP($Y109,客戶編輯設定自動代出!$A:$C,2,0)</f>
        <v>#N/A</v>
      </c>
      <c r="AB109" s="70" t="s">
        <v>1721</v>
      </c>
      <c r="AC109" s="70"/>
      <c r="AD109" s="70"/>
      <c r="AE109" s="72"/>
      <c r="AF109" s="72">
        <f t="shared" si="30"/>
        <v>0</v>
      </c>
      <c r="AG109" s="73"/>
      <c r="AH109" s="74">
        <f t="shared" si="31"/>
        <v>0</v>
      </c>
      <c r="AI109" s="74">
        <f t="shared" si="32"/>
        <v>0</v>
      </c>
      <c r="AJ109" s="71" t="str">
        <f t="shared" si="34"/>
        <v>Y</v>
      </c>
      <c r="AK109" s="71"/>
      <c r="AL109" s="71"/>
      <c r="AM109" s="75"/>
      <c r="AN109" s="75"/>
      <c r="AO109" s="75"/>
      <c r="AP109" s="75"/>
      <c r="AR109" s="70"/>
      <c r="BB109" s="77"/>
      <c r="BC109" s="74"/>
      <c r="BD109" s="74"/>
      <c r="BO109" s="78"/>
      <c r="BT109" s="75"/>
    </row>
    <row r="110" spans="1:72" ht="16.5" x14ac:dyDescent="0.25">
      <c r="A110" s="64">
        <v>109</v>
      </c>
      <c r="B110" s="69"/>
      <c r="E110" s="70" t="e">
        <f>VLOOKUP($D110,客戶編輯設定自動代出!$A:$C,3,0)</f>
        <v>#N/A</v>
      </c>
      <c r="F110" s="70" t="e">
        <f>VLOOKUP($D110,客戶編輯設定自動代出!$A:$C,2,0)</f>
        <v>#N/A</v>
      </c>
      <c r="G110" s="70" t="s">
        <v>1462</v>
      </c>
      <c r="K110" s="72">
        <f t="shared" si="38"/>
        <v>0</v>
      </c>
      <c r="M110" s="74">
        <f t="shared" si="39"/>
        <v>0</v>
      </c>
      <c r="N110" s="74">
        <f t="shared" si="40"/>
        <v>0</v>
      </c>
      <c r="O110" s="71" t="str">
        <f t="shared" si="41"/>
        <v>Y</v>
      </c>
      <c r="Q110" s="119"/>
      <c r="R110" s="75"/>
      <c r="S110" s="75"/>
      <c r="T110" s="75"/>
      <c r="U110" s="75"/>
      <c r="V110" s="64">
        <v>109</v>
      </c>
      <c r="W110" s="69"/>
      <c r="X110" s="70"/>
      <c r="Y110" s="71"/>
      <c r="Z110" s="70" t="e">
        <f>VLOOKUP($Y110,客戶編輯設定自動代出!$A:$C,3,0)</f>
        <v>#N/A</v>
      </c>
      <c r="AA110" s="70" t="e">
        <f>VLOOKUP($Y110,客戶編輯設定自動代出!$A:$C,2,0)</f>
        <v>#N/A</v>
      </c>
      <c r="AB110" s="70" t="s">
        <v>1722</v>
      </c>
      <c r="AC110" s="70"/>
      <c r="AD110" s="70"/>
      <c r="AE110" s="72"/>
      <c r="AF110" s="72">
        <f t="shared" si="30"/>
        <v>0</v>
      </c>
      <c r="AG110" s="73"/>
      <c r="AH110" s="74">
        <f t="shared" si="31"/>
        <v>0</v>
      </c>
      <c r="AI110" s="74">
        <f t="shared" si="32"/>
        <v>0</v>
      </c>
      <c r="AJ110" s="71" t="str">
        <f t="shared" si="34"/>
        <v>Y</v>
      </c>
      <c r="AK110" s="71"/>
      <c r="AL110" s="71"/>
      <c r="AM110" s="75"/>
      <c r="AN110" s="75"/>
      <c r="AO110" s="75"/>
      <c r="AP110" s="75"/>
      <c r="AR110" s="70"/>
      <c r="BB110" s="77"/>
      <c r="BC110" s="74"/>
      <c r="BD110" s="74"/>
      <c r="BO110" s="78"/>
      <c r="BT110" s="75"/>
    </row>
    <row r="111" spans="1:72" ht="16.5" x14ac:dyDescent="0.25">
      <c r="A111" s="64">
        <v>110</v>
      </c>
      <c r="B111" s="69"/>
      <c r="E111" s="70" t="e">
        <f>VLOOKUP($D111,客戶編輯設定自動代出!$A:$C,3,0)</f>
        <v>#N/A</v>
      </c>
      <c r="F111" s="70" t="e">
        <f>VLOOKUP($D111,客戶編輯設定自動代出!$A:$C,2,0)</f>
        <v>#N/A</v>
      </c>
      <c r="G111" s="70" t="s">
        <v>1463</v>
      </c>
      <c r="K111" s="72">
        <f t="shared" si="38"/>
        <v>0</v>
      </c>
      <c r="M111" s="74">
        <f t="shared" si="39"/>
        <v>0</v>
      </c>
      <c r="N111" s="74">
        <f t="shared" si="40"/>
        <v>0</v>
      </c>
      <c r="O111" s="71" t="str">
        <f t="shared" si="41"/>
        <v>Y</v>
      </c>
      <c r="Q111" s="119"/>
      <c r="R111" s="75"/>
      <c r="S111" s="75"/>
      <c r="T111" s="75"/>
      <c r="U111" s="75"/>
      <c r="V111" s="64">
        <v>110</v>
      </c>
      <c r="W111" s="69"/>
      <c r="X111" s="70"/>
      <c r="Y111" s="71"/>
      <c r="Z111" s="70" t="e">
        <f>VLOOKUP($Y111,客戶編輯設定自動代出!$A:$C,3,0)</f>
        <v>#N/A</v>
      </c>
      <c r="AA111" s="70" t="e">
        <f>VLOOKUP($Y111,客戶編輯設定自動代出!$A:$C,2,0)</f>
        <v>#N/A</v>
      </c>
      <c r="AB111" s="70" t="s">
        <v>1723</v>
      </c>
      <c r="AC111" s="70"/>
      <c r="AD111" s="70"/>
      <c r="AE111" s="72"/>
      <c r="AF111" s="72">
        <f t="shared" si="30"/>
        <v>0</v>
      </c>
      <c r="AG111" s="73"/>
      <c r="AH111" s="74">
        <f t="shared" si="31"/>
        <v>0</v>
      </c>
      <c r="AI111" s="74">
        <f t="shared" si="32"/>
        <v>0</v>
      </c>
      <c r="AJ111" s="71" t="str">
        <f t="shared" si="34"/>
        <v>Y</v>
      </c>
      <c r="AK111" s="71"/>
      <c r="AL111" s="71"/>
      <c r="AM111" s="75"/>
      <c r="AN111" s="75"/>
      <c r="AO111" s="75"/>
      <c r="AP111" s="75"/>
      <c r="AR111" s="70"/>
      <c r="BB111" s="77"/>
      <c r="BC111" s="74"/>
      <c r="BD111" s="74"/>
      <c r="BO111" s="78"/>
      <c r="BT111" s="75"/>
    </row>
    <row r="112" spans="1:72" ht="16.5" x14ac:dyDescent="0.25">
      <c r="A112" s="64">
        <v>111</v>
      </c>
      <c r="B112" s="69"/>
      <c r="E112" s="70" t="e">
        <f>VLOOKUP($D112,客戶編輯設定自動代出!$A:$C,3,0)</f>
        <v>#N/A</v>
      </c>
      <c r="F112" s="70" t="e">
        <f>VLOOKUP($D112,客戶編輯設定自動代出!$A:$C,2,0)</f>
        <v>#N/A</v>
      </c>
      <c r="G112" s="70" t="s">
        <v>1464</v>
      </c>
      <c r="K112" s="72">
        <f t="shared" si="38"/>
        <v>0</v>
      </c>
      <c r="M112" s="74">
        <f t="shared" si="39"/>
        <v>0</v>
      </c>
      <c r="N112" s="74">
        <f t="shared" si="40"/>
        <v>0</v>
      </c>
      <c r="O112" s="71" t="str">
        <f t="shared" si="41"/>
        <v>Y</v>
      </c>
      <c r="Q112" s="119"/>
      <c r="R112" s="75"/>
      <c r="S112" s="75"/>
      <c r="T112" s="75"/>
      <c r="U112" s="75"/>
      <c r="V112" s="64">
        <v>111</v>
      </c>
      <c r="W112" s="69"/>
      <c r="X112" s="70"/>
      <c r="Y112" s="71"/>
      <c r="Z112" s="70" t="e">
        <f>VLOOKUP($Y112,客戶編輯設定自動代出!$A:$C,3,0)</f>
        <v>#N/A</v>
      </c>
      <c r="AA112" s="70" t="e">
        <f>VLOOKUP($Y112,客戶編輯設定自動代出!$A:$C,2,0)</f>
        <v>#N/A</v>
      </c>
      <c r="AB112" s="70" t="s">
        <v>1724</v>
      </c>
      <c r="AC112" s="70"/>
      <c r="AD112" s="70"/>
      <c r="AE112" s="72"/>
      <c r="AF112" s="72">
        <f t="shared" si="30"/>
        <v>0</v>
      </c>
      <c r="AG112" s="73"/>
      <c r="AH112" s="74">
        <f t="shared" si="31"/>
        <v>0</v>
      </c>
      <c r="AI112" s="74">
        <f t="shared" si="32"/>
        <v>0</v>
      </c>
      <c r="AJ112" s="71" t="str">
        <f t="shared" si="34"/>
        <v>Y</v>
      </c>
      <c r="AK112" s="71"/>
      <c r="AL112" s="71"/>
      <c r="AM112" s="75"/>
      <c r="AN112" s="75"/>
      <c r="AO112" s="75"/>
      <c r="AP112" s="75"/>
      <c r="AR112" s="70"/>
      <c r="BB112" s="77"/>
      <c r="BC112" s="74"/>
      <c r="BD112" s="74"/>
      <c r="BO112" s="78"/>
      <c r="BT112" s="75"/>
    </row>
    <row r="113" spans="1:72" ht="16.5" x14ac:dyDescent="0.25">
      <c r="A113" s="64">
        <v>112</v>
      </c>
      <c r="B113" s="69"/>
      <c r="E113" s="70" t="e">
        <f>VLOOKUP($D113,客戶編輯設定自動代出!$A:$C,3,0)</f>
        <v>#N/A</v>
      </c>
      <c r="F113" s="70" t="e">
        <f>VLOOKUP($D113,客戶編輯設定自動代出!$A:$C,2,0)</f>
        <v>#N/A</v>
      </c>
      <c r="G113" s="70" t="s">
        <v>1465</v>
      </c>
      <c r="K113" s="72">
        <f t="shared" si="38"/>
        <v>0</v>
      </c>
      <c r="M113" s="74">
        <f t="shared" si="39"/>
        <v>0</v>
      </c>
      <c r="N113" s="74">
        <f t="shared" si="40"/>
        <v>0</v>
      </c>
      <c r="O113" s="71" t="str">
        <f t="shared" si="41"/>
        <v>Y</v>
      </c>
      <c r="Q113" s="119"/>
      <c r="R113" s="75"/>
      <c r="S113" s="75"/>
      <c r="T113" s="75"/>
      <c r="U113" s="75"/>
      <c r="V113" s="64">
        <v>112</v>
      </c>
      <c r="W113" s="69"/>
      <c r="X113" s="70"/>
      <c r="Y113" s="71"/>
      <c r="Z113" s="70" t="e">
        <f>VLOOKUP($Y113,客戶編輯設定自動代出!$A:$C,3,0)</f>
        <v>#N/A</v>
      </c>
      <c r="AA113" s="70" t="e">
        <f>VLOOKUP($Y113,客戶編輯設定自動代出!$A:$C,2,0)</f>
        <v>#N/A</v>
      </c>
      <c r="AB113" s="70" t="s">
        <v>1725</v>
      </c>
      <c r="AC113" s="70"/>
      <c r="AD113" s="70"/>
      <c r="AE113" s="72"/>
      <c r="AF113" s="72">
        <f t="shared" si="30"/>
        <v>0</v>
      </c>
      <c r="AG113" s="73"/>
      <c r="AH113" s="74">
        <f t="shared" si="31"/>
        <v>0</v>
      </c>
      <c r="AI113" s="74">
        <f t="shared" si="32"/>
        <v>0</v>
      </c>
      <c r="AJ113" s="71" t="str">
        <f t="shared" si="34"/>
        <v>Y</v>
      </c>
      <c r="AK113" s="71"/>
      <c r="AL113" s="71"/>
      <c r="AM113" s="75"/>
      <c r="AN113" s="75"/>
      <c r="AO113" s="75"/>
      <c r="AP113" s="75"/>
      <c r="AR113" s="70"/>
      <c r="BB113" s="77"/>
      <c r="BC113" s="74"/>
      <c r="BD113" s="74"/>
      <c r="BO113" s="78"/>
      <c r="BT113" s="75"/>
    </row>
    <row r="114" spans="1:72" ht="16.5" x14ac:dyDescent="0.25">
      <c r="A114" s="64">
        <v>113</v>
      </c>
      <c r="B114" s="69"/>
      <c r="E114" s="70" t="e">
        <f>VLOOKUP($D114,客戶編輯設定自動代出!$A:$C,3,0)</f>
        <v>#N/A</v>
      </c>
      <c r="F114" s="70" t="e">
        <f>VLOOKUP($D114,客戶編輯設定自動代出!$A:$C,2,0)</f>
        <v>#N/A</v>
      </c>
      <c r="G114" s="70" t="s">
        <v>1466</v>
      </c>
      <c r="K114" s="72">
        <f t="shared" si="38"/>
        <v>0</v>
      </c>
      <c r="M114" s="74">
        <f t="shared" si="39"/>
        <v>0</v>
      </c>
      <c r="N114" s="74">
        <f t="shared" si="40"/>
        <v>0</v>
      </c>
      <c r="O114" s="71" t="str">
        <f t="shared" si="41"/>
        <v>Y</v>
      </c>
      <c r="Q114" s="119"/>
      <c r="R114" s="75"/>
      <c r="S114" s="75"/>
      <c r="T114" s="75"/>
      <c r="U114" s="75"/>
      <c r="V114" s="64">
        <v>113</v>
      </c>
      <c r="W114" s="69"/>
      <c r="X114" s="70"/>
      <c r="Y114" s="71"/>
      <c r="Z114" s="70" t="e">
        <f>VLOOKUP($Y114,客戶編輯設定自動代出!$A:$C,3,0)</f>
        <v>#N/A</v>
      </c>
      <c r="AA114" s="70" t="e">
        <f>VLOOKUP($Y114,客戶編輯設定自動代出!$A:$C,2,0)</f>
        <v>#N/A</v>
      </c>
      <c r="AB114" s="70" t="s">
        <v>1726</v>
      </c>
      <c r="AC114" s="70"/>
      <c r="AD114" s="70"/>
      <c r="AE114" s="72"/>
      <c r="AF114" s="72">
        <f t="shared" si="30"/>
        <v>0</v>
      </c>
      <c r="AG114" s="73"/>
      <c r="AH114" s="74">
        <f t="shared" si="31"/>
        <v>0</v>
      </c>
      <c r="AI114" s="74">
        <f t="shared" si="32"/>
        <v>0</v>
      </c>
      <c r="AJ114" s="71" t="str">
        <f t="shared" si="34"/>
        <v>Y</v>
      </c>
      <c r="AK114" s="71"/>
      <c r="AL114" s="71"/>
      <c r="AM114" s="75"/>
      <c r="AN114" s="75"/>
      <c r="AO114" s="75"/>
      <c r="AP114" s="75"/>
      <c r="AR114" s="70"/>
      <c r="BB114" s="77"/>
      <c r="BC114" s="74"/>
      <c r="BD114" s="74"/>
      <c r="BO114" s="78"/>
      <c r="BT114" s="75"/>
    </row>
    <row r="115" spans="1:72" ht="16.5" x14ac:dyDescent="0.25">
      <c r="A115" s="64">
        <v>114</v>
      </c>
      <c r="B115" s="69"/>
      <c r="E115" s="70" t="e">
        <f>VLOOKUP($D115,客戶編輯設定自動代出!$A:$C,3,0)</f>
        <v>#N/A</v>
      </c>
      <c r="F115" s="70" t="e">
        <f>VLOOKUP($D115,客戶編輯設定自動代出!$A:$C,2,0)</f>
        <v>#N/A</v>
      </c>
      <c r="G115" s="70" t="s">
        <v>1467</v>
      </c>
      <c r="K115" s="72">
        <f t="shared" si="38"/>
        <v>0</v>
      </c>
      <c r="M115" s="74">
        <f t="shared" si="39"/>
        <v>0</v>
      </c>
      <c r="N115" s="74">
        <f t="shared" si="40"/>
        <v>0</v>
      </c>
      <c r="O115" s="71" t="str">
        <f t="shared" si="41"/>
        <v>Y</v>
      </c>
      <c r="Q115" s="119"/>
      <c r="R115" s="75"/>
      <c r="S115" s="75"/>
      <c r="T115" s="75"/>
      <c r="U115" s="75"/>
      <c r="V115" s="64">
        <v>114</v>
      </c>
      <c r="W115" s="69"/>
      <c r="X115" s="70"/>
      <c r="Y115" s="71"/>
      <c r="Z115" s="70" t="e">
        <f>VLOOKUP($Y115,客戶編輯設定自動代出!$A:$C,3,0)</f>
        <v>#N/A</v>
      </c>
      <c r="AA115" s="70" t="e">
        <f>VLOOKUP($Y115,客戶編輯設定自動代出!$A:$C,2,0)</f>
        <v>#N/A</v>
      </c>
      <c r="AB115" s="70" t="s">
        <v>1727</v>
      </c>
      <c r="AC115" s="70"/>
      <c r="AD115" s="70"/>
      <c r="AE115" s="72"/>
      <c r="AF115" s="72">
        <f t="shared" si="30"/>
        <v>0</v>
      </c>
      <c r="AG115" s="73"/>
      <c r="AH115" s="74">
        <f t="shared" si="31"/>
        <v>0</v>
      </c>
      <c r="AI115" s="74">
        <f t="shared" si="32"/>
        <v>0</v>
      </c>
      <c r="AJ115" s="71" t="str">
        <f t="shared" si="34"/>
        <v>Y</v>
      </c>
      <c r="AK115" s="71"/>
      <c r="AL115" s="71"/>
      <c r="AM115" s="75"/>
      <c r="AN115" s="75"/>
      <c r="AO115" s="75"/>
      <c r="AP115" s="75"/>
      <c r="AR115" s="70"/>
      <c r="BB115" s="77"/>
      <c r="BC115" s="74"/>
      <c r="BD115" s="74"/>
      <c r="BO115" s="78"/>
      <c r="BT115" s="75"/>
    </row>
    <row r="116" spans="1:72" ht="16.5" x14ac:dyDescent="0.25">
      <c r="A116" s="64">
        <v>115</v>
      </c>
      <c r="B116" s="69"/>
      <c r="E116" s="70" t="e">
        <f>VLOOKUP($D116,客戶編輯設定自動代出!$A:$C,3,0)</f>
        <v>#N/A</v>
      </c>
      <c r="F116" s="70" t="e">
        <f>VLOOKUP($D116,客戶編輯設定自動代出!$A:$C,2,0)</f>
        <v>#N/A</v>
      </c>
      <c r="G116" s="70" t="s">
        <v>1468</v>
      </c>
      <c r="K116" s="72">
        <f t="shared" si="38"/>
        <v>0</v>
      </c>
      <c r="M116" s="74">
        <f t="shared" si="39"/>
        <v>0</v>
      </c>
      <c r="N116" s="74">
        <f t="shared" si="40"/>
        <v>0</v>
      </c>
      <c r="O116" s="71" t="str">
        <f t="shared" si="41"/>
        <v>Y</v>
      </c>
      <c r="Q116" s="119"/>
      <c r="R116" s="75"/>
      <c r="S116" s="75"/>
      <c r="T116" s="75"/>
      <c r="U116" s="75"/>
      <c r="V116" s="64">
        <v>115</v>
      </c>
      <c r="W116" s="69"/>
      <c r="X116" s="70"/>
      <c r="Y116" s="71"/>
      <c r="Z116" s="70" t="e">
        <f>VLOOKUP($Y116,客戶編輯設定自動代出!$A:$C,3,0)</f>
        <v>#N/A</v>
      </c>
      <c r="AA116" s="70" t="e">
        <f>VLOOKUP($Y116,客戶編輯設定自動代出!$A:$C,2,0)</f>
        <v>#N/A</v>
      </c>
      <c r="AB116" s="70" t="s">
        <v>1728</v>
      </c>
      <c r="AC116" s="70"/>
      <c r="AD116" s="70"/>
      <c r="AE116" s="72"/>
      <c r="AF116" s="72">
        <f t="shared" si="30"/>
        <v>0</v>
      </c>
      <c r="AG116" s="73"/>
      <c r="AH116" s="74">
        <f t="shared" si="31"/>
        <v>0</v>
      </c>
      <c r="AI116" s="74">
        <f t="shared" si="32"/>
        <v>0</v>
      </c>
      <c r="AJ116" s="71" t="str">
        <f t="shared" si="34"/>
        <v>Y</v>
      </c>
      <c r="AK116" s="71"/>
      <c r="AL116" s="71"/>
      <c r="AM116" s="75"/>
      <c r="AN116" s="75"/>
      <c r="AO116" s="75"/>
      <c r="AP116" s="75"/>
      <c r="AR116" s="70"/>
      <c r="BB116" s="77"/>
      <c r="BC116" s="74"/>
      <c r="BD116" s="74"/>
      <c r="BO116" s="78"/>
      <c r="BT116" s="75"/>
    </row>
    <row r="117" spans="1:72" ht="16.5" x14ac:dyDescent="0.25">
      <c r="A117" s="64">
        <v>116</v>
      </c>
      <c r="B117" s="69"/>
      <c r="E117" s="70" t="e">
        <f>VLOOKUP($D117,客戶編輯設定自動代出!$A:$C,3,0)</f>
        <v>#N/A</v>
      </c>
      <c r="F117" s="70" t="e">
        <f>VLOOKUP($D117,客戶編輯設定自動代出!$A:$C,2,0)</f>
        <v>#N/A</v>
      </c>
      <c r="G117" s="70" t="s">
        <v>1469</v>
      </c>
      <c r="K117" s="72">
        <f t="shared" si="38"/>
        <v>0</v>
      </c>
      <c r="M117" s="74">
        <f t="shared" si="39"/>
        <v>0</v>
      </c>
      <c r="N117" s="74">
        <f t="shared" si="40"/>
        <v>0</v>
      </c>
      <c r="O117" s="71" t="str">
        <f t="shared" si="41"/>
        <v>Y</v>
      </c>
      <c r="Q117" s="119"/>
      <c r="R117" s="75"/>
      <c r="S117" s="75"/>
      <c r="T117" s="75"/>
      <c r="U117" s="75"/>
      <c r="V117" s="64">
        <v>116</v>
      </c>
      <c r="W117" s="69"/>
      <c r="X117" s="70"/>
      <c r="Y117" s="71"/>
      <c r="Z117" s="70" t="e">
        <f>VLOOKUP($Y117,客戶編輯設定自動代出!$A:$C,3,0)</f>
        <v>#N/A</v>
      </c>
      <c r="AA117" s="70" t="e">
        <f>VLOOKUP($Y117,客戶編輯設定自動代出!$A:$C,2,0)</f>
        <v>#N/A</v>
      </c>
      <c r="AB117" s="70" t="s">
        <v>1729</v>
      </c>
      <c r="AC117" s="70"/>
      <c r="AD117" s="70"/>
      <c r="AE117" s="72"/>
      <c r="AF117" s="72">
        <f t="shared" si="30"/>
        <v>0</v>
      </c>
      <c r="AG117" s="73"/>
      <c r="AH117" s="74">
        <f t="shared" si="31"/>
        <v>0</v>
      </c>
      <c r="AI117" s="74">
        <f t="shared" si="32"/>
        <v>0</v>
      </c>
      <c r="AJ117" s="71" t="str">
        <f t="shared" si="34"/>
        <v>Y</v>
      </c>
      <c r="AK117" s="71"/>
      <c r="AL117" s="71"/>
      <c r="AM117" s="75"/>
      <c r="AN117" s="75"/>
      <c r="AO117" s="75"/>
      <c r="AP117" s="75"/>
      <c r="AR117" s="70"/>
      <c r="BB117" s="77"/>
      <c r="BC117" s="74"/>
      <c r="BD117" s="74"/>
      <c r="BO117" s="78"/>
      <c r="BT117" s="75"/>
    </row>
    <row r="118" spans="1:72" ht="16.5" x14ac:dyDescent="0.25">
      <c r="A118" s="64">
        <v>117</v>
      </c>
      <c r="B118" s="69"/>
      <c r="E118" s="70" t="e">
        <f>VLOOKUP($D118,客戶編輯設定自動代出!$A:$C,3,0)</f>
        <v>#N/A</v>
      </c>
      <c r="F118" s="70" t="e">
        <f>VLOOKUP($D118,客戶編輯設定自動代出!$A:$C,2,0)</f>
        <v>#N/A</v>
      </c>
      <c r="G118" s="70" t="s">
        <v>1470</v>
      </c>
      <c r="K118" s="72">
        <f t="shared" si="38"/>
        <v>0</v>
      </c>
      <c r="M118" s="74">
        <f t="shared" si="39"/>
        <v>0</v>
      </c>
      <c r="N118" s="74">
        <f t="shared" si="40"/>
        <v>0</v>
      </c>
      <c r="O118" s="71" t="str">
        <f t="shared" si="41"/>
        <v>Y</v>
      </c>
      <c r="Q118" s="119"/>
      <c r="R118" s="75"/>
      <c r="S118" s="75"/>
      <c r="T118" s="75"/>
      <c r="U118" s="75"/>
      <c r="V118" s="64">
        <v>117</v>
      </c>
      <c r="W118" s="69"/>
      <c r="X118" s="70"/>
      <c r="Y118" s="71"/>
      <c r="Z118" s="70" t="e">
        <f>VLOOKUP($Y118,客戶編輯設定自動代出!$A:$C,3,0)</f>
        <v>#N/A</v>
      </c>
      <c r="AA118" s="70" t="e">
        <f>VLOOKUP($Y118,客戶編輯設定自動代出!$A:$C,2,0)</f>
        <v>#N/A</v>
      </c>
      <c r="AB118" s="70" t="s">
        <v>1730</v>
      </c>
      <c r="AC118" s="70"/>
      <c r="AD118" s="70"/>
      <c r="AE118" s="72"/>
      <c r="AF118" s="72">
        <f t="shared" si="30"/>
        <v>0</v>
      </c>
      <c r="AG118" s="73"/>
      <c r="AH118" s="74">
        <f t="shared" si="31"/>
        <v>0</v>
      </c>
      <c r="AI118" s="74">
        <f t="shared" si="32"/>
        <v>0</v>
      </c>
      <c r="AJ118" s="71" t="str">
        <f t="shared" si="34"/>
        <v>Y</v>
      </c>
      <c r="AK118" s="71"/>
      <c r="AL118" s="71"/>
      <c r="AM118" s="75"/>
      <c r="AN118" s="75"/>
      <c r="AO118" s="75"/>
      <c r="AP118" s="75"/>
      <c r="AR118" s="70"/>
      <c r="BB118" s="77"/>
      <c r="BC118" s="74"/>
      <c r="BD118" s="74"/>
      <c r="BO118" s="78"/>
      <c r="BT118" s="75"/>
    </row>
    <row r="119" spans="1:72" ht="16.5" x14ac:dyDescent="0.25">
      <c r="A119" s="64">
        <v>118</v>
      </c>
      <c r="B119" s="69"/>
      <c r="E119" s="70" t="e">
        <f>VLOOKUP($D119,客戶編輯設定自動代出!$A:$C,3,0)</f>
        <v>#N/A</v>
      </c>
      <c r="F119" s="70" t="e">
        <f>VLOOKUP($D119,客戶編輯設定自動代出!$A:$C,2,0)</f>
        <v>#N/A</v>
      </c>
      <c r="G119" s="70" t="s">
        <v>1471</v>
      </c>
      <c r="K119" s="72">
        <f t="shared" si="38"/>
        <v>0</v>
      </c>
      <c r="M119" s="74">
        <f t="shared" si="39"/>
        <v>0</v>
      </c>
      <c r="N119" s="74">
        <f t="shared" si="40"/>
        <v>0</v>
      </c>
      <c r="O119" s="71" t="str">
        <f t="shared" si="41"/>
        <v>Y</v>
      </c>
      <c r="Q119" s="119"/>
      <c r="R119" s="75"/>
      <c r="S119" s="75"/>
      <c r="T119" s="75"/>
      <c r="U119" s="75"/>
      <c r="V119" s="64">
        <v>118</v>
      </c>
      <c r="W119" s="69"/>
      <c r="X119" s="70"/>
      <c r="Y119" s="71"/>
      <c r="Z119" s="70" t="e">
        <f>VLOOKUP($Y119,客戶編輯設定自動代出!$A:$C,3,0)</f>
        <v>#N/A</v>
      </c>
      <c r="AA119" s="70" t="e">
        <f>VLOOKUP($Y119,客戶編輯設定自動代出!$A:$C,2,0)</f>
        <v>#N/A</v>
      </c>
      <c r="AB119" s="70" t="s">
        <v>1731</v>
      </c>
      <c r="AC119" s="70"/>
      <c r="AD119" s="70"/>
      <c r="AE119" s="72"/>
      <c r="AF119" s="72">
        <f t="shared" si="30"/>
        <v>0</v>
      </c>
      <c r="AG119" s="73"/>
      <c r="AH119" s="74">
        <f t="shared" si="31"/>
        <v>0</v>
      </c>
      <c r="AI119" s="74">
        <f t="shared" si="32"/>
        <v>0</v>
      </c>
      <c r="AJ119" s="71" t="str">
        <f t="shared" si="34"/>
        <v>Y</v>
      </c>
      <c r="AK119" s="71"/>
      <c r="AL119" s="71"/>
      <c r="AM119" s="75"/>
      <c r="AN119" s="75"/>
      <c r="AO119" s="75"/>
      <c r="AP119" s="75"/>
      <c r="AR119" s="70"/>
      <c r="BB119" s="77"/>
      <c r="BC119" s="74"/>
      <c r="BD119" s="74"/>
      <c r="BO119" s="78"/>
      <c r="BT119" s="75"/>
    </row>
    <row r="120" spans="1:72" ht="16.5" x14ac:dyDescent="0.25">
      <c r="A120" s="64">
        <v>119</v>
      </c>
      <c r="B120" s="69"/>
      <c r="E120" s="70" t="e">
        <f>VLOOKUP($D120,客戶編輯設定自動代出!$A:$C,3,0)</f>
        <v>#N/A</v>
      </c>
      <c r="F120" s="70" t="e">
        <f>VLOOKUP($D120,客戶編輯設定自動代出!$A:$C,2,0)</f>
        <v>#N/A</v>
      </c>
      <c r="G120" s="70" t="s">
        <v>1472</v>
      </c>
      <c r="K120" s="72">
        <f t="shared" si="38"/>
        <v>0</v>
      </c>
      <c r="M120" s="74">
        <f t="shared" si="39"/>
        <v>0</v>
      </c>
      <c r="N120" s="74">
        <f t="shared" si="40"/>
        <v>0</v>
      </c>
      <c r="O120" s="71" t="str">
        <f t="shared" si="41"/>
        <v>Y</v>
      </c>
      <c r="Q120" s="119"/>
      <c r="R120" s="75"/>
      <c r="S120" s="75"/>
      <c r="T120" s="75"/>
      <c r="U120" s="75"/>
      <c r="V120" s="64">
        <v>119</v>
      </c>
      <c r="W120" s="69"/>
      <c r="X120" s="70"/>
      <c r="Y120" s="71"/>
      <c r="Z120" s="70" t="e">
        <f>VLOOKUP($Y120,客戶編輯設定自動代出!$A:$C,3,0)</f>
        <v>#N/A</v>
      </c>
      <c r="AA120" s="70" t="e">
        <f>VLOOKUP($Y120,客戶編輯設定自動代出!$A:$C,2,0)</f>
        <v>#N/A</v>
      </c>
      <c r="AB120" s="70" t="s">
        <v>1732</v>
      </c>
      <c r="AC120" s="70"/>
      <c r="AD120" s="70"/>
      <c r="AE120" s="72"/>
      <c r="AF120" s="72">
        <f t="shared" si="30"/>
        <v>0</v>
      </c>
      <c r="AG120" s="73"/>
      <c r="AH120" s="74">
        <f t="shared" si="31"/>
        <v>0</v>
      </c>
      <c r="AI120" s="74">
        <f t="shared" si="32"/>
        <v>0</v>
      </c>
      <c r="AJ120" s="71" t="str">
        <f t="shared" si="34"/>
        <v>Y</v>
      </c>
      <c r="AK120" s="71"/>
      <c r="AL120" s="71"/>
      <c r="AM120" s="75"/>
      <c r="AN120" s="75"/>
      <c r="AO120" s="75"/>
      <c r="AP120" s="75"/>
      <c r="AR120" s="70"/>
      <c r="BB120" s="77"/>
      <c r="BC120" s="74"/>
      <c r="BD120" s="74"/>
      <c r="BO120" s="78"/>
      <c r="BT120" s="75"/>
    </row>
    <row r="121" spans="1:72" ht="16.5" x14ac:dyDescent="0.25">
      <c r="A121" s="64">
        <v>120</v>
      </c>
      <c r="B121" s="69"/>
      <c r="E121" s="70" t="e">
        <f>VLOOKUP($D121,客戶編輯設定自動代出!$A:$C,3,0)</f>
        <v>#N/A</v>
      </c>
      <c r="F121" s="70" t="e">
        <f>VLOOKUP($D121,客戶編輯設定自動代出!$A:$C,2,0)</f>
        <v>#N/A</v>
      </c>
      <c r="G121" s="70" t="s">
        <v>1473</v>
      </c>
      <c r="K121" s="72">
        <f t="shared" si="38"/>
        <v>0</v>
      </c>
      <c r="M121" s="74">
        <f t="shared" si="39"/>
        <v>0</v>
      </c>
      <c r="N121" s="74">
        <f t="shared" si="40"/>
        <v>0</v>
      </c>
      <c r="O121" s="71" t="str">
        <f t="shared" si="41"/>
        <v>Y</v>
      </c>
      <c r="Q121" s="119"/>
      <c r="R121" s="75"/>
      <c r="S121" s="75"/>
      <c r="T121" s="75"/>
      <c r="U121" s="75"/>
      <c r="V121" s="64">
        <v>120</v>
      </c>
      <c r="W121" s="69"/>
      <c r="X121" s="70"/>
      <c r="Y121" s="71"/>
      <c r="Z121" s="70" t="e">
        <f>VLOOKUP($Y121,客戶編輯設定自動代出!$A:$C,3,0)</f>
        <v>#N/A</v>
      </c>
      <c r="AA121" s="70" t="e">
        <f>VLOOKUP($Y121,客戶編輯設定自動代出!$A:$C,2,0)</f>
        <v>#N/A</v>
      </c>
      <c r="AB121" s="70" t="s">
        <v>1733</v>
      </c>
      <c r="AC121" s="70"/>
      <c r="AD121" s="70"/>
      <c r="AE121" s="72"/>
      <c r="AF121" s="72">
        <f t="shared" si="30"/>
        <v>0</v>
      </c>
      <c r="AG121" s="73"/>
      <c r="AH121" s="74">
        <f t="shared" si="31"/>
        <v>0</v>
      </c>
      <c r="AI121" s="74">
        <f t="shared" si="32"/>
        <v>0</v>
      </c>
      <c r="AJ121" s="71" t="str">
        <f t="shared" si="34"/>
        <v>Y</v>
      </c>
      <c r="AK121" s="71"/>
      <c r="AL121" s="71"/>
      <c r="AM121" s="75"/>
      <c r="AN121" s="75"/>
      <c r="AO121" s="75"/>
      <c r="AP121" s="75"/>
      <c r="AR121" s="70"/>
      <c r="BB121" s="77"/>
      <c r="BC121" s="74"/>
      <c r="BD121" s="74"/>
      <c r="BO121" s="78"/>
      <c r="BT121" s="75"/>
    </row>
    <row r="122" spans="1:72" ht="16.5" x14ac:dyDescent="0.25">
      <c r="A122" s="64">
        <v>121</v>
      </c>
      <c r="B122" s="69"/>
      <c r="E122" s="70" t="e">
        <f>VLOOKUP($D122,客戶編輯設定自動代出!$A:$C,3,0)</f>
        <v>#N/A</v>
      </c>
      <c r="F122" s="70" t="e">
        <f>VLOOKUP($D122,客戶編輯設定自動代出!$A:$C,2,0)</f>
        <v>#N/A</v>
      </c>
      <c r="G122" s="70" t="s">
        <v>1474</v>
      </c>
      <c r="K122" s="72">
        <f t="shared" si="38"/>
        <v>0</v>
      </c>
      <c r="M122" s="74">
        <f t="shared" si="39"/>
        <v>0</v>
      </c>
      <c r="N122" s="74">
        <f t="shared" si="40"/>
        <v>0</v>
      </c>
      <c r="O122" s="71" t="str">
        <f t="shared" si="41"/>
        <v>Y</v>
      </c>
      <c r="Q122" s="119"/>
      <c r="R122" s="75"/>
      <c r="S122" s="75"/>
      <c r="T122" s="75"/>
      <c r="U122" s="75"/>
      <c r="V122" s="64">
        <v>121</v>
      </c>
      <c r="W122" s="69"/>
      <c r="X122" s="70"/>
      <c r="Y122" s="71"/>
      <c r="Z122" s="70" t="e">
        <f>VLOOKUP($Y122,客戶編輯設定自動代出!$A:$C,3,0)</f>
        <v>#N/A</v>
      </c>
      <c r="AA122" s="70" t="e">
        <f>VLOOKUP($Y122,客戶編輯設定自動代出!$A:$C,2,0)</f>
        <v>#N/A</v>
      </c>
      <c r="AB122" s="70" t="s">
        <v>1734</v>
      </c>
      <c r="AC122" s="70"/>
      <c r="AD122" s="70"/>
      <c r="AE122" s="72"/>
      <c r="AF122" s="72">
        <f t="shared" si="30"/>
        <v>0</v>
      </c>
      <c r="AG122" s="73"/>
      <c r="AH122" s="74">
        <f t="shared" si="31"/>
        <v>0</v>
      </c>
      <c r="AI122" s="74">
        <f t="shared" si="32"/>
        <v>0</v>
      </c>
      <c r="AJ122" s="71" t="str">
        <f t="shared" si="34"/>
        <v>Y</v>
      </c>
      <c r="AK122" s="71"/>
      <c r="AL122" s="71"/>
      <c r="AM122" s="75"/>
      <c r="AN122" s="75"/>
      <c r="AO122" s="75"/>
      <c r="AP122" s="75"/>
      <c r="AR122" s="70"/>
      <c r="BB122" s="77"/>
      <c r="BC122" s="74"/>
      <c r="BD122" s="74"/>
      <c r="BO122" s="78"/>
      <c r="BT122" s="75"/>
    </row>
    <row r="123" spans="1:72" ht="16.5" x14ac:dyDescent="0.25">
      <c r="A123" s="64">
        <v>122</v>
      </c>
      <c r="B123" s="69"/>
      <c r="E123" s="70" t="e">
        <f>VLOOKUP($D123,客戶編輯設定自動代出!$A:$C,3,0)</f>
        <v>#N/A</v>
      </c>
      <c r="F123" s="70" t="e">
        <f>VLOOKUP($D123,客戶編輯設定自動代出!$A:$C,2,0)</f>
        <v>#N/A</v>
      </c>
      <c r="G123" s="70" t="s">
        <v>1475</v>
      </c>
      <c r="K123" s="72">
        <f t="shared" si="38"/>
        <v>0</v>
      </c>
      <c r="M123" s="74">
        <f t="shared" si="39"/>
        <v>0</v>
      </c>
      <c r="N123" s="74">
        <f t="shared" si="40"/>
        <v>0</v>
      </c>
      <c r="O123" s="71" t="str">
        <f t="shared" si="41"/>
        <v>Y</v>
      </c>
      <c r="Q123" s="119"/>
      <c r="R123" s="75"/>
      <c r="S123" s="75"/>
      <c r="T123" s="75"/>
      <c r="U123" s="75"/>
      <c r="V123" s="64">
        <v>122</v>
      </c>
      <c r="W123" s="69"/>
      <c r="X123" s="70"/>
      <c r="Y123" s="71"/>
      <c r="Z123" s="70" t="e">
        <f>VLOOKUP($Y123,客戶編輯設定自動代出!$A:$C,3,0)</f>
        <v>#N/A</v>
      </c>
      <c r="AA123" s="70" t="e">
        <f>VLOOKUP($Y123,客戶編輯設定自動代出!$A:$C,2,0)</f>
        <v>#N/A</v>
      </c>
      <c r="AB123" s="70" t="s">
        <v>1735</v>
      </c>
      <c r="AC123" s="70"/>
      <c r="AD123" s="70"/>
      <c r="AE123" s="72"/>
      <c r="AF123" s="72">
        <f t="shared" si="30"/>
        <v>0</v>
      </c>
      <c r="AG123" s="73"/>
      <c r="AH123" s="74">
        <f t="shared" si="31"/>
        <v>0</v>
      </c>
      <c r="AI123" s="74">
        <f t="shared" si="32"/>
        <v>0</v>
      </c>
      <c r="AJ123" s="71" t="str">
        <f t="shared" si="34"/>
        <v>Y</v>
      </c>
      <c r="AK123" s="71"/>
      <c r="AL123" s="71"/>
      <c r="AM123" s="75"/>
      <c r="AN123" s="75"/>
      <c r="AO123" s="75"/>
      <c r="AP123" s="75"/>
      <c r="AR123" s="70"/>
      <c r="BB123" s="77"/>
      <c r="BC123" s="74"/>
      <c r="BD123" s="74"/>
      <c r="BO123" s="78"/>
      <c r="BT123" s="75"/>
    </row>
    <row r="124" spans="1:72" ht="16.5" x14ac:dyDescent="0.25">
      <c r="A124" s="64">
        <v>123</v>
      </c>
      <c r="B124" s="69"/>
      <c r="E124" s="70" t="e">
        <f>VLOOKUP($D124,客戶編輯設定自動代出!$A:$C,3,0)</f>
        <v>#N/A</v>
      </c>
      <c r="F124" s="70" t="e">
        <f>VLOOKUP($D124,客戶編輯設定自動代出!$A:$C,2,0)</f>
        <v>#N/A</v>
      </c>
      <c r="G124" s="70" t="s">
        <v>1476</v>
      </c>
      <c r="K124" s="72">
        <f t="shared" si="38"/>
        <v>0</v>
      </c>
      <c r="M124" s="74">
        <f t="shared" si="39"/>
        <v>0</v>
      </c>
      <c r="N124" s="74">
        <f t="shared" si="40"/>
        <v>0</v>
      </c>
      <c r="O124" s="71" t="str">
        <f t="shared" si="41"/>
        <v>Y</v>
      </c>
      <c r="Q124" s="119"/>
      <c r="R124" s="75"/>
      <c r="S124" s="75"/>
      <c r="T124" s="75"/>
      <c r="U124" s="75"/>
      <c r="V124" s="64">
        <v>123</v>
      </c>
      <c r="W124" s="69"/>
      <c r="X124" s="70"/>
      <c r="Y124" s="71"/>
      <c r="Z124" s="70" t="e">
        <f>VLOOKUP($Y124,客戶編輯設定自動代出!$A:$C,3,0)</f>
        <v>#N/A</v>
      </c>
      <c r="AA124" s="70" t="e">
        <f>VLOOKUP($Y124,客戶編輯設定自動代出!$A:$C,2,0)</f>
        <v>#N/A</v>
      </c>
      <c r="AB124" s="70" t="s">
        <v>1736</v>
      </c>
      <c r="AC124" s="70"/>
      <c r="AD124" s="70"/>
      <c r="AE124" s="72"/>
      <c r="AF124" s="72">
        <f t="shared" si="30"/>
        <v>0</v>
      </c>
      <c r="AG124" s="73"/>
      <c r="AH124" s="74">
        <f t="shared" si="31"/>
        <v>0</v>
      </c>
      <c r="AI124" s="74">
        <f t="shared" si="32"/>
        <v>0</v>
      </c>
      <c r="AJ124" s="71" t="str">
        <f t="shared" si="34"/>
        <v>Y</v>
      </c>
      <c r="AK124" s="71"/>
      <c r="AL124" s="71"/>
      <c r="AM124" s="75"/>
      <c r="AN124" s="75"/>
      <c r="AO124" s="75"/>
      <c r="AP124" s="75"/>
      <c r="AR124" s="70"/>
      <c r="BB124" s="77"/>
      <c r="BC124" s="74"/>
      <c r="BD124" s="74"/>
      <c r="BO124" s="78"/>
      <c r="BT124" s="75"/>
    </row>
    <row r="125" spans="1:72" ht="16.5" x14ac:dyDescent="0.25">
      <c r="A125" s="64">
        <v>124</v>
      </c>
      <c r="B125" s="69"/>
      <c r="E125" s="70" t="e">
        <f>VLOOKUP($D125,客戶編輯設定自動代出!$A:$C,3,0)</f>
        <v>#N/A</v>
      </c>
      <c r="F125" s="70" t="e">
        <f>VLOOKUP($D125,客戶編輯設定自動代出!$A:$C,2,0)</f>
        <v>#N/A</v>
      </c>
      <c r="G125" s="70" t="s">
        <v>1477</v>
      </c>
      <c r="K125" s="72">
        <f t="shared" si="38"/>
        <v>0</v>
      </c>
      <c r="M125" s="74">
        <f t="shared" si="39"/>
        <v>0</v>
      </c>
      <c r="N125" s="74">
        <f t="shared" si="40"/>
        <v>0</v>
      </c>
      <c r="O125" s="71" t="str">
        <f t="shared" si="41"/>
        <v>Y</v>
      </c>
      <c r="Q125" s="119"/>
      <c r="R125" s="75"/>
      <c r="S125" s="75"/>
      <c r="T125" s="75"/>
      <c r="U125" s="75"/>
      <c r="V125" s="64">
        <v>124</v>
      </c>
      <c r="W125" s="69"/>
      <c r="X125" s="70"/>
      <c r="Y125" s="71"/>
      <c r="Z125" s="70" t="e">
        <f>VLOOKUP($Y125,客戶編輯設定自動代出!$A:$C,3,0)</f>
        <v>#N/A</v>
      </c>
      <c r="AA125" s="70" t="e">
        <f>VLOOKUP($Y125,客戶編輯設定自動代出!$A:$C,2,0)</f>
        <v>#N/A</v>
      </c>
      <c r="AB125" s="70" t="s">
        <v>1737</v>
      </c>
      <c r="AC125" s="70"/>
      <c r="AD125" s="70"/>
      <c r="AE125" s="72"/>
      <c r="AF125" s="72">
        <f t="shared" si="30"/>
        <v>0</v>
      </c>
      <c r="AG125" s="73"/>
      <c r="AH125" s="74">
        <f t="shared" si="31"/>
        <v>0</v>
      </c>
      <c r="AI125" s="74">
        <f t="shared" si="32"/>
        <v>0</v>
      </c>
      <c r="AJ125" s="71" t="str">
        <f t="shared" si="34"/>
        <v>Y</v>
      </c>
      <c r="AK125" s="71"/>
      <c r="AL125" s="71"/>
      <c r="AM125" s="75"/>
      <c r="AN125" s="75"/>
      <c r="AO125" s="75"/>
      <c r="AP125" s="75"/>
      <c r="AR125" s="70"/>
      <c r="BB125" s="77"/>
      <c r="BC125" s="74"/>
      <c r="BD125" s="74"/>
      <c r="BO125" s="78"/>
      <c r="BT125" s="75"/>
    </row>
    <row r="126" spans="1:72" ht="16.5" x14ac:dyDescent="0.25">
      <c r="A126" s="64">
        <v>125</v>
      </c>
      <c r="B126" s="69"/>
      <c r="E126" s="70" t="e">
        <f>VLOOKUP($D126,客戶編輯設定自動代出!$A:$C,3,0)</f>
        <v>#N/A</v>
      </c>
      <c r="F126" s="70" t="e">
        <f>VLOOKUP($D126,客戶編輯設定自動代出!$A:$C,2,0)</f>
        <v>#N/A</v>
      </c>
      <c r="G126" s="70" t="s">
        <v>1478</v>
      </c>
      <c r="K126" s="72">
        <f t="shared" si="38"/>
        <v>0</v>
      </c>
      <c r="M126" s="74">
        <f t="shared" si="39"/>
        <v>0</v>
      </c>
      <c r="N126" s="74">
        <f t="shared" si="40"/>
        <v>0</v>
      </c>
      <c r="O126" s="71" t="str">
        <f t="shared" si="41"/>
        <v>Y</v>
      </c>
      <c r="Q126" s="119"/>
      <c r="R126" s="75"/>
      <c r="S126" s="75"/>
      <c r="T126" s="75"/>
      <c r="U126" s="75"/>
      <c r="V126" s="64">
        <v>125</v>
      </c>
      <c r="W126" s="69"/>
      <c r="X126" s="70"/>
      <c r="Y126" s="71"/>
      <c r="Z126" s="70" t="e">
        <f>VLOOKUP($Y126,客戶編輯設定自動代出!$A:$C,3,0)</f>
        <v>#N/A</v>
      </c>
      <c r="AA126" s="70" t="e">
        <f>VLOOKUP($Y126,客戶編輯設定自動代出!$A:$C,2,0)</f>
        <v>#N/A</v>
      </c>
      <c r="AB126" s="70" t="s">
        <v>1738</v>
      </c>
      <c r="AC126" s="70"/>
      <c r="AD126" s="70"/>
      <c r="AE126" s="72"/>
      <c r="AF126" s="72">
        <f t="shared" si="30"/>
        <v>0</v>
      </c>
      <c r="AG126" s="73"/>
      <c r="AH126" s="74">
        <f t="shared" si="31"/>
        <v>0</v>
      </c>
      <c r="AI126" s="74">
        <f t="shared" si="32"/>
        <v>0</v>
      </c>
      <c r="AJ126" s="71" t="str">
        <f t="shared" si="34"/>
        <v>Y</v>
      </c>
      <c r="AK126" s="71"/>
      <c r="AL126" s="71"/>
      <c r="AM126" s="75"/>
      <c r="AN126" s="75"/>
      <c r="AO126" s="75"/>
      <c r="AP126" s="75"/>
      <c r="AR126" s="70"/>
      <c r="BB126" s="77"/>
      <c r="BC126" s="74"/>
      <c r="BD126" s="74"/>
      <c r="BO126" s="78"/>
      <c r="BT126" s="75"/>
    </row>
    <row r="127" spans="1:72" ht="16.5" x14ac:dyDescent="0.25">
      <c r="A127" s="64">
        <v>126</v>
      </c>
      <c r="B127" s="69"/>
      <c r="E127" s="70" t="e">
        <f>VLOOKUP($D127,客戶編輯設定自動代出!$A:$C,3,0)</f>
        <v>#N/A</v>
      </c>
      <c r="F127" s="70" t="e">
        <f>VLOOKUP($D127,客戶編輯設定自動代出!$A:$C,2,0)</f>
        <v>#N/A</v>
      </c>
      <c r="G127" s="70" t="s">
        <v>1479</v>
      </c>
      <c r="K127" s="72">
        <f t="shared" si="38"/>
        <v>0</v>
      </c>
      <c r="M127" s="74">
        <f t="shared" si="39"/>
        <v>0</v>
      </c>
      <c r="N127" s="74">
        <f t="shared" si="40"/>
        <v>0</v>
      </c>
      <c r="O127" s="71" t="str">
        <f t="shared" si="41"/>
        <v>Y</v>
      </c>
      <c r="Q127" s="119"/>
      <c r="R127" s="75"/>
      <c r="S127" s="75"/>
      <c r="T127" s="75"/>
      <c r="U127" s="75"/>
      <c r="V127" s="64">
        <v>126</v>
      </c>
      <c r="W127" s="69"/>
      <c r="X127" s="70"/>
      <c r="Y127" s="71"/>
      <c r="Z127" s="70" t="e">
        <f>VLOOKUP($Y127,客戶編輯設定自動代出!$A:$C,3,0)</f>
        <v>#N/A</v>
      </c>
      <c r="AA127" s="70" t="e">
        <f>VLOOKUP($Y127,客戶編輯設定自動代出!$A:$C,2,0)</f>
        <v>#N/A</v>
      </c>
      <c r="AB127" s="70" t="s">
        <v>1739</v>
      </c>
      <c r="AC127" s="70"/>
      <c r="AD127" s="70"/>
      <c r="AE127" s="72"/>
      <c r="AF127" s="72">
        <f t="shared" si="30"/>
        <v>0</v>
      </c>
      <c r="AG127" s="73"/>
      <c r="AH127" s="74">
        <f t="shared" si="31"/>
        <v>0</v>
      </c>
      <c r="AI127" s="74">
        <f t="shared" si="32"/>
        <v>0</v>
      </c>
      <c r="AJ127" s="71" t="str">
        <f t="shared" si="34"/>
        <v>Y</v>
      </c>
      <c r="AK127" s="71"/>
      <c r="AL127" s="71"/>
      <c r="AM127" s="75"/>
      <c r="AN127" s="75"/>
      <c r="AO127" s="75"/>
      <c r="AP127" s="75"/>
      <c r="AR127" s="70"/>
      <c r="BB127" s="77"/>
      <c r="BC127" s="74"/>
      <c r="BD127" s="74"/>
      <c r="BO127" s="78"/>
      <c r="BT127" s="75"/>
    </row>
    <row r="128" spans="1:72" ht="16.5" x14ac:dyDescent="0.25">
      <c r="A128" s="64">
        <v>127</v>
      </c>
      <c r="B128" s="69"/>
      <c r="E128" s="70" t="e">
        <f>VLOOKUP($D128,客戶編輯設定自動代出!$A:$C,3,0)</f>
        <v>#N/A</v>
      </c>
      <c r="F128" s="70" t="e">
        <f>VLOOKUP($D128,客戶編輯設定自動代出!$A:$C,2,0)</f>
        <v>#N/A</v>
      </c>
      <c r="G128" s="70" t="s">
        <v>1480</v>
      </c>
      <c r="K128" s="72">
        <f t="shared" si="38"/>
        <v>0</v>
      </c>
      <c r="M128" s="74">
        <f t="shared" si="39"/>
        <v>0</v>
      </c>
      <c r="N128" s="74">
        <f t="shared" si="40"/>
        <v>0</v>
      </c>
      <c r="O128" s="71" t="str">
        <f t="shared" si="41"/>
        <v>Y</v>
      </c>
      <c r="Q128" s="119"/>
      <c r="R128" s="75"/>
      <c r="S128" s="75"/>
      <c r="T128" s="75"/>
      <c r="U128" s="75"/>
      <c r="V128" s="64">
        <v>127</v>
      </c>
      <c r="W128" s="69"/>
      <c r="X128" s="70"/>
      <c r="Y128" s="71"/>
      <c r="Z128" s="70" t="e">
        <f>VLOOKUP($Y128,客戶編輯設定自動代出!$A:$C,3,0)</f>
        <v>#N/A</v>
      </c>
      <c r="AA128" s="70" t="e">
        <f>VLOOKUP($Y128,客戶編輯設定自動代出!$A:$C,2,0)</f>
        <v>#N/A</v>
      </c>
      <c r="AB128" s="70" t="s">
        <v>1740</v>
      </c>
      <c r="AC128" s="70"/>
      <c r="AD128" s="70"/>
      <c r="AE128" s="72"/>
      <c r="AF128" s="72">
        <f t="shared" si="30"/>
        <v>0</v>
      </c>
      <c r="AG128" s="73"/>
      <c r="AH128" s="74">
        <f t="shared" si="31"/>
        <v>0</v>
      </c>
      <c r="AI128" s="74">
        <f t="shared" si="32"/>
        <v>0</v>
      </c>
      <c r="AJ128" s="71" t="str">
        <f t="shared" si="34"/>
        <v>Y</v>
      </c>
      <c r="AK128" s="71"/>
      <c r="AL128" s="71"/>
      <c r="AM128" s="75"/>
      <c r="AN128" s="75"/>
      <c r="AO128" s="75"/>
      <c r="AP128" s="75"/>
      <c r="AR128" s="70"/>
      <c r="BC128" s="73"/>
      <c r="BD128" s="73"/>
      <c r="BO128" s="78"/>
      <c r="BT128" s="75"/>
    </row>
    <row r="129" spans="1:72" ht="16.5" x14ac:dyDescent="0.25">
      <c r="A129" s="64">
        <v>128</v>
      </c>
      <c r="B129" s="69"/>
      <c r="E129" s="70" t="e">
        <f>VLOOKUP($D129,客戶編輯設定自動代出!$A:$C,3,0)</f>
        <v>#N/A</v>
      </c>
      <c r="F129" s="70" t="e">
        <f>VLOOKUP($D129,客戶編輯設定自動代出!$A:$C,2,0)</f>
        <v>#N/A</v>
      </c>
      <c r="G129" s="70" t="s">
        <v>1481</v>
      </c>
      <c r="K129" s="72">
        <f t="shared" si="38"/>
        <v>0</v>
      </c>
      <c r="M129" s="74">
        <f t="shared" si="39"/>
        <v>0</v>
      </c>
      <c r="N129" s="74">
        <f t="shared" si="40"/>
        <v>0</v>
      </c>
      <c r="O129" s="71" t="str">
        <f t="shared" si="41"/>
        <v>Y</v>
      </c>
      <c r="Q129" s="119"/>
      <c r="R129" s="75"/>
      <c r="S129" s="75"/>
      <c r="T129" s="75"/>
      <c r="U129" s="75"/>
      <c r="V129" s="64">
        <v>128</v>
      </c>
      <c r="W129" s="69"/>
      <c r="X129" s="70"/>
      <c r="Y129" s="71"/>
      <c r="Z129" s="70" t="e">
        <f>VLOOKUP($Y129,客戶編輯設定自動代出!$A:$C,3,0)</f>
        <v>#N/A</v>
      </c>
      <c r="AA129" s="70" t="e">
        <f>VLOOKUP($Y129,客戶編輯設定自動代出!$A:$C,2,0)</f>
        <v>#N/A</v>
      </c>
      <c r="AB129" s="70" t="s">
        <v>1741</v>
      </c>
      <c r="AC129" s="70"/>
      <c r="AD129" s="70"/>
      <c r="AE129" s="72"/>
      <c r="AF129" s="72">
        <f t="shared" si="30"/>
        <v>0</v>
      </c>
      <c r="AG129" s="73"/>
      <c r="AH129" s="74">
        <f t="shared" si="31"/>
        <v>0</v>
      </c>
      <c r="AI129" s="74">
        <f t="shared" si="32"/>
        <v>0</v>
      </c>
      <c r="AJ129" s="71" t="str">
        <f t="shared" si="34"/>
        <v>Y</v>
      </c>
      <c r="AK129" s="71"/>
      <c r="AL129" s="71"/>
      <c r="AM129" s="75"/>
      <c r="AN129" s="75"/>
      <c r="AO129" s="75"/>
      <c r="AP129" s="75"/>
      <c r="AR129" s="70"/>
      <c r="BB129" s="77"/>
      <c r="BC129" s="74"/>
      <c r="BD129" s="74"/>
      <c r="BO129" s="78"/>
      <c r="BT129" s="75"/>
    </row>
    <row r="130" spans="1:72" ht="16.5" x14ac:dyDescent="0.25">
      <c r="A130" s="64">
        <v>129</v>
      </c>
      <c r="B130" s="69"/>
      <c r="E130" s="70" t="e">
        <f>VLOOKUP($D130,客戶編輯設定自動代出!$A:$C,3,0)</f>
        <v>#N/A</v>
      </c>
      <c r="F130" s="70" t="e">
        <f>VLOOKUP($D130,客戶編輯設定自動代出!$A:$C,2,0)</f>
        <v>#N/A</v>
      </c>
      <c r="G130" s="70" t="s">
        <v>1482</v>
      </c>
      <c r="K130" s="72">
        <f t="shared" si="38"/>
        <v>0</v>
      </c>
      <c r="M130" s="74">
        <f t="shared" si="39"/>
        <v>0</v>
      </c>
      <c r="N130" s="74">
        <f t="shared" si="40"/>
        <v>0</v>
      </c>
      <c r="O130" s="71" t="str">
        <f t="shared" si="41"/>
        <v>Y</v>
      </c>
      <c r="Q130" s="119"/>
      <c r="R130" s="75"/>
      <c r="S130" s="75"/>
      <c r="T130" s="75"/>
      <c r="U130" s="75"/>
      <c r="V130" s="64">
        <v>129</v>
      </c>
      <c r="W130" s="69"/>
      <c r="X130" s="70"/>
      <c r="Y130" s="71"/>
      <c r="Z130" s="70" t="e">
        <f>VLOOKUP($Y130,客戶編輯設定自動代出!$A:$C,3,0)</f>
        <v>#N/A</v>
      </c>
      <c r="AA130" s="70" t="e">
        <f>VLOOKUP($Y130,客戶編輯設定自動代出!$A:$C,2,0)</f>
        <v>#N/A</v>
      </c>
      <c r="AB130" s="70" t="s">
        <v>1742</v>
      </c>
      <c r="AC130" s="70"/>
      <c r="AD130" s="70"/>
      <c r="AE130" s="72"/>
      <c r="AF130" s="72">
        <f t="shared" si="30"/>
        <v>0</v>
      </c>
      <c r="AG130" s="73"/>
      <c r="AH130" s="74">
        <f t="shared" si="31"/>
        <v>0</v>
      </c>
      <c r="AI130" s="74">
        <f t="shared" si="32"/>
        <v>0</v>
      </c>
      <c r="AJ130" s="71" t="str">
        <f t="shared" si="34"/>
        <v>Y</v>
      </c>
      <c r="AK130" s="71"/>
      <c r="AL130" s="71"/>
      <c r="AM130" s="75"/>
      <c r="AN130" s="75"/>
      <c r="AO130" s="75"/>
      <c r="AP130" s="75"/>
      <c r="AR130" s="70"/>
      <c r="BB130" s="77"/>
      <c r="BC130" s="74"/>
      <c r="BD130" s="74"/>
      <c r="BO130" s="78"/>
      <c r="BT130" s="75"/>
    </row>
    <row r="131" spans="1:72" ht="16.5" x14ac:dyDescent="0.25">
      <c r="A131" s="64">
        <v>130</v>
      </c>
      <c r="B131" s="69"/>
      <c r="E131" s="70" t="e">
        <f>VLOOKUP($D131,客戶編輯設定自動代出!$A:$C,3,0)</f>
        <v>#N/A</v>
      </c>
      <c r="F131" s="70" t="e">
        <f>VLOOKUP($D131,客戶編輯設定自動代出!$A:$C,2,0)</f>
        <v>#N/A</v>
      </c>
      <c r="G131" s="70" t="s">
        <v>1483</v>
      </c>
      <c r="K131" s="72">
        <f t="shared" si="38"/>
        <v>0</v>
      </c>
      <c r="M131" s="74">
        <f t="shared" si="39"/>
        <v>0</v>
      </c>
      <c r="N131" s="74">
        <f t="shared" si="40"/>
        <v>0</v>
      </c>
      <c r="O131" s="71" t="str">
        <f t="shared" si="41"/>
        <v>Y</v>
      </c>
      <c r="Q131" s="119"/>
      <c r="R131" s="75"/>
      <c r="S131" s="75"/>
      <c r="T131" s="75"/>
      <c r="U131" s="75"/>
      <c r="V131" s="64">
        <v>130</v>
      </c>
      <c r="W131" s="69"/>
      <c r="X131" s="70"/>
      <c r="Y131" s="71"/>
      <c r="Z131" s="70" t="e">
        <f>VLOOKUP($Y131,客戶編輯設定自動代出!$A:$C,3,0)</f>
        <v>#N/A</v>
      </c>
      <c r="AA131" s="70" t="e">
        <f>VLOOKUP($Y131,客戶編輯設定自動代出!$A:$C,2,0)</f>
        <v>#N/A</v>
      </c>
      <c r="AB131" s="70" t="s">
        <v>1743</v>
      </c>
      <c r="AC131" s="70"/>
      <c r="AD131" s="70"/>
      <c r="AE131" s="72"/>
      <c r="AF131" s="72">
        <f t="shared" si="30"/>
        <v>0</v>
      </c>
      <c r="AG131" s="73"/>
      <c r="AH131" s="74">
        <f t="shared" si="31"/>
        <v>0</v>
      </c>
      <c r="AI131" s="74">
        <f t="shared" si="32"/>
        <v>0</v>
      </c>
      <c r="AJ131" s="71" t="str">
        <f t="shared" si="34"/>
        <v>Y</v>
      </c>
      <c r="AK131" s="71"/>
      <c r="AL131" s="71"/>
      <c r="AM131" s="75"/>
      <c r="AN131" s="75"/>
      <c r="AO131" s="75"/>
      <c r="AP131" s="75"/>
      <c r="AR131" s="70"/>
      <c r="BC131" s="74"/>
      <c r="BD131" s="74"/>
      <c r="BO131" s="78"/>
      <c r="BT131" s="75"/>
    </row>
    <row r="132" spans="1:72" ht="16.5" x14ac:dyDescent="0.25">
      <c r="A132" s="64">
        <v>131</v>
      </c>
      <c r="B132" s="69"/>
      <c r="E132" s="70" t="e">
        <f>VLOOKUP($D132,客戶編輯設定自動代出!$A:$C,3,0)</f>
        <v>#N/A</v>
      </c>
      <c r="F132" s="70" t="e">
        <f>VLOOKUP($D132,客戶編輯設定自動代出!$A:$C,2,0)</f>
        <v>#N/A</v>
      </c>
      <c r="G132" s="70" t="s">
        <v>1484</v>
      </c>
      <c r="K132" s="72">
        <f t="shared" si="38"/>
        <v>0</v>
      </c>
      <c r="M132" s="74">
        <f t="shared" si="39"/>
        <v>0</v>
      </c>
      <c r="N132" s="74">
        <f t="shared" si="40"/>
        <v>0</v>
      </c>
      <c r="O132" s="71" t="str">
        <f t="shared" si="41"/>
        <v>Y</v>
      </c>
      <c r="Q132" s="119"/>
      <c r="R132" s="75"/>
      <c r="S132" s="75"/>
      <c r="T132" s="75"/>
      <c r="U132" s="75"/>
      <c r="V132" s="64">
        <v>131</v>
      </c>
      <c r="W132" s="69"/>
      <c r="X132" s="70"/>
      <c r="Y132" s="71"/>
      <c r="Z132" s="70" t="e">
        <f>VLOOKUP($Y132,客戶編輯設定自動代出!$A:$C,3,0)</f>
        <v>#N/A</v>
      </c>
      <c r="AA132" s="70" t="e">
        <f>VLOOKUP($Y132,客戶編輯設定自動代出!$A:$C,2,0)</f>
        <v>#N/A</v>
      </c>
      <c r="AB132" s="70" t="s">
        <v>1744</v>
      </c>
      <c r="AC132" s="70"/>
      <c r="AD132" s="70"/>
      <c r="AE132" s="72"/>
      <c r="AF132" s="72">
        <f t="shared" ref="AF132:AF195" si="46">AD132*AE132</f>
        <v>0</v>
      </c>
      <c r="AG132" s="73"/>
      <c r="AH132" s="74">
        <f t="shared" ref="AH132:AH195" si="47">AG132/1.05</f>
        <v>0</v>
      </c>
      <c r="AI132" s="74">
        <f t="shared" ref="AI132:AI195" si="48">AH132*0.05</f>
        <v>0</v>
      </c>
      <c r="AJ132" s="71" t="str">
        <f t="shared" si="34"/>
        <v>Y</v>
      </c>
      <c r="AK132" s="71"/>
      <c r="AL132" s="71"/>
      <c r="AM132" s="75"/>
      <c r="AN132" s="75"/>
      <c r="AO132" s="75"/>
      <c r="AP132" s="75"/>
      <c r="AR132" s="70"/>
      <c r="BC132" s="74"/>
      <c r="BD132" s="74"/>
      <c r="BO132" s="78"/>
      <c r="BT132" s="75"/>
    </row>
    <row r="133" spans="1:72" ht="16.5" x14ac:dyDescent="0.25">
      <c r="A133" s="64">
        <v>132</v>
      </c>
      <c r="B133" s="69"/>
      <c r="E133" s="70" t="e">
        <f>VLOOKUP($D133,客戶編輯設定自動代出!$A:$C,3,0)</f>
        <v>#N/A</v>
      </c>
      <c r="F133" s="70" t="e">
        <f>VLOOKUP($D133,客戶編輯設定自動代出!$A:$C,2,0)</f>
        <v>#N/A</v>
      </c>
      <c r="G133" s="70" t="s">
        <v>1485</v>
      </c>
      <c r="K133" s="72">
        <f t="shared" si="38"/>
        <v>0</v>
      </c>
      <c r="M133" s="74">
        <f t="shared" si="39"/>
        <v>0</v>
      </c>
      <c r="N133" s="74">
        <f t="shared" si="40"/>
        <v>0</v>
      </c>
      <c r="O133" s="71" t="str">
        <f t="shared" si="41"/>
        <v>Y</v>
      </c>
      <c r="Q133" s="119"/>
      <c r="R133" s="75"/>
      <c r="S133" s="75"/>
      <c r="T133" s="75"/>
      <c r="U133" s="75"/>
      <c r="V133" s="64">
        <v>132</v>
      </c>
      <c r="W133" s="69"/>
      <c r="X133" s="70"/>
      <c r="Y133" s="71"/>
      <c r="Z133" s="70" t="e">
        <f>VLOOKUP($Y133,客戶編輯設定自動代出!$A:$C,3,0)</f>
        <v>#N/A</v>
      </c>
      <c r="AA133" s="70" t="e">
        <f>VLOOKUP($Y133,客戶編輯設定自動代出!$A:$C,2,0)</f>
        <v>#N/A</v>
      </c>
      <c r="AB133" s="70" t="s">
        <v>1745</v>
      </c>
      <c r="AC133" s="70"/>
      <c r="AD133" s="70"/>
      <c r="AE133" s="72"/>
      <c r="AF133" s="72">
        <f t="shared" si="46"/>
        <v>0</v>
      </c>
      <c r="AG133" s="73"/>
      <c r="AH133" s="74">
        <f t="shared" si="47"/>
        <v>0</v>
      </c>
      <c r="AI133" s="74">
        <f t="shared" si="48"/>
        <v>0</v>
      </c>
      <c r="AJ133" s="71" t="str">
        <f t="shared" ref="AJ133:AJ196" si="49">IF($AF133=$AG133,"Y","N")</f>
        <v>Y</v>
      </c>
      <c r="AK133" s="71"/>
      <c r="AL133" s="71"/>
      <c r="AM133" s="75"/>
      <c r="AN133" s="75"/>
      <c r="AO133" s="75"/>
      <c r="AP133" s="75"/>
      <c r="AR133" s="70"/>
      <c r="BC133" s="74"/>
      <c r="BD133" s="74"/>
      <c r="BO133" s="78"/>
      <c r="BT133" s="75"/>
    </row>
    <row r="134" spans="1:72" ht="16.5" x14ac:dyDescent="0.25">
      <c r="A134" s="64">
        <v>133</v>
      </c>
      <c r="B134" s="69"/>
      <c r="E134" s="70" t="e">
        <f>VLOOKUP($D134,客戶編輯設定自動代出!$A:$C,3,0)</f>
        <v>#N/A</v>
      </c>
      <c r="F134" s="70" t="e">
        <f>VLOOKUP($D134,客戶編輯設定自動代出!$A:$C,2,0)</f>
        <v>#N/A</v>
      </c>
      <c r="G134" s="70" t="s">
        <v>1486</v>
      </c>
      <c r="K134" s="72">
        <f t="shared" si="38"/>
        <v>0</v>
      </c>
      <c r="M134" s="74">
        <f t="shared" si="39"/>
        <v>0</v>
      </c>
      <c r="N134" s="74">
        <f t="shared" si="40"/>
        <v>0</v>
      </c>
      <c r="O134" s="71" t="str">
        <f t="shared" si="41"/>
        <v>Y</v>
      </c>
      <c r="Q134" s="119"/>
      <c r="R134" s="75"/>
      <c r="S134" s="75"/>
      <c r="T134" s="75"/>
      <c r="U134" s="75"/>
      <c r="V134" s="64">
        <v>133</v>
      </c>
      <c r="W134" s="69"/>
      <c r="X134" s="70"/>
      <c r="Y134" s="71"/>
      <c r="Z134" s="70" t="e">
        <f>VLOOKUP($Y134,客戶編輯設定自動代出!$A:$C,3,0)</f>
        <v>#N/A</v>
      </c>
      <c r="AA134" s="70" t="e">
        <f>VLOOKUP($Y134,客戶編輯設定自動代出!$A:$C,2,0)</f>
        <v>#N/A</v>
      </c>
      <c r="AB134" s="70" t="s">
        <v>1746</v>
      </c>
      <c r="AC134" s="70"/>
      <c r="AD134" s="70"/>
      <c r="AE134" s="72"/>
      <c r="AF134" s="72">
        <f t="shared" si="46"/>
        <v>0</v>
      </c>
      <c r="AG134" s="73"/>
      <c r="AH134" s="74">
        <f t="shared" si="47"/>
        <v>0</v>
      </c>
      <c r="AI134" s="74">
        <f t="shared" si="48"/>
        <v>0</v>
      </c>
      <c r="AJ134" s="71" t="str">
        <f t="shared" si="49"/>
        <v>Y</v>
      </c>
      <c r="AK134" s="71"/>
      <c r="AL134" s="71"/>
      <c r="AM134" s="75"/>
      <c r="AN134" s="75"/>
      <c r="AO134" s="75"/>
      <c r="AP134" s="75"/>
      <c r="AR134" s="70"/>
      <c r="BC134" s="74"/>
      <c r="BD134" s="74"/>
      <c r="BO134" s="78"/>
      <c r="BT134" s="75"/>
    </row>
    <row r="135" spans="1:72" ht="16.5" x14ac:dyDescent="0.25">
      <c r="A135" s="64">
        <v>134</v>
      </c>
      <c r="B135" s="69"/>
      <c r="E135" s="70" t="e">
        <f>VLOOKUP($D135,客戶編輯設定自動代出!$A:$C,3,0)</f>
        <v>#N/A</v>
      </c>
      <c r="F135" s="70" t="e">
        <f>VLOOKUP($D135,客戶編輯設定自動代出!$A:$C,2,0)</f>
        <v>#N/A</v>
      </c>
      <c r="G135" s="70" t="s">
        <v>1487</v>
      </c>
      <c r="K135" s="72">
        <f t="shared" si="38"/>
        <v>0</v>
      </c>
      <c r="M135" s="74">
        <f t="shared" si="39"/>
        <v>0</v>
      </c>
      <c r="N135" s="74">
        <f t="shared" si="40"/>
        <v>0</v>
      </c>
      <c r="O135" s="71" t="str">
        <f t="shared" si="41"/>
        <v>Y</v>
      </c>
      <c r="Q135" s="119"/>
      <c r="R135" s="75"/>
      <c r="S135" s="75"/>
      <c r="T135" s="75"/>
      <c r="U135" s="75"/>
      <c r="V135" s="64">
        <v>134</v>
      </c>
      <c r="W135" s="69"/>
      <c r="X135" s="70"/>
      <c r="Y135" s="71"/>
      <c r="Z135" s="70" t="e">
        <f>VLOOKUP($Y135,客戶編輯設定自動代出!$A:$C,3,0)</f>
        <v>#N/A</v>
      </c>
      <c r="AA135" s="70" t="e">
        <f>VLOOKUP($Y135,客戶編輯設定自動代出!$A:$C,2,0)</f>
        <v>#N/A</v>
      </c>
      <c r="AB135" s="70" t="s">
        <v>1747</v>
      </c>
      <c r="AC135" s="70"/>
      <c r="AD135" s="70"/>
      <c r="AE135" s="72"/>
      <c r="AF135" s="72">
        <f t="shared" si="46"/>
        <v>0</v>
      </c>
      <c r="AG135" s="73"/>
      <c r="AH135" s="74">
        <f t="shared" si="47"/>
        <v>0</v>
      </c>
      <c r="AI135" s="74">
        <f t="shared" si="48"/>
        <v>0</v>
      </c>
      <c r="AJ135" s="71" t="str">
        <f t="shared" si="49"/>
        <v>Y</v>
      </c>
      <c r="AK135" s="71"/>
      <c r="AL135" s="71"/>
      <c r="AM135" s="75"/>
      <c r="AN135" s="75"/>
      <c r="AO135" s="75"/>
      <c r="AP135" s="75"/>
      <c r="AR135" s="70"/>
      <c r="BC135" s="74"/>
      <c r="BD135" s="74"/>
      <c r="BO135" s="78"/>
      <c r="BT135" s="75"/>
    </row>
    <row r="136" spans="1:72" ht="16.5" x14ac:dyDescent="0.25">
      <c r="A136" s="64">
        <v>135</v>
      </c>
      <c r="B136" s="69"/>
      <c r="E136" s="70" t="e">
        <f>VLOOKUP($D136,客戶編輯設定自動代出!$A:$C,3,0)</f>
        <v>#N/A</v>
      </c>
      <c r="F136" s="70" t="e">
        <f>VLOOKUP($D136,客戶編輯設定自動代出!$A:$C,2,0)</f>
        <v>#N/A</v>
      </c>
      <c r="G136" s="70" t="s">
        <v>1488</v>
      </c>
      <c r="K136" s="72">
        <f t="shared" si="38"/>
        <v>0</v>
      </c>
      <c r="M136" s="74">
        <f t="shared" si="39"/>
        <v>0</v>
      </c>
      <c r="N136" s="74">
        <f t="shared" si="40"/>
        <v>0</v>
      </c>
      <c r="O136" s="71" t="str">
        <f t="shared" si="41"/>
        <v>Y</v>
      </c>
      <c r="Q136" s="119"/>
      <c r="R136" s="75"/>
      <c r="S136" s="75"/>
      <c r="T136" s="75"/>
      <c r="U136" s="75"/>
      <c r="V136" s="64">
        <v>135</v>
      </c>
      <c r="W136" s="69"/>
      <c r="X136" s="70"/>
      <c r="Y136" s="71"/>
      <c r="Z136" s="70" t="e">
        <f>VLOOKUP($Y136,客戶編輯設定自動代出!$A:$C,3,0)</f>
        <v>#N/A</v>
      </c>
      <c r="AA136" s="70" t="e">
        <f>VLOOKUP($Y136,客戶編輯設定自動代出!$A:$C,2,0)</f>
        <v>#N/A</v>
      </c>
      <c r="AB136" s="70" t="s">
        <v>1748</v>
      </c>
      <c r="AC136" s="70"/>
      <c r="AD136" s="70"/>
      <c r="AE136" s="72"/>
      <c r="AF136" s="72">
        <f t="shared" si="46"/>
        <v>0</v>
      </c>
      <c r="AG136" s="73"/>
      <c r="AH136" s="74">
        <f t="shared" si="47"/>
        <v>0</v>
      </c>
      <c r="AI136" s="74">
        <f t="shared" si="48"/>
        <v>0</v>
      </c>
      <c r="AJ136" s="71" t="str">
        <f t="shared" si="49"/>
        <v>Y</v>
      </c>
      <c r="AK136" s="71"/>
      <c r="AL136" s="71"/>
      <c r="AM136" s="75"/>
      <c r="AN136" s="75"/>
      <c r="AO136" s="75"/>
      <c r="AP136" s="75"/>
      <c r="AR136" s="70"/>
      <c r="BC136" s="74"/>
      <c r="BD136" s="74"/>
      <c r="BO136" s="78"/>
      <c r="BT136" s="75"/>
    </row>
    <row r="137" spans="1:72" ht="16.5" x14ac:dyDescent="0.25">
      <c r="A137" s="64">
        <v>136</v>
      </c>
      <c r="B137" s="69"/>
      <c r="E137" s="70" t="e">
        <f>VLOOKUP($D137,客戶編輯設定自動代出!$A:$C,3,0)</f>
        <v>#N/A</v>
      </c>
      <c r="F137" s="70" t="e">
        <f>VLOOKUP($D137,客戶編輯設定自動代出!$A:$C,2,0)</f>
        <v>#N/A</v>
      </c>
      <c r="G137" s="70" t="s">
        <v>1489</v>
      </c>
      <c r="K137" s="72">
        <f t="shared" si="38"/>
        <v>0</v>
      </c>
      <c r="M137" s="74">
        <f t="shared" si="39"/>
        <v>0</v>
      </c>
      <c r="N137" s="74">
        <f t="shared" si="40"/>
        <v>0</v>
      </c>
      <c r="O137" s="71" t="str">
        <f t="shared" si="41"/>
        <v>Y</v>
      </c>
      <c r="Q137" s="119"/>
      <c r="R137" s="75"/>
      <c r="S137" s="75"/>
      <c r="T137" s="75"/>
      <c r="U137" s="75"/>
      <c r="V137" s="64">
        <v>136</v>
      </c>
      <c r="W137" s="69"/>
      <c r="X137" s="70"/>
      <c r="Y137" s="71"/>
      <c r="Z137" s="70" t="e">
        <f>VLOOKUP($Y137,客戶編輯設定自動代出!$A:$C,3,0)</f>
        <v>#N/A</v>
      </c>
      <c r="AA137" s="70" t="e">
        <f>VLOOKUP($Y137,客戶編輯設定自動代出!$A:$C,2,0)</f>
        <v>#N/A</v>
      </c>
      <c r="AB137" s="70" t="s">
        <v>1749</v>
      </c>
      <c r="AC137" s="70"/>
      <c r="AD137" s="70"/>
      <c r="AE137" s="72"/>
      <c r="AF137" s="72">
        <f t="shared" si="46"/>
        <v>0</v>
      </c>
      <c r="AG137" s="73"/>
      <c r="AH137" s="74">
        <f t="shared" si="47"/>
        <v>0</v>
      </c>
      <c r="AI137" s="74">
        <f t="shared" si="48"/>
        <v>0</v>
      </c>
      <c r="AJ137" s="71" t="str">
        <f t="shared" si="49"/>
        <v>Y</v>
      </c>
      <c r="AK137" s="71"/>
      <c r="AL137" s="71"/>
      <c r="AM137" s="75"/>
      <c r="AN137" s="75"/>
      <c r="AO137" s="75"/>
      <c r="AP137" s="75"/>
      <c r="AR137" s="70"/>
      <c r="BC137" s="74"/>
      <c r="BD137" s="74"/>
      <c r="BO137" s="78"/>
      <c r="BT137" s="75"/>
    </row>
    <row r="138" spans="1:72" ht="16.5" x14ac:dyDescent="0.25">
      <c r="A138" s="64">
        <v>137</v>
      </c>
      <c r="B138" s="69"/>
      <c r="E138" s="70" t="e">
        <f>VLOOKUP($D138,客戶編輯設定自動代出!$A:$C,3,0)</f>
        <v>#N/A</v>
      </c>
      <c r="F138" s="70" t="e">
        <f>VLOOKUP($D138,客戶編輯設定自動代出!$A:$C,2,0)</f>
        <v>#N/A</v>
      </c>
      <c r="G138" s="70" t="s">
        <v>1490</v>
      </c>
      <c r="K138" s="72">
        <f t="shared" si="38"/>
        <v>0</v>
      </c>
      <c r="M138" s="74">
        <f t="shared" si="39"/>
        <v>0</v>
      </c>
      <c r="N138" s="74">
        <f t="shared" si="40"/>
        <v>0</v>
      </c>
      <c r="O138" s="71" t="str">
        <f t="shared" si="41"/>
        <v>Y</v>
      </c>
      <c r="Q138" s="119"/>
      <c r="R138" s="75"/>
      <c r="S138" s="75"/>
      <c r="T138" s="75"/>
      <c r="U138" s="75"/>
      <c r="V138" s="64">
        <v>137</v>
      </c>
      <c r="W138" s="69"/>
      <c r="X138" s="70"/>
      <c r="Y138" s="71"/>
      <c r="Z138" s="70" t="e">
        <f>VLOOKUP($Y138,客戶編輯設定自動代出!$A:$C,3,0)</f>
        <v>#N/A</v>
      </c>
      <c r="AA138" s="70" t="e">
        <f>VLOOKUP($Y138,客戶編輯設定自動代出!$A:$C,2,0)</f>
        <v>#N/A</v>
      </c>
      <c r="AB138" s="70" t="s">
        <v>1750</v>
      </c>
      <c r="AC138" s="70"/>
      <c r="AD138" s="70"/>
      <c r="AE138" s="72"/>
      <c r="AF138" s="72">
        <f t="shared" si="46"/>
        <v>0</v>
      </c>
      <c r="AG138" s="73"/>
      <c r="AH138" s="74">
        <f t="shared" si="47"/>
        <v>0</v>
      </c>
      <c r="AI138" s="74">
        <f t="shared" si="48"/>
        <v>0</v>
      </c>
      <c r="AJ138" s="71" t="str">
        <f t="shared" si="49"/>
        <v>Y</v>
      </c>
      <c r="AK138" s="71"/>
      <c r="AL138" s="71"/>
      <c r="AM138" s="75"/>
      <c r="AN138" s="75"/>
      <c r="AO138" s="75"/>
      <c r="AP138" s="75"/>
      <c r="AR138" s="70"/>
      <c r="BC138" s="74"/>
      <c r="BD138" s="74"/>
      <c r="BO138" s="78"/>
      <c r="BT138" s="75"/>
    </row>
    <row r="139" spans="1:72" ht="16.5" x14ac:dyDescent="0.25">
      <c r="A139" s="64">
        <v>138</v>
      </c>
      <c r="B139" s="69"/>
      <c r="E139" s="70" t="e">
        <f>VLOOKUP($D139,客戶編輯設定自動代出!$A:$C,3,0)</f>
        <v>#N/A</v>
      </c>
      <c r="F139" s="70" t="e">
        <f>VLOOKUP($D139,客戶編輯設定自動代出!$A:$C,2,0)</f>
        <v>#N/A</v>
      </c>
      <c r="G139" s="70" t="s">
        <v>1491</v>
      </c>
      <c r="K139" s="72">
        <f t="shared" si="38"/>
        <v>0</v>
      </c>
      <c r="M139" s="74">
        <f t="shared" si="39"/>
        <v>0</v>
      </c>
      <c r="N139" s="74">
        <f t="shared" si="40"/>
        <v>0</v>
      </c>
      <c r="O139" s="71" t="str">
        <f t="shared" si="41"/>
        <v>Y</v>
      </c>
      <c r="Q139" s="119"/>
      <c r="R139" s="75"/>
      <c r="S139" s="75"/>
      <c r="T139" s="75"/>
      <c r="U139" s="75"/>
      <c r="V139" s="64">
        <v>138</v>
      </c>
      <c r="W139" s="69"/>
      <c r="X139" s="70"/>
      <c r="Y139" s="71"/>
      <c r="Z139" s="70" t="e">
        <f>VLOOKUP($Y139,客戶編輯設定自動代出!$A:$C,3,0)</f>
        <v>#N/A</v>
      </c>
      <c r="AA139" s="70" t="e">
        <f>VLOOKUP($Y139,客戶編輯設定自動代出!$A:$C,2,0)</f>
        <v>#N/A</v>
      </c>
      <c r="AB139" s="70" t="s">
        <v>1751</v>
      </c>
      <c r="AC139" s="70"/>
      <c r="AD139" s="70"/>
      <c r="AE139" s="72"/>
      <c r="AF139" s="72">
        <f t="shared" si="46"/>
        <v>0</v>
      </c>
      <c r="AG139" s="73"/>
      <c r="AH139" s="74">
        <f t="shared" si="47"/>
        <v>0</v>
      </c>
      <c r="AI139" s="74">
        <f t="shared" si="48"/>
        <v>0</v>
      </c>
      <c r="AJ139" s="71" t="str">
        <f t="shared" si="49"/>
        <v>Y</v>
      </c>
      <c r="AK139" s="71"/>
      <c r="AL139" s="71"/>
      <c r="AM139" s="75"/>
      <c r="AN139" s="75"/>
      <c r="AO139" s="75"/>
      <c r="AP139" s="75"/>
      <c r="AR139" s="70"/>
      <c r="BC139" s="74"/>
      <c r="BD139" s="74"/>
      <c r="BO139" s="78"/>
      <c r="BT139" s="75"/>
    </row>
    <row r="140" spans="1:72" ht="16.5" x14ac:dyDescent="0.25">
      <c r="A140" s="64">
        <v>139</v>
      </c>
      <c r="B140" s="69"/>
      <c r="E140" s="70" t="e">
        <f>VLOOKUP($D140,客戶編輯設定自動代出!$A:$C,3,0)</f>
        <v>#N/A</v>
      </c>
      <c r="F140" s="70" t="e">
        <f>VLOOKUP($D140,客戶編輯設定自動代出!$A:$C,2,0)</f>
        <v>#N/A</v>
      </c>
      <c r="G140" s="70" t="s">
        <v>1492</v>
      </c>
      <c r="K140" s="72">
        <f t="shared" si="38"/>
        <v>0</v>
      </c>
      <c r="M140" s="74">
        <f t="shared" si="39"/>
        <v>0</v>
      </c>
      <c r="N140" s="74">
        <f t="shared" si="40"/>
        <v>0</v>
      </c>
      <c r="O140" s="71" t="str">
        <f t="shared" si="41"/>
        <v>Y</v>
      </c>
      <c r="Q140" s="119"/>
      <c r="R140" s="75"/>
      <c r="S140" s="75"/>
      <c r="T140" s="75"/>
      <c r="U140" s="75"/>
      <c r="V140" s="64">
        <v>139</v>
      </c>
      <c r="W140" s="69"/>
      <c r="X140" s="70"/>
      <c r="Y140" s="71"/>
      <c r="Z140" s="70" t="e">
        <f>VLOOKUP($Y140,客戶編輯設定自動代出!$A:$C,3,0)</f>
        <v>#N/A</v>
      </c>
      <c r="AA140" s="70" t="e">
        <f>VLOOKUP($Y140,客戶編輯設定自動代出!$A:$C,2,0)</f>
        <v>#N/A</v>
      </c>
      <c r="AB140" s="70" t="s">
        <v>1752</v>
      </c>
      <c r="AC140" s="70"/>
      <c r="AD140" s="70"/>
      <c r="AE140" s="72"/>
      <c r="AF140" s="72">
        <f t="shared" si="46"/>
        <v>0</v>
      </c>
      <c r="AG140" s="73"/>
      <c r="AH140" s="74">
        <f t="shared" si="47"/>
        <v>0</v>
      </c>
      <c r="AI140" s="74">
        <f t="shared" si="48"/>
        <v>0</v>
      </c>
      <c r="AJ140" s="71" t="str">
        <f t="shared" si="49"/>
        <v>Y</v>
      </c>
      <c r="AK140" s="71"/>
      <c r="AL140" s="71"/>
      <c r="AM140" s="75"/>
      <c r="AN140" s="75"/>
      <c r="AO140" s="75"/>
      <c r="AP140" s="75"/>
      <c r="AR140" s="70"/>
      <c r="BC140" s="74"/>
      <c r="BD140" s="74"/>
      <c r="BO140" s="78"/>
      <c r="BT140" s="75"/>
    </row>
    <row r="141" spans="1:72" ht="16.5" x14ac:dyDescent="0.25">
      <c r="A141" s="64">
        <v>140</v>
      </c>
      <c r="B141" s="69"/>
      <c r="E141" s="70" t="e">
        <f>VLOOKUP($D141,客戶編輯設定自動代出!$A:$C,3,0)</f>
        <v>#N/A</v>
      </c>
      <c r="F141" s="70" t="e">
        <f>VLOOKUP($D141,客戶編輯設定自動代出!$A:$C,2,0)</f>
        <v>#N/A</v>
      </c>
      <c r="G141" s="70" t="s">
        <v>1493</v>
      </c>
      <c r="K141" s="72">
        <f t="shared" si="38"/>
        <v>0</v>
      </c>
      <c r="M141" s="74">
        <f t="shared" si="39"/>
        <v>0</v>
      </c>
      <c r="N141" s="74">
        <f t="shared" si="40"/>
        <v>0</v>
      </c>
      <c r="O141" s="71" t="str">
        <f t="shared" si="41"/>
        <v>Y</v>
      </c>
      <c r="Q141" s="119"/>
      <c r="R141" s="75"/>
      <c r="S141" s="75"/>
      <c r="T141" s="75"/>
      <c r="U141" s="75"/>
      <c r="V141" s="64">
        <v>140</v>
      </c>
      <c r="W141" s="69"/>
      <c r="X141" s="70"/>
      <c r="Y141" s="71"/>
      <c r="Z141" s="70" t="e">
        <f>VLOOKUP($Y141,客戶編輯設定自動代出!$A:$C,3,0)</f>
        <v>#N/A</v>
      </c>
      <c r="AA141" s="70" t="e">
        <f>VLOOKUP($Y141,客戶編輯設定自動代出!$A:$C,2,0)</f>
        <v>#N/A</v>
      </c>
      <c r="AB141" s="70" t="s">
        <v>1753</v>
      </c>
      <c r="AC141" s="70"/>
      <c r="AD141" s="70"/>
      <c r="AE141" s="72"/>
      <c r="AF141" s="72">
        <f t="shared" si="46"/>
        <v>0</v>
      </c>
      <c r="AG141" s="73"/>
      <c r="AH141" s="74">
        <f t="shared" si="47"/>
        <v>0</v>
      </c>
      <c r="AI141" s="74">
        <f t="shared" si="48"/>
        <v>0</v>
      </c>
      <c r="AJ141" s="71" t="str">
        <f t="shared" si="49"/>
        <v>Y</v>
      </c>
      <c r="AK141" s="71"/>
      <c r="AL141" s="71"/>
      <c r="AM141" s="75"/>
      <c r="AN141" s="75"/>
      <c r="AO141" s="75"/>
      <c r="AP141" s="75"/>
      <c r="AR141" s="70"/>
      <c r="BC141" s="74"/>
      <c r="BD141" s="74"/>
      <c r="BO141" s="78"/>
      <c r="BT141" s="75"/>
    </row>
    <row r="142" spans="1:72" ht="16.5" x14ac:dyDescent="0.25">
      <c r="A142" s="64">
        <v>141</v>
      </c>
      <c r="B142" s="69"/>
      <c r="E142" s="70" t="e">
        <f>VLOOKUP($D142,客戶編輯設定自動代出!$A:$C,3,0)</f>
        <v>#N/A</v>
      </c>
      <c r="F142" s="70" t="e">
        <f>VLOOKUP($D142,客戶編輯設定自動代出!$A:$C,2,0)</f>
        <v>#N/A</v>
      </c>
      <c r="G142" s="70" t="s">
        <v>1494</v>
      </c>
      <c r="K142" s="72">
        <f t="shared" si="38"/>
        <v>0</v>
      </c>
      <c r="M142" s="74">
        <f t="shared" si="39"/>
        <v>0</v>
      </c>
      <c r="N142" s="74">
        <f t="shared" si="40"/>
        <v>0</v>
      </c>
      <c r="O142" s="71" t="str">
        <f t="shared" si="41"/>
        <v>Y</v>
      </c>
      <c r="Q142" s="119"/>
      <c r="R142" s="75"/>
      <c r="S142" s="75"/>
      <c r="T142" s="75"/>
      <c r="U142" s="75"/>
      <c r="V142" s="64">
        <v>141</v>
      </c>
      <c r="W142" s="69"/>
      <c r="X142" s="70"/>
      <c r="Y142" s="71"/>
      <c r="Z142" s="70" t="e">
        <f>VLOOKUP($Y142,客戶編輯設定自動代出!$A:$C,3,0)</f>
        <v>#N/A</v>
      </c>
      <c r="AA142" s="70" t="e">
        <f>VLOOKUP($Y142,客戶編輯設定自動代出!$A:$C,2,0)</f>
        <v>#N/A</v>
      </c>
      <c r="AB142" s="70" t="s">
        <v>1754</v>
      </c>
      <c r="AC142" s="70"/>
      <c r="AD142" s="70"/>
      <c r="AE142" s="72"/>
      <c r="AF142" s="72">
        <f t="shared" si="46"/>
        <v>0</v>
      </c>
      <c r="AG142" s="73"/>
      <c r="AH142" s="74">
        <f t="shared" si="47"/>
        <v>0</v>
      </c>
      <c r="AI142" s="74">
        <f t="shared" si="48"/>
        <v>0</v>
      </c>
      <c r="AJ142" s="71" t="str">
        <f t="shared" si="49"/>
        <v>Y</v>
      </c>
      <c r="AK142" s="71"/>
      <c r="AL142" s="71"/>
      <c r="AM142" s="75"/>
      <c r="AN142" s="75"/>
      <c r="AO142" s="75"/>
      <c r="AP142" s="75"/>
      <c r="AR142" s="70"/>
      <c r="BC142" s="74"/>
      <c r="BD142" s="74"/>
      <c r="BO142" s="78"/>
      <c r="BT142" s="75"/>
    </row>
    <row r="143" spans="1:72" ht="16.5" x14ac:dyDescent="0.25">
      <c r="A143" s="64">
        <v>142</v>
      </c>
      <c r="B143" s="69"/>
      <c r="E143" s="70" t="e">
        <f>VLOOKUP($D143,客戶編輯設定自動代出!$A:$C,3,0)</f>
        <v>#N/A</v>
      </c>
      <c r="F143" s="70" t="e">
        <f>VLOOKUP($D143,客戶編輯設定自動代出!$A:$C,2,0)</f>
        <v>#N/A</v>
      </c>
      <c r="G143" s="70" t="s">
        <v>1495</v>
      </c>
      <c r="K143" s="72">
        <f t="shared" ref="K143:K206" si="50">I143*J143</f>
        <v>0</v>
      </c>
      <c r="M143" s="74">
        <f t="shared" ref="M143:M206" si="51">L143/1.05</f>
        <v>0</v>
      </c>
      <c r="N143" s="74">
        <f t="shared" ref="N143:N206" si="52">M143*0.05</f>
        <v>0</v>
      </c>
      <c r="O143" s="71" t="str">
        <f t="shared" ref="O143:O206" si="53">IF($K143=$L143,"Y","N")</f>
        <v>Y</v>
      </c>
      <c r="Q143" s="119"/>
      <c r="R143" s="75"/>
      <c r="S143" s="75"/>
      <c r="T143" s="75"/>
      <c r="U143" s="75"/>
      <c r="V143" s="64">
        <v>142</v>
      </c>
      <c r="W143" s="69"/>
      <c r="X143" s="70"/>
      <c r="Y143" s="71"/>
      <c r="Z143" s="70" t="e">
        <f>VLOOKUP($Y143,客戶編輯設定自動代出!$A:$C,3,0)</f>
        <v>#N/A</v>
      </c>
      <c r="AA143" s="70" t="e">
        <f>VLOOKUP($Y143,客戶編輯設定自動代出!$A:$C,2,0)</f>
        <v>#N/A</v>
      </c>
      <c r="AB143" s="70" t="s">
        <v>1755</v>
      </c>
      <c r="AC143" s="70"/>
      <c r="AD143" s="70"/>
      <c r="AE143" s="72"/>
      <c r="AF143" s="72">
        <f t="shared" si="46"/>
        <v>0</v>
      </c>
      <c r="AG143" s="73"/>
      <c r="AH143" s="74">
        <f t="shared" si="47"/>
        <v>0</v>
      </c>
      <c r="AI143" s="74">
        <f t="shared" si="48"/>
        <v>0</v>
      </c>
      <c r="AJ143" s="71" t="str">
        <f t="shared" si="49"/>
        <v>Y</v>
      </c>
      <c r="AK143" s="71"/>
      <c r="AL143" s="71"/>
      <c r="AM143" s="75"/>
      <c r="AN143" s="75"/>
      <c r="AO143" s="75"/>
      <c r="AP143" s="75"/>
      <c r="AR143" s="70"/>
      <c r="BC143" s="74"/>
      <c r="BD143" s="74"/>
      <c r="BO143" s="78"/>
      <c r="BT143" s="75"/>
    </row>
    <row r="144" spans="1:72" ht="16.5" x14ac:dyDescent="0.25">
      <c r="A144" s="64">
        <v>143</v>
      </c>
      <c r="B144" s="69"/>
      <c r="E144" s="70" t="e">
        <f>VLOOKUP($D144,客戶編輯設定自動代出!$A:$C,3,0)</f>
        <v>#N/A</v>
      </c>
      <c r="F144" s="70" t="e">
        <f>VLOOKUP($D144,客戶編輯設定自動代出!$A:$C,2,0)</f>
        <v>#N/A</v>
      </c>
      <c r="G144" s="70" t="s">
        <v>1496</v>
      </c>
      <c r="K144" s="72">
        <f t="shared" si="50"/>
        <v>0</v>
      </c>
      <c r="M144" s="74">
        <f t="shared" si="51"/>
        <v>0</v>
      </c>
      <c r="N144" s="74">
        <f t="shared" si="52"/>
        <v>0</v>
      </c>
      <c r="O144" s="71" t="str">
        <f t="shared" si="53"/>
        <v>Y</v>
      </c>
      <c r="Q144" s="119"/>
      <c r="R144" s="75"/>
      <c r="S144" s="75"/>
      <c r="T144" s="75"/>
      <c r="U144" s="75"/>
      <c r="V144" s="64">
        <v>143</v>
      </c>
      <c r="W144" s="69"/>
      <c r="X144" s="70"/>
      <c r="Y144" s="71"/>
      <c r="Z144" s="70" t="e">
        <f>VLOOKUP($Y144,客戶編輯設定自動代出!$A:$C,3,0)</f>
        <v>#N/A</v>
      </c>
      <c r="AA144" s="70" t="e">
        <f>VLOOKUP($Y144,客戶編輯設定自動代出!$A:$C,2,0)</f>
        <v>#N/A</v>
      </c>
      <c r="AB144" s="70" t="s">
        <v>1756</v>
      </c>
      <c r="AC144" s="70"/>
      <c r="AD144" s="70"/>
      <c r="AE144" s="72"/>
      <c r="AF144" s="72">
        <f t="shared" si="46"/>
        <v>0</v>
      </c>
      <c r="AG144" s="73"/>
      <c r="AH144" s="74">
        <f t="shared" si="47"/>
        <v>0</v>
      </c>
      <c r="AI144" s="74">
        <f t="shared" si="48"/>
        <v>0</v>
      </c>
      <c r="AJ144" s="71" t="str">
        <f t="shared" si="49"/>
        <v>Y</v>
      </c>
      <c r="AK144" s="71"/>
      <c r="AL144" s="71"/>
      <c r="AM144" s="75"/>
      <c r="AN144" s="75"/>
      <c r="AO144" s="75"/>
      <c r="AP144" s="75"/>
      <c r="AR144" s="70"/>
      <c r="BC144" s="74"/>
      <c r="BD144" s="74"/>
      <c r="BO144" s="78"/>
      <c r="BT144" s="75"/>
    </row>
    <row r="145" spans="1:72" ht="16.5" x14ac:dyDescent="0.25">
      <c r="A145" s="64">
        <v>144</v>
      </c>
      <c r="B145" s="69"/>
      <c r="E145" s="70" t="e">
        <f>VLOOKUP($D145,客戶編輯設定自動代出!$A:$C,3,0)</f>
        <v>#N/A</v>
      </c>
      <c r="F145" s="70" t="e">
        <f>VLOOKUP($D145,客戶編輯設定自動代出!$A:$C,2,0)</f>
        <v>#N/A</v>
      </c>
      <c r="G145" s="70" t="s">
        <v>1497</v>
      </c>
      <c r="K145" s="72">
        <f t="shared" si="50"/>
        <v>0</v>
      </c>
      <c r="M145" s="74">
        <f t="shared" si="51"/>
        <v>0</v>
      </c>
      <c r="N145" s="74">
        <f t="shared" si="52"/>
        <v>0</v>
      </c>
      <c r="O145" s="71" t="str">
        <f t="shared" si="53"/>
        <v>Y</v>
      </c>
      <c r="Q145" s="119"/>
      <c r="R145" s="75"/>
      <c r="S145" s="75"/>
      <c r="T145" s="75"/>
      <c r="U145" s="75"/>
      <c r="V145" s="64">
        <v>144</v>
      </c>
      <c r="W145" s="69"/>
      <c r="X145" s="70"/>
      <c r="Y145" s="71"/>
      <c r="Z145" s="70" t="e">
        <f>VLOOKUP($Y145,客戶編輯設定自動代出!$A:$C,3,0)</f>
        <v>#N/A</v>
      </c>
      <c r="AA145" s="70" t="e">
        <f>VLOOKUP($Y145,客戶編輯設定自動代出!$A:$C,2,0)</f>
        <v>#N/A</v>
      </c>
      <c r="AB145" s="70" t="s">
        <v>1757</v>
      </c>
      <c r="AC145" s="70"/>
      <c r="AD145" s="70"/>
      <c r="AE145" s="72"/>
      <c r="AF145" s="72">
        <f t="shared" si="46"/>
        <v>0</v>
      </c>
      <c r="AG145" s="73"/>
      <c r="AH145" s="74">
        <f t="shared" si="47"/>
        <v>0</v>
      </c>
      <c r="AI145" s="74">
        <f t="shared" si="48"/>
        <v>0</v>
      </c>
      <c r="AJ145" s="71" t="str">
        <f t="shared" si="49"/>
        <v>Y</v>
      </c>
      <c r="AK145" s="71"/>
      <c r="AL145" s="71"/>
      <c r="AM145" s="75"/>
      <c r="AN145" s="75"/>
      <c r="AO145" s="75"/>
      <c r="AP145" s="75"/>
      <c r="AR145" s="70"/>
      <c r="BC145" s="74"/>
      <c r="BD145" s="74"/>
      <c r="BO145" s="78"/>
      <c r="BT145" s="75"/>
    </row>
    <row r="146" spans="1:72" ht="16.5" x14ac:dyDescent="0.25">
      <c r="A146" s="64">
        <v>145</v>
      </c>
      <c r="B146" s="69"/>
      <c r="E146" s="70" t="e">
        <f>VLOOKUP($D146,客戶編輯設定自動代出!$A:$C,3,0)</f>
        <v>#N/A</v>
      </c>
      <c r="F146" s="70" t="e">
        <f>VLOOKUP($D146,客戶編輯設定自動代出!$A:$C,2,0)</f>
        <v>#N/A</v>
      </c>
      <c r="G146" s="70" t="s">
        <v>1498</v>
      </c>
      <c r="K146" s="72">
        <f t="shared" si="50"/>
        <v>0</v>
      </c>
      <c r="M146" s="74">
        <f t="shared" si="51"/>
        <v>0</v>
      </c>
      <c r="N146" s="74">
        <f t="shared" si="52"/>
        <v>0</v>
      </c>
      <c r="O146" s="71" t="str">
        <f t="shared" si="53"/>
        <v>Y</v>
      </c>
      <c r="Q146" s="119"/>
      <c r="R146" s="75"/>
      <c r="S146" s="75"/>
      <c r="T146" s="75"/>
      <c r="U146" s="75"/>
      <c r="V146" s="64">
        <v>145</v>
      </c>
      <c r="W146" s="69"/>
      <c r="X146" s="70"/>
      <c r="Y146" s="71"/>
      <c r="Z146" s="70" t="e">
        <f>VLOOKUP($Y146,客戶編輯設定自動代出!$A:$C,3,0)</f>
        <v>#N/A</v>
      </c>
      <c r="AA146" s="70" t="e">
        <f>VLOOKUP($Y146,客戶編輯設定自動代出!$A:$C,2,0)</f>
        <v>#N/A</v>
      </c>
      <c r="AB146" s="70" t="s">
        <v>1758</v>
      </c>
      <c r="AC146" s="70"/>
      <c r="AD146" s="70"/>
      <c r="AE146" s="72"/>
      <c r="AF146" s="72">
        <f t="shared" si="46"/>
        <v>0</v>
      </c>
      <c r="AG146" s="73"/>
      <c r="AH146" s="74">
        <f t="shared" si="47"/>
        <v>0</v>
      </c>
      <c r="AI146" s="74">
        <f t="shared" si="48"/>
        <v>0</v>
      </c>
      <c r="AJ146" s="71" t="str">
        <f t="shared" si="49"/>
        <v>Y</v>
      </c>
      <c r="AK146" s="71"/>
      <c r="AL146" s="71"/>
      <c r="AM146" s="75"/>
      <c r="AN146" s="75"/>
      <c r="AO146" s="75"/>
      <c r="AP146" s="75"/>
      <c r="AR146" s="70"/>
      <c r="BC146" s="74"/>
      <c r="BD146" s="74"/>
      <c r="BO146" s="78"/>
      <c r="BT146" s="75"/>
    </row>
    <row r="147" spans="1:72" ht="16.5" x14ac:dyDescent="0.25">
      <c r="A147" s="64">
        <v>146</v>
      </c>
      <c r="B147" s="69"/>
      <c r="E147" s="70" t="e">
        <f>VLOOKUP($D147,客戶編輯設定自動代出!$A:$C,3,0)</f>
        <v>#N/A</v>
      </c>
      <c r="F147" s="70" t="e">
        <f>VLOOKUP($D147,客戶編輯設定自動代出!$A:$C,2,0)</f>
        <v>#N/A</v>
      </c>
      <c r="G147" s="70" t="s">
        <v>1499</v>
      </c>
      <c r="K147" s="72">
        <f t="shared" si="50"/>
        <v>0</v>
      </c>
      <c r="M147" s="74">
        <f t="shared" si="51"/>
        <v>0</v>
      </c>
      <c r="N147" s="74">
        <f t="shared" si="52"/>
        <v>0</v>
      </c>
      <c r="O147" s="71" t="str">
        <f t="shared" si="53"/>
        <v>Y</v>
      </c>
      <c r="Q147" s="119"/>
      <c r="R147" s="75"/>
      <c r="S147" s="75"/>
      <c r="T147" s="75"/>
      <c r="U147" s="75"/>
      <c r="V147" s="64">
        <v>146</v>
      </c>
      <c r="W147" s="69"/>
      <c r="X147" s="70"/>
      <c r="Y147" s="71"/>
      <c r="Z147" s="70" t="e">
        <f>VLOOKUP($Y147,客戶編輯設定自動代出!$A:$C,3,0)</f>
        <v>#N/A</v>
      </c>
      <c r="AA147" s="70" t="e">
        <f>VLOOKUP($Y147,客戶編輯設定自動代出!$A:$C,2,0)</f>
        <v>#N/A</v>
      </c>
      <c r="AB147" s="70" t="s">
        <v>1759</v>
      </c>
      <c r="AC147" s="70"/>
      <c r="AD147" s="70"/>
      <c r="AE147" s="72"/>
      <c r="AF147" s="72">
        <f t="shared" si="46"/>
        <v>0</v>
      </c>
      <c r="AG147" s="73"/>
      <c r="AH147" s="74">
        <f t="shared" si="47"/>
        <v>0</v>
      </c>
      <c r="AI147" s="74">
        <f t="shared" si="48"/>
        <v>0</v>
      </c>
      <c r="AJ147" s="71" t="str">
        <f t="shared" si="49"/>
        <v>Y</v>
      </c>
      <c r="AK147" s="71"/>
      <c r="AL147" s="71"/>
      <c r="AM147" s="75"/>
      <c r="AN147" s="75"/>
      <c r="AO147" s="75"/>
      <c r="AP147" s="75"/>
      <c r="AR147" s="70"/>
      <c r="BC147" s="74"/>
      <c r="BD147" s="74"/>
      <c r="BO147" s="78"/>
      <c r="BT147" s="75"/>
    </row>
    <row r="148" spans="1:72" ht="16.5" x14ac:dyDescent="0.25">
      <c r="A148" s="64">
        <v>147</v>
      </c>
      <c r="B148" s="69"/>
      <c r="E148" s="70" t="e">
        <f>VLOOKUP($D148,客戶編輯設定自動代出!$A:$C,3,0)</f>
        <v>#N/A</v>
      </c>
      <c r="F148" s="70" t="e">
        <f>VLOOKUP($D148,客戶編輯設定自動代出!$A:$C,2,0)</f>
        <v>#N/A</v>
      </c>
      <c r="G148" s="70" t="s">
        <v>1500</v>
      </c>
      <c r="K148" s="72">
        <f t="shared" si="50"/>
        <v>0</v>
      </c>
      <c r="M148" s="74">
        <f t="shared" si="51"/>
        <v>0</v>
      </c>
      <c r="N148" s="74">
        <f t="shared" si="52"/>
        <v>0</v>
      </c>
      <c r="O148" s="71" t="str">
        <f t="shared" si="53"/>
        <v>Y</v>
      </c>
      <c r="Q148" s="119"/>
      <c r="R148" s="75"/>
      <c r="S148" s="75"/>
      <c r="T148" s="75"/>
      <c r="U148" s="75"/>
      <c r="V148" s="64">
        <v>147</v>
      </c>
      <c r="W148" s="69"/>
      <c r="X148" s="70"/>
      <c r="Y148" s="71"/>
      <c r="Z148" s="70" t="e">
        <f>VLOOKUP($Y148,客戶編輯設定自動代出!$A:$C,3,0)</f>
        <v>#N/A</v>
      </c>
      <c r="AA148" s="70" t="e">
        <f>VLOOKUP($Y148,客戶編輯設定自動代出!$A:$C,2,0)</f>
        <v>#N/A</v>
      </c>
      <c r="AB148" s="70" t="s">
        <v>1760</v>
      </c>
      <c r="AC148" s="70"/>
      <c r="AD148" s="70"/>
      <c r="AE148" s="72"/>
      <c r="AF148" s="72">
        <f t="shared" si="46"/>
        <v>0</v>
      </c>
      <c r="AG148" s="73"/>
      <c r="AH148" s="74">
        <f t="shared" si="47"/>
        <v>0</v>
      </c>
      <c r="AI148" s="74">
        <f t="shared" si="48"/>
        <v>0</v>
      </c>
      <c r="AJ148" s="71" t="str">
        <f t="shared" si="49"/>
        <v>Y</v>
      </c>
      <c r="AK148" s="71"/>
      <c r="AL148" s="71"/>
      <c r="AM148" s="75"/>
      <c r="AN148" s="75"/>
      <c r="AO148" s="75"/>
      <c r="AP148" s="75"/>
      <c r="AR148" s="70"/>
      <c r="BC148" s="74"/>
      <c r="BD148" s="74"/>
      <c r="BO148" s="78"/>
      <c r="BT148" s="75"/>
    </row>
    <row r="149" spans="1:72" ht="16.5" x14ac:dyDescent="0.25">
      <c r="A149" s="64">
        <v>148</v>
      </c>
      <c r="B149" s="69"/>
      <c r="E149" s="70" t="e">
        <f>VLOOKUP($D149,客戶編輯設定自動代出!$A:$C,3,0)</f>
        <v>#N/A</v>
      </c>
      <c r="F149" s="70" t="e">
        <f>VLOOKUP($D149,客戶編輯設定自動代出!$A:$C,2,0)</f>
        <v>#N/A</v>
      </c>
      <c r="G149" s="70" t="s">
        <v>1501</v>
      </c>
      <c r="K149" s="72">
        <f t="shared" si="50"/>
        <v>0</v>
      </c>
      <c r="M149" s="74">
        <f t="shared" si="51"/>
        <v>0</v>
      </c>
      <c r="N149" s="74">
        <f t="shared" si="52"/>
        <v>0</v>
      </c>
      <c r="O149" s="71" t="str">
        <f t="shared" si="53"/>
        <v>Y</v>
      </c>
      <c r="Q149" s="119"/>
      <c r="R149" s="75"/>
      <c r="S149" s="75"/>
      <c r="T149" s="75"/>
      <c r="U149" s="75"/>
      <c r="V149" s="64">
        <v>148</v>
      </c>
      <c r="W149" s="69"/>
      <c r="X149" s="70"/>
      <c r="Y149" s="71"/>
      <c r="Z149" s="70" t="e">
        <f>VLOOKUP($Y149,客戶編輯設定自動代出!$A:$C,3,0)</f>
        <v>#N/A</v>
      </c>
      <c r="AA149" s="70" t="e">
        <f>VLOOKUP($Y149,客戶編輯設定自動代出!$A:$C,2,0)</f>
        <v>#N/A</v>
      </c>
      <c r="AB149" s="70" t="s">
        <v>1761</v>
      </c>
      <c r="AC149" s="70"/>
      <c r="AD149" s="70"/>
      <c r="AE149" s="72"/>
      <c r="AF149" s="72">
        <f t="shared" si="46"/>
        <v>0</v>
      </c>
      <c r="AG149" s="73"/>
      <c r="AH149" s="74">
        <f t="shared" si="47"/>
        <v>0</v>
      </c>
      <c r="AI149" s="74">
        <f t="shared" si="48"/>
        <v>0</v>
      </c>
      <c r="AJ149" s="71" t="str">
        <f t="shared" si="49"/>
        <v>Y</v>
      </c>
      <c r="AK149" s="71"/>
      <c r="AL149" s="71"/>
      <c r="AM149" s="75"/>
      <c r="AN149" s="75"/>
      <c r="AO149" s="75"/>
      <c r="AP149" s="75"/>
      <c r="AR149" s="70"/>
      <c r="BC149" s="74"/>
      <c r="BD149" s="74"/>
      <c r="BO149" s="78"/>
      <c r="BT149" s="75"/>
    </row>
    <row r="150" spans="1:72" ht="16.5" x14ac:dyDescent="0.25">
      <c r="A150" s="64">
        <v>149</v>
      </c>
      <c r="B150" s="69"/>
      <c r="E150" s="70" t="e">
        <f>VLOOKUP($D150,客戶編輯設定自動代出!$A:$C,3,0)</f>
        <v>#N/A</v>
      </c>
      <c r="F150" s="70" t="e">
        <f>VLOOKUP($D150,客戶編輯設定自動代出!$A:$C,2,0)</f>
        <v>#N/A</v>
      </c>
      <c r="G150" s="70" t="s">
        <v>1502</v>
      </c>
      <c r="K150" s="72">
        <f t="shared" si="50"/>
        <v>0</v>
      </c>
      <c r="M150" s="74">
        <f t="shared" si="51"/>
        <v>0</v>
      </c>
      <c r="N150" s="74">
        <f t="shared" si="52"/>
        <v>0</v>
      </c>
      <c r="O150" s="71" t="str">
        <f t="shared" si="53"/>
        <v>Y</v>
      </c>
      <c r="Q150" s="119"/>
      <c r="R150" s="75"/>
      <c r="S150" s="75"/>
      <c r="T150" s="75"/>
      <c r="U150" s="75"/>
      <c r="V150" s="64">
        <v>149</v>
      </c>
      <c r="W150" s="69"/>
      <c r="X150" s="70"/>
      <c r="Y150" s="71"/>
      <c r="Z150" s="70" t="e">
        <f>VLOOKUP($Y150,客戶編輯設定自動代出!$A:$C,3,0)</f>
        <v>#N/A</v>
      </c>
      <c r="AA150" s="70" t="e">
        <f>VLOOKUP($Y150,客戶編輯設定自動代出!$A:$C,2,0)</f>
        <v>#N/A</v>
      </c>
      <c r="AB150" s="70" t="s">
        <v>1762</v>
      </c>
      <c r="AC150" s="70"/>
      <c r="AD150" s="70"/>
      <c r="AE150" s="72"/>
      <c r="AF150" s="72">
        <f t="shared" si="46"/>
        <v>0</v>
      </c>
      <c r="AG150" s="73"/>
      <c r="AH150" s="74">
        <f t="shared" si="47"/>
        <v>0</v>
      </c>
      <c r="AI150" s="74">
        <f t="shared" si="48"/>
        <v>0</v>
      </c>
      <c r="AJ150" s="71" t="str">
        <f t="shared" si="49"/>
        <v>Y</v>
      </c>
      <c r="AK150" s="71"/>
      <c r="AL150" s="71"/>
      <c r="AM150" s="75"/>
      <c r="AN150" s="75"/>
      <c r="AO150" s="75"/>
      <c r="AP150" s="75"/>
      <c r="AR150" s="70"/>
      <c r="BC150" s="74"/>
      <c r="BD150" s="74"/>
      <c r="BO150" s="78"/>
      <c r="BT150" s="75"/>
    </row>
    <row r="151" spans="1:72" ht="16.5" x14ac:dyDescent="0.25">
      <c r="A151" s="64">
        <v>150</v>
      </c>
      <c r="B151" s="69"/>
      <c r="E151" s="70" t="e">
        <f>VLOOKUP($D151,客戶編輯設定自動代出!$A:$C,3,0)</f>
        <v>#N/A</v>
      </c>
      <c r="F151" s="70" t="e">
        <f>VLOOKUP($D151,客戶編輯設定自動代出!$A:$C,2,0)</f>
        <v>#N/A</v>
      </c>
      <c r="G151" s="70" t="s">
        <v>1503</v>
      </c>
      <c r="K151" s="72">
        <f t="shared" si="50"/>
        <v>0</v>
      </c>
      <c r="M151" s="74">
        <f t="shared" si="51"/>
        <v>0</v>
      </c>
      <c r="N151" s="74">
        <f t="shared" si="52"/>
        <v>0</v>
      </c>
      <c r="O151" s="71" t="str">
        <f t="shared" si="53"/>
        <v>Y</v>
      </c>
      <c r="Q151" s="119"/>
      <c r="R151" s="75"/>
      <c r="S151" s="75"/>
      <c r="T151" s="75"/>
      <c r="U151" s="75"/>
      <c r="V151" s="64">
        <v>150</v>
      </c>
      <c r="W151" s="69"/>
      <c r="X151" s="70"/>
      <c r="Y151" s="71"/>
      <c r="Z151" s="70" t="e">
        <f>VLOOKUP($Y151,客戶編輯設定自動代出!$A:$C,3,0)</f>
        <v>#N/A</v>
      </c>
      <c r="AA151" s="70" t="e">
        <f>VLOOKUP($Y151,客戶編輯設定自動代出!$A:$C,2,0)</f>
        <v>#N/A</v>
      </c>
      <c r="AB151" s="70" t="s">
        <v>1763</v>
      </c>
      <c r="AC151" s="70"/>
      <c r="AD151" s="70"/>
      <c r="AE151" s="72"/>
      <c r="AF151" s="72">
        <f t="shared" si="46"/>
        <v>0</v>
      </c>
      <c r="AG151" s="73"/>
      <c r="AH151" s="74">
        <f t="shared" si="47"/>
        <v>0</v>
      </c>
      <c r="AI151" s="74">
        <f t="shared" si="48"/>
        <v>0</v>
      </c>
      <c r="AJ151" s="71" t="str">
        <f t="shared" si="49"/>
        <v>Y</v>
      </c>
      <c r="AK151" s="71"/>
      <c r="AL151" s="71"/>
      <c r="AM151" s="75"/>
      <c r="AN151" s="75"/>
      <c r="AO151" s="75"/>
      <c r="AP151" s="75"/>
      <c r="AR151" s="70"/>
      <c r="BC151" s="74"/>
      <c r="BD151" s="74"/>
      <c r="BO151" s="78"/>
      <c r="BT151" s="75"/>
    </row>
    <row r="152" spans="1:72" ht="16.5" x14ac:dyDescent="0.25">
      <c r="A152" s="64">
        <v>151</v>
      </c>
      <c r="B152" s="69"/>
      <c r="E152" s="70" t="e">
        <f>VLOOKUP($D152,客戶編輯設定自動代出!$A:$C,3,0)</f>
        <v>#N/A</v>
      </c>
      <c r="F152" s="70" t="e">
        <f>VLOOKUP($D152,客戶編輯設定自動代出!$A:$C,2,0)</f>
        <v>#N/A</v>
      </c>
      <c r="G152" s="70" t="s">
        <v>1504</v>
      </c>
      <c r="K152" s="72">
        <f t="shared" si="50"/>
        <v>0</v>
      </c>
      <c r="M152" s="74">
        <f t="shared" si="51"/>
        <v>0</v>
      </c>
      <c r="N152" s="74">
        <f t="shared" si="52"/>
        <v>0</v>
      </c>
      <c r="O152" s="71" t="str">
        <f t="shared" si="53"/>
        <v>Y</v>
      </c>
      <c r="Q152" s="119"/>
      <c r="R152" s="75"/>
      <c r="S152" s="75"/>
      <c r="T152" s="75"/>
      <c r="U152" s="75"/>
      <c r="V152" s="64">
        <v>151</v>
      </c>
      <c r="W152" s="69"/>
      <c r="X152" s="70"/>
      <c r="Y152" s="71"/>
      <c r="Z152" s="70" t="e">
        <f>VLOOKUP($Y152,客戶編輯設定自動代出!$A:$C,3,0)</f>
        <v>#N/A</v>
      </c>
      <c r="AA152" s="70" t="e">
        <f>VLOOKUP($Y152,客戶編輯設定自動代出!$A:$C,2,0)</f>
        <v>#N/A</v>
      </c>
      <c r="AB152" s="70" t="s">
        <v>1764</v>
      </c>
      <c r="AC152" s="70"/>
      <c r="AD152" s="70"/>
      <c r="AE152" s="72"/>
      <c r="AF152" s="72">
        <f t="shared" si="46"/>
        <v>0</v>
      </c>
      <c r="AG152" s="73"/>
      <c r="AH152" s="74">
        <f t="shared" si="47"/>
        <v>0</v>
      </c>
      <c r="AI152" s="74">
        <f t="shared" si="48"/>
        <v>0</v>
      </c>
      <c r="AJ152" s="71" t="str">
        <f t="shared" si="49"/>
        <v>Y</v>
      </c>
      <c r="AK152" s="71"/>
      <c r="AL152" s="71"/>
      <c r="AM152" s="75"/>
      <c r="AN152" s="75"/>
      <c r="AO152" s="75"/>
      <c r="AP152" s="75"/>
      <c r="AR152" s="70"/>
      <c r="BC152" s="74"/>
      <c r="BD152" s="74"/>
      <c r="BO152" s="78"/>
      <c r="BT152" s="75"/>
    </row>
    <row r="153" spans="1:72" ht="16.5" x14ac:dyDescent="0.25">
      <c r="A153" s="64">
        <v>152</v>
      </c>
      <c r="B153" s="69"/>
      <c r="E153" s="70" t="e">
        <f>VLOOKUP($D153,客戶編輯設定自動代出!$A:$C,3,0)</f>
        <v>#N/A</v>
      </c>
      <c r="F153" s="70" t="e">
        <f>VLOOKUP($D153,客戶編輯設定自動代出!$A:$C,2,0)</f>
        <v>#N/A</v>
      </c>
      <c r="G153" s="70" t="s">
        <v>1505</v>
      </c>
      <c r="K153" s="72">
        <f t="shared" si="50"/>
        <v>0</v>
      </c>
      <c r="M153" s="74">
        <f t="shared" si="51"/>
        <v>0</v>
      </c>
      <c r="N153" s="74">
        <f t="shared" si="52"/>
        <v>0</v>
      </c>
      <c r="O153" s="71" t="str">
        <f t="shared" si="53"/>
        <v>Y</v>
      </c>
      <c r="Q153" s="119"/>
      <c r="R153" s="75"/>
      <c r="S153" s="75"/>
      <c r="T153" s="75"/>
      <c r="U153" s="75"/>
      <c r="V153" s="64">
        <v>152</v>
      </c>
      <c r="W153" s="69"/>
      <c r="X153" s="70"/>
      <c r="Y153" s="71"/>
      <c r="Z153" s="70" t="e">
        <f>VLOOKUP($Y153,客戶編輯設定自動代出!$A:$C,3,0)</f>
        <v>#N/A</v>
      </c>
      <c r="AA153" s="70" t="e">
        <f>VLOOKUP($Y153,客戶編輯設定自動代出!$A:$C,2,0)</f>
        <v>#N/A</v>
      </c>
      <c r="AB153" s="70" t="s">
        <v>1765</v>
      </c>
      <c r="AC153" s="70"/>
      <c r="AD153" s="70"/>
      <c r="AE153" s="72"/>
      <c r="AF153" s="72">
        <f t="shared" si="46"/>
        <v>0</v>
      </c>
      <c r="AG153" s="73"/>
      <c r="AH153" s="74">
        <f t="shared" si="47"/>
        <v>0</v>
      </c>
      <c r="AI153" s="74">
        <f t="shared" si="48"/>
        <v>0</v>
      </c>
      <c r="AJ153" s="71" t="str">
        <f t="shared" si="49"/>
        <v>Y</v>
      </c>
      <c r="AK153" s="71"/>
      <c r="AL153" s="71"/>
      <c r="AM153" s="75"/>
      <c r="AN153" s="75"/>
      <c r="AO153" s="75"/>
      <c r="AP153" s="75"/>
      <c r="AR153" s="70"/>
      <c r="BC153" s="74"/>
      <c r="BD153" s="74"/>
      <c r="BO153" s="78"/>
      <c r="BT153" s="75"/>
    </row>
    <row r="154" spans="1:72" ht="16.5" x14ac:dyDescent="0.25">
      <c r="A154" s="64">
        <v>153</v>
      </c>
      <c r="B154" s="69"/>
      <c r="E154" s="70" t="e">
        <f>VLOOKUP($D154,客戶編輯設定自動代出!$A:$C,3,0)</f>
        <v>#N/A</v>
      </c>
      <c r="F154" s="70" t="e">
        <f>VLOOKUP($D154,客戶編輯設定自動代出!$A:$C,2,0)</f>
        <v>#N/A</v>
      </c>
      <c r="G154" s="70" t="s">
        <v>1506</v>
      </c>
      <c r="K154" s="72">
        <f t="shared" si="50"/>
        <v>0</v>
      </c>
      <c r="M154" s="74">
        <f t="shared" si="51"/>
        <v>0</v>
      </c>
      <c r="N154" s="74">
        <f t="shared" si="52"/>
        <v>0</v>
      </c>
      <c r="O154" s="71" t="str">
        <f t="shared" si="53"/>
        <v>Y</v>
      </c>
      <c r="Q154" s="119"/>
      <c r="R154" s="75"/>
      <c r="S154" s="75"/>
      <c r="T154" s="75"/>
      <c r="U154" s="75"/>
      <c r="V154" s="64">
        <v>153</v>
      </c>
      <c r="W154" s="69"/>
      <c r="X154" s="70"/>
      <c r="Y154" s="71"/>
      <c r="Z154" s="70" t="e">
        <f>VLOOKUP($Y154,客戶編輯設定自動代出!$A:$C,3,0)</f>
        <v>#N/A</v>
      </c>
      <c r="AA154" s="70" t="e">
        <f>VLOOKUP($Y154,客戶編輯設定自動代出!$A:$C,2,0)</f>
        <v>#N/A</v>
      </c>
      <c r="AB154" s="70" t="s">
        <v>1766</v>
      </c>
      <c r="AC154" s="70"/>
      <c r="AD154" s="70"/>
      <c r="AE154" s="72"/>
      <c r="AF154" s="72">
        <f t="shared" si="46"/>
        <v>0</v>
      </c>
      <c r="AG154" s="73"/>
      <c r="AH154" s="74">
        <f t="shared" si="47"/>
        <v>0</v>
      </c>
      <c r="AI154" s="74">
        <f t="shared" si="48"/>
        <v>0</v>
      </c>
      <c r="AJ154" s="71" t="str">
        <f t="shared" si="49"/>
        <v>Y</v>
      </c>
      <c r="AK154" s="71"/>
      <c r="AL154" s="71"/>
      <c r="AM154" s="75"/>
      <c r="AN154" s="75"/>
      <c r="AO154" s="75"/>
      <c r="AP154" s="75"/>
      <c r="AR154" s="70"/>
      <c r="BC154" s="74"/>
      <c r="BD154" s="74"/>
      <c r="BO154" s="78"/>
      <c r="BT154" s="75"/>
    </row>
    <row r="155" spans="1:72" ht="16.5" x14ac:dyDescent="0.25">
      <c r="A155" s="64">
        <v>154</v>
      </c>
      <c r="B155" s="69"/>
      <c r="E155" s="70" t="e">
        <f>VLOOKUP($D155,客戶編輯設定自動代出!$A:$C,3,0)</f>
        <v>#N/A</v>
      </c>
      <c r="F155" s="70" t="e">
        <f>VLOOKUP($D155,客戶編輯設定自動代出!$A:$C,2,0)</f>
        <v>#N/A</v>
      </c>
      <c r="G155" s="70" t="s">
        <v>1507</v>
      </c>
      <c r="K155" s="72">
        <f t="shared" si="50"/>
        <v>0</v>
      </c>
      <c r="M155" s="74">
        <f t="shared" si="51"/>
        <v>0</v>
      </c>
      <c r="N155" s="74">
        <f t="shared" si="52"/>
        <v>0</v>
      </c>
      <c r="O155" s="71" t="str">
        <f t="shared" si="53"/>
        <v>Y</v>
      </c>
      <c r="Q155" s="119"/>
      <c r="R155" s="75"/>
      <c r="S155" s="75"/>
      <c r="T155" s="75"/>
      <c r="U155" s="75"/>
      <c r="V155" s="64">
        <v>154</v>
      </c>
      <c r="W155" s="69"/>
      <c r="X155" s="70"/>
      <c r="Y155" s="71"/>
      <c r="Z155" s="70" t="e">
        <f>VLOOKUP($Y155,客戶編輯設定自動代出!$A:$C,3,0)</f>
        <v>#N/A</v>
      </c>
      <c r="AA155" s="70" t="e">
        <f>VLOOKUP($Y155,客戶編輯設定自動代出!$A:$C,2,0)</f>
        <v>#N/A</v>
      </c>
      <c r="AB155" s="70" t="s">
        <v>1767</v>
      </c>
      <c r="AC155" s="70"/>
      <c r="AD155" s="70"/>
      <c r="AE155" s="72"/>
      <c r="AF155" s="72">
        <f t="shared" si="46"/>
        <v>0</v>
      </c>
      <c r="AG155" s="73"/>
      <c r="AH155" s="74">
        <f t="shared" si="47"/>
        <v>0</v>
      </c>
      <c r="AI155" s="74">
        <f t="shared" si="48"/>
        <v>0</v>
      </c>
      <c r="AJ155" s="71" t="str">
        <f t="shared" si="49"/>
        <v>Y</v>
      </c>
      <c r="AK155" s="71"/>
      <c r="AL155" s="71"/>
      <c r="AM155" s="75"/>
      <c r="AN155" s="75"/>
      <c r="AO155" s="75"/>
      <c r="AP155" s="75"/>
      <c r="AR155" s="70"/>
      <c r="BC155" s="74"/>
      <c r="BD155" s="74"/>
      <c r="BO155" s="78"/>
      <c r="BT155" s="75"/>
    </row>
    <row r="156" spans="1:72" ht="16.5" x14ac:dyDescent="0.25">
      <c r="A156" s="64">
        <v>155</v>
      </c>
      <c r="B156" s="69"/>
      <c r="E156" s="70" t="e">
        <f>VLOOKUP($D156,客戶編輯設定自動代出!$A:$C,3,0)</f>
        <v>#N/A</v>
      </c>
      <c r="F156" s="70" t="e">
        <f>VLOOKUP($D156,客戶編輯設定自動代出!$A:$C,2,0)</f>
        <v>#N/A</v>
      </c>
      <c r="G156" s="70" t="s">
        <v>1508</v>
      </c>
      <c r="K156" s="72">
        <f t="shared" si="50"/>
        <v>0</v>
      </c>
      <c r="M156" s="74">
        <f t="shared" si="51"/>
        <v>0</v>
      </c>
      <c r="N156" s="74">
        <f t="shared" si="52"/>
        <v>0</v>
      </c>
      <c r="O156" s="71" t="str">
        <f t="shared" si="53"/>
        <v>Y</v>
      </c>
      <c r="Q156" s="119"/>
      <c r="R156" s="75"/>
      <c r="S156" s="75"/>
      <c r="T156" s="75"/>
      <c r="U156" s="75"/>
      <c r="V156" s="64">
        <v>155</v>
      </c>
      <c r="W156" s="69"/>
      <c r="X156" s="70"/>
      <c r="Y156" s="71"/>
      <c r="Z156" s="70" t="e">
        <f>VLOOKUP($Y156,客戶編輯設定自動代出!$A:$C,3,0)</f>
        <v>#N/A</v>
      </c>
      <c r="AA156" s="70" t="e">
        <f>VLOOKUP($Y156,客戶編輯設定自動代出!$A:$C,2,0)</f>
        <v>#N/A</v>
      </c>
      <c r="AB156" s="70" t="s">
        <v>1768</v>
      </c>
      <c r="AC156" s="70"/>
      <c r="AD156" s="70"/>
      <c r="AE156" s="72"/>
      <c r="AF156" s="72">
        <f t="shared" si="46"/>
        <v>0</v>
      </c>
      <c r="AG156" s="73"/>
      <c r="AH156" s="74">
        <f t="shared" si="47"/>
        <v>0</v>
      </c>
      <c r="AI156" s="74">
        <f t="shared" si="48"/>
        <v>0</v>
      </c>
      <c r="AJ156" s="71" t="str">
        <f t="shared" si="49"/>
        <v>Y</v>
      </c>
      <c r="AK156" s="71"/>
      <c r="AL156" s="71"/>
      <c r="AM156" s="75"/>
      <c r="AN156" s="75"/>
      <c r="AO156" s="75"/>
      <c r="AP156" s="75"/>
      <c r="AR156" s="70"/>
      <c r="BC156" s="74"/>
      <c r="BD156" s="74"/>
      <c r="BO156" s="78"/>
      <c r="BT156" s="75"/>
    </row>
    <row r="157" spans="1:72" ht="16.5" x14ac:dyDescent="0.25">
      <c r="A157" s="64">
        <v>156</v>
      </c>
      <c r="B157" s="69"/>
      <c r="E157" s="70" t="e">
        <f>VLOOKUP($D157,客戶編輯設定自動代出!$A:$C,3,0)</f>
        <v>#N/A</v>
      </c>
      <c r="F157" s="70" t="e">
        <f>VLOOKUP($D157,客戶編輯設定自動代出!$A:$C,2,0)</f>
        <v>#N/A</v>
      </c>
      <c r="G157" s="70" t="s">
        <v>1509</v>
      </c>
      <c r="K157" s="72">
        <f t="shared" si="50"/>
        <v>0</v>
      </c>
      <c r="M157" s="74">
        <f t="shared" si="51"/>
        <v>0</v>
      </c>
      <c r="N157" s="74">
        <f t="shared" si="52"/>
        <v>0</v>
      </c>
      <c r="O157" s="71" t="str">
        <f t="shared" si="53"/>
        <v>Y</v>
      </c>
      <c r="Q157" s="119"/>
      <c r="R157" s="75"/>
      <c r="S157" s="75"/>
      <c r="T157" s="75"/>
      <c r="U157" s="75"/>
      <c r="V157" s="64">
        <v>156</v>
      </c>
      <c r="W157" s="69"/>
      <c r="X157" s="70"/>
      <c r="Y157" s="71"/>
      <c r="Z157" s="70" t="e">
        <f>VLOOKUP($Y157,客戶編輯設定自動代出!$A:$C,3,0)</f>
        <v>#N/A</v>
      </c>
      <c r="AA157" s="70" t="e">
        <f>VLOOKUP($Y157,客戶編輯設定自動代出!$A:$C,2,0)</f>
        <v>#N/A</v>
      </c>
      <c r="AB157" s="70" t="s">
        <v>1769</v>
      </c>
      <c r="AC157" s="70"/>
      <c r="AD157" s="70"/>
      <c r="AE157" s="72"/>
      <c r="AF157" s="72">
        <f t="shared" si="46"/>
        <v>0</v>
      </c>
      <c r="AG157" s="73"/>
      <c r="AH157" s="74">
        <f t="shared" si="47"/>
        <v>0</v>
      </c>
      <c r="AI157" s="74">
        <f t="shared" si="48"/>
        <v>0</v>
      </c>
      <c r="AJ157" s="71" t="str">
        <f t="shared" si="49"/>
        <v>Y</v>
      </c>
      <c r="AK157" s="71"/>
      <c r="AL157" s="71"/>
      <c r="AM157" s="75"/>
      <c r="AN157" s="75"/>
      <c r="AO157" s="75"/>
      <c r="AP157" s="75"/>
      <c r="AR157" s="70"/>
      <c r="BC157" s="74"/>
      <c r="BD157" s="74"/>
      <c r="BO157" s="78"/>
      <c r="BT157" s="75"/>
    </row>
    <row r="158" spans="1:72" ht="16.5" x14ac:dyDescent="0.25">
      <c r="A158" s="64">
        <v>157</v>
      </c>
      <c r="B158" s="69"/>
      <c r="E158" s="70" t="e">
        <f>VLOOKUP($D158,客戶編輯設定自動代出!$A:$C,3,0)</f>
        <v>#N/A</v>
      </c>
      <c r="F158" s="70" t="e">
        <f>VLOOKUP($D158,客戶編輯設定自動代出!$A:$C,2,0)</f>
        <v>#N/A</v>
      </c>
      <c r="G158" s="70" t="s">
        <v>1510</v>
      </c>
      <c r="K158" s="72">
        <f t="shared" si="50"/>
        <v>0</v>
      </c>
      <c r="M158" s="74">
        <f t="shared" si="51"/>
        <v>0</v>
      </c>
      <c r="N158" s="74">
        <f t="shared" si="52"/>
        <v>0</v>
      </c>
      <c r="O158" s="71" t="str">
        <f t="shared" si="53"/>
        <v>Y</v>
      </c>
      <c r="Q158" s="119"/>
      <c r="R158" s="75"/>
      <c r="S158" s="75"/>
      <c r="T158" s="75"/>
      <c r="U158" s="75"/>
      <c r="V158" s="64">
        <v>157</v>
      </c>
      <c r="W158" s="69"/>
      <c r="X158" s="70"/>
      <c r="Y158" s="71"/>
      <c r="Z158" s="70" t="e">
        <f>VLOOKUP($Y158,客戶編輯設定自動代出!$A:$C,3,0)</f>
        <v>#N/A</v>
      </c>
      <c r="AA158" s="70" t="e">
        <f>VLOOKUP($Y158,客戶編輯設定自動代出!$A:$C,2,0)</f>
        <v>#N/A</v>
      </c>
      <c r="AB158" s="70" t="s">
        <v>1770</v>
      </c>
      <c r="AC158" s="70"/>
      <c r="AD158" s="70"/>
      <c r="AE158" s="72"/>
      <c r="AF158" s="72">
        <f t="shared" si="46"/>
        <v>0</v>
      </c>
      <c r="AG158" s="73"/>
      <c r="AH158" s="74">
        <f t="shared" si="47"/>
        <v>0</v>
      </c>
      <c r="AI158" s="74">
        <f t="shared" si="48"/>
        <v>0</v>
      </c>
      <c r="AJ158" s="71" t="str">
        <f t="shared" si="49"/>
        <v>Y</v>
      </c>
      <c r="AK158" s="71"/>
      <c r="AL158" s="71"/>
      <c r="AM158" s="75"/>
      <c r="AN158" s="75"/>
      <c r="AO158" s="75"/>
      <c r="AP158" s="75"/>
      <c r="AR158" s="70"/>
      <c r="BC158" s="74"/>
      <c r="BD158" s="74"/>
      <c r="BO158" s="78"/>
      <c r="BT158" s="75"/>
    </row>
    <row r="159" spans="1:72" ht="16.5" x14ac:dyDescent="0.25">
      <c r="A159" s="64">
        <v>158</v>
      </c>
      <c r="B159" s="69"/>
      <c r="E159" s="70" t="e">
        <f>VLOOKUP($D159,客戶編輯設定自動代出!$A:$C,3,0)</f>
        <v>#N/A</v>
      </c>
      <c r="F159" s="70" t="e">
        <f>VLOOKUP($D159,客戶編輯設定自動代出!$A:$C,2,0)</f>
        <v>#N/A</v>
      </c>
      <c r="G159" s="70" t="s">
        <v>1511</v>
      </c>
      <c r="K159" s="72">
        <f t="shared" si="50"/>
        <v>0</v>
      </c>
      <c r="M159" s="74">
        <f t="shared" si="51"/>
        <v>0</v>
      </c>
      <c r="N159" s="74">
        <f t="shared" si="52"/>
        <v>0</v>
      </c>
      <c r="O159" s="71" t="str">
        <f t="shared" si="53"/>
        <v>Y</v>
      </c>
      <c r="Q159" s="119"/>
      <c r="R159" s="75"/>
      <c r="S159" s="75"/>
      <c r="T159" s="75"/>
      <c r="U159" s="75"/>
      <c r="V159" s="64">
        <v>158</v>
      </c>
      <c r="W159" s="69"/>
      <c r="X159" s="70"/>
      <c r="Y159" s="71"/>
      <c r="Z159" s="70" t="e">
        <f>VLOOKUP($Y159,客戶編輯設定自動代出!$A:$C,3,0)</f>
        <v>#N/A</v>
      </c>
      <c r="AA159" s="70" t="e">
        <f>VLOOKUP($Y159,客戶編輯設定自動代出!$A:$C,2,0)</f>
        <v>#N/A</v>
      </c>
      <c r="AB159" s="70" t="s">
        <v>1771</v>
      </c>
      <c r="AC159" s="70"/>
      <c r="AD159" s="70"/>
      <c r="AE159" s="72"/>
      <c r="AF159" s="72">
        <f t="shared" si="46"/>
        <v>0</v>
      </c>
      <c r="AG159" s="73"/>
      <c r="AH159" s="74">
        <f t="shared" si="47"/>
        <v>0</v>
      </c>
      <c r="AI159" s="74">
        <f t="shared" si="48"/>
        <v>0</v>
      </c>
      <c r="AJ159" s="71" t="str">
        <f t="shared" si="49"/>
        <v>Y</v>
      </c>
      <c r="AK159" s="71"/>
      <c r="AL159" s="71"/>
      <c r="AM159" s="75"/>
      <c r="AN159" s="75"/>
      <c r="AO159" s="75"/>
      <c r="AP159" s="75"/>
      <c r="AR159" s="70"/>
      <c r="BC159" s="74"/>
      <c r="BD159" s="74"/>
      <c r="BO159" s="78"/>
      <c r="BT159" s="75"/>
    </row>
    <row r="160" spans="1:72" ht="16.5" x14ac:dyDescent="0.25">
      <c r="A160" s="64">
        <v>159</v>
      </c>
      <c r="B160" s="69"/>
      <c r="E160" s="70" t="e">
        <f>VLOOKUP($D160,客戶編輯設定自動代出!$A:$C,3,0)</f>
        <v>#N/A</v>
      </c>
      <c r="F160" s="70" t="e">
        <f>VLOOKUP($D160,客戶編輯設定自動代出!$A:$C,2,0)</f>
        <v>#N/A</v>
      </c>
      <c r="G160" s="70" t="s">
        <v>1512</v>
      </c>
      <c r="K160" s="72">
        <f t="shared" si="50"/>
        <v>0</v>
      </c>
      <c r="M160" s="74">
        <f t="shared" si="51"/>
        <v>0</v>
      </c>
      <c r="N160" s="74">
        <f t="shared" si="52"/>
        <v>0</v>
      </c>
      <c r="O160" s="71" t="str">
        <f t="shared" si="53"/>
        <v>Y</v>
      </c>
      <c r="Q160" s="119"/>
      <c r="R160" s="75"/>
      <c r="S160" s="75"/>
      <c r="T160" s="75"/>
      <c r="U160" s="75"/>
      <c r="V160" s="64">
        <v>159</v>
      </c>
      <c r="W160" s="69"/>
      <c r="X160" s="70"/>
      <c r="Y160" s="71"/>
      <c r="Z160" s="70" t="e">
        <f>VLOOKUP($Y160,客戶編輯設定自動代出!$A:$C,3,0)</f>
        <v>#N/A</v>
      </c>
      <c r="AA160" s="70" t="e">
        <f>VLOOKUP($Y160,客戶編輯設定自動代出!$A:$C,2,0)</f>
        <v>#N/A</v>
      </c>
      <c r="AB160" s="70" t="s">
        <v>1772</v>
      </c>
      <c r="AC160" s="70"/>
      <c r="AD160" s="70"/>
      <c r="AE160" s="72"/>
      <c r="AF160" s="72">
        <f t="shared" si="46"/>
        <v>0</v>
      </c>
      <c r="AG160" s="73"/>
      <c r="AH160" s="74">
        <f t="shared" si="47"/>
        <v>0</v>
      </c>
      <c r="AI160" s="74">
        <f t="shared" si="48"/>
        <v>0</v>
      </c>
      <c r="AJ160" s="71" t="str">
        <f t="shared" si="49"/>
        <v>Y</v>
      </c>
      <c r="AK160" s="71"/>
      <c r="AL160" s="71"/>
      <c r="AM160" s="75"/>
      <c r="AN160" s="75"/>
      <c r="AO160" s="75"/>
      <c r="AP160" s="75"/>
      <c r="AR160" s="70"/>
      <c r="BC160" s="74"/>
      <c r="BD160" s="74"/>
      <c r="BO160" s="78"/>
      <c r="BT160" s="75"/>
    </row>
    <row r="161" spans="1:72" ht="16.5" x14ac:dyDescent="0.25">
      <c r="A161" s="64">
        <v>160</v>
      </c>
      <c r="B161" s="69"/>
      <c r="E161" s="70" t="e">
        <f>VLOOKUP($D161,客戶編輯設定自動代出!$A:$C,3,0)</f>
        <v>#N/A</v>
      </c>
      <c r="F161" s="70" t="e">
        <f>VLOOKUP($D161,客戶編輯設定自動代出!$A:$C,2,0)</f>
        <v>#N/A</v>
      </c>
      <c r="G161" s="70" t="s">
        <v>1513</v>
      </c>
      <c r="K161" s="72">
        <f t="shared" si="50"/>
        <v>0</v>
      </c>
      <c r="M161" s="74">
        <f t="shared" si="51"/>
        <v>0</v>
      </c>
      <c r="N161" s="74">
        <f t="shared" si="52"/>
        <v>0</v>
      </c>
      <c r="O161" s="71" t="str">
        <f t="shared" si="53"/>
        <v>Y</v>
      </c>
      <c r="Q161" s="119"/>
      <c r="R161" s="75"/>
      <c r="S161" s="75"/>
      <c r="T161" s="75"/>
      <c r="U161" s="75"/>
      <c r="V161" s="64">
        <v>160</v>
      </c>
      <c r="W161" s="69"/>
      <c r="X161" s="70"/>
      <c r="Y161" s="71"/>
      <c r="Z161" s="70" t="e">
        <f>VLOOKUP($Y161,客戶編輯設定自動代出!$A:$C,3,0)</f>
        <v>#N/A</v>
      </c>
      <c r="AA161" s="70" t="e">
        <f>VLOOKUP($Y161,客戶編輯設定自動代出!$A:$C,2,0)</f>
        <v>#N/A</v>
      </c>
      <c r="AB161" s="70" t="s">
        <v>1773</v>
      </c>
      <c r="AC161" s="70"/>
      <c r="AD161" s="70"/>
      <c r="AE161" s="72"/>
      <c r="AF161" s="72">
        <f t="shared" si="46"/>
        <v>0</v>
      </c>
      <c r="AG161" s="73"/>
      <c r="AH161" s="74">
        <f t="shared" si="47"/>
        <v>0</v>
      </c>
      <c r="AI161" s="74">
        <f t="shared" si="48"/>
        <v>0</v>
      </c>
      <c r="AJ161" s="71" t="str">
        <f t="shared" si="49"/>
        <v>Y</v>
      </c>
      <c r="AK161" s="71"/>
      <c r="AL161" s="71"/>
      <c r="AM161" s="75"/>
      <c r="AN161" s="75"/>
      <c r="AO161" s="75"/>
      <c r="AP161" s="75"/>
      <c r="AR161" s="70"/>
      <c r="BC161" s="74"/>
      <c r="BD161" s="74"/>
      <c r="BO161" s="78"/>
      <c r="BT161" s="75"/>
    </row>
    <row r="162" spans="1:72" ht="16.5" x14ac:dyDescent="0.25">
      <c r="A162" s="64">
        <v>161</v>
      </c>
      <c r="B162" s="69"/>
      <c r="E162" s="70" t="e">
        <f>VLOOKUP($D162,客戶編輯設定自動代出!$A:$C,3,0)</f>
        <v>#N/A</v>
      </c>
      <c r="F162" s="70" t="e">
        <f>VLOOKUP($D162,客戶編輯設定自動代出!$A:$C,2,0)</f>
        <v>#N/A</v>
      </c>
      <c r="G162" s="70" t="s">
        <v>1514</v>
      </c>
      <c r="K162" s="72">
        <f t="shared" si="50"/>
        <v>0</v>
      </c>
      <c r="M162" s="74">
        <f t="shared" si="51"/>
        <v>0</v>
      </c>
      <c r="N162" s="74">
        <f t="shared" si="52"/>
        <v>0</v>
      </c>
      <c r="O162" s="71" t="str">
        <f t="shared" si="53"/>
        <v>Y</v>
      </c>
      <c r="Q162" s="119"/>
      <c r="R162" s="75"/>
      <c r="S162" s="75"/>
      <c r="T162" s="75"/>
      <c r="U162" s="75"/>
      <c r="V162" s="64">
        <v>161</v>
      </c>
      <c r="W162" s="69"/>
      <c r="X162" s="70"/>
      <c r="Y162" s="71"/>
      <c r="Z162" s="70" t="e">
        <f>VLOOKUP($Y162,客戶編輯設定自動代出!$A:$C,3,0)</f>
        <v>#N/A</v>
      </c>
      <c r="AA162" s="70" t="e">
        <f>VLOOKUP($Y162,客戶編輯設定自動代出!$A:$C,2,0)</f>
        <v>#N/A</v>
      </c>
      <c r="AB162" s="70" t="s">
        <v>1774</v>
      </c>
      <c r="AC162" s="70"/>
      <c r="AD162" s="70"/>
      <c r="AE162" s="72"/>
      <c r="AF162" s="72">
        <f t="shared" si="46"/>
        <v>0</v>
      </c>
      <c r="AG162" s="73"/>
      <c r="AH162" s="74">
        <f t="shared" si="47"/>
        <v>0</v>
      </c>
      <c r="AI162" s="74">
        <f t="shared" si="48"/>
        <v>0</v>
      </c>
      <c r="AJ162" s="71" t="str">
        <f t="shared" si="49"/>
        <v>Y</v>
      </c>
      <c r="AK162" s="71"/>
      <c r="AL162" s="71"/>
      <c r="AM162" s="75"/>
      <c r="AN162" s="75"/>
      <c r="AO162" s="75"/>
      <c r="AP162" s="75"/>
      <c r="AR162" s="70"/>
      <c r="BC162" s="74"/>
      <c r="BD162" s="74"/>
      <c r="BO162" s="78"/>
      <c r="BT162" s="75"/>
    </row>
    <row r="163" spans="1:72" ht="16.5" x14ac:dyDescent="0.25">
      <c r="A163" s="64">
        <v>162</v>
      </c>
      <c r="B163" s="69"/>
      <c r="E163" s="70" t="e">
        <f>VLOOKUP($D163,客戶編輯設定自動代出!$A:$C,3,0)</f>
        <v>#N/A</v>
      </c>
      <c r="F163" s="70" t="e">
        <f>VLOOKUP($D163,客戶編輯設定自動代出!$A:$C,2,0)</f>
        <v>#N/A</v>
      </c>
      <c r="G163" s="70" t="s">
        <v>1515</v>
      </c>
      <c r="K163" s="72">
        <f t="shared" si="50"/>
        <v>0</v>
      </c>
      <c r="M163" s="74">
        <f t="shared" si="51"/>
        <v>0</v>
      </c>
      <c r="N163" s="74">
        <f t="shared" si="52"/>
        <v>0</v>
      </c>
      <c r="O163" s="71" t="str">
        <f t="shared" si="53"/>
        <v>Y</v>
      </c>
      <c r="Q163" s="119"/>
      <c r="R163" s="75"/>
      <c r="S163" s="75"/>
      <c r="T163" s="75"/>
      <c r="U163" s="75"/>
      <c r="V163" s="64">
        <v>162</v>
      </c>
      <c r="W163" s="69"/>
      <c r="X163" s="70"/>
      <c r="Y163" s="71"/>
      <c r="Z163" s="70" t="e">
        <f>VLOOKUP($Y163,客戶編輯設定自動代出!$A:$C,3,0)</f>
        <v>#N/A</v>
      </c>
      <c r="AA163" s="70" t="e">
        <f>VLOOKUP($Y163,客戶編輯設定自動代出!$A:$C,2,0)</f>
        <v>#N/A</v>
      </c>
      <c r="AB163" s="70" t="s">
        <v>1775</v>
      </c>
      <c r="AC163" s="70"/>
      <c r="AD163" s="70"/>
      <c r="AE163" s="72"/>
      <c r="AF163" s="72">
        <f t="shared" si="46"/>
        <v>0</v>
      </c>
      <c r="AG163" s="73"/>
      <c r="AH163" s="74">
        <f t="shared" si="47"/>
        <v>0</v>
      </c>
      <c r="AI163" s="74">
        <f t="shared" si="48"/>
        <v>0</v>
      </c>
      <c r="AJ163" s="71" t="str">
        <f t="shared" si="49"/>
        <v>Y</v>
      </c>
      <c r="AK163" s="71"/>
      <c r="AL163" s="71"/>
      <c r="AM163" s="75"/>
      <c r="AN163" s="75"/>
      <c r="AO163" s="75"/>
      <c r="AP163" s="75"/>
      <c r="AR163" s="70"/>
      <c r="BC163" s="74"/>
      <c r="BD163" s="74"/>
      <c r="BO163" s="78"/>
      <c r="BT163" s="75"/>
    </row>
    <row r="164" spans="1:72" ht="16.5" x14ac:dyDescent="0.25">
      <c r="A164" s="64">
        <v>163</v>
      </c>
      <c r="B164" s="69"/>
      <c r="E164" s="70" t="e">
        <f>VLOOKUP($D164,客戶編輯設定自動代出!$A:$C,3,0)</f>
        <v>#N/A</v>
      </c>
      <c r="F164" s="70" t="e">
        <f>VLOOKUP($D164,客戶編輯設定自動代出!$A:$C,2,0)</f>
        <v>#N/A</v>
      </c>
      <c r="G164" s="70" t="s">
        <v>1516</v>
      </c>
      <c r="K164" s="72">
        <f t="shared" si="50"/>
        <v>0</v>
      </c>
      <c r="M164" s="74">
        <f t="shared" si="51"/>
        <v>0</v>
      </c>
      <c r="N164" s="74">
        <f t="shared" si="52"/>
        <v>0</v>
      </c>
      <c r="O164" s="71" t="str">
        <f t="shared" si="53"/>
        <v>Y</v>
      </c>
      <c r="Q164" s="119"/>
      <c r="R164" s="75"/>
      <c r="S164" s="75"/>
      <c r="T164" s="75"/>
      <c r="U164" s="75"/>
      <c r="V164" s="64">
        <v>163</v>
      </c>
      <c r="W164" s="69"/>
      <c r="X164" s="70"/>
      <c r="Y164" s="71"/>
      <c r="Z164" s="70" t="e">
        <f>VLOOKUP($Y164,客戶編輯設定自動代出!$A:$C,3,0)</f>
        <v>#N/A</v>
      </c>
      <c r="AA164" s="70" t="e">
        <f>VLOOKUP($Y164,客戶編輯設定自動代出!$A:$C,2,0)</f>
        <v>#N/A</v>
      </c>
      <c r="AB164" s="70" t="s">
        <v>1776</v>
      </c>
      <c r="AC164" s="70"/>
      <c r="AD164" s="70"/>
      <c r="AE164" s="72"/>
      <c r="AF164" s="72">
        <f t="shared" si="46"/>
        <v>0</v>
      </c>
      <c r="AG164" s="73"/>
      <c r="AH164" s="74">
        <f t="shared" si="47"/>
        <v>0</v>
      </c>
      <c r="AI164" s="74">
        <f t="shared" si="48"/>
        <v>0</v>
      </c>
      <c r="AJ164" s="71" t="str">
        <f t="shared" si="49"/>
        <v>Y</v>
      </c>
      <c r="AK164" s="71"/>
      <c r="AL164" s="71"/>
      <c r="AM164" s="75"/>
      <c r="AN164" s="75"/>
      <c r="AO164" s="75"/>
      <c r="AP164" s="75"/>
      <c r="AR164" s="70"/>
      <c r="BC164" s="74"/>
      <c r="BD164" s="74"/>
      <c r="BO164" s="78"/>
      <c r="BT164" s="75"/>
    </row>
    <row r="165" spans="1:72" ht="16.5" x14ac:dyDescent="0.25">
      <c r="A165" s="64">
        <v>164</v>
      </c>
      <c r="B165" s="69"/>
      <c r="E165" s="70" t="e">
        <f>VLOOKUP($D165,客戶編輯設定自動代出!$A:$C,3,0)</f>
        <v>#N/A</v>
      </c>
      <c r="F165" s="70" t="e">
        <f>VLOOKUP($D165,客戶編輯設定自動代出!$A:$C,2,0)</f>
        <v>#N/A</v>
      </c>
      <c r="G165" s="70" t="s">
        <v>1517</v>
      </c>
      <c r="K165" s="72">
        <f t="shared" si="50"/>
        <v>0</v>
      </c>
      <c r="M165" s="74">
        <f t="shared" si="51"/>
        <v>0</v>
      </c>
      <c r="N165" s="74">
        <f t="shared" si="52"/>
        <v>0</v>
      </c>
      <c r="O165" s="71" t="str">
        <f t="shared" si="53"/>
        <v>Y</v>
      </c>
      <c r="Q165" s="119"/>
      <c r="R165" s="75"/>
      <c r="S165" s="75"/>
      <c r="T165" s="75"/>
      <c r="U165" s="75"/>
      <c r="V165" s="64">
        <v>164</v>
      </c>
      <c r="W165" s="69"/>
      <c r="X165" s="70"/>
      <c r="Y165" s="71"/>
      <c r="Z165" s="70" t="e">
        <f>VLOOKUP($Y165,客戶編輯設定自動代出!$A:$C,3,0)</f>
        <v>#N/A</v>
      </c>
      <c r="AA165" s="70" t="e">
        <f>VLOOKUP($Y165,客戶編輯設定自動代出!$A:$C,2,0)</f>
        <v>#N/A</v>
      </c>
      <c r="AB165" s="70" t="s">
        <v>1777</v>
      </c>
      <c r="AC165" s="70"/>
      <c r="AD165" s="70"/>
      <c r="AE165" s="72"/>
      <c r="AF165" s="72">
        <f t="shared" si="46"/>
        <v>0</v>
      </c>
      <c r="AG165" s="73"/>
      <c r="AH165" s="74">
        <f t="shared" si="47"/>
        <v>0</v>
      </c>
      <c r="AI165" s="74">
        <f t="shared" si="48"/>
        <v>0</v>
      </c>
      <c r="AJ165" s="71" t="str">
        <f t="shared" si="49"/>
        <v>Y</v>
      </c>
      <c r="AK165" s="71"/>
      <c r="AL165" s="71"/>
      <c r="AM165" s="75"/>
      <c r="AN165" s="75"/>
      <c r="AO165" s="75"/>
      <c r="AP165" s="75"/>
      <c r="AR165" s="70"/>
      <c r="BC165" s="74"/>
      <c r="BD165" s="74"/>
      <c r="BO165" s="78"/>
      <c r="BT165" s="75"/>
    </row>
    <row r="166" spans="1:72" ht="16.5" x14ac:dyDescent="0.25">
      <c r="A166" s="64">
        <v>165</v>
      </c>
      <c r="B166" s="69"/>
      <c r="E166" s="70" t="e">
        <f>VLOOKUP($D166,客戶編輯設定自動代出!$A:$C,3,0)</f>
        <v>#N/A</v>
      </c>
      <c r="F166" s="70" t="e">
        <f>VLOOKUP($D166,客戶編輯設定自動代出!$A:$C,2,0)</f>
        <v>#N/A</v>
      </c>
      <c r="G166" s="70" t="s">
        <v>1518</v>
      </c>
      <c r="K166" s="72">
        <f t="shared" si="50"/>
        <v>0</v>
      </c>
      <c r="M166" s="74">
        <f t="shared" si="51"/>
        <v>0</v>
      </c>
      <c r="N166" s="74">
        <f t="shared" si="52"/>
        <v>0</v>
      </c>
      <c r="O166" s="71" t="str">
        <f t="shared" si="53"/>
        <v>Y</v>
      </c>
      <c r="Q166" s="119"/>
      <c r="R166" s="75"/>
      <c r="S166" s="75"/>
      <c r="T166" s="75"/>
      <c r="U166" s="75"/>
      <c r="V166" s="64">
        <v>165</v>
      </c>
      <c r="W166" s="69"/>
      <c r="X166" s="70"/>
      <c r="Y166" s="71"/>
      <c r="Z166" s="70" t="e">
        <f>VLOOKUP($Y166,客戶編輯設定自動代出!$A:$C,3,0)</f>
        <v>#N/A</v>
      </c>
      <c r="AA166" s="70" t="e">
        <f>VLOOKUP($Y166,客戶編輯設定自動代出!$A:$C,2,0)</f>
        <v>#N/A</v>
      </c>
      <c r="AB166" s="70" t="s">
        <v>1778</v>
      </c>
      <c r="AC166" s="70"/>
      <c r="AD166" s="70"/>
      <c r="AE166" s="72"/>
      <c r="AF166" s="72">
        <f t="shared" si="46"/>
        <v>0</v>
      </c>
      <c r="AG166" s="73"/>
      <c r="AH166" s="74">
        <f t="shared" si="47"/>
        <v>0</v>
      </c>
      <c r="AI166" s="74">
        <f t="shared" si="48"/>
        <v>0</v>
      </c>
      <c r="AJ166" s="71" t="str">
        <f t="shared" si="49"/>
        <v>Y</v>
      </c>
      <c r="AK166" s="71"/>
      <c r="AL166" s="71"/>
      <c r="AM166" s="75"/>
      <c r="AN166" s="75"/>
      <c r="AO166" s="75"/>
      <c r="AP166" s="75"/>
      <c r="AR166" s="70"/>
      <c r="BC166" s="74"/>
      <c r="BD166" s="74"/>
      <c r="BO166" s="78"/>
      <c r="BT166" s="75"/>
    </row>
    <row r="167" spans="1:72" ht="16.5" x14ac:dyDescent="0.25">
      <c r="A167" s="64">
        <v>166</v>
      </c>
      <c r="B167" s="69"/>
      <c r="E167" s="70" t="e">
        <f>VLOOKUP($D167,客戶編輯設定自動代出!$A:$C,3,0)</f>
        <v>#N/A</v>
      </c>
      <c r="F167" s="70" t="e">
        <f>VLOOKUP($D167,客戶編輯設定自動代出!$A:$C,2,0)</f>
        <v>#N/A</v>
      </c>
      <c r="G167" s="70" t="s">
        <v>1519</v>
      </c>
      <c r="K167" s="72">
        <f t="shared" si="50"/>
        <v>0</v>
      </c>
      <c r="M167" s="74">
        <f t="shared" si="51"/>
        <v>0</v>
      </c>
      <c r="N167" s="74">
        <f t="shared" si="52"/>
        <v>0</v>
      </c>
      <c r="O167" s="71" t="str">
        <f t="shared" si="53"/>
        <v>Y</v>
      </c>
      <c r="Q167" s="119"/>
      <c r="R167" s="75"/>
      <c r="S167" s="75"/>
      <c r="T167" s="75"/>
      <c r="U167" s="75"/>
      <c r="V167" s="64">
        <v>166</v>
      </c>
      <c r="W167" s="69"/>
      <c r="X167" s="70"/>
      <c r="Y167" s="71"/>
      <c r="Z167" s="70" t="e">
        <f>VLOOKUP($Y167,客戶編輯設定自動代出!$A:$C,3,0)</f>
        <v>#N/A</v>
      </c>
      <c r="AA167" s="70" t="e">
        <f>VLOOKUP($Y167,客戶編輯設定自動代出!$A:$C,2,0)</f>
        <v>#N/A</v>
      </c>
      <c r="AB167" s="70" t="s">
        <v>1779</v>
      </c>
      <c r="AC167" s="70"/>
      <c r="AD167" s="70"/>
      <c r="AE167" s="72"/>
      <c r="AF167" s="72">
        <f t="shared" si="46"/>
        <v>0</v>
      </c>
      <c r="AG167" s="73"/>
      <c r="AH167" s="74">
        <f t="shared" si="47"/>
        <v>0</v>
      </c>
      <c r="AI167" s="74">
        <f t="shared" si="48"/>
        <v>0</v>
      </c>
      <c r="AJ167" s="71" t="str">
        <f t="shared" si="49"/>
        <v>Y</v>
      </c>
      <c r="AK167" s="71"/>
      <c r="AL167" s="71"/>
      <c r="AM167" s="75"/>
      <c r="AN167" s="75"/>
      <c r="AO167" s="75"/>
      <c r="AP167" s="75"/>
      <c r="AR167" s="70"/>
      <c r="BC167" s="74"/>
      <c r="BD167" s="74"/>
      <c r="BO167" s="78"/>
      <c r="BT167" s="75"/>
    </row>
    <row r="168" spans="1:72" ht="16.5" x14ac:dyDescent="0.25">
      <c r="A168" s="64">
        <v>167</v>
      </c>
      <c r="B168" s="69"/>
      <c r="E168" s="70" t="e">
        <f>VLOOKUP($D168,客戶編輯設定自動代出!$A:$C,3,0)</f>
        <v>#N/A</v>
      </c>
      <c r="F168" s="70" t="e">
        <f>VLOOKUP($D168,客戶編輯設定自動代出!$A:$C,2,0)</f>
        <v>#N/A</v>
      </c>
      <c r="G168" s="70" t="s">
        <v>1520</v>
      </c>
      <c r="K168" s="72">
        <f t="shared" si="50"/>
        <v>0</v>
      </c>
      <c r="M168" s="74">
        <f t="shared" si="51"/>
        <v>0</v>
      </c>
      <c r="N168" s="74">
        <f t="shared" si="52"/>
        <v>0</v>
      </c>
      <c r="O168" s="71" t="str">
        <f t="shared" si="53"/>
        <v>Y</v>
      </c>
      <c r="Q168" s="119"/>
      <c r="R168" s="75"/>
      <c r="S168" s="75"/>
      <c r="T168" s="75"/>
      <c r="U168" s="75"/>
      <c r="V168" s="64">
        <v>167</v>
      </c>
      <c r="W168" s="69"/>
      <c r="X168" s="70"/>
      <c r="Y168" s="71"/>
      <c r="Z168" s="70" t="e">
        <f>VLOOKUP($Y168,客戶編輯設定自動代出!$A:$C,3,0)</f>
        <v>#N/A</v>
      </c>
      <c r="AA168" s="70" t="e">
        <f>VLOOKUP($Y168,客戶編輯設定自動代出!$A:$C,2,0)</f>
        <v>#N/A</v>
      </c>
      <c r="AB168" s="70" t="s">
        <v>1780</v>
      </c>
      <c r="AC168" s="70"/>
      <c r="AD168" s="70"/>
      <c r="AE168" s="72"/>
      <c r="AF168" s="72">
        <f t="shared" si="46"/>
        <v>0</v>
      </c>
      <c r="AG168" s="73"/>
      <c r="AH168" s="74">
        <f t="shared" si="47"/>
        <v>0</v>
      </c>
      <c r="AI168" s="74">
        <f t="shared" si="48"/>
        <v>0</v>
      </c>
      <c r="AJ168" s="71" t="str">
        <f t="shared" si="49"/>
        <v>Y</v>
      </c>
      <c r="AK168" s="71"/>
      <c r="AL168" s="71"/>
      <c r="AM168" s="75"/>
      <c r="AN168" s="75"/>
      <c r="AO168" s="75"/>
      <c r="AP168" s="75"/>
      <c r="AR168" s="70"/>
      <c r="BC168" s="74"/>
      <c r="BD168" s="74"/>
      <c r="BO168" s="78"/>
      <c r="BT168" s="75"/>
    </row>
    <row r="169" spans="1:72" ht="16.5" x14ac:dyDescent="0.25">
      <c r="A169" s="64">
        <v>168</v>
      </c>
      <c r="B169" s="69"/>
      <c r="E169" s="70" t="e">
        <f>VLOOKUP($D169,客戶編輯設定自動代出!$A:$C,3,0)</f>
        <v>#N/A</v>
      </c>
      <c r="F169" s="70" t="e">
        <f>VLOOKUP($D169,客戶編輯設定自動代出!$A:$C,2,0)</f>
        <v>#N/A</v>
      </c>
      <c r="G169" s="70" t="s">
        <v>1521</v>
      </c>
      <c r="K169" s="72">
        <f t="shared" si="50"/>
        <v>0</v>
      </c>
      <c r="M169" s="74">
        <f t="shared" si="51"/>
        <v>0</v>
      </c>
      <c r="N169" s="74">
        <f t="shared" si="52"/>
        <v>0</v>
      </c>
      <c r="O169" s="71" t="str">
        <f t="shared" si="53"/>
        <v>Y</v>
      </c>
      <c r="Q169" s="119"/>
      <c r="R169" s="75"/>
      <c r="S169" s="75"/>
      <c r="T169" s="75"/>
      <c r="U169" s="75"/>
      <c r="V169" s="64">
        <v>168</v>
      </c>
      <c r="W169" s="69"/>
      <c r="X169" s="70"/>
      <c r="Y169" s="71"/>
      <c r="Z169" s="70" t="e">
        <f>VLOOKUP($Y169,客戶編輯設定自動代出!$A:$C,3,0)</f>
        <v>#N/A</v>
      </c>
      <c r="AA169" s="70" t="e">
        <f>VLOOKUP($Y169,客戶編輯設定自動代出!$A:$C,2,0)</f>
        <v>#N/A</v>
      </c>
      <c r="AB169" s="70" t="s">
        <v>1781</v>
      </c>
      <c r="AC169" s="70"/>
      <c r="AD169" s="70"/>
      <c r="AE169" s="72"/>
      <c r="AF169" s="72">
        <f t="shared" si="46"/>
        <v>0</v>
      </c>
      <c r="AG169" s="73"/>
      <c r="AH169" s="74">
        <f t="shared" si="47"/>
        <v>0</v>
      </c>
      <c r="AI169" s="74">
        <f t="shared" si="48"/>
        <v>0</v>
      </c>
      <c r="AJ169" s="71" t="str">
        <f t="shared" si="49"/>
        <v>Y</v>
      </c>
      <c r="AK169" s="71"/>
      <c r="AL169" s="71"/>
      <c r="AM169" s="75"/>
      <c r="AN169" s="75"/>
      <c r="AO169" s="75"/>
      <c r="AP169" s="75"/>
      <c r="AR169" s="70"/>
      <c r="BC169" s="74"/>
      <c r="BD169" s="74"/>
      <c r="BO169" s="78"/>
      <c r="BT169" s="75"/>
    </row>
    <row r="170" spans="1:72" ht="16.5" x14ac:dyDescent="0.25">
      <c r="A170" s="64">
        <v>169</v>
      </c>
      <c r="B170" s="69"/>
      <c r="E170" s="70" t="e">
        <f>VLOOKUP($D170,客戶編輯設定自動代出!$A:$C,3,0)</f>
        <v>#N/A</v>
      </c>
      <c r="F170" s="70" t="e">
        <f>VLOOKUP($D170,客戶編輯設定自動代出!$A:$C,2,0)</f>
        <v>#N/A</v>
      </c>
      <c r="G170" s="70" t="s">
        <v>1522</v>
      </c>
      <c r="K170" s="72">
        <f t="shared" si="50"/>
        <v>0</v>
      </c>
      <c r="M170" s="74">
        <f t="shared" si="51"/>
        <v>0</v>
      </c>
      <c r="N170" s="74">
        <f t="shared" si="52"/>
        <v>0</v>
      </c>
      <c r="O170" s="71" t="str">
        <f t="shared" si="53"/>
        <v>Y</v>
      </c>
      <c r="Q170" s="119"/>
      <c r="R170" s="75"/>
      <c r="S170" s="75"/>
      <c r="T170" s="75"/>
      <c r="U170" s="75"/>
      <c r="V170" s="64">
        <v>169</v>
      </c>
      <c r="W170" s="69"/>
      <c r="X170" s="70"/>
      <c r="Y170" s="71"/>
      <c r="Z170" s="70" t="e">
        <f>VLOOKUP($Y170,客戶編輯設定自動代出!$A:$C,3,0)</f>
        <v>#N/A</v>
      </c>
      <c r="AA170" s="70" t="e">
        <f>VLOOKUP($Y170,客戶編輯設定自動代出!$A:$C,2,0)</f>
        <v>#N/A</v>
      </c>
      <c r="AB170" s="70" t="s">
        <v>1782</v>
      </c>
      <c r="AC170" s="70"/>
      <c r="AD170" s="70"/>
      <c r="AE170" s="72"/>
      <c r="AF170" s="72">
        <f t="shared" si="46"/>
        <v>0</v>
      </c>
      <c r="AG170" s="73"/>
      <c r="AH170" s="74">
        <f t="shared" si="47"/>
        <v>0</v>
      </c>
      <c r="AI170" s="74">
        <f t="shared" si="48"/>
        <v>0</v>
      </c>
      <c r="AJ170" s="71" t="str">
        <f t="shared" si="49"/>
        <v>Y</v>
      </c>
      <c r="AK170" s="71"/>
      <c r="AL170" s="71"/>
      <c r="AM170" s="75"/>
      <c r="AN170" s="75"/>
      <c r="AO170" s="75"/>
      <c r="AP170" s="75"/>
      <c r="AR170" s="70"/>
      <c r="BC170" s="74"/>
      <c r="BD170" s="74"/>
      <c r="BO170" s="78"/>
      <c r="BT170" s="75"/>
    </row>
    <row r="171" spans="1:72" ht="16.5" x14ac:dyDescent="0.25">
      <c r="A171" s="64">
        <v>170</v>
      </c>
      <c r="B171" s="69"/>
      <c r="E171" s="70" t="e">
        <f>VLOOKUP($D171,客戶編輯設定自動代出!$A:$C,3,0)</f>
        <v>#N/A</v>
      </c>
      <c r="F171" s="70" t="e">
        <f>VLOOKUP($D171,客戶編輯設定自動代出!$A:$C,2,0)</f>
        <v>#N/A</v>
      </c>
      <c r="G171" s="70" t="s">
        <v>1523</v>
      </c>
      <c r="K171" s="72">
        <f t="shared" si="50"/>
        <v>0</v>
      </c>
      <c r="M171" s="74">
        <f t="shared" si="51"/>
        <v>0</v>
      </c>
      <c r="N171" s="74">
        <f t="shared" si="52"/>
        <v>0</v>
      </c>
      <c r="O171" s="71" t="str">
        <f t="shared" si="53"/>
        <v>Y</v>
      </c>
      <c r="Q171" s="119"/>
      <c r="R171" s="75"/>
      <c r="S171" s="75"/>
      <c r="T171" s="75"/>
      <c r="U171" s="75"/>
      <c r="V171" s="64">
        <v>170</v>
      </c>
      <c r="W171" s="69"/>
      <c r="X171" s="70"/>
      <c r="Y171" s="71"/>
      <c r="Z171" s="70" t="e">
        <f>VLOOKUP($Y171,客戶編輯設定自動代出!$A:$C,3,0)</f>
        <v>#N/A</v>
      </c>
      <c r="AA171" s="70" t="e">
        <f>VLOOKUP($Y171,客戶編輯設定自動代出!$A:$C,2,0)</f>
        <v>#N/A</v>
      </c>
      <c r="AB171" s="70" t="s">
        <v>1783</v>
      </c>
      <c r="AC171" s="70"/>
      <c r="AD171" s="70"/>
      <c r="AE171" s="72"/>
      <c r="AF171" s="72">
        <f t="shared" si="46"/>
        <v>0</v>
      </c>
      <c r="AG171" s="73"/>
      <c r="AH171" s="74">
        <f t="shared" si="47"/>
        <v>0</v>
      </c>
      <c r="AI171" s="74">
        <f t="shared" si="48"/>
        <v>0</v>
      </c>
      <c r="AJ171" s="71" t="str">
        <f t="shared" si="49"/>
        <v>Y</v>
      </c>
      <c r="AK171" s="71"/>
      <c r="AL171" s="71"/>
      <c r="AM171" s="75"/>
      <c r="AN171" s="75"/>
      <c r="AO171" s="75"/>
      <c r="AP171" s="75"/>
      <c r="AR171" s="70"/>
      <c r="BC171" s="74"/>
      <c r="BD171" s="74"/>
      <c r="BO171" s="78"/>
      <c r="BT171" s="75"/>
    </row>
    <row r="172" spans="1:72" ht="16.5" x14ac:dyDescent="0.25">
      <c r="A172" s="64">
        <v>171</v>
      </c>
      <c r="B172" s="69"/>
      <c r="E172" s="70" t="e">
        <f>VLOOKUP($D172,客戶編輯設定自動代出!$A:$C,3,0)</f>
        <v>#N/A</v>
      </c>
      <c r="F172" s="70" t="e">
        <f>VLOOKUP($D172,客戶編輯設定自動代出!$A:$C,2,0)</f>
        <v>#N/A</v>
      </c>
      <c r="G172" s="70" t="s">
        <v>1524</v>
      </c>
      <c r="K172" s="72">
        <f t="shared" si="50"/>
        <v>0</v>
      </c>
      <c r="M172" s="74">
        <f t="shared" si="51"/>
        <v>0</v>
      </c>
      <c r="N172" s="74">
        <f t="shared" si="52"/>
        <v>0</v>
      </c>
      <c r="O172" s="71" t="str">
        <f t="shared" si="53"/>
        <v>Y</v>
      </c>
      <c r="Q172" s="119"/>
      <c r="R172" s="75"/>
      <c r="S172" s="75"/>
      <c r="T172" s="75"/>
      <c r="U172" s="75"/>
      <c r="V172" s="64">
        <v>171</v>
      </c>
      <c r="W172" s="69"/>
      <c r="X172" s="70"/>
      <c r="Y172" s="71"/>
      <c r="Z172" s="70" t="e">
        <f>VLOOKUP($Y172,客戶編輯設定自動代出!$A:$C,3,0)</f>
        <v>#N/A</v>
      </c>
      <c r="AA172" s="70" t="e">
        <f>VLOOKUP($Y172,客戶編輯設定自動代出!$A:$C,2,0)</f>
        <v>#N/A</v>
      </c>
      <c r="AB172" s="70" t="s">
        <v>1784</v>
      </c>
      <c r="AC172" s="70"/>
      <c r="AD172" s="70"/>
      <c r="AE172" s="72"/>
      <c r="AF172" s="72">
        <f t="shared" si="46"/>
        <v>0</v>
      </c>
      <c r="AG172" s="73"/>
      <c r="AH172" s="74">
        <f t="shared" si="47"/>
        <v>0</v>
      </c>
      <c r="AI172" s="74">
        <f t="shared" si="48"/>
        <v>0</v>
      </c>
      <c r="AJ172" s="71" t="str">
        <f t="shared" si="49"/>
        <v>Y</v>
      </c>
      <c r="AK172" s="71"/>
      <c r="AL172" s="71"/>
      <c r="AM172" s="75"/>
      <c r="AN172" s="75"/>
      <c r="AO172" s="75"/>
      <c r="AP172" s="75"/>
      <c r="AR172" s="70"/>
      <c r="BC172" s="74"/>
      <c r="BD172" s="74"/>
      <c r="BO172" s="78"/>
      <c r="BT172" s="75"/>
    </row>
    <row r="173" spans="1:72" ht="16.5" x14ac:dyDescent="0.25">
      <c r="A173" s="64">
        <v>172</v>
      </c>
      <c r="B173" s="69"/>
      <c r="E173" s="70" t="e">
        <f>VLOOKUP($D173,客戶編輯設定自動代出!$A:$C,3,0)</f>
        <v>#N/A</v>
      </c>
      <c r="F173" s="70" t="e">
        <f>VLOOKUP($D173,客戶編輯設定自動代出!$A:$C,2,0)</f>
        <v>#N/A</v>
      </c>
      <c r="G173" s="70" t="s">
        <v>1525</v>
      </c>
      <c r="K173" s="72">
        <f t="shared" si="50"/>
        <v>0</v>
      </c>
      <c r="M173" s="74">
        <f t="shared" si="51"/>
        <v>0</v>
      </c>
      <c r="N173" s="74">
        <f t="shared" si="52"/>
        <v>0</v>
      </c>
      <c r="O173" s="71" t="str">
        <f t="shared" si="53"/>
        <v>Y</v>
      </c>
      <c r="Q173" s="119"/>
      <c r="R173" s="75"/>
      <c r="S173" s="75"/>
      <c r="T173" s="75"/>
      <c r="U173" s="75"/>
      <c r="V173" s="64">
        <v>172</v>
      </c>
      <c r="W173" s="69"/>
      <c r="X173" s="70"/>
      <c r="Y173" s="71"/>
      <c r="Z173" s="70" t="e">
        <f>VLOOKUP($Y173,客戶編輯設定自動代出!$A:$C,3,0)</f>
        <v>#N/A</v>
      </c>
      <c r="AA173" s="70" t="e">
        <f>VLOOKUP($Y173,客戶編輯設定自動代出!$A:$C,2,0)</f>
        <v>#N/A</v>
      </c>
      <c r="AB173" s="70" t="s">
        <v>1785</v>
      </c>
      <c r="AC173" s="70"/>
      <c r="AD173" s="70"/>
      <c r="AE173" s="72"/>
      <c r="AF173" s="72">
        <f t="shared" si="46"/>
        <v>0</v>
      </c>
      <c r="AG173" s="73"/>
      <c r="AH173" s="74">
        <f t="shared" si="47"/>
        <v>0</v>
      </c>
      <c r="AI173" s="74">
        <f t="shared" si="48"/>
        <v>0</v>
      </c>
      <c r="AJ173" s="71" t="str">
        <f t="shared" si="49"/>
        <v>Y</v>
      </c>
      <c r="AK173" s="71"/>
      <c r="AL173" s="71"/>
      <c r="AM173" s="75"/>
      <c r="AN173" s="75"/>
      <c r="AO173" s="75"/>
      <c r="AP173" s="75"/>
      <c r="AR173" s="70"/>
      <c r="BC173" s="74"/>
      <c r="BD173" s="74"/>
      <c r="BO173" s="78"/>
      <c r="BT173" s="75"/>
    </row>
    <row r="174" spans="1:72" ht="16.5" x14ac:dyDescent="0.25">
      <c r="A174" s="64">
        <v>173</v>
      </c>
      <c r="B174" s="69"/>
      <c r="E174" s="70" t="e">
        <f>VLOOKUP($D174,客戶編輯設定自動代出!$A:$C,3,0)</f>
        <v>#N/A</v>
      </c>
      <c r="F174" s="70" t="e">
        <f>VLOOKUP($D174,客戶編輯設定自動代出!$A:$C,2,0)</f>
        <v>#N/A</v>
      </c>
      <c r="G174" s="70" t="s">
        <v>1526</v>
      </c>
      <c r="K174" s="72">
        <f t="shared" si="50"/>
        <v>0</v>
      </c>
      <c r="M174" s="74">
        <f t="shared" si="51"/>
        <v>0</v>
      </c>
      <c r="N174" s="74">
        <f t="shared" si="52"/>
        <v>0</v>
      </c>
      <c r="O174" s="71" t="str">
        <f t="shared" si="53"/>
        <v>Y</v>
      </c>
      <c r="Q174" s="119"/>
      <c r="R174" s="75"/>
      <c r="S174" s="75"/>
      <c r="T174" s="75"/>
      <c r="U174" s="75"/>
      <c r="V174" s="64">
        <v>173</v>
      </c>
      <c r="W174" s="69"/>
      <c r="X174" s="70"/>
      <c r="Y174" s="71"/>
      <c r="Z174" s="70" t="e">
        <f>VLOOKUP($Y174,客戶編輯設定自動代出!$A:$C,3,0)</f>
        <v>#N/A</v>
      </c>
      <c r="AA174" s="70" t="e">
        <f>VLOOKUP($Y174,客戶編輯設定自動代出!$A:$C,2,0)</f>
        <v>#N/A</v>
      </c>
      <c r="AB174" s="70" t="s">
        <v>1786</v>
      </c>
      <c r="AC174" s="70"/>
      <c r="AD174" s="70"/>
      <c r="AE174" s="72"/>
      <c r="AF174" s="72">
        <f t="shared" si="46"/>
        <v>0</v>
      </c>
      <c r="AG174" s="73"/>
      <c r="AH174" s="74">
        <f t="shared" si="47"/>
        <v>0</v>
      </c>
      <c r="AI174" s="74">
        <f t="shared" si="48"/>
        <v>0</v>
      </c>
      <c r="AJ174" s="71" t="str">
        <f t="shared" si="49"/>
        <v>Y</v>
      </c>
      <c r="AK174" s="71"/>
      <c r="AL174" s="71"/>
      <c r="AM174" s="75"/>
      <c r="AN174" s="75"/>
      <c r="AO174" s="75"/>
      <c r="AP174" s="75"/>
      <c r="AR174" s="70"/>
      <c r="BC174" s="74"/>
      <c r="BD174" s="74"/>
      <c r="BO174" s="78"/>
      <c r="BT174" s="75"/>
    </row>
    <row r="175" spans="1:72" ht="16.5" x14ac:dyDescent="0.25">
      <c r="A175" s="64">
        <v>174</v>
      </c>
      <c r="B175" s="69"/>
      <c r="E175" s="70" t="e">
        <f>VLOOKUP($D175,客戶編輯設定自動代出!$A:$C,3,0)</f>
        <v>#N/A</v>
      </c>
      <c r="F175" s="70" t="e">
        <f>VLOOKUP($D175,客戶編輯設定自動代出!$A:$C,2,0)</f>
        <v>#N/A</v>
      </c>
      <c r="G175" s="70" t="s">
        <v>1527</v>
      </c>
      <c r="K175" s="72">
        <f t="shared" si="50"/>
        <v>0</v>
      </c>
      <c r="M175" s="74">
        <f t="shared" si="51"/>
        <v>0</v>
      </c>
      <c r="N175" s="74">
        <f t="shared" si="52"/>
        <v>0</v>
      </c>
      <c r="O175" s="71" t="str">
        <f t="shared" si="53"/>
        <v>Y</v>
      </c>
      <c r="Q175" s="119"/>
      <c r="R175" s="75"/>
      <c r="S175" s="75"/>
      <c r="T175" s="75"/>
      <c r="U175" s="75"/>
      <c r="V175" s="64">
        <v>174</v>
      </c>
      <c r="W175" s="69"/>
      <c r="X175" s="70"/>
      <c r="Y175" s="71"/>
      <c r="Z175" s="70" t="e">
        <f>VLOOKUP($Y175,客戶編輯設定自動代出!$A:$C,3,0)</f>
        <v>#N/A</v>
      </c>
      <c r="AA175" s="70" t="e">
        <f>VLOOKUP($Y175,客戶編輯設定自動代出!$A:$C,2,0)</f>
        <v>#N/A</v>
      </c>
      <c r="AB175" s="70" t="s">
        <v>1787</v>
      </c>
      <c r="AC175" s="70"/>
      <c r="AD175" s="70"/>
      <c r="AE175" s="72"/>
      <c r="AF175" s="72">
        <f t="shared" si="46"/>
        <v>0</v>
      </c>
      <c r="AG175" s="73"/>
      <c r="AH175" s="74">
        <f t="shared" si="47"/>
        <v>0</v>
      </c>
      <c r="AI175" s="74">
        <f t="shared" si="48"/>
        <v>0</v>
      </c>
      <c r="AJ175" s="71" t="str">
        <f t="shared" si="49"/>
        <v>Y</v>
      </c>
      <c r="AK175" s="71"/>
      <c r="AL175" s="71"/>
      <c r="AM175" s="75"/>
      <c r="AN175" s="75"/>
      <c r="AO175" s="75"/>
      <c r="AP175" s="75"/>
      <c r="AR175" s="70"/>
      <c r="BC175" s="74"/>
      <c r="BD175" s="74"/>
      <c r="BO175" s="78"/>
      <c r="BT175" s="75"/>
    </row>
    <row r="176" spans="1:72" ht="16.5" x14ac:dyDescent="0.25">
      <c r="A176" s="64">
        <v>175</v>
      </c>
      <c r="B176" s="69"/>
      <c r="E176" s="70" t="e">
        <f>VLOOKUP($D176,客戶編輯設定自動代出!$A:$C,3,0)</f>
        <v>#N/A</v>
      </c>
      <c r="F176" s="70" t="e">
        <f>VLOOKUP($D176,客戶編輯設定自動代出!$A:$C,2,0)</f>
        <v>#N/A</v>
      </c>
      <c r="G176" s="70" t="s">
        <v>1528</v>
      </c>
      <c r="K176" s="72">
        <f t="shared" si="50"/>
        <v>0</v>
      </c>
      <c r="M176" s="74">
        <f t="shared" si="51"/>
        <v>0</v>
      </c>
      <c r="N176" s="74">
        <f t="shared" si="52"/>
        <v>0</v>
      </c>
      <c r="O176" s="71" t="str">
        <f t="shared" si="53"/>
        <v>Y</v>
      </c>
      <c r="Q176" s="119"/>
      <c r="R176" s="75"/>
      <c r="S176" s="75"/>
      <c r="T176" s="75"/>
      <c r="U176" s="75"/>
      <c r="V176" s="64">
        <v>175</v>
      </c>
      <c r="W176" s="69"/>
      <c r="X176" s="70"/>
      <c r="Y176" s="71"/>
      <c r="Z176" s="70" t="e">
        <f>VLOOKUP($Y176,客戶編輯設定自動代出!$A:$C,3,0)</f>
        <v>#N/A</v>
      </c>
      <c r="AA176" s="70" t="e">
        <f>VLOOKUP($Y176,客戶編輯設定自動代出!$A:$C,2,0)</f>
        <v>#N/A</v>
      </c>
      <c r="AB176" s="70" t="s">
        <v>1788</v>
      </c>
      <c r="AC176" s="70"/>
      <c r="AD176" s="70"/>
      <c r="AE176" s="72"/>
      <c r="AF176" s="72">
        <f t="shared" si="46"/>
        <v>0</v>
      </c>
      <c r="AG176" s="73"/>
      <c r="AH176" s="74">
        <f t="shared" si="47"/>
        <v>0</v>
      </c>
      <c r="AI176" s="74">
        <f t="shared" si="48"/>
        <v>0</v>
      </c>
      <c r="AJ176" s="71" t="str">
        <f t="shared" si="49"/>
        <v>Y</v>
      </c>
      <c r="AK176" s="71"/>
      <c r="AL176" s="71"/>
      <c r="AM176" s="75"/>
      <c r="AN176" s="75"/>
      <c r="AO176" s="75"/>
      <c r="AP176" s="75"/>
      <c r="AR176" s="70"/>
      <c r="BC176" s="74"/>
      <c r="BD176" s="74"/>
      <c r="BO176" s="78"/>
      <c r="BT176" s="75"/>
    </row>
    <row r="177" spans="1:72" ht="16.5" x14ac:dyDescent="0.25">
      <c r="A177" s="64">
        <v>176</v>
      </c>
      <c r="B177" s="69"/>
      <c r="E177" s="70" t="e">
        <f>VLOOKUP($D177,客戶編輯設定自動代出!$A:$C,3,0)</f>
        <v>#N/A</v>
      </c>
      <c r="F177" s="70" t="e">
        <f>VLOOKUP($D177,客戶編輯設定自動代出!$A:$C,2,0)</f>
        <v>#N/A</v>
      </c>
      <c r="G177" s="70" t="s">
        <v>1529</v>
      </c>
      <c r="K177" s="72">
        <f t="shared" si="50"/>
        <v>0</v>
      </c>
      <c r="M177" s="74">
        <f t="shared" si="51"/>
        <v>0</v>
      </c>
      <c r="N177" s="74">
        <f t="shared" si="52"/>
        <v>0</v>
      </c>
      <c r="O177" s="71" t="str">
        <f t="shared" si="53"/>
        <v>Y</v>
      </c>
      <c r="Q177" s="119"/>
      <c r="R177" s="75"/>
      <c r="S177" s="75"/>
      <c r="T177" s="75"/>
      <c r="U177" s="75"/>
      <c r="V177" s="64">
        <v>176</v>
      </c>
      <c r="W177" s="69"/>
      <c r="X177" s="70"/>
      <c r="Y177" s="71"/>
      <c r="Z177" s="70" t="e">
        <f>VLOOKUP($Y177,客戶編輯設定自動代出!$A:$C,3,0)</f>
        <v>#N/A</v>
      </c>
      <c r="AA177" s="70" t="e">
        <f>VLOOKUP($Y177,客戶編輯設定自動代出!$A:$C,2,0)</f>
        <v>#N/A</v>
      </c>
      <c r="AB177" s="70" t="s">
        <v>1789</v>
      </c>
      <c r="AC177" s="70"/>
      <c r="AD177" s="70"/>
      <c r="AE177" s="72"/>
      <c r="AF177" s="72">
        <f t="shared" si="46"/>
        <v>0</v>
      </c>
      <c r="AG177" s="73"/>
      <c r="AH177" s="74">
        <f t="shared" si="47"/>
        <v>0</v>
      </c>
      <c r="AI177" s="74">
        <f t="shared" si="48"/>
        <v>0</v>
      </c>
      <c r="AJ177" s="71" t="str">
        <f t="shared" si="49"/>
        <v>Y</v>
      </c>
      <c r="AK177" s="71"/>
      <c r="AL177" s="71"/>
      <c r="AM177" s="75"/>
      <c r="AN177" s="75"/>
      <c r="AO177" s="75"/>
      <c r="AP177" s="75"/>
      <c r="AR177" s="70"/>
      <c r="BC177" s="74"/>
      <c r="BD177" s="74"/>
      <c r="BO177" s="78"/>
      <c r="BT177" s="75"/>
    </row>
    <row r="178" spans="1:72" ht="16.5" x14ac:dyDescent="0.25">
      <c r="A178" s="64">
        <v>177</v>
      </c>
      <c r="B178" s="69"/>
      <c r="E178" s="70" t="e">
        <f>VLOOKUP($D178,客戶編輯設定自動代出!$A:$C,3,0)</f>
        <v>#N/A</v>
      </c>
      <c r="F178" s="70" t="e">
        <f>VLOOKUP($D178,客戶編輯設定自動代出!$A:$C,2,0)</f>
        <v>#N/A</v>
      </c>
      <c r="G178" s="70" t="s">
        <v>1530</v>
      </c>
      <c r="K178" s="72">
        <f t="shared" si="50"/>
        <v>0</v>
      </c>
      <c r="M178" s="74">
        <f t="shared" si="51"/>
        <v>0</v>
      </c>
      <c r="N178" s="74">
        <f t="shared" si="52"/>
        <v>0</v>
      </c>
      <c r="O178" s="71" t="str">
        <f t="shared" si="53"/>
        <v>Y</v>
      </c>
      <c r="Q178" s="119"/>
      <c r="R178" s="75"/>
      <c r="S178" s="75"/>
      <c r="T178" s="75"/>
      <c r="U178" s="75"/>
      <c r="V178" s="64">
        <v>177</v>
      </c>
      <c r="W178" s="69"/>
      <c r="X178" s="70"/>
      <c r="Y178" s="71"/>
      <c r="Z178" s="70" t="e">
        <f>VLOOKUP($Y178,客戶編輯設定自動代出!$A:$C,3,0)</f>
        <v>#N/A</v>
      </c>
      <c r="AA178" s="70" t="e">
        <f>VLOOKUP($Y178,客戶編輯設定自動代出!$A:$C,2,0)</f>
        <v>#N/A</v>
      </c>
      <c r="AB178" s="70" t="s">
        <v>1790</v>
      </c>
      <c r="AC178" s="70"/>
      <c r="AD178" s="70"/>
      <c r="AE178" s="72"/>
      <c r="AF178" s="72">
        <f t="shared" si="46"/>
        <v>0</v>
      </c>
      <c r="AG178" s="73"/>
      <c r="AH178" s="74">
        <f t="shared" si="47"/>
        <v>0</v>
      </c>
      <c r="AI178" s="74">
        <f t="shared" si="48"/>
        <v>0</v>
      </c>
      <c r="AJ178" s="71" t="str">
        <f t="shared" si="49"/>
        <v>Y</v>
      </c>
      <c r="AK178" s="71"/>
      <c r="AL178" s="71"/>
      <c r="AM178" s="75"/>
      <c r="AN178" s="75"/>
      <c r="AO178" s="75"/>
      <c r="AP178" s="75"/>
      <c r="AR178" s="70"/>
      <c r="BC178" s="74"/>
      <c r="BD178" s="74"/>
      <c r="BO178" s="78"/>
      <c r="BT178" s="75"/>
    </row>
    <row r="179" spans="1:72" ht="16.5" x14ac:dyDescent="0.25">
      <c r="A179" s="64">
        <v>178</v>
      </c>
      <c r="B179" s="69"/>
      <c r="E179" s="70" t="e">
        <f>VLOOKUP($D179,客戶編輯設定自動代出!$A:$C,3,0)</f>
        <v>#N/A</v>
      </c>
      <c r="F179" s="70" t="e">
        <f>VLOOKUP($D179,客戶編輯設定自動代出!$A:$C,2,0)</f>
        <v>#N/A</v>
      </c>
      <c r="G179" s="70" t="s">
        <v>1531</v>
      </c>
      <c r="K179" s="72">
        <f t="shared" si="50"/>
        <v>0</v>
      </c>
      <c r="M179" s="74">
        <f t="shared" si="51"/>
        <v>0</v>
      </c>
      <c r="N179" s="74">
        <f t="shared" si="52"/>
        <v>0</v>
      </c>
      <c r="O179" s="71" t="str">
        <f t="shared" si="53"/>
        <v>Y</v>
      </c>
      <c r="Q179" s="119"/>
      <c r="R179" s="75"/>
      <c r="S179" s="75"/>
      <c r="T179" s="75"/>
      <c r="U179" s="75"/>
      <c r="V179" s="64">
        <v>178</v>
      </c>
      <c r="W179" s="69"/>
      <c r="X179" s="70"/>
      <c r="Y179" s="71"/>
      <c r="Z179" s="70" t="e">
        <f>VLOOKUP($Y179,客戶編輯設定自動代出!$A:$C,3,0)</f>
        <v>#N/A</v>
      </c>
      <c r="AA179" s="70" t="e">
        <f>VLOOKUP($Y179,客戶編輯設定自動代出!$A:$C,2,0)</f>
        <v>#N/A</v>
      </c>
      <c r="AB179" s="70" t="s">
        <v>1791</v>
      </c>
      <c r="AC179" s="70"/>
      <c r="AD179" s="70"/>
      <c r="AE179" s="72"/>
      <c r="AF179" s="72">
        <f t="shared" si="46"/>
        <v>0</v>
      </c>
      <c r="AG179" s="73"/>
      <c r="AH179" s="74">
        <f t="shared" si="47"/>
        <v>0</v>
      </c>
      <c r="AI179" s="74">
        <f t="shared" si="48"/>
        <v>0</v>
      </c>
      <c r="AJ179" s="71" t="str">
        <f t="shared" si="49"/>
        <v>Y</v>
      </c>
      <c r="AK179" s="71"/>
      <c r="AL179" s="71"/>
      <c r="AM179" s="75"/>
      <c r="AN179" s="75"/>
      <c r="AO179" s="75"/>
      <c r="AP179" s="75"/>
      <c r="AR179" s="70"/>
      <c r="BC179" s="74"/>
      <c r="BD179" s="74"/>
      <c r="BO179" s="78"/>
      <c r="BT179" s="75"/>
    </row>
    <row r="180" spans="1:72" ht="16.5" x14ac:dyDescent="0.25">
      <c r="A180" s="64">
        <v>179</v>
      </c>
      <c r="B180" s="69"/>
      <c r="E180" s="70" t="e">
        <f>VLOOKUP($D180,客戶編輯設定自動代出!$A:$C,3,0)</f>
        <v>#N/A</v>
      </c>
      <c r="F180" s="70" t="e">
        <f>VLOOKUP($D180,客戶編輯設定自動代出!$A:$C,2,0)</f>
        <v>#N/A</v>
      </c>
      <c r="G180" s="70" t="s">
        <v>1532</v>
      </c>
      <c r="K180" s="72">
        <f t="shared" si="50"/>
        <v>0</v>
      </c>
      <c r="M180" s="74">
        <f t="shared" si="51"/>
        <v>0</v>
      </c>
      <c r="N180" s="74">
        <f t="shared" si="52"/>
        <v>0</v>
      </c>
      <c r="O180" s="71" t="str">
        <f t="shared" si="53"/>
        <v>Y</v>
      </c>
      <c r="Q180" s="119"/>
      <c r="R180" s="75"/>
      <c r="S180" s="75"/>
      <c r="T180" s="75"/>
      <c r="U180" s="75"/>
      <c r="V180" s="64">
        <v>179</v>
      </c>
      <c r="W180" s="69"/>
      <c r="X180" s="70"/>
      <c r="Y180" s="71"/>
      <c r="Z180" s="70" t="e">
        <f>VLOOKUP($Y180,客戶編輯設定自動代出!$A:$C,3,0)</f>
        <v>#N/A</v>
      </c>
      <c r="AA180" s="70" t="e">
        <f>VLOOKUP($Y180,客戶編輯設定自動代出!$A:$C,2,0)</f>
        <v>#N/A</v>
      </c>
      <c r="AB180" s="70" t="s">
        <v>1792</v>
      </c>
      <c r="AC180" s="70"/>
      <c r="AD180" s="70"/>
      <c r="AE180" s="72"/>
      <c r="AF180" s="72">
        <f t="shared" si="46"/>
        <v>0</v>
      </c>
      <c r="AG180" s="73"/>
      <c r="AH180" s="74">
        <f t="shared" si="47"/>
        <v>0</v>
      </c>
      <c r="AI180" s="74">
        <f t="shared" si="48"/>
        <v>0</v>
      </c>
      <c r="AJ180" s="71" t="str">
        <f t="shared" si="49"/>
        <v>Y</v>
      </c>
      <c r="AK180" s="71"/>
      <c r="AL180" s="71"/>
      <c r="AM180" s="75"/>
      <c r="AN180" s="75"/>
      <c r="AO180" s="75"/>
      <c r="AP180" s="75"/>
      <c r="AR180" s="70"/>
      <c r="BC180" s="74"/>
      <c r="BD180" s="74"/>
      <c r="BO180" s="78"/>
      <c r="BT180" s="75"/>
    </row>
    <row r="181" spans="1:72" ht="16.5" x14ac:dyDescent="0.25">
      <c r="A181" s="64">
        <v>180</v>
      </c>
      <c r="B181" s="69"/>
      <c r="E181" s="70" t="e">
        <f>VLOOKUP($D181,客戶編輯設定自動代出!$A:$C,3,0)</f>
        <v>#N/A</v>
      </c>
      <c r="F181" s="70" t="e">
        <f>VLOOKUP($D181,客戶編輯設定自動代出!$A:$C,2,0)</f>
        <v>#N/A</v>
      </c>
      <c r="G181" s="70" t="s">
        <v>1533</v>
      </c>
      <c r="K181" s="72">
        <f t="shared" si="50"/>
        <v>0</v>
      </c>
      <c r="M181" s="74">
        <f t="shared" si="51"/>
        <v>0</v>
      </c>
      <c r="N181" s="74">
        <f t="shared" si="52"/>
        <v>0</v>
      </c>
      <c r="O181" s="71" t="str">
        <f t="shared" si="53"/>
        <v>Y</v>
      </c>
      <c r="Q181" s="119"/>
      <c r="R181" s="75"/>
      <c r="S181" s="75"/>
      <c r="T181" s="75"/>
      <c r="U181" s="75"/>
      <c r="V181" s="64">
        <v>180</v>
      </c>
      <c r="W181" s="69"/>
      <c r="X181" s="70"/>
      <c r="Y181" s="71"/>
      <c r="Z181" s="70" t="e">
        <f>VLOOKUP($Y181,客戶編輯設定自動代出!$A:$C,3,0)</f>
        <v>#N/A</v>
      </c>
      <c r="AA181" s="70" t="e">
        <f>VLOOKUP($Y181,客戶編輯設定自動代出!$A:$C,2,0)</f>
        <v>#N/A</v>
      </c>
      <c r="AB181" s="70" t="s">
        <v>1793</v>
      </c>
      <c r="AC181" s="70"/>
      <c r="AD181" s="70"/>
      <c r="AE181" s="72"/>
      <c r="AF181" s="72">
        <f t="shared" si="46"/>
        <v>0</v>
      </c>
      <c r="AG181" s="73"/>
      <c r="AH181" s="74">
        <f t="shared" si="47"/>
        <v>0</v>
      </c>
      <c r="AI181" s="74">
        <f t="shared" si="48"/>
        <v>0</v>
      </c>
      <c r="AJ181" s="71" t="str">
        <f t="shared" si="49"/>
        <v>Y</v>
      </c>
      <c r="AK181" s="71"/>
      <c r="AL181" s="71"/>
      <c r="AM181" s="75"/>
      <c r="AN181" s="75"/>
      <c r="AO181" s="75"/>
      <c r="AP181" s="75"/>
      <c r="AR181" s="70"/>
      <c r="BC181" s="74"/>
      <c r="BD181" s="74"/>
      <c r="BO181" s="78"/>
      <c r="BT181" s="75"/>
    </row>
    <row r="182" spans="1:72" ht="16.5" x14ac:dyDescent="0.25">
      <c r="A182" s="64">
        <v>181</v>
      </c>
      <c r="B182" s="69"/>
      <c r="E182" s="70" t="e">
        <f>VLOOKUP($D182,客戶編輯設定自動代出!$A:$C,3,0)</f>
        <v>#N/A</v>
      </c>
      <c r="F182" s="70" t="e">
        <f>VLOOKUP($D182,客戶編輯設定自動代出!$A:$C,2,0)</f>
        <v>#N/A</v>
      </c>
      <c r="G182" s="70" t="s">
        <v>1534</v>
      </c>
      <c r="K182" s="72">
        <f t="shared" si="50"/>
        <v>0</v>
      </c>
      <c r="M182" s="74">
        <f t="shared" si="51"/>
        <v>0</v>
      </c>
      <c r="N182" s="74">
        <f t="shared" si="52"/>
        <v>0</v>
      </c>
      <c r="O182" s="71" t="str">
        <f t="shared" si="53"/>
        <v>Y</v>
      </c>
      <c r="Q182" s="119"/>
      <c r="R182" s="75"/>
      <c r="S182" s="75"/>
      <c r="T182" s="75"/>
      <c r="U182" s="75"/>
      <c r="V182" s="64">
        <v>181</v>
      </c>
      <c r="W182" s="69"/>
      <c r="X182" s="70"/>
      <c r="Y182" s="71"/>
      <c r="Z182" s="70" t="e">
        <f>VLOOKUP($Y182,客戶編輯設定自動代出!$A:$C,3,0)</f>
        <v>#N/A</v>
      </c>
      <c r="AA182" s="70" t="e">
        <f>VLOOKUP($Y182,客戶編輯設定自動代出!$A:$C,2,0)</f>
        <v>#N/A</v>
      </c>
      <c r="AB182" s="70" t="s">
        <v>1794</v>
      </c>
      <c r="AC182" s="70"/>
      <c r="AD182" s="70"/>
      <c r="AE182" s="72"/>
      <c r="AF182" s="72">
        <f t="shared" si="46"/>
        <v>0</v>
      </c>
      <c r="AG182" s="73"/>
      <c r="AH182" s="74">
        <f t="shared" si="47"/>
        <v>0</v>
      </c>
      <c r="AI182" s="74">
        <f t="shared" si="48"/>
        <v>0</v>
      </c>
      <c r="AJ182" s="71" t="str">
        <f t="shared" si="49"/>
        <v>Y</v>
      </c>
      <c r="AK182" s="71"/>
      <c r="AL182" s="71"/>
      <c r="AM182" s="75"/>
      <c r="AN182" s="75"/>
      <c r="AO182" s="75"/>
      <c r="AP182" s="75"/>
      <c r="AR182" s="70"/>
      <c r="BC182" s="74"/>
      <c r="BD182" s="74"/>
      <c r="BO182" s="78"/>
      <c r="BT182" s="75"/>
    </row>
    <row r="183" spans="1:72" ht="16.5" x14ac:dyDescent="0.25">
      <c r="A183" s="64">
        <v>182</v>
      </c>
      <c r="B183" s="69"/>
      <c r="E183" s="70" t="e">
        <f>VLOOKUP($D183,客戶編輯設定自動代出!$A:$C,3,0)</f>
        <v>#N/A</v>
      </c>
      <c r="F183" s="70" t="e">
        <f>VLOOKUP($D183,客戶編輯設定自動代出!$A:$C,2,0)</f>
        <v>#N/A</v>
      </c>
      <c r="G183" s="70" t="s">
        <v>1535</v>
      </c>
      <c r="K183" s="72">
        <f t="shared" si="50"/>
        <v>0</v>
      </c>
      <c r="M183" s="74">
        <f t="shared" si="51"/>
        <v>0</v>
      </c>
      <c r="N183" s="74">
        <f t="shared" si="52"/>
        <v>0</v>
      </c>
      <c r="O183" s="71" t="str">
        <f t="shared" si="53"/>
        <v>Y</v>
      </c>
      <c r="Q183" s="119"/>
      <c r="R183" s="75"/>
      <c r="S183" s="75"/>
      <c r="T183" s="75"/>
      <c r="U183" s="75"/>
      <c r="V183" s="64">
        <v>182</v>
      </c>
      <c r="W183" s="69"/>
      <c r="X183" s="70"/>
      <c r="Y183" s="71"/>
      <c r="Z183" s="70" t="e">
        <f>VLOOKUP($Y183,客戶編輯設定自動代出!$A:$C,3,0)</f>
        <v>#N/A</v>
      </c>
      <c r="AA183" s="70" t="e">
        <f>VLOOKUP($Y183,客戶編輯設定自動代出!$A:$C,2,0)</f>
        <v>#N/A</v>
      </c>
      <c r="AB183" s="70" t="s">
        <v>1795</v>
      </c>
      <c r="AC183" s="70"/>
      <c r="AD183" s="70"/>
      <c r="AE183" s="72"/>
      <c r="AF183" s="72">
        <f t="shared" si="46"/>
        <v>0</v>
      </c>
      <c r="AG183" s="73"/>
      <c r="AH183" s="74">
        <f t="shared" si="47"/>
        <v>0</v>
      </c>
      <c r="AI183" s="74">
        <f t="shared" si="48"/>
        <v>0</v>
      </c>
      <c r="AJ183" s="71" t="str">
        <f t="shared" si="49"/>
        <v>Y</v>
      </c>
      <c r="AK183" s="71"/>
      <c r="AL183" s="71"/>
      <c r="AM183" s="75"/>
      <c r="AN183" s="75"/>
      <c r="AO183" s="75"/>
      <c r="AP183" s="75"/>
      <c r="AR183" s="70"/>
      <c r="BC183" s="74"/>
      <c r="BD183" s="74"/>
      <c r="BO183" s="78"/>
      <c r="BT183" s="75"/>
    </row>
    <row r="184" spans="1:72" ht="16.5" x14ac:dyDescent="0.25">
      <c r="A184" s="64">
        <v>183</v>
      </c>
      <c r="B184" s="69"/>
      <c r="E184" s="70" t="e">
        <f>VLOOKUP($D184,客戶編輯設定自動代出!$A:$C,3,0)</f>
        <v>#N/A</v>
      </c>
      <c r="F184" s="70" t="e">
        <f>VLOOKUP($D184,客戶編輯設定自動代出!$A:$C,2,0)</f>
        <v>#N/A</v>
      </c>
      <c r="G184" s="70" t="s">
        <v>1536</v>
      </c>
      <c r="K184" s="72">
        <f t="shared" si="50"/>
        <v>0</v>
      </c>
      <c r="M184" s="74">
        <f t="shared" si="51"/>
        <v>0</v>
      </c>
      <c r="N184" s="74">
        <f t="shared" si="52"/>
        <v>0</v>
      </c>
      <c r="O184" s="71" t="str">
        <f t="shared" si="53"/>
        <v>Y</v>
      </c>
      <c r="Q184" s="119"/>
      <c r="R184" s="75"/>
      <c r="S184" s="75"/>
      <c r="T184" s="75"/>
      <c r="U184" s="75"/>
      <c r="V184" s="64">
        <v>183</v>
      </c>
      <c r="W184" s="69"/>
      <c r="X184" s="70"/>
      <c r="Y184" s="71"/>
      <c r="Z184" s="70" t="e">
        <f>VLOOKUP($Y184,客戶編輯設定自動代出!$A:$C,3,0)</f>
        <v>#N/A</v>
      </c>
      <c r="AA184" s="70" t="e">
        <f>VLOOKUP($Y184,客戶編輯設定自動代出!$A:$C,2,0)</f>
        <v>#N/A</v>
      </c>
      <c r="AB184" s="70" t="s">
        <v>1796</v>
      </c>
      <c r="AC184" s="70"/>
      <c r="AD184" s="70"/>
      <c r="AE184" s="72"/>
      <c r="AF184" s="72">
        <f t="shared" si="46"/>
        <v>0</v>
      </c>
      <c r="AG184" s="73"/>
      <c r="AH184" s="74">
        <f t="shared" si="47"/>
        <v>0</v>
      </c>
      <c r="AI184" s="74">
        <f t="shared" si="48"/>
        <v>0</v>
      </c>
      <c r="AJ184" s="71" t="str">
        <f t="shared" si="49"/>
        <v>Y</v>
      </c>
      <c r="AK184" s="71"/>
      <c r="AL184" s="71"/>
      <c r="AM184" s="75"/>
      <c r="AN184" s="75"/>
      <c r="AO184" s="75"/>
      <c r="AP184" s="75"/>
      <c r="AR184" s="70"/>
      <c r="BC184" s="74"/>
      <c r="BD184" s="74"/>
      <c r="BO184" s="78"/>
      <c r="BT184" s="75"/>
    </row>
    <row r="185" spans="1:72" ht="16.5" x14ac:dyDescent="0.25">
      <c r="A185" s="64">
        <v>184</v>
      </c>
      <c r="B185" s="69"/>
      <c r="E185" s="70" t="e">
        <f>VLOOKUP($D185,客戶編輯設定自動代出!$A:$C,3,0)</f>
        <v>#N/A</v>
      </c>
      <c r="F185" s="70" t="e">
        <f>VLOOKUP($D185,客戶編輯設定自動代出!$A:$C,2,0)</f>
        <v>#N/A</v>
      </c>
      <c r="G185" s="70" t="s">
        <v>1537</v>
      </c>
      <c r="K185" s="72">
        <f t="shared" si="50"/>
        <v>0</v>
      </c>
      <c r="M185" s="74">
        <f t="shared" si="51"/>
        <v>0</v>
      </c>
      <c r="N185" s="74">
        <f t="shared" si="52"/>
        <v>0</v>
      </c>
      <c r="O185" s="71" t="str">
        <f t="shared" si="53"/>
        <v>Y</v>
      </c>
      <c r="Q185" s="119"/>
      <c r="R185" s="75"/>
      <c r="S185" s="75"/>
      <c r="T185" s="75"/>
      <c r="U185" s="75"/>
      <c r="V185" s="64">
        <v>184</v>
      </c>
      <c r="W185" s="69"/>
      <c r="X185" s="70"/>
      <c r="Y185" s="71"/>
      <c r="Z185" s="70" t="e">
        <f>VLOOKUP($Y185,客戶編輯設定自動代出!$A:$C,3,0)</f>
        <v>#N/A</v>
      </c>
      <c r="AA185" s="70" t="e">
        <f>VLOOKUP($Y185,客戶編輯設定自動代出!$A:$C,2,0)</f>
        <v>#N/A</v>
      </c>
      <c r="AB185" s="70" t="s">
        <v>1797</v>
      </c>
      <c r="AC185" s="70"/>
      <c r="AD185" s="70"/>
      <c r="AE185" s="72"/>
      <c r="AF185" s="72">
        <f t="shared" si="46"/>
        <v>0</v>
      </c>
      <c r="AG185" s="73"/>
      <c r="AH185" s="74">
        <f t="shared" si="47"/>
        <v>0</v>
      </c>
      <c r="AI185" s="74">
        <f t="shared" si="48"/>
        <v>0</v>
      </c>
      <c r="AJ185" s="71" t="str">
        <f t="shared" si="49"/>
        <v>Y</v>
      </c>
      <c r="AK185" s="71"/>
      <c r="AL185" s="71"/>
      <c r="AM185" s="75"/>
      <c r="AN185" s="75"/>
      <c r="AO185" s="75"/>
      <c r="AP185" s="75"/>
      <c r="AR185" s="70"/>
      <c r="BC185" s="74"/>
      <c r="BD185" s="74"/>
      <c r="BO185" s="78"/>
      <c r="BT185" s="75"/>
    </row>
    <row r="186" spans="1:72" ht="16.5" x14ac:dyDescent="0.25">
      <c r="A186" s="64">
        <v>185</v>
      </c>
      <c r="B186" s="69"/>
      <c r="E186" s="70" t="e">
        <f>VLOOKUP($D186,客戶編輯設定自動代出!$A:$C,3,0)</f>
        <v>#N/A</v>
      </c>
      <c r="F186" s="70" t="e">
        <f>VLOOKUP($D186,客戶編輯設定自動代出!$A:$C,2,0)</f>
        <v>#N/A</v>
      </c>
      <c r="G186" s="70" t="s">
        <v>1538</v>
      </c>
      <c r="K186" s="72">
        <f t="shared" si="50"/>
        <v>0</v>
      </c>
      <c r="M186" s="74">
        <f t="shared" si="51"/>
        <v>0</v>
      </c>
      <c r="N186" s="74">
        <f t="shared" si="52"/>
        <v>0</v>
      </c>
      <c r="O186" s="71" t="str">
        <f t="shared" si="53"/>
        <v>Y</v>
      </c>
      <c r="Q186" s="119"/>
      <c r="R186" s="75"/>
      <c r="S186" s="75"/>
      <c r="T186" s="75"/>
      <c r="U186" s="75"/>
      <c r="V186" s="64">
        <v>185</v>
      </c>
      <c r="W186" s="69"/>
      <c r="X186" s="70"/>
      <c r="Y186" s="71"/>
      <c r="Z186" s="70" t="e">
        <f>VLOOKUP($Y186,客戶編輯設定自動代出!$A:$C,3,0)</f>
        <v>#N/A</v>
      </c>
      <c r="AA186" s="70" t="e">
        <f>VLOOKUP($Y186,客戶編輯設定自動代出!$A:$C,2,0)</f>
        <v>#N/A</v>
      </c>
      <c r="AB186" s="70" t="s">
        <v>1798</v>
      </c>
      <c r="AC186" s="70"/>
      <c r="AD186" s="70"/>
      <c r="AE186" s="72"/>
      <c r="AF186" s="72">
        <f t="shared" si="46"/>
        <v>0</v>
      </c>
      <c r="AG186" s="73"/>
      <c r="AH186" s="74">
        <f t="shared" si="47"/>
        <v>0</v>
      </c>
      <c r="AI186" s="74">
        <f t="shared" si="48"/>
        <v>0</v>
      </c>
      <c r="AJ186" s="71" t="str">
        <f t="shared" si="49"/>
        <v>Y</v>
      </c>
      <c r="AK186" s="71"/>
      <c r="AL186" s="71"/>
      <c r="AM186" s="75"/>
      <c r="AN186" s="75"/>
      <c r="AO186" s="75"/>
      <c r="AP186" s="75"/>
      <c r="AR186" s="70"/>
      <c r="BC186" s="74"/>
      <c r="BD186" s="74"/>
      <c r="BO186" s="78"/>
      <c r="BT186" s="75"/>
    </row>
    <row r="187" spans="1:72" ht="16.5" x14ac:dyDescent="0.25">
      <c r="A187" s="64">
        <v>186</v>
      </c>
      <c r="B187" s="69"/>
      <c r="E187" s="70" t="e">
        <f>VLOOKUP($D187,客戶編輯設定自動代出!$A:$C,3,0)</f>
        <v>#N/A</v>
      </c>
      <c r="F187" s="70" t="e">
        <f>VLOOKUP($D187,客戶編輯設定自動代出!$A:$C,2,0)</f>
        <v>#N/A</v>
      </c>
      <c r="G187" s="70" t="s">
        <v>1539</v>
      </c>
      <c r="K187" s="72">
        <f t="shared" si="50"/>
        <v>0</v>
      </c>
      <c r="M187" s="74">
        <f t="shared" si="51"/>
        <v>0</v>
      </c>
      <c r="N187" s="74">
        <f t="shared" si="52"/>
        <v>0</v>
      </c>
      <c r="O187" s="71" t="str">
        <f t="shared" si="53"/>
        <v>Y</v>
      </c>
      <c r="Q187" s="119"/>
      <c r="R187" s="75"/>
      <c r="S187" s="75"/>
      <c r="T187" s="75"/>
      <c r="U187" s="75"/>
      <c r="V187" s="64">
        <v>186</v>
      </c>
      <c r="W187" s="69"/>
      <c r="X187" s="70"/>
      <c r="Y187" s="71"/>
      <c r="Z187" s="70" t="e">
        <f>VLOOKUP($Y187,客戶編輯設定自動代出!$A:$C,3,0)</f>
        <v>#N/A</v>
      </c>
      <c r="AA187" s="70" t="e">
        <f>VLOOKUP($Y187,客戶編輯設定自動代出!$A:$C,2,0)</f>
        <v>#N/A</v>
      </c>
      <c r="AB187" s="70" t="s">
        <v>1799</v>
      </c>
      <c r="AC187" s="70"/>
      <c r="AD187" s="70"/>
      <c r="AE187" s="72"/>
      <c r="AF187" s="72">
        <f t="shared" si="46"/>
        <v>0</v>
      </c>
      <c r="AG187" s="73"/>
      <c r="AH187" s="74">
        <f t="shared" si="47"/>
        <v>0</v>
      </c>
      <c r="AI187" s="74">
        <f t="shared" si="48"/>
        <v>0</v>
      </c>
      <c r="AJ187" s="71" t="str">
        <f t="shared" si="49"/>
        <v>Y</v>
      </c>
      <c r="AK187" s="71"/>
      <c r="AL187" s="71"/>
      <c r="AM187" s="75"/>
      <c r="AN187" s="75"/>
      <c r="AO187" s="75"/>
      <c r="AP187" s="75"/>
      <c r="AR187" s="70"/>
      <c r="BC187" s="74"/>
      <c r="BD187" s="74"/>
      <c r="BO187" s="78"/>
      <c r="BT187" s="75"/>
    </row>
    <row r="188" spans="1:72" ht="16.5" x14ac:dyDescent="0.25">
      <c r="A188" s="64">
        <v>187</v>
      </c>
      <c r="B188" s="69"/>
      <c r="E188" s="70" t="e">
        <f>VLOOKUP($D188,客戶編輯設定自動代出!$A:$C,3,0)</f>
        <v>#N/A</v>
      </c>
      <c r="F188" s="70" t="e">
        <f>VLOOKUP($D188,客戶編輯設定自動代出!$A:$C,2,0)</f>
        <v>#N/A</v>
      </c>
      <c r="G188" s="70" t="s">
        <v>1540</v>
      </c>
      <c r="K188" s="72">
        <f t="shared" si="50"/>
        <v>0</v>
      </c>
      <c r="M188" s="74">
        <f t="shared" si="51"/>
        <v>0</v>
      </c>
      <c r="N188" s="74">
        <f t="shared" si="52"/>
        <v>0</v>
      </c>
      <c r="O188" s="71" t="str">
        <f t="shared" si="53"/>
        <v>Y</v>
      </c>
      <c r="Q188" s="119"/>
      <c r="R188" s="75"/>
      <c r="S188" s="75"/>
      <c r="T188" s="75"/>
      <c r="U188" s="75"/>
      <c r="V188" s="64">
        <v>187</v>
      </c>
      <c r="W188" s="69"/>
      <c r="X188" s="70"/>
      <c r="Y188" s="71"/>
      <c r="Z188" s="70" t="e">
        <f>VLOOKUP($Y188,客戶編輯設定自動代出!$A:$C,3,0)</f>
        <v>#N/A</v>
      </c>
      <c r="AA188" s="70" t="e">
        <f>VLOOKUP($Y188,客戶編輯設定自動代出!$A:$C,2,0)</f>
        <v>#N/A</v>
      </c>
      <c r="AB188" s="70" t="s">
        <v>1800</v>
      </c>
      <c r="AC188" s="70"/>
      <c r="AD188" s="70"/>
      <c r="AE188" s="72"/>
      <c r="AF188" s="72">
        <f t="shared" si="46"/>
        <v>0</v>
      </c>
      <c r="AG188" s="73"/>
      <c r="AH188" s="74">
        <f t="shared" si="47"/>
        <v>0</v>
      </c>
      <c r="AI188" s="74">
        <f t="shared" si="48"/>
        <v>0</v>
      </c>
      <c r="AJ188" s="71" t="str">
        <f t="shared" si="49"/>
        <v>Y</v>
      </c>
      <c r="AK188" s="71"/>
      <c r="AL188" s="71"/>
      <c r="AM188" s="75"/>
      <c r="AN188" s="75"/>
      <c r="AO188" s="75"/>
      <c r="AP188" s="75"/>
      <c r="AR188" s="70"/>
      <c r="BC188" s="74"/>
      <c r="BD188" s="74"/>
      <c r="BO188" s="78"/>
      <c r="BT188" s="75"/>
    </row>
    <row r="189" spans="1:72" ht="16.5" x14ac:dyDescent="0.25">
      <c r="A189" s="64">
        <v>188</v>
      </c>
      <c r="B189" s="69"/>
      <c r="E189" s="70" t="e">
        <f>VLOOKUP($D189,客戶編輯設定自動代出!$A:$C,3,0)</f>
        <v>#N/A</v>
      </c>
      <c r="F189" s="70" t="e">
        <f>VLOOKUP($D189,客戶編輯設定自動代出!$A:$C,2,0)</f>
        <v>#N/A</v>
      </c>
      <c r="G189" s="70" t="s">
        <v>1541</v>
      </c>
      <c r="K189" s="72">
        <f t="shared" si="50"/>
        <v>0</v>
      </c>
      <c r="M189" s="74">
        <f t="shared" si="51"/>
        <v>0</v>
      </c>
      <c r="N189" s="74">
        <f t="shared" si="52"/>
        <v>0</v>
      </c>
      <c r="O189" s="71" t="str">
        <f t="shared" si="53"/>
        <v>Y</v>
      </c>
      <c r="Q189" s="119"/>
      <c r="R189" s="75"/>
      <c r="S189" s="75"/>
      <c r="T189" s="75"/>
      <c r="U189" s="75"/>
      <c r="V189" s="64">
        <v>188</v>
      </c>
      <c r="W189" s="69"/>
      <c r="X189" s="70"/>
      <c r="Y189" s="71"/>
      <c r="Z189" s="70" t="e">
        <f>VLOOKUP($Y189,客戶編輯設定自動代出!$A:$C,3,0)</f>
        <v>#N/A</v>
      </c>
      <c r="AA189" s="70" t="e">
        <f>VLOOKUP($Y189,客戶編輯設定自動代出!$A:$C,2,0)</f>
        <v>#N/A</v>
      </c>
      <c r="AB189" s="70" t="s">
        <v>1801</v>
      </c>
      <c r="AC189" s="70"/>
      <c r="AD189" s="70"/>
      <c r="AE189" s="72"/>
      <c r="AF189" s="72">
        <f t="shared" si="46"/>
        <v>0</v>
      </c>
      <c r="AG189" s="73"/>
      <c r="AH189" s="74">
        <f t="shared" si="47"/>
        <v>0</v>
      </c>
      <c r="AI189" s="74">
        <f t="shared" si="48"/>
        <v>0</v>
      </c>
      <c r="AJ189" s="71" t="str">
        <f t="shared" si="49"/>
        <v>Y</v>
      </c>
      <c r="AK189" s="71"/>
      <c r="AL189" s="71"/>
      <c r="AM189" s="75"/>
      <c r="AN189" s="75"/>
      <c r="AO189" s="75"/>
      <c r="AP189" s="75"/>
      <c r="AR189" s="70"/>
      <c r="BC189" s="74"/>
      <c r="BD189" s="74"/>
      <c r="BO189" s="78"/>
      <c r="BT189" s="75"/>
    </row>
    <row r="190" spans="1:72" ht="16.5" x14ac:dyDescent="0.25">
      <c r="A190" s="64">
        <v>189</v>
      </c>
      <c r="B190" s="69"/>
      <c r="E190" s="70" t="e">
        <f>VLOOKUP($D190,客戶編輯設定自動代出!$A:$C,3,0)</f>
        <v>#N/A</v>
      </c>
      <c r="F190" s="70" t="e">
        <f>VLOOKUP($D190,客戶編輯設定自動代出!$A:$C,2,0)</f>
        <v>#N/A</v>
      </c>
      <c r="G190" s="70" t="s">
        <v>1542</v>
      </c>
      <c r="K190" s="72">
        <f t="shared" si="50"/>
        <v>0</v>
      </c>
      <c r="M190" s="74">
        <f t="shared" si="51"/>
        <v>0</v>
      </c>
      <c r="N190" s="74">
        <f t="shared" si="52"/>
        <v>0</v>
      </c>
      <c r="O190" s="71" t="str">
        <f t="shared" si="53"/>
        <v>Y</v>
      </c>
      <c r="Q190" s="119"/>
      <c r="R190" s="75"/>
      <c r="S190" s="75"/>
      <c r="T190" s="75"/>
      <c r="U190" s="75"/>
      <c r="V190" s="64">
        <v>189</v>
      </c>
      <c r="W190" s="69"/>
      <c r="X190" s="70"/>
      <c r="Y190" s="71"/>
      <c r="Z190" s="70" t="e">
        <f>VLOOKUP($Y190,客戶編輯設定自動代出!$A:$C,3,0)</f>
        <v>#N/A</v>
      </c>
      <c r="AA190" s="70" t="e">
        <f>VLOOKUP($Y190,客戶編輯設定自動代出!$A:$C,2,0)</f>
        <v>#N/A</v>
      </c>
      <c r="AB190" s="70" t="s">
        <v>1802</v>
      </c>
      <c r="AC190" s="70"/>
      <c r="AD190" s="70"/>
      <c r="AE190" s="72"/>
      <c r="AF190" s="72">
        <f t="shared" si="46"/>
        <v>0</v>
      </c>
      <c r="AG190" s="73"/>
      <c r="AH190" s="74">
        <f t="shared" si="47"/>
        <v>0</v>
      </c>
      <c r="AI190" s="74">
        <f t="shared" si="48"/>
        <v>0</v>
      </c>
      <c r="AJ190" s="71" t="str">
        <f t="shared" si="49"/>
        <v>Y</v>
      </c>
      <c r="AK190" s="71"/>
      <c r="AL190" s="71"/>
      <c r="AM190" s="75"/>
      <c r="AN190" s="75"/>
      <c r="AO190" s="75"/>
      <c r="AP190" s="75"/>
      <c r="AR190" s="70"/>
      <c r="BC190" s="74"/>
      <c r="BD190" s="74"/>
      <c r="BO190" s="78"/>
      <c r="BT190" s="75"/>
    </row>
    <row r="191" spans="1:72" ht="16.5" x14ac:dyDescent="0.25">
      <c r="A191" s="64">
        <v>190</v>
      </c>
      <c r="B191" s="69"/>
      <c r="E191" s="70" t="e">
        <f>VLOOKUP($D191,客戶編輯設定自動代出!$A:$C,3,0)</f>
        <v>#N/A</v>
      </c>
      <c r="F191" s="70" t="e">
        <f>VLOOKUP($D191,客戶編輯設定自動代出!$A:$C,2,0)</f>
        <v>#N/A</v>
      </c>
      <c r="G191" s="70" t="s">
        <v>1543</v>
      </c>
      <c r="K191" s="72">
        <f t="shared" si="50"/>
        <v>0</v>
      </c>
      <c r="M191" s="74">
        <f t="shared" si="51"/>
        <v>0</v>
      </c>
      <c r="N191" s="74">
        <f t="shared" si="52"/>
        <v>0</v>
      </c>
      <c r="O191" s="71" t="str">
        <f t="shared" si="53"/>
        <v>Y</v>
      </c>
      <c r="Q191" s="119"/>
      <c r="R191" s="75"/>
      <c r="S191" s="75"/>
      <c r="T191" s="75"/>
      <c r="U191" s="75"/>
      <c r="V191" s="64">
        <v>190</v>
      </c>
      <c r="W191" s="69"/>
      <c r="X191" s="70"/>
      <c r="Y191" s="71"/>
      <c r="Z191" s="70" t="e">
        <f>VLOOKUP($Y191,客戶編輯設定自動代出!$A:$C,3,0)</f>
        <v>#N/A</v>
      </c>
      <c r="AA191" s="70" t="e">
        <f>VLOOKUP($Y191,客戶編輯設定自動代出!$A:$C,2,0)</f>
        <v>#N/A</v>
      </c>
      <c r="AB191" s="70" t="s">
        <v>1803</v>
      </c>
      <c r="AC191" s="70"/>
      <c r="AD191" s="70"/>
      <c r="AE191" s="72"/>
      <c r="AF191" s="72">
        <f t="shared" si="46"/>
        <v>0</v>
      </c>
      <c r="AG191" s="73"/>
      <c r="AH191" s="74">
        <f t="shared" si="47"/>
        <v>0</v>
      </c>
      <c r="AI191" s="74">
        <f t="shared" si="48"/>
        <v>0</v>
      </c>
      <c r="AJ191" s="71" t="str">
        <f t="shared" si="49"/>
        <v>Y</v>
      </c>
      <c r="AK191" s="71"/>
      <c r="AL191" s="71"/>
      <c r="AM191" s="75"/>
      <c r="AN191" s="75"/>
      <c r="AO191" s="75"/>
      <c r="AP191" s="75"/>
      <c r="AR191" s="70"/>
      <c r="BC191" s="74"/>
      <c r="BD191" s="74"/>
      <c r="BO191" s="78"/>
      <c r="BT191" s="75"/>
    </row>
    <row r="192" spans="1:72" ht="16.5" x14ac:dyDescent="0.25">
      <c r="A192" s="64">
        <v>191</v>
      </c>
      <c r="B192" s="69"/>
      <c r="E192" s="70" t="e">
        <f>VLOOKUP($D192,客戶編輯設定自動代出!$A:$C,3,0)</f>
        <v>#N/A</v>
      </c>
      <c r="F192" s="70" t="e">
        <f>VLOOKUP($D192,客戶編輯設定自動代出!$A:$C,2,0)</f>
        <v>#N/A</v>
      </c>
      <c r="G192" s="70" t="s">
        <v>1544</v>
      </c>
      <c r="K192" s="72">
        <f t="shared" si="50"/>
        <v>0</v>
      </c>
      <c r="M192" s="74">
        <f t="shared" si="51"/>
        <v>0</v>
      </c>
      <c r="N192" s="74">
        <f t="shared" si="52"/>
        <v>0</v>
      </c>
      <c r="O192" s="71" t="str">
        <f t="shared" si="53"/>
        <v>Y</v>
      </c>
      <c r="Q192" s="119"/>
      <c r="R192" s="75"/>
      <c r="S192" s="75"/>
      <c r="T192" s="75"/>
      <c r="U192" s="75"/>
      <c r="V192" s="64">
        <v>191</v>
      </c>
      <c r="W192" s="69"/>
      <c r="X192" s="70"/>
      <c r="Y192" s="71"/>
      <c r="Z192" s="70" t="e">
        <f>VLOOKUP($Y192,客戶編輯設定自動代出!$A:$C,3,0)</f>
        <v>#N/A</v>
      </c>
      <c r="AA192" s="70" t="e">
        <f>VLOOKUP($Y192,客戶編輯設定自動代出!$A:$C,2,0)</f>
        <v>#N/A</v>
      </c>
      <c r="AB192" s="70" t="s">
        <v>1804</v>
      </c>
      <c r="AC192" s="70"/>
      <c r="AD192" s="70"/>
      <c r="AE192" s="72"/>
      <c r="AF192" s="72">
        <f t="shared" si="46"/>
        <v>0</v>
      </c>
      <c r="AG192" s="73"/>
      <c r="AH192" s="74">
        <f t="shared" si="47"/>
        <v>0</v>
      </c>
      <c r="AI192" s="74">
        <f t="shared" si="48"/>
        <v>0</v>
      </c>
      <c r="AJ192" s="71" t="str">
        <f t="shared" si="49"/>
        <v>Y</v>
      </c>
      <c r="AK192" s="71"/>
      <c r="AL192" s="71"/>
      <c r="AM192" s="75"/>
      <c r="AN192" s="75"/>
      <c r="AO192" s="75"/>
      <c r="AP192" s="75"/>
      <c r="AR192" s="70"/>
      <c r="BC192" s="74"/>
      <c r="BD192" s="74"/>
      <c r="BO192" s="78"/>
      <c r="BT192" s="75"/>
    </row>
    <row r="193" spans="1:72" ht="16.5" x14ac:dyDescent="0.25">
      <c r="A193" s="64">
        <v>192</v>
      </c>
      <c r="B193" s="69"/>
      <c r="E193" s="70" t="e">
        <f>VLOOKUP($D193,客戶編輯設定自動代出!$A:$C,3,0)</f>
        <v>#N/A</v>
      </c>
      <c r="F193" s="70" t="e">
        <f>VLOOKUP($D193,客戶編輯設定自動代出!$A:$C,2,0)</f>
        <v>#N/A</v>
      </c>
      <c r="G193" s="70" t="s">
        <v>1545</v>
      </c>
      <c r="K193" s="72">
        <f t="shared" si="50"/>
        <v>0</v>
      </c>
      <c r="M193" s="74">
        <f t="shared" si="51"/>
        <v>0</v>
      </c>
      <c r="N193" s="74">
        <f t="shared" si="52"/>
        <v>0</v>
      </c>
      <c r="O193" s="71" t="str">
        <f t="shared" si="53"/>
        <v>Y</v>
      </c>
      <c r="Q193" s="119"/>
      <c r="R193" s="75"/>
      <c r="S193" s="75"/>
      <c r="T193" s="75"/>
      <c r="U193" s="75"/>
      <c r="V193" s="64">
        <v>192</v>
      </c>
      <c r="W193" s="69"/>
      <c r="X193" s="70"/>
      <c r="Y193" s="71"/>
      <c r="Z193" s="70" t="e">
        <f>VLOOKUP($Y193,客戶編輯設定自動代出!$A:$C,3,0)</f>
        <v>#N/A</v>
      </c>
      <c r="AA193" s="70" t="e">
        <f>VLOOKUP($Y193,客戶編輯設定自動代出!$A:$C,2,0)</f>
        <v>#N/A</v>
      </c>
      <c r="AB193" s="70" t="s">
        <v>1805</v>
      </c>
      <c r="AC193" s="70"/>
      <c r="AD193" s="70"/>
      <c r="AE193" s="72"/>
      <c r="AF193" s="72">
        <f t="shared" si="46"/>
        <v>0</v>
      </c>
      <c r="AG193" s="73"/>
      <c r="AH193" s="74">
        <f t="shared" si="47"/>
        <v>0</v>
      </c>
      <c r="AI193" s="74">
        <f t="shared" si="48"/>
        <v>0</v>
      </c>
      <c r="AJ193" s="71" t="str">
        <f t="shared" si="49"/>
        <v>Y</v>
      </c>
      <c r="AK193" s="71"/>
      <c r="AL193" s="71"/>
      <c r="AM193" s="75"/>
      <c r="AN193" s="75"/>
      <c r="AO193" s="75"/>
      <c r="AP193" s="75"/>
      <c r="AR193" s="70"/>
      <c r="BC193" s="74"/>
      <c r="BD193" s="74"/>
      <c r="BO193" s="78"/>
      <c r="BT193" s="75"/>
    </row>
    <row r="194" spans="1:72" ht="16.5" x14ac:dyDescent="0.25">
      <c r="A194" s="64">
        <v>193</v>
      </c>
      <c r="B194" s="69"/>
      <c r="E194" s="70" t="e">
        <f>VLOOKUP($D194,客戶編輯設定自動代出!$A:$C,3,0)</f>
        <v>#N/A</v>
      </c>
      <c r="F194" s="70" t="e">
        <f>VLOOKUP($D194,客戶編輯設定自動代出!$A:$C,2,0)</f>
        <v>#N/A</v>
      </c>
      <c r="G194" s="70" t="s">
        <v>1546</v>
      </c>
      <c r="K194" s="72">
        <f t="shared" si="50"/>
        <v>0</v>
      </c>
      <c r="M194" s="74">
        <f t="shared" si="51"/>
        <v>0</v>
      </c>
      <c r="N194" s="74">
        <f t="shared" si="52"/>
        <v>0</v>
      </c>
      <c r="O194" s="71" t="str">
        <f t="shared" si="53"/>
        <v>Y</v>
      </c>
      <c r="Q194" s="119"/>
      <c r="R194" s="75"/>
      <c r="S194" s="75"/>
      <c r="T194" s="75"/>
      <c r="U194" s="75"/>
      <c r="V194" s="64">
        <v>193</v>
      </c>
      <c r="W194" s="69"/>
      <c r="X194" s="70"/>
      <c r="Y194" s="71"/>
      <c r="Z194" s="70" t="e">
        <f>VLOOKUP($Y194,客戶編輯設定自動代出!$A:$C,3,0)</f>
        <v>#N/A</v>
      </c>
      <c r="AA194" s="70" t="e">
        <f>VLOOKUP($Y194,客戶編輯設定自動代出!$A:$C,2,0)</f>
        <v>#N/A</v>
      </c>
      <c r="AB194" s="70" t="s">
        <v>1806</v>
      </c>
      <c r="AC194" s="70"/>
      <c r="AD194" s="70"/>
      <c r="AE194" s="72"/>
      <c r="AF194" s="72">
        <f t="shared" si="46"/>
        <v>0</v>
      </c>
      <c r="AG194" s="73"/>
      <c r="AH194" s="74">
        <f t="shared" si="47"/>
        <v>0</v>
      </c>
      <c r="AI194" s="74">
        <f t="shared" si="48"/>
        <v>0</v>
      </c>
      <c r="AJ194" s="71" t="str">
        <f t="shared" si="49"/>
        <v>Y</v>
      </c>
      <c r="AK194" s="71"/>
      <c r="AL194" s="71"/>
      <c r="AM194" s="75"/>
      <c r="AN194" s="75"/>
      <c r="AO194" s="75"/>
      <c r="AP194" s="75"/>
      <c r="AR194" s="70"/>
      <c r="BC194" s="74"/>
      <c r="BD194" s="74"/>
      <c r="BO194" s="78"/>
      <c r="BT194" s="75"/>
    </row>
    <row r="195" spans="1:72" ht="16.5" x14ac:dyDescent="0.25">
      <c r="A195" s="64">
        <v>194</v>
      </c>
      <c r="B195" s="69"/>
      <c r="E195" s="70" t="e">
        <f>VLOOKUP($D195,客戶編輯設定自動代出!$A:$C,3,0)</f>
        <v>#N/A</v>
      </c>
      <c r="F195" s="70" t="e">
        <f>VLOOKUP($D195,客戶編輯設定自動代出!$A:$C,2,0)</f>
        <v>#N/A</v>
      </c>
      <c r="G195" s="70" t="s">
        <v>1547</v>
      </c>
      <c r="K195" s="72">
        <f t="shared" si="50"/>
        <v>0</v>
      </c>
      <c r="M195" s="74">
        <f t="shared" si="51"/>
        <v>0</v>
      </c>
      <c r="N195" s="74">
        <f t="shared" si="52"/>
        <v>0</v>
      </c>
      <c r="O195" s="71" t="str">
        <f t="shared" si="53"/>
        <v>Y</v>
      </c>
      <c r="Q195" s="119"/>
      <c r="R195" s="75"/>
      <c r="S195" s="75"/>
      <c r="T195" s="75"/>
      <c r="U195" s="75"/>
      <c r="V195" s="64">
        <v>194</v>
      </c>
      <c r="W195" s="69"/>
      <c r="X195" s="70"/>
      <c r="Y195" s="71"/>
      <c r="Z195" s="70" t="e">
        <f>VLOOKUP($Y195,客戶編輯設定自動代出!$A:$C,3,0)</f>
        <v>#N/A</v>
      </c>
      <c r="AA195" s="70" t="e">
        <f>VLOOKUP($Y195,客戶編輯設定自動代出!$A:$C,2,0)</f>
        <v>#N/A</v>
      </c>
      <c r="AB195" s="70" t="s">
        <v>1807</v>
      </c>
      <c r="AC195" s="70"/>
      <c r="AD195" s="70"/>
      <c r="AE195" s="72"/>
      <c r="AF195" s="72">
        <f t="shared" si="46"/>
        <v>0</v>
      </c>
      <c r="AG195" s="73"/>
      <c r="AH195" s="74">
        <f t="shared" si="47"/>
        <v>0</v>
      </c>
      <c r="AI195" s="74">
        <f t="shared" si="48"/>
        <v>0</v>
      </c>
      <c r="AJ195" s="71" t="str">
        <f t="shared" si="49"/>
        <v>Y</v>
      </c>
      <c r="AK195" s="71"/>
      <c r="AL195" s="71"/>
      <c r="AM195" s="75"/>
      <c r="AN195" s="75"/>
      <c r="AO195" s="75"/>
      <c r="AP195" s="75"/>
      <c r="AR195" s="70"/>
      <c r="BC195" s="74"/>
      <c r="BD195" s="74"/>
      <c r="BO195" s="78"/>
      <c r="BT195" s="75"/>
    </row>
    <row r="196" spans="1:72" ht="16.5" x14ac:dyDescent="0.25">
      <c r="A196" s="64">
        <v>195</v>
      </c>
      <c r="B196" s="69"/>
      <c r="E196" s="70" t="e">
        <f>VLOOKUP($D196,客戶編輯設定自動代出!$A:$C,3,0)</f>
        <v>#N/A</v>
      </c>
      <c r="F196" s="70" t="e">
        <f>VLOOKUP($D196,客戶編輯設定自動代出!$A:$C,2,0)</f>
        <v>#N/A</v>
      </c>
      <c r="G196" s="70" t="s">
        <v>1548</v>
      </c>
      <c r="K196" s="72">
        <f t="shared" si="50"/>
        <v>0</v>
      </c>
      <c r="M196" s="74">
        <f t="shared" si="51"/>
        <v>0</v>
      </c>
      <c r="N196" s="74">
        <f t="shared" si="52"/>
        <v>0</v>
      </c>
      <c r="O196" s="71" t="str">
        <f t="shared" si="53"/>
        <v>Y</v>
      </c>
      <c r="Q196" s="119"/>
      <c r="R196" s="75"/>
      <c r="S196" s="75"/>
      <c r="T196" s="75"/>
      <c r="U196" s="75"/>
      <c r="V196" s="64">
        <v>195</v>
      </c>
      <c r="W196" s="69"/>
      <c r="X196" s="70"/>
      <c r="Y196" s="71"/>
      <c r="Z196" s="70" t="e">
        <f>VLOOKUP($Y196,客戶編輯設定自動代出!$A:$C,3,0)</f>
        <v>#N/A</v>
      </c>
      <c r="AA196" s="70" t="e">
        <f>VLOOKUP($Y196,客戶編輯設定自動代出!$A:$C,2,0)</f>
        <v>#N/A</v>
      </c>
      <c r="AB196" s="70" t="s">
        <v>1808</v>
      </c>
      <c r="AC196" s="70"/>
      <c r="AD196" s="70"/>
      <c r="AE196" s="72"/>
      <c r="AF196" s="72">
        <f t="shared" ref="AF196:AF252" si="54">AD196*AE196</f>
        <v>0</v>
      </c>
      <c r="AG196" s="73"/>
      <c r="AH196" s="74">
        <f t="shared" ref="AH196:AH252" si="55">AG196/1.05</f>
        <v>0</v>
      </c>
      <c r="AI196" s="74">
        <f t="shared" ref="AI196:AI252" si="56">AH196*0.05</f>
        <v>0</v>
      </c>
      <c r="AJ196" s="71" t="str">
        <f t="shared" si="49"/>
        <v>Y</v>
      </c>
      <c r="AK196" s="71"/>
      <c r="AL196" s="71"/>
      <c r="AM196" s="75"/>
      <c r="AN196" s="75"/>
      <c r="AO196" s="75"/>
      <c r="AP196" s="75"/>
      <c r="AR196" s="70"/>
      <c r="BC196" s="74"/>
      <c r="BD196" s="74"/>
      <c r="BO196" s="78"/>
      <c r="BT196" s="75"/>
    </row>
    <row r="197" spans="1:72" ht="16.5" x14ac:dyDescent="0.25">
      <c r="A197" s="64">
        <v>196</v>
      </c>
      <c r="B197" s="69"/>
      <c r="E197" s="70" t="e">
        <f>VLOOKUP($D197,客戶編輯設定自動代出!$A:$C,3,0)</f>
        <v>#N/A</v>
      </c>
      <c r="F197" s="70" t="e">
        <f>VLOOKUP($D197,客戶編輯設定自動代出!$A:$C,2,0)</f>
        <v>#N/A</v>
      </c>
      <c r="G197" s="70" t="s">
        <v>1549</v>
      </c>
      <c r="K197" s="72">
        <f t="shared" si="50"/>
        <v>0</v>
      </c>
      <c r="M197" s="74">
        <f t="shared" si="51"/>
        <v>0</v>
      </c>
      <c r="N197" s="74">
        <f t="shared" si="52"/>
        <v>0</v>
      </c>
      <c r="O197" s="71" t="str">
        <f t="shared" si="53"/>
        <v>Y</v>
      </c>
      <c r="Q197" s="119"/>
      <c r="R197" s="75"/>
      <c r="S197" s="75"/>
      <c r="T197" s="75"/>
      <c r="U197" s="75"/>
      <c r="V197" s="64">
        <v>196</v>
      </c>
      <c r="W197" s="69"/>
      <c r="X197" s="70"/>
      <c r="Y197" s="71"/>
      <c r="Z197" s="70" t="e">
        <f>VLOOKUP($Y197,客戶編輯設定自動代出!$A:$C,3,0)</f>
        <v>#N/A</v>
      </c>
      <c r="AA197" s="70" t="e">
        <f>VLOOKUP($Y197,客戶編輯設定自動代出!$A:$C,2,0)</f>
        <v>#N/A</v>
      </c>
      <c r="AB197" s="70" t="s">
        <v>1809</v>
      </c>
      <c r="AC197" s="70"/>
      <c r="AD197" s="70"/>
      <c r="AE197" s="72"/>
      <c r="AF197" s="72">
        <f t="shared" si="54"/>
        <v>0</v>
      </c>
      <c r="AG197" s="73"/>
      <c r="AH197" s="74">
        <f t="shared" si="55"/>
        <v>0</v>
      </c>
      <c r="AI197" s="74">
        <f t="shared" si="56"/>
        <v>0</v>
      </c>
      <c r="AJ197" s="71" t="str">
        <f t="shared" ref="AJ197:AJ252" si="57">IF($AF197=$AG197,"Y","N")</f>
        <v>Y</v>
      </c>
      <c r="AK197" s="71"/>
      <c r="AL197" s="71"/>
      <c r="AM197" s="75"/>
      <c r="AN197" s="75"/>
      <c r="AO197" s="75"/>
      <c r="AP197" s="75"/>
      <c r="AR197" s="70"/>
      <c r="BC197" s="74"/>
      <c r="BD197" s="74"/>
      <c r="BO197" s="78"/>
      <c r="BT197" s="75"/>
    </row>
    <row r="198" spans="1:72" ht="16.5" x14ac:dyDescent="0.25">
      <c r="A198" s="64">
        <v>197</v>
      </c>
      <c r="B198" s="69"/>
      <c r="E198" s="70" t="e">
        <f>VLOOKUP($D198,客戶編輯設定自動代出!$A:$C,3,0)</f>
        <v>#N/A</v>
      </c>
      <c r="F198" s="70" t="e">
        <f>VLOOKUP($D198,客戶編輯設定自動代出!$A:$C,2,0)</f>
        <v>#N/A</v>
      </c>
      <c r="G198" s="70" t="s">
        <v>1550</v>
      </c>
      <c r="K198" s="72">
        <f t="shared" si="50"/>
        <v>0</v>
      </c>
      <c r="M198" s="74">
        <f t="shared" si="51"/>
        <v>0</v>
      </c>
      <c r="N198" s="74">
        <f t="shared" si="52"/>
        <v>0</v>
      </c>
      <c r="O198" s="71" t="str">
        <f t="shared" si="53"/>
        <v>Y</v>
      </c>
      <c r="Q198" s="119"/>
      <c r="R198" s="75"/>
      <c r="S198" s="75"/>
      <c r="T198" s="75"/>
      <c r="U198" s="75"/>
      <c r="V198" s="64">
        <v>197</v>
      </c>
      <c r="W198" s="69"/>
      <c r="X198" s="70"/>
      <c r="Y198" s="71"/>
      <c r="Z198" s="70" t="e">
        <f>VLOOKUP($Y198,客戶編輯設定自動代出!$A:$C,3,0)</f>
        <v>#N/A</v>
      </c>
      <c r="AA198" s="70" t="e">
        <f>VLOOKUP($Y198,客戶編輯設定自動代出!$A:$C,2,0)</f>
        <v>#N/A</v>
      </c>
      <c r="AB198" s="70" t="s">
        <v>1810</v>
      </c>
      <c r="AC198" s="70"/>
      <c r="AD198" s="70"/>
      <c r="AE198" s="72"/>
      <c r="AF198" s="72">
        <f t="shared" si="54"/>
        <v>0</v>
      </c>
      <c r="AG198" s="73"/>
      <c r="AH198" s="74">
        <f t="shared" si="55"/>
        <v>0</v>
      </c>
      <c r="AI198" s="74">
        <f t="shared" si="56"/>
        <v>0</v>
      </c>
      <c r="AJ198" s="71" t="str">
        <f t="shared" si="57"/>
        <v>Y</v>
      </c>
      <c r="AK198" s="71"/>
      <c r="AL198" s="71"/>
      <c r="AM198" s="75"/>
      <c r="AN198" s="75"/>
      <c r="AO198" s="75"/>
      <c r="AP198" s="75"/>
      <c r="AR198" s="70"/>
      <c r="BC198" s="74"/>
      <c r="BD198" s="74"/>
    </row>
    <row r="199" spans="1:72" ht="16.5" x14ac:dyDescent="0.25">
      <c r="A199" s="64">
        <v>198</v>
      </c>
      <c r="B199" s="69"/>
      <c r="E199" s="70" t="e">
        <f>VLOOKUP($D199,客戶編輯設定自動代出!$A:$C,3,0)</f>
        <v>#N/A</v>
      </c>
      <c r="F199" s="70" t="e">
        <f>VLOOKUP($D199,客戶編輯設定自動代出!$A:$C,2,0)</f>
        <v>#N/A</v>
      </c>
      <c r="G199" s="70" t="s">
        <v>1551</v>
      </c>
      <c r="K199" s="72">
        <f t="shared" si="50"/>
        <v>0</v>
      </c>
      <c r="M199" s="74">
        <f t="shared" si="51"/>
        <v>0</v>
      </c>
      <c r="N199" s="74">
        <f t="shared" si="52"/>
        <v>0</v>
      </c>
      <c r="O199" s="71" t="str">
        <f t="shared" si="53"/>
        <v>Y</v>
      </c>
      <c r="Q199" s="119"/>
      <c r="R199" s="75"/>
      <c r="S199" s="75"/>
      <c r="T199" s="75"/>
      <c r="U199" s="75"/>
      <c r="V199" s="64">
        <v>198</v>
      </c>
      <c r="W199" s="69"/>
      <c r="X199" s="70"/>
      <c r="Y199" s="71"/>
      <c r="Z199" s="70" t="e">
        <f>VLOOKUP($Y199,客戶編輯設定自動代出!$A:$C,3,0)</f>
        <v>#N/A</v>
      </c>
      <c r="AA199" s="70" t="e">
        <f>VLOOKUP($Y199,客戶編輯設定自動代出!$A:$C,2,0)</f>
        <v>#N/A</v>
      </c>
      <c r="AB199" s="70" t="s">
        <v>1811</v>
      </c>
      <c r="AC199" s="70"/>
      <c r="AD199" s="70"/>
      <c r="AE199" s="72"/>
      <c r="AF199" s="72">
        <f t="shared" si="54"/>
        <v>0</v>
      </c>
      <c r="AG199" s="73"/>
      <c r="AH199" s="74">
        <f t="shared" si="55"/>
        <v>0</v>
      </c>
      <c r="AI199" s="74">
        <f t="shared" si="56"/>
        <v>0</v>
      </c>
      <c r="AJ199" s="71" t="str">
        <f t="shared" si="57"/>
        <v>Y</v>
      </c>
      <c r="AK199" s="71"/>
      <c r="AL199" s="71"/>
      <c r="AM199" s="75"/>
      <c r="AN199" s="75"/>
      <c r="AO199" s="75"/>
      <c r="AP199" s="75"/>
      <c r="AR199" s="70"/>
      <c r="BC199" s="74"/>
      <c r="BD199" s="74"/>
    </row>
    <row r="200" spans="1:72" ht="16.5" x14ac:dyDescent="0.25">
      <c r="A200" s="64">
        <v>199</v>
      </c>
      <c r="B200" s="69"/>
      <c r="E200" s="70" t="e">
        <f>VLOOKUP($D200,客戶編輯設定自動代出!$A:$C,3,0)</f>
        <v>#N/A</v>
      </c>
      <c r="F200" s="70" t="e">
        <f>VLOOKUP($D200,客戶編輯設定自動代出!$A:$C,2,0)</f>
        <v>#N/A</v>
      </c>
      <c r="G200" s="70" t="s">
        <v>1552</v>
      </c>
      <c r="K200" s="72">
        <f t="shared" si="50"/>
        <v>0</v>
      </c>
      <c r="M200" s="74">
        <f t="shared" si="51"/>
        <v>0</v>
      </c>
      <c r="N200" s="74">
        <f t="shared" si="52"/>
        <v>0</v>
      </c>
      <c r="O200" s="71" t="str">
        <f t="shared" si="53"/>
        <v>Y</v>
      </c>
      <c r="Q200" s="119"/>
      <c r="R200" s="75"/>
      <c r="S200" s="75"/>
      <c r="T200" s="75"/>
      <c r="U200" s="75"/>
      <c r="V200" s="64">
        <v>199</v>
      </c>
      <c r="W200" s="69"/>
      <c r="X200" s="70"/>
      <c r="Y200" s="71"/>
      <c r="Z200" s="70" t="e">
        <f>VLOOKUP($Y200,客戶編輯設定自動代出!$A:$C,3,0)</f>
        <v>#N/A</v>
      </c>
      <c r="AA200" s="70" t="e">
        <f>VLOOKUP($Y200,客戶編輯設定自動代出!$A:$C,2,0)</f>
        <v>#N/A</v>
      </c>
      <c r="AB200" s="70" t="s">
        <v>1812</v>
      </c>
      <c r="AC200" s="70"/>
      <c r="AD200" s="70"/>
      <c r="AE200" s="72"/>
      <c r="AF200" s="72">
        <f t="shared" si="54"/>
        <v>0</v>
      </c>
      <c r="AG200" s="73"/>
      <c r="AH200" s="74">
        <f t="shared" si="55"/>
        <v>0</v>
      </c>
      <c r="AI200" s="74">
        <f t="shared" si="56"/>
        <v>0</v>
      </c>
      <c r="AJ200" s="71" t="str">
        <f t="shared" si="57"/>
        <v>Y</v>
      </c>
      <c r="AK200" s="71"/>
      <c r="AL200" s="71"/>
      <c r="AM200" s="75"/>
      <c r="AN200" s="75"/>
      <c r="AO200" s="75"/>
      <c r="AP200" s="75"/>
      <c r="AR200" s="70"/>
      <c r="BC200" s="74"/>
      <c r="BD200" s="74"/>
    </row>
    <row r="201" spans="1:72" ht="16.5" x14ac:dyDescent="0.25">
      <c r="A201" s="64">
        <v>200</v>
      </c>
      <c r="B201" s="69"/>
      <c r="E201" s="70" t="e">
        <f>VLOOKUP($D201,客戶編輯設定自動代出!$A:$C,3,0)</f>
        <v>#N/A</v>
      </c>
      <c r="F201" s="70" t="e">
        <f>VLOOKUP($D201,客戶編輯設定自動代出!$A:$C,2,0)</f>
        <v>#N/A</v>
      </c>
      <c r="G201" s="70" t="s">
        <v>1553</v>
      </c>
      <c r="K201" s="72">
        <f t="shared" si="50"/>
        <v>0</v>
      </c>
      <c r="M201" s="74">
        <f t="shared" si="51"/>
        <v>0</v>
      </c>
      <c r="N201" s="74">
        <f t="shared" si="52"/>
        <v>0</v>
      </c>
      <c r="O201" s="71" t="str">
        <f t="shared" si="53"/>
        <v>Y</v>
      </c>
      <c r="Q201" s="119"/>
      <c r="R201" s="75"/>
      <c r="S201" s="75"/>
      <c r="T201" s="75"/>
      <c r="U201" s="75"/>
      <c r="V201" s="64">
        <v>200</v>
      </c>
      <c r="W201" s="69"/>
      <c r="X201" s="70"/>
      <c r="Y201" s="71"/>
      <c r="Z201" s="70" t="e">
        <f>VLOOKUP($Y201,客戶編輯設定自動代出!$A:$C,3,0)</f>
        <v>#N/A</v>
      </c>
      <c r="AA201" s="70" t="e">
        <f>VLOOKUP($Y201,客戶編輯設定自動代出!$A:$C,2,0)</f>
        <v>#N/A</v>
      </c>
      <c r="AB201" s="70" t="s">
        <v>1813</v>
      </c>
      <c r="AC201" s="70"/>
      <c r="AD201" s="70"/>
      <c r="AE201" s="72"/>
      <c r="AF201" s="72">
        <f t="shared" si="54"/>
        <v>0</v>
      </c>
      <c r="AG201" s="73"/>
      <c r="AH201" s="74">
        <f t="shared" si="55"/>
        <v>0</v>
      </c>
      <c r="AI201" s="74">
        <f t="shared" si="56"/>
        <v>0</v>
      </c>
      <c r="AJ201" s="71" t="str">
        <f t="shared" si="57"/>
        <v>Y</v>
      </c>
      <c r="AK201" s="71"/>
      <c r="AL201" s="71"/>
      <c r="AM201" s="75"/>
      <c r="AN201" s="75"/>
      <c r="AO201" s="75"/>
      <c r="AP201" s="75"/>
      <c r="AR201" s="70"/>
      <c r="BC201" s="74"/>
      <c r="BD201" s="74"/>
    </row>
    <row r="202" spans="1:72" ht="16.5" x14ac:dyDescent="0.25">
      <c r="A202" s="64">
        <v>201</v>
      </c>
      <c r="B202" s="69"/>
      <c r="E202" s="70" t="e">
        <f>VLOOKUP($D202,客戶編輯設定自動代出!$A:$C,3,0)</f>
        <v>#N/A</v>
      </c>
      <c r="F202" s="70" t="e">
        <f>VLOOKUP($D202,客戶編輯設定自動代出!$A:$C,2,0)</f>
        <v>#N/A</v>
      </c>
      <c r="G202" s="70" t="s">
        <v>1554</v>
      </c>
      <c r="K202" s="72">
        <f t="shared" si="50"/>
        <v>0</v>
      </c>
      <c r="M202" s="74">
        <f t="shared" si="51"/>
        <v>0</v>
      </c>
      <c r="N202" s="74">
        <f t="shared" si="52"/>
        <v>0</v>
      </c>
      <c r="O202" s="71" t="str">
        <f t="shared" si="53"/>
        <v>Y</v>
      </c>
      <c r="Q202" s="119"/>
      <c r="R202" s="75"/>
      <c r="S202" s="75"/>
      <c r="T202" s="75"/>
      <c r="U202" s="75"/>
      <c r="V202" s="64">
        <v>201</v>
      </c>
      <c r="W202" s="69"/>
      <c r="X202" s="70"/>
      <c r="Y202" s="71"/>
      <c r="Z202" s="70" t="e">
        <f>VLOOKUP($Y202,客戶編輯設定自動代出!$A:$C,3,0)</f>
        <v>#N/A</v>
      </c>
      <c r="AA202" s="70" t="e">
        <f>VLOOKUP($Y202,客戶編輯設定自動代出!$A:$C,2,0)</f>
        <v>#N/A</v>
      </c>
      <c r="AB202" s="70" t="s">
        <v>1814</v>
      </c>
      <c r="AC202" s="70"/>
      <c r="AD202" s="70"/>
      <c r="AE202" s="72"/>
      <c r="AF202" s="72">
        <f t="shared" si="54"/>
        <v>0</v>
      </c>
      <c r="AG202" s="73"/>
      <c r="AH202" s="74">
        <f t="shared" si="55"/>
        <v>0</v>
      </c>
      <c r="AI202" s="74">
        <f t="shared" si="56"/>
        <v>0</v>
      </c>
      <c r="AJ202" s="71" t="str">
        <f t="shared" si="57"/>
        <v>Y</v>
      </c>
      <c r="AK202" s="71"/>
      <c r="AL202" s="71"/>
      <c r="AM202" s="75"/>
      <c r="AN202" s="75"/>
      <c r="AO202" s="75"/>
      <c r="AP202" s="75"/>
      <c r="AR202" s="70"/>
      <c r="BC202" s="74"/>
      <c r="BD202" s="74"/>
    </row>
    <row r="203" spans="1:72" ht="16.5" x14ac:dyDescent="0.25">
      <c r="A203" s="64">
        <v>202</v>
      </c>
      <c r="B203" s="69"/>
      <c r="E203" s="70" t="e">
        <f>VLOOKUP($D203,客戶編輯設定自動代出!$A:$C,3,0)</f>
        <v>#N/A</v>
      </c>
      <c r="F203" s="70" t="e">
        <f>VLOOKUP($D203,客戶編輯設定自動代出!$A:$C,2,0)</f>
        <v>#N/A</v>
      </c>
      <c r="G203" s="70" t="s">
        <v>1555</v>
      </c>
      <c r="K203" s="72">
        <f t="shared" si="50"/>
        <v>0</v>
      </c>
      <c r="M203" s="74">
        <f t="shared" si="51"/>
        <v>0</v>
      </c>
      <c r="N203" s="74">
        <f t="shared" si="52"/>
        <v>0</v>
      </c>
      <c r="O203" s="71" t="str">
        <f t="shared" si="53"/>
        <v>Y</v>
      </c>
      <c r="Q203" s="119"/>
      <c r="R203" s="75"/>
      <c r="S203" s="75"/>
      <c r="T203" s="75"/>
      <c r="U203" s="75"/>
      <c r="V203" s="64">
        <v>202</v>
      </c>
      <c r="W203" s="69"/>
      <c r="X203" s="70"/>
      <c r="Y203" s="71"/>
      <c r="Z203" s="70" t="e">
        <f>VLOOKUP($Y203,客戶編輯設定自動代出!$A:$C,3,0)</f>
        <v>#N/A</v>
      </c>
      <c r="AA203" s="70" t="e">
        <f>VLOOKUP($Y203,客戶編輯設定自動代出!$A:$C,2,0)</f>
        <v>#N/A</v>
      </c>
      <c r="AB203" s="70" t="s">
        <v>1815</v>
      </c>
      <c r="AC203" s="70"/>
      <c r="AD203" s="70"/>
      <c r="AE203" s="72"/>
      <c r="AF203" s="72">
        <f t="shared" si="54"/>
        <v>0</v>
      </c>
      <c r="AG203" s="73"/>
      <c r="AH203" s="74">
        <f t="shared" si="55"/>
        <v>0</v>
      </c>
      <c r="AI203" s="74">
        <f t="shared" si="56"/>
        <v>0</v>
      </c>
      <c r="AJ203" s="71" t="str">
        <f t="shared" si="57"/>
        <v>Y</v>
      </c>
      <c r="AK203" s="71"/>
      <c r="AL203" s="71"/>
      <c r="AM203" s="75"/>
      <c r="AN203" s="75"/>
      <c r="AO203" s="75"/>
      <c r="AP203" s="75"/>
      <c r="AR203" s="70"/>
      <c r="BC203" s="74"/>
      <c r="BD203" s="74"/>
    </row>
    <row r="204" spans="1:72" ht="16.5" x14ac:dyDescent="0.25">
      <c r="A204" s="64">
        <v>203</v>
      </c>
      <c r="B204" s="69"/>
      <c r="E204" s="70" t="e">
        <f>VLOOKUP($D204,客戶編輯設定自動代出!$A:$C,3,0)</f>
        <v>#N/A</v>
      </c>
      <c r="F204" s="70" t="e">
        <f>VLOOKUP($D204,客戶編輯設定自動代出!$A:$C,2,0)</f>
        <v>#N/A</v>
      </c>
      <c r="G204" s="70" t="s">
        <v>1556</v>
      </c>
      <c r="K204" s="72">
        <f t="shared" si="50"/>
        <v>0</v>
      </c>
      <c r="M204" s="74">
        <f t="shared" si="51"/>
        <v>0</v>
      </c>
      <c r="N204" s="74">
        <f t="shared" si="52"/>
        <v>0</v>
      </c>
      <c r="O204" s="71" t="str">
        <f t="shared" si="53"/>
        <v>Y</v>
      </c>
      <c r="Q204" s="119"/>
      <c r="R204" s="75"/>
      <c r="S204" s="75"/>
      <c r="T204" s="75"/>
      <c r="U204" s="75"/>
      <c r="V204" s="64">
        <v>203</v>
      </c>
      <c r="W204" s="69"/>
      <c r="X204" s="70"/>
      <c r="Y204" s="71"/>
      <c r="Z204" s="70" t="e">
        <f>VLOOKUP($Y204,客戶編輯設定自動代出!$A:$C,3,0)</f>
        <v>#N/A</v>
      </c>
      <c r="AA204" s="70" t="e">
        <f>VLOOKUP($Y204,客戶編輯設定自動代出!$A:$C,2,0)</f>
        <v>#N/A</v>
      </c>
      <c r="AB204" s="70" t="s">
        <v>1816</v>
      </c>
      <c r="AC204" s="70"/>
      <c r="AD204" s="70"/>
      <c r="AE204" s="72"/>
      <c r="AF204" s="72">
        <f t="shared" si="54"/>
        <v>0</v>
      </c>
      <c r="AG204" s="73"/>
      <c r="AH204" s="74">
        <f t="shared" si="55"/>
        <v>0</v>
      </c>
      <c r="AI204" s="74">
        <f t="shared" si="56"/>
        <v>0</v>
      </c>
      <c r="AJ204" s="71" t="str">
        <f t="shared" si="57"/>
        <v>Y</v>
      </c>
      <c r="AK204" s="71"/>
      <c r="AL204" s="71"/>
      <c r="AM204" s="75"/>
      <c r="AN204" s="75"/>
      <c r="AO204" s="75"/>
      <c r="AP204" s="75"/>
      <c r="AR204" s="70"/>
      <c r="BC204" s="74"/>
      <c r="BD204" s="74"/>
    </row>
    <row r="205" spans="1:72" ht="16.5" x14ac:dyDescent="0.25">
      <c r="A205" s="64">
        <v>204</v>
      </c>
      <c r="B205" s="69"/>
      <c r="E205" s="70" t="e">
        <f>VLOOKUP($D205,客戶編輯設定自動代出!$A:$C,3,0)</f>
        <v>#N/A</v>
      </c>
      <c r="F205" s="70" t="e">
        <f>VLOOKUP($D205,客戶編輯設定自動代出!$A:$C,2,0)</f>
        <v>#N/A</v>
      </c>
      <c r="G205" s="70" t="s">
        <v>1557</v>
      </c>
      <c r="K205" s="72">
        <f t="shared" si="50"/>
        <v>0</v>
      </c>
      <c r="M205" s="74">
        <f t="shared" si="51"/>
        <v>0</v>
      </c>
      <c r="N205" s="74">
        <f t="shared" si="52"/>
        <v>0</v>
      </c>
      <c r="O205" s="71" t="str">
        <f t="shared" si="53"/>
        <v>Y</v>
      </c>
      <c r="Q205" s="119"/>
      <c r="R205" s="75"/>
      <c r="S205" s="75"/>
      <c r="T205" s="75"/>
      <c r="U205" s="75"/>
      <c r="V205" s="64">
        <v>204</v>
      </c>
      <c r="W205" s="69"/>
      <c r="X205" s="70"/>
      <c r="Y205" s="71"/>
      <c r="Z205" s="70" t="e">
        <f>VLOOKUP($Y205,客戶編輯設定自動代出!$A:$C,3,0)</f>
        <v>#N/A</v>
      </c>
      <c r="AA205" s="70" t="e">
        <f>VLOOKUP($Y205,客戶編輯設定自動代出!$A:$C,2,0)</f>
        <v>#N/A</v>
      </c>
      <c r="AB205" s="70" t="s">
        <v>1817</v>
      </c>
      <c r="AC205" s="70"/>
      <c r="AD205" s="70"/>
      <c r="AE205" s="72"/>
      <c r="AF205" s="72">
        <f t="shared" si="54"/>
        <v>0</v>
      </c>
      <c r="AG205" s="73"/>
      <c r="AH205" s="74">
        <f t="shared" si="55"/>
        <v>0</v>
      </c>
      <c r="AI205" s="74">
        <f t="shared" si="56"/>
        <v>0</v>
      </c>
      <c r="AJ205" s="71" t="str">
        <f t="shared" si="57"/>
        <v>Y</v>
      </c>
      <c r="AK205" s="71"/>
      <c r="AL205" s="71"/>
      <c r="AM205" s="75"/>
      <c r="AN205" s="75"/>
      <c r="AO205" s="75"/>
      <c r="AP205" s="75"/>
      <c r="AR205" s="70"/>
      <c r="BC205" s="74"/>
      <c r="BD205" s="74"/>
    </row>
    <row r="206" spans="1:72" ht="16.5" x14ac:dyDescent="0.25">
      <c r="A206" s="64">
        <v>205</v>
      </c>
      <c r="B206" s="69"/>
      <c r="E206" s="70" t="e">
        <f>VLOOKUP($D206,客戶編輯設定自動代出!$A:$C,3,0)</f>
        <v>#N/A</v>
      </c>
      <c r="F206" s="70" t="e">
        <f>VLOOKUP($D206,客戶編輯設定自動代出!$A:$C,2,0)</f>
        <v>#N/A</v>
      </c>
      <c r="G206" s="70" t="s">
        <v>1558</v>
      </c>
      <c r="K206" s="72">
        <f t="shared" si="50"/>
        <v>0</v>
      </c>
      <c r="M206" s="74">
        <f t="shared" si="51"/>
        <v>0</v>
      </c>
      <c r="N206" s="74">
        <f t="shared" si="52"/>
        <v>0</v>
      </c>
      <c r="O206" s="71" t="str">
        <f t="shared" si="53"/>
        <v>Y</v>
      </c>
      <c r="Q206" s="119"/>
      <c r="R206" s="75"/>
      <c r="S206" s="75"/>
      <c r="T206" s="75"/>
      <c r="U206" s="75"/>
      <c r="V206" s="64">
        <v>205</v>
      </c>
      <c r="W206" s="69"/>
      <c r="X206" s="70"/>
      <c r="Y206" s="71"/>
      <c r="Z206" s="70" t="e">
        <f>VLOOKUP($Y206,客戶編輯設定自動代出!$A:$C,3,0)</f>
        <v>#N/A</v>
      </c>
      <c r="AA206" s="70" t="e">
        <f>VLOOKUP($Y206,客戶編輯設定自動代出!$A:$C,2,0)</f>
        <v>#N/A</v>
      </c>
      <c r="AB206" s="70" t="s">
        <v>1818</v>
      </c>
      <c r="AC206" s="70"/>
      <c r="AD206" s="70"/>
      <c r="AE206" s="72"/>
      <c r="AF206" s="72">
        <f t="shared" si="54"/>
        <v>0</v>
      </c>
      <c r="AG206" s="73"/>
      <c r="AH206" s="74">
        <f t="shared" si="55"/>
        <v>0</v>
      </c>
      <c r="AI206" s="74">
        <f t="shared" si="56"/>
        <v>0</v>
      </c>
      <c r="AJ206" s="71" t="str">
        <f t="shared" si="57"/>
        <v>Y</v>
      </c>
      <c r="AK206" s="71"/>
      <c r="AL206" s="71"/>
      <c r="AM206" s="75"/>
      <c r="AN206" s="75"/>
      <c r="AO206" s="75"/>
      <c r="AP206" s="75"/>
      <c r="AR206" s="70"/>
      <c r="BC206" s="74"/>
      <c r="BD206" s="74"/>
    </row>
    <row r="207" spans="1:72" ht="16.5" x14ac:dyDescent="0.25">
      <c r="A207" s="64">
        <v>206</v>
      </c>
      <c r="B207" s="69"/>
      <c r="E207" s="70" t="e">
        <f>VLOOKUP($D207,客戶編輯設定自動代出!$A:$C,3,0)</f>
        <v>#N/A</v>
      </c>
      <c r="F207" s="70" t="e">
        <f>VLOOKUP($D207,客戶編輯設定自動代出!$A:$C,2,0)</f>
        <v>#N/A</v>
      </c>
      <c r="G207" s="70" t="s">
        <v>1559</v>
      </c>
      <c r="K207" s="72">
        <f t="shared" ref="K207:K263" si="58">I207*J207</f>
        <v>0</v>
      </c>
      <c r="M207" s="74">
        <f t="shared" ref="M207:M263" si="59">L207/1.05</f>
        <v>0</v>
      </c>
      <c r="N207" s="74">
        <f t="shared" ref="N207:N263" si="60">M207*0.05</f>
        <v>0</v>
      </c>
      <c r="O207" s="71" t="str">
        <f t="shared" ref="O207:O263" si="61">IF($K207=$L207,"Y","N")</f>
        <v>Y</v>
      </c>
      <c r="Q207" s="119"/>
      <c r="R207" s="75"/>
      <c r="S207" s="75"/>
      <c r="T207" s="75"/>
      <c r="U207" s="75"/>
      <c r="V207" s="64">
        <v>206</v>
      </c>
      <c r="W207" s="69"/>
      <c r="X207" s="70"/>
      <c r="Y207" s="71"/>
      <c r="Z207" s="70" t="e">
        <f>VLOOKUP($Y207,客戶編輯設定自動代出!$A:$C,3,0)</f>
        <v>#N/A</v>
      </c>
      <c r="AA207" s="70" t="e">
        <f>VLOOKUP($Y207,客戶編輯設定自動代出!$A:$C,2,0)</f>
        <v>#N/A</v>
      </c>
      <c r="AB207" s="70" t="s">
        <v>1819</v>
      </c>
      <c r="AC207" s="70"/>
      <c r="AD207" s="70"/>
      <c r="AE207" s="72"/>
      <c r="AF207" s="72">
        <f t="shared" si="54"/>
        <v>0</v>
      </c>
      <c r="AG207" s="73"/>
      <c r="AH207" s="74">
        <f t="shared" si="55"/>
        <v>0</v>
      </c>
      <c r="AI207" s="74">
        <f t="shared" si="56"/>
        <v>0</v>
      </c>
      <c r="AJ207" s="71" t="str">
        <f t="shared" si="57"/>
        <v>Y</v>
      </c>
      <c r="AK207" s="71"/>
      <c r="AL207" s="71"/>
      <c r="AM207" s="75"/>
      <c r="AN207" s="75"/>
      <c r="AO207" s="75"/>
      <c r="AP207" s="75"/>
      <c r="AR207" s="70"/>
      <c r="BC207" s="74"/>
      <c r="BD207" s="74"/>
    </row>
    <row r="208" spans="1:72" ht="16.5" x14ac:dyDescent="0.25">
      <c r="A208" s="64">
        <v>207</v>
      </c>
      <c r="B208" s="69"/>
      <c r="E208" s="70" t="e">
        <f>VLOOKUP($D208,客戶編輯設定自動代出!$A:$C,3,0)</f>
        <v>#N/A</v>
      </c>
      <c r="F208" s="70" t="e">
        <f>VLOOKUP($D208,客戶編輯設定自動代出!$A:$C,2,0)</f>
        <v>#N/A</v>
      </c>
      <c r="G208" s="70" t="s">
        <v>1560</v>
      </c>
      <c r="K208" s="72">
        <f t="shared" si="58"/>
        <v>0</v>
      </c>
      <c r="M208" s="74">
        <f t="shared" si="59"/>
        <v>0</v>
      </c>
      <c r="N208" s="74">
        <f t="shared" si="60"/>
        <v>0</v>
      </c>
      <c r="O208" s="71" t="str">
        <f t="shared" si="61"/>
        <v>Y</v>
      </c>
      <c r="Q208" s="119"/>
      <c r="R208" s="75"/>
      <c r="S208" s="75"/>
      <c r="T208" s="75"/>
      <c r="U208" s="75"/>
      <c r="V208" s="64">
        <v>207</v>
      </c>
      <c r="W208" s="69"/>
      <c r="X208" s="70"/>
      <c r="Y208" s="71"/>
      <c r="Z208" s="70" t="e">
        <f>VLOOKUP($Y208,客戶編輯設定自動代出!$A:$C,3,0)</f>
        <v>#N/A</v>
      </c>
      <c r="AA208" s="70" t="e">
        <f>VLOOKUP($Y208,客戶編輯設定自動代出!$A:$C,2,0)</f>
        <v>#N/A</v>
      </c>
      <c r="AB208" s="70" t="s">
        <v>1820</v>
      </c>
      <c r="AC208" s="70"/>
      <c r="AD208" s="70"/>
      <c r="AE208" s="72"/>
      <c r="AF208" s="72">
        <f t="shared" si="54"/>
        <v>0</v>
      </c>
      <c r="AG208" s="73"/>
      <c r="AH208" s="74">
        <f t="shared" si="55"/>
        <v>0</v>
      </c>
      <c r="AI208" s="74">
        <f t="shared" si="56"/>
        <v>0</v>
      </c>
      <c r="AJ208" s="71" t="str">
        <f t="shared" si="57"/>
        <v>Y</v>
      </c>
      <c r="AK208" s="71"/>
      <c r="AL208" s="71"/>
      <c r="AM208" s="75"/>
      <c r="AN208" s="75"/>
      <c r="AO208" s="75"/>
      <c r="AP208" s="75"/>
      <c r="AR208" s="70"/>
      <c r="BC208" s="74"/>
      <c r="BD208" s="74"/>
    </row>
    <row r="209" spans="1:56" ht="16.5" x14ac:dyDescent="0.25">
      <c r="A209" s="64">
        <v>208</v>
      </c>
      <c r="B209" s="69"/>
      <c r="E209" s="70" t="e">
        <f>VLOOKUP($D209,客戶編輯設定自動代出!$A:$C,3,0)</f>
        <v>#N/A</v>
      </c>
      <c r="F209" s="70" t="e">
        <f>VLOOKUP($D209,客戶編輯設定自動代出!$A:$C,2,0)</f>
        <v>#N/A</v>
      </c>
      <c r="G209" s="70" t="s">
        <v>1561</v>
      </c>
      <c r="K209" s="72">
        <f t="shared" si="58"/>
        <v>0</v>
      </c>
      <c r="M209" s="74">
        <f t="shared" si="59"/>
        <v>0</v>
      </c>
      <c r="N209" s="74">
        <f t="shared" si="60"/>
        <v>0</v>
      </c>
      <c r="O209" s="71" t="str">
        <f t="shared" si="61"/>
        <v>Y</v>
      </c>
      <c r="Q209" s="119"/>
      <c r="R209" s="75"/>
      <c r="S209" s="75"/>
      <c r="T209" s="75"/>
      <c r="U209" s="75"/>
      <c r="V209" s="64">
        <v>208</v>
      </c>
      <c r="W209" s="69"/>
      <c r="X209" s="70"/>
      <c r="Y209" s="71"/>
      <c r="Z209" s="70" t="e">
        <f>VLOOKUP($Y209,客戶編輯設定自動代出!$A:$C,3,0)</f>
        <v>#N/A</v>
      </c>
      <c r="AA209" s="70" t="e">
        <f>VLOOKUP($Y209,客戶編輯設定自動代出!$A:$C,2,0)</f>
        <v>#N/A</v>
      </c>
      <c r="AB209" s="70" t="s">
        <v>1821</v>
      </c>
      <c r="AC209" s="70"/>
      <c r="AD209" s="70"/>
      <c r="AE209" s="72"/>
      <c r="AF209" s="72">
        <f t="shared" si="54"/>
        <v>0</v>
      </c>
      <c r="AG209" s="73"/>
      <c r="AH209" s="74">
        <f t="shared" si="55"/>
        <v>0</v>
      </c>
      <c r="AI209" s="74">
        <f t="shared" si="56"/>
        <v>0</v>
      </c>
      <c r="AJ209" s="71" t="str">
        <f t="shared" si="57"/>
        <v>Y</v>
      </c>
      <c r="AK209" s="71"/>
      <c r="AL209" s="71"/>
      <c r="AM209" s="75"/>
      <c r="AN209" s="75"/>
      <c r="AO209" s="75"/>
      <c r="AP209" s="75"/>
      <c r="AR209" s="70"/>
      <c r="BC209" s="74"/>
      <c r="BD209" s="74"/>
    </row>
    <row r="210" spans="1:56" ht="16.5" x14ac:dyDescent="0.25">
      <c r="A210" s="64">
        <v>209</v>
      </c>
      <c r="B210" s="69"/>
      <c r="E210" s="70" t="e">
        <f>VLOOKUP($D210,客戶編輯設定自動代出!$A:$C,3,0)</f>
        <v>#N/A</v>
      </c>
      <c r="F210" s="70" t="e">
        <f>VLOOKUP($D210,客戶編輯設定自動代出!$A:$C,2,0)</f>
        <v>#N/A</v>
      </c>
      <c r="G210" s="70" t="s">
        <v>1562</v>
      </c>
      <c r="K210" s="72">
        <f t="shared" si="58"/>
        <v>0</v>
      </c>
      <c r="M210" s="74">
        <f t="shared" si="59"/>
        <v>0</v>
      </c>
      <c r="N210" s="74">
        <f t="shared" si="60"/>
        <v>0</v>
      </c>
      <c r="O210" s="71" t="str">
        <f t="shared" si="61"/>
        <v>Y</v>
      </c>
      <c r="Q210" s="119"/>
      <c r="R210" s="75"/>
      <c r="S210" s="75"/>
      <c r="T210" s="75"/>
      <c r="U210" s="75"/>
      <c r="V210" s="64">
        <v>209</v>
      </c>
      <c r="W210" s="69"/>
      <c r="X210" s="70"/>
      <c r="Y210" s="71"/>
      <c r="Z210" s="70" t="e">
        <f>VLOOKUP($Y210,客戶編輯設定自動代出!$A:$C,3,0)</f>
        <v>#N/A</v>
      </c>
      <c r="AA210" s="70" t="e">
        <f>VLOOKUP($Y210,客戶編輯設定自動代出!$A:$C,2,0)</f>
        <v>#N/A</v>
      </c>
      <c r="AB210" s="70" t="s">
        <v>1822</v>
      </c>
      <c r="AC210" s="70"/>
      <c r="AD210" s="70"/>
      <c r="AE210" s="72"/>
      <c r="AF210" s="72">
        <f t="shared" si="54"/>
        <v>0</v>
      </c>
      <c r="AG210" s="73"/>
      <c r="AH210" s="74">
        <f t="shared" si="55"/>
        <v>0</v>
      </c>
      <c r="AI210" s="74">
        <f t="shared" si="56"/>
        <v>0</v>
      </c>
      <c r="AJ210" s="71" t="str">
        <f t="shared" si="57"/>
        <v>Y</v>
      </c>
      <c r="AK210" s="71"/>
      <c r="AL210" s="71"/>
      <c r="AM210" s="75"/>
      <c r="AN210" s="75"/>
      <c r="AO210" s="75"/>
      <c r="AP210" s="75"/>
      <c r="AR210" s="70"/>
      <c r="BC210" s="74"/>
      <c r="BD210" s="74"/>
    </row>
    <row r="211" spans="1:56" ht="16.5" x14ac:dyDescent="0.25">
      <c r="A211" s="64">
        <v>210</v>
      </c>
      <c r="B211" s="69"/>
      <c r="E211" s="70" t="e">
        <f>VLOOKUP($D211,客戶編輯設定自動代出!$A:$C,3,0)</f>
        <v>#N/A</v>
      </c>
      <c r="F211" s="70" t="e">
        <f>VLOOKUP($D211,客戶編輯設定自動代出!$A:$C,2,0)</f>
        <v>#N/A</v>
      </c>
      <c r="G211" s="70" t="s">
        <v>1563</v>
      </c>
      <c r="K211" s="72">
        <f t="shared" si="58"/>
        <v>0</v>
      </c>
      <c r="M211" s="74">
        <f t="shared" si="59"/>
        <v>0</v>
      </c>
      <c r="N211" s="74">
        <f t="shared" si="60"/>
        <v>0</v>
      </c>
      <c r="O211" s="71" t="str">
        <f t="shared" si="61"/>
        <v>Y</v>
      </c>
      <c r="Q211" s="119"/>
      <c r="R211" s="75"/>
      <c r="S211" s="75"/>
      <c r="T211" s="75"/>
      <c r="U211" s="75"/>
      <c r="V211" s="64">
        <v>210</v>
      </c>
      <c r="W211" s="69"/>
      <c r="X211" s="70"/>
      <c r="Y211" s="71"/>
      <c r="Z211" s="70" t="e">
        <f>VLOOKUP($Y211,客戶編輯設定自動代出!$A:$C,3,0)</f>
        <v>#N/A</v>
      </c>
      <c r="AA211" s="70" t="e">
        <f>VLOOKUP($Y211,客戶編輯設定自動代出!$A:$C,2,0)</f>
        <v>#N/A</v>
      </c>
      <c r="AB211" s="70" t="s">
        <v>1823</v>
      </c>
      <c r="AC211" s="70"/>
      <c r="AD211" s="70"/>
      <c r="AE211" s="72"/>
      <c r="AF211" s="72">
        <f t="shared" si="54"/>
        <v>0</v>
      </c>
      <c r="AG211" s="73"/>
      <c r="AH211" s="74">
        <f t="shared" si="55"/>
        <v>0</v>
      </c>
      <c r="AI211" s="74">
        <f t="shared" si="56"/>
        <v>0</v>
      </c>
      <c r="AJ211" s="71" t="str">
        <f t="shared" si="57"/>
        <v>Y</v>
      </c>
      <c r="AK211" s="71"/>
      <c r="AL211" s="71"/>
      <c r="AM211" s="75"/>
      <c r="AN211" s="75"/>
      <c r="AO211" s="75"/>
      <c r="AP211" s="75"/>
      <c r="AR211" s="70"/>
      <c r="BC211" s="74"/>
      <c r="BD211" s="74"/>
    </row>
    <row r="212" spans="1:56" ht="16.5" x14ac:dyDescent="0.25">
      <c r="A212" s="64">
        <v>211</v>
      </c>
      <c r="B212" s="69"/>
      <c r="E212" s="70" t="e">
        <f>VLOOKUP($D212,客戶編輯設定自動代出!$A:$C,3,0)</f>
        <v>#N/A</v>
      </c>
      <c r="F212" s="70" t="e">
        <f>VLOOKUP($D212,客戶編輯設定自動代出!$A:$C,2,0)</f>
        <v>#N/A</v>
      </c>
      <c r="G212" s="70" t="s">
        <v>1564</v>
      </c>
      <c r="K212" s="72">
        <f t="shared" si="58"/>
        <v>0</v>
      </c>
      <c r="M212" s="74">
        <f t="shared" si="59"/>
        <v>0</v>
      </c>
      <c r="N212" s="74">
        <f t="shared" si="60"/>
        <v>0</v>
      </c>
      <c r="O212" s="71" t="str">
        <f t="shared" si="61"/>
        <v>Y</v>
      </c>
      <c r="Q212" s="119"/>
      <c r="R212" s="75"/>
      <c r="S212" s="75"/>
      <c r="T212" s="75"/>
      <c r="U212" s="75"/>
      <c r="V212" s="64">
        <v>211</v>
      </c>
      <c r="W212" s="69"/>
      <c r="X212" s="70"/>
      <c r="Y212" s="71"/>
      <c r="Z212" s="70" t="e">
        <f>VLOOKUP($Y212,客戶編輯設定自動代出!$A:$C,3,0)</f>
        <v>#N/A</v>
      </c>
      <c r="AA212" s="70" t="e">
        <f>VLOOKUP($Y212,客戶編輯設定自動代出!$A:$C,2,0)</f>
        <v>#N/A</v>
      </c>
      <c r="AB212" s="70" t="s">
        <v>1824</v>
      </c>
      <c r="AC212" s="70"/>
      <c r="AD212" s="70"/>
      <c r="AE212" s="72"/>
      <c r="AF212" s="72">
        <f t="shared" si="54"/>
        <v>0</v>
      </c>
      <c r="AG212" s="73"/>
      <c r="AH212" s="74">
        <f t="shared" si="55"/>
        <v>0</v>
      </c>
      <c r="AI212" s="74">
        <f t="shared" si="56"/>
        <v>0</v>
      </c>
      <c r="AJ212" s="71" t="str">
        <f t="shared" si="57"/>
        <v>Y</v>
      </c>
      <c r="AK212" s="71"/>
      <c r="AL212" s="71"/>
      <c r="AM212" s="75"/>
      <c r="AN212" s="75"/>
      <c r="AO212" s="75"/>
      <c r="AP212" s="75"/>
      <c r="AR212" s="70"/>
      <c r="BC212" s="74"/>
      <c r="BD212" s="74"/>
    </row>
    <row r="213" spans="1:56" ht="16.5" x14ac:dyDescent="0.25">
      <c r="A213" s="64">
        <v>212</v>
      </c>
      <c r="B213" s="69"/>
      <c r="E213" s="70" t="e">
        <f>VLOOKUP($D213,客戶編輯設定自動代出!$A:$C,3,0)</f>
        <v>#N/A</v>
      </c>
      <c r="F213" s="70" t="e">
        <f>VLOOKUP($D213,客戶編輯設定自動代出!$A:$C,2,0)</f>
        <v>#N/A</v>
      </c>
      <c r="G213" s="70" t="s">
        <v>1565</v>
      </c>
      <c r="K213" s="72">
        <f t="shared" si="58"/>
        <v>0</v>
      </c>
      <c r="M213" s="74">
        <f t="shared" si="59"/>
        <v>0</v>
      </c>
      <c r="N213" s="74">
        <f t="shared" si="60"/>
        <v>0</v>
      </c>
      <c r="O213" s="71" t="str">
        <f t="shared" si="61"/>
        <v>Y</v>
      </c>
      <c r="Q213" s="119"/>
      <c r="R213" s="75"/>
      <c r="S213" s="75"/>
      <c r="T213" s="75"/>
      <c r="U213" s="75"/>
      <c r="V213" s="64">
        <v>212</v>
      </c>
      <c r="W213" s="69"/>
      <c r="X213" s="70"/>
      <c r="Y213" s="71"/>
      <c r="Z213" s="70" t="e">
        <f>VLOOKUP($Y213,客戶編輯設定自動代出!$A:$C,3,0)</f>
        <v>#N/A</v>
      </c>
      <c r="AA213" s="70" t="e">
        <f>VLOOKUP($Y213,客戶編輯設定自動代出!$A:$C,2,0)</f>
        <v>#N/A</v>
      </c>
      <c r="AB213" s="70" t="s">
        <v>1825</v>
      </c>
      <c r="AC213" s="70"/>
      <c r="AD213" s="70"/>
      <c r="AE213" s="72"/>
      <c r="AF213" s="72">
        <f t="shared" si="54"/>
        <v>0</v>
      </c>
      <c r="AG213" s="73"/>
      <c r="AH213" s="74">
        <f t="shared" si="55"/>
        <v>0</v>
      </c>
      <c r="AI213" s="74">
        <f t="shared" si="56"/>
        <v>0</v>
      </c>
      <c r="AJ213" s="71" t="str">
        <f t="shared" si="57"/>
        <v>Y</v>
      </c>
      <c r="AK213" s="71"/>
      <c r="AL213" s="71"/>
      <c r="AM213" s="75"/>
      <c r="AN213" s="75"/>
      <c r="AO213" s="75"/>
      <c r="AP213" s="75"/>
      <c r="AR213" s="70"/>
      <c r="BC213" s="74"/>
      <c r="BD213" s="74"/>
    </row>
    <row r="214" spans="1:56" ht="16.5" x14ac:dyDescent="0.25">
      <c r="A214" s="64">
        <v>213</v>
      </c>
      <c r="B214" s="69"/>
      <c r="E214" s="70" t="e">
        <f>VLOOKUP($D214,客戶編輯設定自動代出!$A:$C,3,0)</f>
        <v>#N/A</v>
      </c>
      <c r="F214" s="70" t="e">
        <f>VLOOKUP($D214,客戶編輯設定自動代出!$A:$C,2,0)</f>
        <v>#N/A</v>
      </c>
      <c r="G214" s="70" t="s">
        <v>1566</v>
      </c>
      <c r="K214" s="72">
        <f t="shared" si="58"/>
        <v>0</v>
      </c>
      <c r="M214" s="74">
        <f t="shared" si="59"/>
        <v>0</v>
      </c>
      <c r="N214" s="74">
        <f t="shared" si="60"/>
        <v>0</v>
      </c>
      <c r="O214" s="71" t="str">
        <f t="shared" si="61"/>
        <v>Y</v>
      </c>
      <c r="Q214" s="119"/>
      <c r="R214" s="75"/>
      <c r="S214" s="75"/>
      <c r="T214" s="75"/>
      <c r="U214" s="75"/>
      <c r="V214" s="64">
        <v>213</v>
      </c>
      <c r="W214" s="69"/>
      <c r="X214" s="70"/>
      <c r="Y214" s="71"/>
      <c r="Z214" s="70" t="e">
        <f>VLOOKUP($Y214,客戶編輯設定自動代出!$A:$C,3,0)</f>
        <v>#N/A</v>
      </c>
      <c r="AA214" s="70" t="e">
        <f>VLOOKUP($Y214,客戶編輯設定自動代出!$A:$C,2,0)</f>
        <v>#N/A</v>
      </c>
      <c r="AB214" s="70" t="s">
        <v>1826</v>
      </c>
      <c r="AC214" s="70"/>
      <c r="AD214" s="70"/>
      <c r="AE214" s="72"/>
      <c r="AF214" s="72">
        <f t="shared" si="54"/>
        <v>0</v>
      </c>
      <c r="AG214" s="73"/>
      <c r="AH214" s="74">
        <f t="shared" si="55"/>
        <v>0</v>
      </c>
      <c r="AI214" s="74">
        <f t="shared" si="56"/>
        <v>0</v>
      </c>
      <c r="AJ214" s="71" t="str">
        <f t="shared" si="57"/>
        <v>Y</v>
      </c>
      <c r="AK214" s="71"/>
      <c r="AL214" s="71"/>
      <c r="AM214" s="75"/>
      <c r="AN214" s="75"/>
      <c r="AO214" s="75"/>
      <c r="AP214" s="75"/>
      <c r="AR214" s="70"/>
      <c r="BC214" s="74"/>
      <c r="BD214" s="74"/>
    </row>
    <row r="215" spans="1:56" ht="16.5" x14ac:dyDescent="0.25">
      <c r="A215" s="64">
        <v>214</v>
      </c>
      <c r="B215" s="69"/>
      <c r="E215" s="70" t="e">
        <f>VLOOKUP($D215,客戶編輯設定自動代出!$A:$C,3,0)</f>
        <v>#N/A</v>
      </c>
      <c r="F215" s="70" t="e">
        <f>VLOOKUP($D215,客戶編輯設定自動代出!$A:$C,2,0)</f>
        <v>#N/A</v>
      </c>
      <c r="G215" s="70" t="s">
        <v>1567</v>
      </c>
      <c r="K215" s="72">
        <f t="shared" si="58"/>
        <v>0</v>
      </c>
      <c r="M215" s="74">
        <f t="shared" si="59"/>
        <v>0</v>
      </c>
      <c r="N215" s="74">
        <f t="shared" si="60"/>
        <v>0</v>
      </c>
      <c r="O215" s="71" t="str">
        <f t="shared" si="61"/>
        <v>Y</v>
      </c>
      <c r="Q215" s="119"/>
      <c r="R215" s="75"/>
      <c r="S215" s="75"/>
      <c r="T215" s="75"/>
      <c r="U215" s="75"/>
      <c r="V215" s="64">
        <v>214</v>
      </c>
      <c r="W215" s="69"/>
      <c r="X215" s="70"/>
      <c r="Y215" s="71"/>
      <c r="Z215" s="70" t="e">
        <f>VLOOKUP($Y215,客戶編輯設定自動代出!$A:$C,3,0)</f>
        <v>#N/A</v>
      </c>
      <c r="AA215" s="70" t="e">
        <f>VLOOKUP($Y215,客戶編輯設定自動代出!$A:$C,2,0)</f>
        <v>#N/A</v>
      </c>
      <c r="AB215" s="70" t="s">
        <v>1827</v>
      </c>
      <c r="AC215" s="70"/>
      <c r="AD215" s="70"/>
      <c r="AE215" s="72"/>
      <c r="AF215" s="72">
        <f t="shared" si="54"/>
        <v>0</v>
      </c>
      <c r="AG215" s="73"/>
      <c r="AH215" s="74">
        <f t="shared" si="55"/>
        <v>0</v>
      </c>
      <c r="AI215" s="74">
        <f t="shared" si="56"/>
        <v>0</v>
      </c>
      <c r="AJ215" s="71" t="str">
        <f t="shared" si="57"/>
        <v>Y</v>
      </c>
      <c r="AK215" s="71"/>
      <c r="AL215" s="71"/>
      <c r="AM215" s="75"/>
      <c r="AN215" s="75"/>
      <c r="AO215" s="75"/>
      <c r="AP215" s="75"/>
      <c r="AR215" s="70"/>
      <c r="BC215" s="74"/>
      <c r="BD215" s="74"/>
    </row>
    <row r="216" spans="1:56" ht="16.5" x14ac:dyDescent="0.25">
      <c r="A216" s="64">
        <v>215</v>
      </c>
      <c r="B216" s="69"/>
      <c r="E216" s="70" t="e">
        <f>VLOOKUP($D216,客戶編輯設定自動代出!$A:$C,3,0)</f>
        <v>#N/A</v>
      </c>
      <c r="F216" s="70" t="e">
        <f>VLOOKUP($D216,客戶編輯設定自動代出!$A:$C,2,0)</f>
        <v>#N/A</v>
      </c>
      <c r="G216" s="70" t="s">
        <v>1568</v>
      </c>
      <c r="K216" s="72">
        <f t="shared" si="58"/>
        <v>0</v>
      </c>
      <c r="M216" s="74">
        <f t="shared" si="59"/>
        <v>0</v>
      </c>
      <c r="N216" s="74">
        <f t="shared" si="60"/>
        <v>0</v>
      </c>
      <c r="O216" s="71" t="str">
        <f t="shared" si="61"/>
        <v>Y</v>
      </c>
      <c r="Q216" s="119"/>
      <c r="R216" s="75"/>
      <c r="S216" s="75"/>
      <c r="T216" s="75"/>
      <c r="U216" s="75"/>
      <c r="V216" s="64">
        <v>215</v>
      </c>
      <c r="W216" s="69"/>
      <c r="X216" s="70"/>
      <c r="Y216" s="71"/>
      <c r="Z216" s="70" t="e">
        <f>VLOOKUP($Y216,客戶編輯設定自動代出!$A:$C,3,0)</f>
        <v>#N/A</v>
      </c>
      <c r="AA216" s="70" t="e">
        <f>VLOOKUP($Y216,客戶編輯設定自動代出!$A:$C,2,0)</f>
        <v>#N/A</v>
      </c>
      <c r="AB216" s="70" t="s">
        <v>1828</v>
      </c>
      <c r="AC216" s="70"/>
      <c r="AD216" s="70"/>
      <c r="AE216" s="72"/>
      <c r="AF216" s="72">
        <f t="shared" si="54"/>
        <v>0</v>
      </c>
      <c r="AG216" s="73"/>
      <c r="AH216" s="74">
        <f t="shared" si="55"/>
        <v>0</v>
      </c>
      <c r="AI216" s="74">
        <f t="shared" si="56"/>
        <v>0</v>
      </c>
      <c r="AJ216" s="71" t="str">
        <f t="shared" si="57"/>
        <v>Y</v>
      </c>
      <c r="AK216" s="71"/>
      <c r="AL216" s="71"/>
      <c r="AM216" s="75"/>
      <c r="AN216" s="75"/>
      <c r="AO216" s="75"/>
      <c r="AP216" s="75"/>
      <c r="AR216" s="70"/>
      <c r="BC216" s="74"/>
      <c r="BD216" s="74"/>
    </row>
    <row r="217" spans="1:56" ht="16.5" x14ac:dyDescent="0.25">
      <c r="A217" s="64">
        <v>216</v>
      </c>
      <c r="B217" s="69"/>
      <c r="E217" s="70" t="e">
        <f>VLOOKUP($D217,客戶編輯設定自動代出!$A:$C,3,0)</f>
        <v>#N/A</v>
      </c>
      <c r="F217" s="70" t="e">
        <f>VLOOKUP($D217,客戶編輯設定自動代出!$A:$C,2,0)</f>
        <v>#N/A</v>
      </c>
      <c r="G217" s="70" t="s">
        <v>1569</v>
      </c>
      <c r="K217" s="72">
        <f t="shared" si="58"/>
        <v>0</v>
      </c>
      <c r="M217" s="74">
        <f t="shared" si="59"/>
        <v>0</v>
      </c>
      <c r="N217" s="74">
        <f t="shared" si="60"/>
        <v>0</v>
      </c>
      <c r="O217" s="71" t="str">
        <f t="shared" si="61"/>
        <v>Y</v>
      </c>
      <c r="Q217" s="119"/>
      <c r="R217" s="75"/>
      <c r="S217" s="75"/>
      <c r="T217" s="75"/>
      <c r="U217" s="75"/>
      <c r="V217" s="64">
        <v>216</v>
      </c>
      <c r="W217" s="69"/>
      <c r="X217" s="70"/>
      <c r="Y217" s="71"/>
      <c r="Z217" s="70" t="e">
        <f>VLOOKUP($Y217,客戶編輯設定自動代出!$A:$C,3,0)</f>
        <v>#N/A</v>
      </c>
      <c r="AA217" s="70" t="e">
        <f>VLOOKUP($Y217,客戶編輯設定自動代出!$A:$C,2,0)</f>
        <v>#N/A</v>
      </c>
      <c r="AB217" s="70" t="s">
        <v>1829</v>
      </c>
      <c r="AC217" s="70"/>
      <c r="AD217" s="70"/>
      <c r="AE217" s="72"/>
      <c r="AF217" s="72">
        <f t="shared" si="54"/>
        <v>0</v>
      </c>
      <c r="AG217" s="73"/>
      <c r="AH217" s="74">
        <f t="shared" si="55"/>
        <v>0</v>
      </c>
      <c r="AI217" s="74">
        <f t="shared" si="56"/>
        <v>0</v>
      </c>
      <c r="AJ217" s="71" t="str">
        <f t="shared" si="57"/>
        <v>Y</v>
      </c>
      <c r="AK217" s="71"/>
      <c r="AL217" s="71"/>
      <c r="AM217" s="75"/>
      <c r="AN217" s="75"/>
      <c r="AO217" s="75"/>
      <c r="AP217" s="75"/>
      <c r="AR217" s="70"/>
      <c r="BC217" s="74"/>
      <c r="BD217" s="74"/>
    </row>
    <row r="218" spans="1:56" ht="16.5" x14ac:dyDescent="0.25">
      <c r="A218" s="64">
        <v>217</v>
      </c>
      <c r="B218" s="69"/>
      <c r="E218" s="70" t="e">
        <f>VLOOKUP($D218,客戶編輯設定自動代出!$A:$C,3,0)</f>
        <v>#N/A</v>
      </c>
      <c r="F218" s="70" t="e">
        <f>VLOOKUP($D218,客戶編輯設定自動代出!$A:$C,2,0)</f>
        <v>#N/A</v>
      </c>
      <c r="G218" s="70" t="s">
        <v>1570</v>
      </c>
      <c r="K218" s="72">
        <f t="shared" si="58"/>
        <v>0</v>
      </c>
      <c r="M218" s="74">
        <f t="shared" si="59"/>
        <v>0</v>
      </c>
      <c r="N218" s="74">
        <f t="shared" si="60"/>
        <v>0</v>
      </c>
      <c r="O218" s="71" t="str">
        <f t="shared" si="61"/>
        <v>Y</v>
      </c>
      <c r="Q218" s="119"/>
      <c r="R218" s="75"/>
      <c r="S218" s="75"/>
      <c r="T218" s="75"/>
      <c r="U218" s="75"/>
      <c r="V218" s="64">
        <v>217</v>
      </c>
      <c r="W218" s="69"/>
      <c r="X218" s="70"/>
      <c r="Y218" s="71"/>
      <c r="Z218" s="70" t="e">
        <f>VLOOKUP($Y218,客戶編輯設定自動代出!$A:$C,3,0)</f>
        <v>#N/A</v>
      </c>
      <c r="AA218" s="70" t="e">
        <f>VLOOKUP($Y218,客戶編輯設定自動代出!$A:$C,2,0)</f>
        <v>#N/A</v>
      </c>
      <c r="AB218" s="70" t="s">
        <v>1830</v>
      </c>
      <c r="AC218" s="70"/>
      <c r="AD218" s="70"/>
      <c r="AE218" s="72"/>
      <c r="AF218" s="72">
        <f t="shared" si="54"/>
        <v>0</v>
      </c>
      <c r="AG218" s="73"/>
      <c r="AH218" s="74">
        <f t="shared" si="55"/>
        <v>0</v>
      </c>
      <c r="AI218" s="74">
        <f t="shared" si="56"/>
        <v>0</v>
      </c>
      <c r="AJ218" s="71" t="str">
        <f t="shared" si="57"/>
        <v>Y</v>
      </c>
      <c r="AK218" s="71"/>
      <c r="AL218" s="71"/>
      <c r="AM218" s="75"/>
      <c r="AN218" s="75"/>
      <c r="AO218" s="75"/>
      <c r="AP218" s="75"/>
      <c r="AR218" s="70"/>
      <c r="BC218" s="74"/>
      <c r="BD218" s="74"/>
    </row>
    <row r="219" spans="1:56" ht="16.5" x14ac:dyDescent="0.25">
      <c r="A219" s="64">
        <v>218</v>
      </c>
      <c r="B219" s="69"/>
      <c r="E219" s="70" t="e">
        <f>VLOOKUP($D219,客戶編輯設定自動代出!$A:$C,3,0)</f>
        <v>#N/A</v>
      </c>
      <c r="F219" s="70" t="e">
        <f>VLOOKUP($D219,客戶編輯設定自動代出!$A:$C,2,0)</f>
        <v>#N/A</v>
      </c>
      <c r="G219" s="70" t="s">
        <v>1571</v>
      </c>
      <c r="K219" s="72">
        <f t="shared" si="58"/>
        <v>0</v>
      </c>
      <c r="M219" s="74">
        <f t="shared" si="59"/>
        <v>0</v>
      </c>
      <c r="N219" s="74">
        <f t="shared" si="60"/>
        <v>0</v>
      </c>
      <c r="O219" s="71" t="str">
        <f t="shared" si="61"/>
        <v>Y</v>
      </c>
      <c r="Q219" s="119"/>
      <c r="R219" s="75"/>
      <c r="S219" s="75"/>
      <c r="T219" s="75"/>
      <c r="U219" s="75"/>
      <c r="V219" s="64">
        <v>218</v>
      </c>
      <c r="W219" s="69"/>
      <c r="X219" s="70"/>
      <c r="Y219" s="71"/>
      <c r="Z219" s="70" t="e">
        <f>VLOOKUP($Y219,客戶編輯設定自動代出!$A:$C,3,0)</f>
        <v>#N/A</v>
      </c>
      <c r="AA219" s="70" t="e">
        <f>VLOOKUP($Y219,客戶編輯設定自動代出!$A:$C,2,0)</f>
        <v>#N/A</v>
      </c>
      <c r="AB219" s="70" t="s">
        <v>1831</v>
      </c>
      <c r="AC219" s="70"/>
      <c r="AD219" s="70"/>
      <c r="AE219" s="72"/>
      <c r="AF219" s="72">
        <f t="shared" si="54"/>
        <v>0</v>
      </c>
      <c r="AG219" s="73"/>
      <c r="AH219" s="74">
        <f t="shared" si="55"/>
        <v>0</v>
      </c>
      <c r="AI219" s="74">
        <f t="shared" si="56"/>
        <v>0</v>
      </c>
      <c r="AJ219" s="71" t="str">
        <f t="shared" si="57"/>
        <v>Y</v>
      </c>
      <c r="AK219" s="71"/>
      <c r="AL219" s="71"/>
      <c r="AM219" s="75"/>
      <c r="AN219" s="75"/>
      <c r="AO219" s="75"/>
      <c r="AP219" s="75"/>
      <c r="AR219" s="70"/>
      <c r="BC219" s="74"/>
      <c r="BD219" s="74"/>
    </row>
    <row r="220" spans="1:56" ht="16.5" x14ac:dyDescent="0.25">
      <c r="A220" s="64">
        <v>219</v>
      </c>
      <c r="B220" s="69"/>
      <c r="E220" s="70" t="e">
        <f>VLOOKUP($D220,客戶編輯設定自動代出!$A:$C,3,0)</f>
        <v>#N/A</v>
      </c>
      <c r="F220" s="70" t="e">
        <f>VLOOKUP($D220,客戶編輯設定自動代出!$A:$C,2,0)</f>
        <v>#N/A</v>
      </c>
      <c r="G220" s="70" t="s">
        <v>1572</v>
      </c>
      <c r="K220" s="72">
        <f t="shared" si="58"/>
        <v>0</v>
      </c>
      <c r="M220" s="74">
        <f t="shared" si="59"/>
        <v>0</v>
      </c>
      <c r="N220" s="74">
        <f t="shared" si="60"/>
        <v>0</v>
      </c>
      <c r="O220" s="71" t="str">
        <f t="shared" si="61"/>
        <v>Y</v>
      </c>
      <c r="Q220" s="119"/>
      <c r="R220" s="75"/>
      <c r="S220" s="75"/>
      <c r="T220" s="75"/>
      <c r="U220" s="75"/>
      <c r="V220" s="64">
        <v>219</v>
      </c>
      <c r="W220" s="69"/>
      <c r="X220" s="70"/>
      <c r="Y220" s="71"/>
      <c r="Z220" s="70" t="e">
        <f>VLOOKUP($Y220,客戶編輯設定自動代出!$A:$C,3,0)</f>
        <v>#N/A</v>
      </c>
      <c r="AA220" s="70" t="e">
        <f>VLOOKUP($Y220,客戶編輯設定自動代出!$A:$C,2,0)</f>
        <v>#N/A</v>
      </c>
      <c r="AB220" s="70" t="s">
        <v>1832</v>
      </c>
      <c r="AC220" s="70"/>
      <c r="AD220" s="70"/>
      <c r="AE220" s="72"/>
      <c r="AF220" s="72">
        <f t="shared" si="54"/>
        <v>0</v>
      </c>
      <c r="AG220" s="73"/>
      <c r="AH220" s="74">
        <f t="shared" si="55"/>
        <v>0</v>
      </c>
      <c r="AI220" s="74">
        <f t="shared" si="56"/>
        <v>0</v>
      </c>
      <c r="AJ220" s="71" t="str">
        <f t="shared" si="57"/>
        <v>Y</v>
      </c>
      <c r="AK220" s="71"/>
      <c r="AL220" s="71"/>
      <c r="AM220" s="75"/>
      <c r="AN220" s="75"/>
      <c r="AO220" s="75"/>
      <c r="AP220" s="75"/>
      <c r="AR220" s="70"/>
      <c r="BC220" s="74"/>
      <c r="BD220" s="74"/>
    </row>
    <row r="221" spans="1:56" ht="16.5" x14ac:dyDescent="0.25">
      <c r="A221" s="64">
        <v>220</v>
      </c>
      <c r="B221" s="69"/>
      <c r="E221" s="70" t="e">
        <f>VLOOKUP($D221,客戶編輯設定自動代出!$A:$C,3,0)</f>
        <v>#N/A</v>
      </c>
      <c r="F221" s="70" t="e">
        <f>VLOOKUP($D221,客戶編輯設定自動代出!$A:$C,2,0)</f>
        <v>#N/A</v>
      </c>
      <c r="G221" s="70" t="s">
        <v>1573</v>
      </c>
      <c r="K221" s="72">
        <f t="shared" si="58"/>
        <v>0</v>
      </c>
      <c r="M221" s="74">
        <f t="shared" si="59"/>
        <v>0</v>
      </c>
      <c r="N221" s="74">
        <f t="shared" si="60"/>
        <v>0</v>
      </c>
      <c r="O221" s="71" t="str">
        <f t="shared" si="61"/>
        <v>Y</v>
      </c>
      <c r="Q221" s="119"/>
      <c r="R221" s="75"/>
      <c r="S221" s="75"/>
      <c r="T221" s="75"/>
      <c r="U221" s="75"/>
      <c r="V221" s="64">
        <v>220</v>
      </c>
      <c r="W221" s="69"/>
      <c r="X221" s="70"/>
      <c r="Y221" s="71"/>
      <c r="Z221" s="70" t="e">
        <f>VLOOKUP($Y221,客戶編輯設定自動代出!$A:$C,3,0)</f>
        <v>#N/A</v>
      </c>
      <c r="AA221" s="70" t="e">
        <f>VLOOKUP($Y221,客戶編輯設定自動代出!$A:$C,2,0)</f>
        <v>#N/A</v>
      </c>
      <c r="AB221" s="70" t="s">
        <v>1833</v>
      </c>
      <c r="AC221" s="70"/>
      <c r="AD221" s="70"/>
      <c r="AE221" s="72"/>
      <c r="AF221" s="72">
        <f t="shared" si="54"/>
        <v>0</v>
      </c>
      <c r="AG221" s="73"/>
      <c r="AH221" s="74">
        <f t="shared" si="55"/>
        <v>0</v>
      </c>
      <c r="AI221" s="74">
        <f t="shared" si="56"/>
        <v>0</v>
      </c>
      <c r="AJ221" s="71" t="str">
        <f t="shared" si="57"/>
        <v>Y</v>
      </c>
      <c r="AK221" s="71"/>
      <c r="AL221" s="71"/>
      <c r="AM221" s="75"/>
      <c r="AN221" s="75"/>
      <c r="AO221" s="75"/>
      <c r="AP221" s="75"/>
      <c r="AR221" s="70"/>
      <c r="BC221" s="74"/>
      <c r="BD221" s="74"/>
    </row>
    <row r="222" spans="1:56" ht="16.5" x14ac:dyDescent="0.25">
      <c r="A222" s="64">
        <v>221</v>
      </c>
      <c r="B222" s="69"/>
      <c r="E222" s="70" t="e">
        <f>VLOOKUP($D222,客戶編輯設定自動代出!$A:$C,3,0)</f>
        <v>#N/A</v>
      </c>
      <c r="F222" s="70" t="e">
        <f>VLOOKUP($D222,客戶編輯設定自動代出!$A:$C,2,0)</f>
        <v>#N/A</v>
      </c>
      <c r="G222" s="70" t="s">
        <v>1574</v>
      </c>
      <c r="K222" s="72">
        <f t="shared" si="58"/>
        <v>0</v>
      </c>
      <c r="M222" s="74">
        <f t="shared" si="59"/>
        <v>0</v>
      </c>
      <c r="N222" s="74">
        <f t="shared" si="60"/>
        <v>0</v>
      </c>
      <c r="O222" s="71" t="str">
        <f t="shared" si="61"/>
        <v>Y</v>
      </c>
      <c r="Q222" s="119"/>
      <c r="R222" s="75"/>
      <c r="S222" s="75"/>
      <c r="T222" s="75"/>
      <c r="U222" s="75"/>
      <c r="V222" s="64">
        <v>221</v>
      </c>
      <c r="W222" s="69"/>
      <c r="X222" s="70"/>
      <c r="Y222" s="71"/>
      <c r="Z222" s="70" t="e">
        <f>VLOOKUP($Y222,客戶編輯設定自動代出!$A:$C,3,0)</f>
        <v>#N/A</v>
      </c>
      <c r="AA222" s="70" t="e">
        <f>VLOOKUP($Y222,客戶編輯設定自動代出!$A:$C,2,0)</f>
        <v>#N/A</v>
      </c>
      <c r="AB222" s="70" t="s">
        <v>1834</v>
      </c>
      <c r="AC222" s="70"/>
      <c r="AD222" s="70"/>
      <c r="AE222" s="72"/>
      <c r="AF222" s="72">
        <f t="shared" si="54"/>
        <v>0</v>
      </c>
      <c r="AG222" s="73"/>
      <c r="AH222" s="74">
        <f t="shared" si="55"/>
        <v>0</v>
      </c>
      <c r="AI222" s="74">
        <f t="shared" si="56"/>
        <v>0</v>
      </c>
      <c r="AJ222" s="71" t="str">
        <f t="shared" si="57"/>
        <v>Y</v>
      </c>
      <c r="AK222" s="71"/>
      <c r="AL222" s="71"/>
      <c r="AM222" s="75"/>
      <c r="AN222" s="75"/>
      <c r="AO222" s="75"/>
      <c r="AP222" s="75"/>
      <c r="AR222" s="70"/>
      <c r="BC222" s="74"/>
      <c r="BD222" s="74"/>
    </row>
    <row r="223" spans="1:56" ht="16.5" x14ac:dyDescent="0.25">
      <c r="A223" s="64">
        <v>222</v>
      </c>
      <c r="B223" s="69"/>
      <c r="E223" s="70" t="e">
        <f>VLOOKUP($D223,客戶編輯設定自動代出!$A:$C,3,0)</f>
        <v>#N/A</v>
      </c>
      <c r="F223" s="70" t="e">
        <f>VLOOKUP($D223,客戶編輯設定自動代出!$A:$C,2,0)</f>
        <v>#N/A</v>
      </c>
      <c r="G223" s="70" t="s">
        <v>1575</v>
      </c>
      <c r="K223" s="72">
        <f t="shared" si="58"/>
        <v>0</v>
      </c>
      <c r="M223" s="74">
        <f t="shared" si="59"/>
        <v>0</v>
      </c>
      <c r="N223" s="74">
        <f t="shared" si="60"/>
        <v>0</v>
      </c>
      <c r="O223" s="71" t="str">
        <f t="shared" si="61"/>
        <v>Y</v>
      </c>
      <c r="Q223" s="119"/>
      <c r="R223" s="75"/>
      <c r="S223" s="75"/>
      <c r="T223" s="75"/>
      <c r="U223" s="75"/>
      <c r="V223" s="64">
        <v>222</v>
      </c>
      <c r="W223" s="69"/>
      <c r="X223" s="70"/>
      <c r="Y223" s="71"/>
      <c r="Z223" s="70" t="e">
        <f>VLOOKUP($Y223,客戶編輯設定自動代出!$A:$C,3,0)</f>
        <v>#N/A</v>
      </c>
      <c r="AA223" s="70" t="e">
        <f>VLOOKUP($Y223,客戶編輯設定自動代出!$A:$C,2,0)</f>
        <v>#N/A</v>
      </c>
      <c r="AB223" s="70" t="s">
        <v>1835</v>
      </c>
      <c r="AC223" s="70"/>
      <c r="AD223" s="70"/>
      <c r="AE223" s="72"/>
      <c r="AF223" s="72">
        <f t="shared" si="54"/>
        <v>0</v>
      </c>
      <c r="AG223" s="73"/>
      <c r="AH223" s="74">
        <f t="shared" si="55"/>
        <v>0</v>
      </c>
      <c r="AI223" s="74">
        <f t="shared" si="56"/>
        <v>0</v>
      </c>
      <c r="AJ223" s="71" t="str">
        <f t="shared" si="57"/>
        <v>Y</v>
      </c>
      <c r="AK223" s="71"/>
      <c r="AL223" s="71"/>
      <c r="AM223" s="75"/>
      <c r="AN223" s="75"/>
      <c r="AO223" s="75"/>
      <c r="AP223" s="75"/>
      <c r="AR223" s="70"/>
      <c r="BC223" s="74"/>
      <c r="BD223" s="74"/>
    </row>
    <row r="224" spans="1:56" ht="16.5" x14ac:dyDescent="0.25">
      <c r="A224" s="64">
        <v>223</v>
      </c>
      <c r="B224" s="69"/>
      <c r="E224" s="70" t="e">
        <f>VLOOKUP($D224,客戶編輯設定自動代出!$A:$C,3,0)</f>
        <v>#N/A</v>
      </c>
      <c r="F224" s="70" t="e">
        <f>VLOOKUP($D224,客戶編輯設定自動代出!$A:$C,2,0)</f>
        <v>#N/A</v>
      </c>
      <c r="G224" s="70" t="s">
        <v>1576</v>
      </c>
      <c r="K224" s="72">
        <f t="shared" si="58"/>
        <v>0</v>
      </c>
      <c r="M224" s="74">
        <f t="shared" si="59"/>
        <v>0</v>
      </c>
      <c r="N224" s="74">
        <f t="shared" si="60"/>
        <v>0</v>
      </c>
      <c r="O224" s="71" t="str">
        <f t="shared" si="61"/>
        <v>Y</v>
      </c>
      <c r="Q224" s="119"/>
      <c r="R224" s="75"/>
      <c r="S224" s="75"/>
      <c r="T224" s="75"/>
      <c r="U224" s="75"/>
      <c r="V224" s="64">
        <v>223</v>
      </c>
      <c r="W224" s="69"/>
      <c r="X224" s="70"/>
      <c r="Y224" s="71"/>
      <c r="Z224" s="70" t="e">
        <f>VLOOKUP($Y224,客戶編輯設定自動代出!$A:$C,3,0)</f>
        <v>#N/A</v>
      </c>
      <c r="AA224" s="70" t="e">
        <f>VLOOKUP($Y224,客戶編輯設定自動代出!$A:$C,2,0)</f>
        <v>#N/A</v>
      </c>
      <c r="AB224" s="70" t="s">
        <v>1836</v>
      </c>
      <c r="AC224" s="70"/>
      <c r="AD224" s="70"/>
      <c r="AE224" s="72"/>
      <c r="AF224" s="72">
        <f t="shared" si="54"/>
        <v>0</v>
      </c>
      <c r="AG224" s="73"/>
      <c r="AH224" s="74">
        <f t="shared" si="55"/>
        <v>0</v>
      </c>
      <c r="AI224" s="74">
        <f t="shared" si="56"/>
        <v>0</v>
      </c>
      <c r="AJ224" s="71" t="str">
        <f t="shared" si="57"/>
        <v>Y</v>
      </c>
      <c r="AK224" s="71"/>
      <c r="AL224" s="71"/>
      <c r="AM224" s="75"/>
      <c r="AN224" s="75"/>
      <c r="AO224" s="75"/>
      <c r="AP224" s="75"/>
      <c r="AR224" s="70"/>
      <c r="BC224" s="74"/>
      <c r="BD224" s="74"/>
    </row>
    <row r="225" spans="1:56" ht="16.5" x14ac:dyDescent="0.25">
      <c r="A225" s="64">
        <v>224</v>
      </c>
      <c r="B225" s="69"/>
      <c r="E225" s="70" t="e">
        <f>VLOOKUP($D225,客戶編輯設定自動代出!$A:$C,3,0)</f>
        <v>#N/A</v>
      </c>
      <c r="F225" s="70" t="e">
        <f>VLOOKUP($D225,客戶編輯設定自動代出!$A:$C,2,0)</f>
        <v>#N/A</v>
      </c>
      <c r="G225" s="70" t="s">
        <v>1577</v>
      </c>
      <c r="K225" s="72">
        <f t="shared" si="58"/>
        <v>0</v>
      </c>
      <c r="M225" s="74">
        <f t="shared" si="59"/>
        <v>0</v>
      </c>
      <c r="N225" s="74">
        <f t="shared" si="60"/>
        <v>0</v>
      </c>
      <c r="O225" s="71" t="str">
        <f t="shared" si="61"/>
        <v>Y</v>
      </c>
      <c r="Q225" s="119"/>
      <c r="R225" s="75"/>
      <c r="S225" s="75"/>
      <c r="T225" s="75"/>
      <c r="U225" s="75"/>
      <c r="V225" s="64">
        <v>224</v>
      </c>
      <c r="W225" s="69"/>
      <c r="X225" s="70"/>
      <c r="Y225" s="71"/>
      <c r="Z225" s="70" t="e">
        <f>VLOOKUP($Y225,客戶編輯設定自動代出!$A:$C,3,0)</f>
        <v>#N/A</v>
      </c>
      <c r="AA225" s="70" t="e">
        <f>VLOOKUP($Y225,客戶編輯設定自動代出!$A:$C,2,0)</f>
        <v>#N/A</v>
      </c>
      <c r="AB225" s="70" t="s">
        <v>1837</v>
      </c>
      <c r="AC225" s="70"/>
      <c r="AD225" s="70"/>
      <c r="AE225" s="72"/>
      <c r="AF225" s="72">
        <f t="shared" si="54"/>
        <v>0</v>
      </c>
      <c r="AG225" s="73"/>
      <c r="AH225" s="74">
        <f t="shared" si="55"/>
        <v>0</v>
      </c>
      <c r="AI225" s="74">
        <f t="shared" si="56"/>
        <v>0</v>
      </c>
      <c r="AJ225" s="71" t="str">
        <f t="shared" si="57"/>
        <v>Y</v>
      </c>
      <c r="AK225" s="71"/>
      <c r="AL225" s="71"/>
      <c r="AM225" s="75"/>
      <c r="AN225" s="75"/>
      <c r="AO225" s="75"/>
      <c r="AP225" s="75"/>
      <c r="AR225" s="70"/>
      <c r="BC225" s="74"/>
      <c r="BD225" s="74"/>
    </row>
    <row r="226" spans="1:56" ht="16.5" x14ac:dyDescent="0.25">
      <c r="A226" s="64">
        <v>225</v>
      </c>
      <c r="B226" s="69"/>
      <c r="E226" s="70" t="e">
        <f>VLOOKUP($D226,客戶編輯設定自動代出!$A:$C,3,0)</f>
        <v>#N/A</v>
      </c>
      <c r="F226" s="70" t="e">
        <f>VLOOKUP($D226,客戶編輯設定自動代出!$A:$C,2,0)</f>
        <v>#N/A</v>
      </c>
      <c r="G226" s="70" t="s">
        <v>1578</v>
      </c>
      <c r="K226" s="72">
        <f t="shared" si="58"/>
        <v>0</v>
      </c>
      <c r="M226" s="74">
        <f t="shared" si="59"/>
        <v>0</v>
      </c>
      <c r="N226" s="74">
        <f t="shared" si="60"/>
        <v>0</v>
      </c>
      <c r="O226" s="71" t="str">
        <f t="shared" si="61"/>
        <v>Y</v>
      </c>
      <c r="Q226" s="119"/>
      <c r="R226" s="75"/>
      <c r="S226" s="75"/>
      <c r="T226" s="75"/>
      <c r="U226" s="75"/>
      <c r="V226" s="64">
        <v>225</v>
      </c>
      <c r="W226" s="69"/>
      <c r="X226" s="70"/>
      <c r="Y226" s="71"/>
      <c r="Z226" s="70" t="e">
        <f>VLOOKUP($Y226,客戶編輯設定自動代出!$A:$C,3,0)</f>
        <v>#N/A</v>
      </c>
      <c r="AA226" s="70" t="e">
        <f>VLOOKUP($Y226,客戶編輯設定自動代出!$A:$C,2,0)</f>
        <v>#N/A</v>
      </c>
      <c r="AB226" s="70" t="s">
        <v>1838</v>
      </c>
      <c r="AC226" s="70"/>
      <c r="AD226" s="70"/>
      <c r="AE226" s="72"/>
      <c r="AF226" s="72">
        <f t="shared" si="54"/>
        <v>0</v>
      </c>
      <c r="AG226" s="73"/>
      <c r="AH226" s="74">
        <f t="shared" si="55"/>
        <v>0</v>
      </c>
      <c r="AI226" s="74">
        <f t="shared" si="56"/>
        <v>0</v>
      </c>
      <c r="AJ226" s="71" t="str">
        <f t="shared" si="57"/>
        <v>Y</v>
      </c>
      <c r="AK226" s="71"/>
      <c r="AL226" s="71"/>
      <c r="AM226" s="75"/>
      <c r="AN226" s="75"/>
      <c r="AO226" s="75"/>
      <c r="AP226" s="75"/>
      <c r="AR226" s="70"/>
      <c r="BC226" s="74"/>
      <c r="BD226" s="74"/>
    </row>
    <row r="227" spans="1:56" ht="16.5" x14ac:dyDescent="0.25">
      <c r="A227" s="64">
        <v>226</v>
      </c>
      <c r="B227" s="69"/>
      <c r="E227" s="70" t="e">
        <f>VLOOKUP($D227,客戶編輯設定自動代出!$A:$C,3,0)</f>
        <v>#N/A</v>
      </c>
      <c r="F227" s="70" t="e">
        <f>VLOOKUP($D227,客戶編輯設定自動代出!$A:$C,2,0)</f>
        <v>#N/A</v>
      </c>
      <c r="G227" s="70" t="s">
        <v>1579</v>
      </c>
      <c r="K227" s="72">
        <f t="shared" si="58"/>
        <v>0</v>
      </c>
      <c r="M227" s="74">
        <f t="shared" si="59"/>
        <v>0</v>
      </c>
      <c r="N227" s="74">
        <f t="shared" si="60"/>
        <v>0</v>
      </c>
      <c r="O227" s="71" t="str">
        <f t="shared" si="61"/>
        <v>Y</v>
      </c>
      <c r="Q227" s="119"/>
      <c r="R227" s="75"/>
      <c r="S227" s="75"/>
      <c r="T227" s="75"/>
      <c r="U227" s="75"/>
      <c r="V227" s="64">
        <v>226</v>
      </c>
      <c r="W227" s="69"/>
      <c r="X227" s="70"/>
      <c r="Y227" s="71"/>
      <c r="Z227" s="70" t="e">
        <f>VLOOKUP($Y227,客戶編輯設定自動代出!$A:$C,3,0)</f>
        <v>#N/A</v>
      </c>
      <c r="AA227" s="70" t="e">
        <f>VLOOKUP($Y227,客戶編輯設定自動代出!$A:$C,2,0)</f>
        <v>#N/A</v>
      </c>
      <c r="AB227" s="70" t="s">
        <v>1839</v>
      </c>
      <c r="AC227" s="70"/>
      <c r="AD227" s="70"/>
      <c r="AE227" s="72"/>
      <c r="AF227" s="72">
        <f t="shared" si="54"/>
        <v>0</v>
      </c>
      <c r="AG227" s="73"/>
      <c r="AH227" s="74">
        <f t="shared" si="55"/>
        <v>0</v>
      </c>
      <c r="AI227" s="74">
        <f t="shared" si="56"/>
        <v>0</v>
      </c>
      <c r="AJ227" s="71" t="str">
        <f t="shared" si="57"/>
        <v>Y</v>
      </c>
      <c r="AK227" s="71"/>
      <c r="AL227" s="71"/>
      <c r="AM227" s="75"/>
      <c r="AN227" s="75"/>
      <c r="AO227" s="75"/>
      <c r="AP227" s="75"/>
      <c r="AR227" s="70"/>
      <c r="BC227" s="74"/>
      <c r="BD227" s="74"/>
    </row>
    <row r="228" spans="1:56" ht="16.5" x14ac:dyDescent="0.25">
      <c r="A228" s="64">
        <v>227</v>
      </c>
      <c r="B228" s="69"/>
      <c r="E228" s="70" t="e">
        <f>VLOOKUP($D228,客戶編輯設定自動代出!$A:$C,3,0)</f>
        <v>#N/A</v>
      </c>
      <c r="F228" s="70" t="e">
        <f>VLOOKUP($D228,客戶編輯設定自動代出!$A:$C,2,0)</f>
        <v>#N/A</v>
      </c>
      <c r="G228" s="70" t="s">
        <v>1580</v>
      </c>
      <c r="K228" s="72">
        <f t="shared" si="58"/>
        <v>0</v>
      </c>
      <c r="M228" s="74">
        <f t="shared" si="59"/>
        <v>0</v>
      </c>
      <c r="N228" s="74">
        <f t="shared" si="60"/>
        <v>0</v>
      </c>
      <c r="O228" s="71" t="str">
        <f t="shared" si="61"/>
        <v>Y</v>
      </c>
      <c r="Q228" s="119"/>
      <c r="R228" s="75"/>
      <c r="S228" s="75"/>
      <c r="T228" s="75"/>
      <c r="U228" s="75"/>
      <c r="V228" s="64">
        <v>227</v>
      </c>
      <c r="W228" s="69"/>
      <c r="X228" s="70"/>
      <c r="Y228" s="71"/>
      <c r="Z228" s="70" t="e">
        <f>VLOOKUP($Y228,客戶編輯設定自動代出!$A:$C,3,0)</f>
        <v>#N/A</v>
      </c>
      <c r="AA228" s="70" t="e">
        <f>VLOOKUP($Y228,客戶編輯設定自動代出!$A:$C,2,0)</f>
        <v>#N/A</v>
      </c>
      <c r="AB228" s="70" t="s">
        <v>1840</v>
      </c>
      <c r="AC228" s="70"/>
      <c r="AD228" s="70"/>
      <c r="AE228" s="72"/>
      <c r="AF228" s="72">
        <f t="shared" si="54"/>
        <v>0</v>
      </c>
      <c r="AG228" s="73"/>
      <c r="AH228" s="74">
        <f t="shared" si="55"/>
        <v>0</v>
      </c>
      <c r="AI228" s="74">
        <f t="shared" si="56"/>
        <v>0</v>
      </c>
      <c r="AJ228" s="71" t="str">
        <f t="shared" si="57"/>
        <v>Y</v>
      </c>
      <c r="AK228" s="71"/>
      <c r="AL228" s="71"/>
      <c r="AM228" s="75"/>
      <c r="AN228" s="75"/>
      <c r="AO228" s="75"/>
      <c r="AP228" s="75"/>
      <c r="AR228" s="70"/>
      <c r="BC228" s="74"/>
      <c r="BD228" s="74"/>
    </row>
    <row r="229" spans="1:56" ht="16.5" x14ac:dyDescent="0.25">
      <c r="A229" s="64">
        <v>228</v>
      </c>
      <c r="B229" s="69"/>
      <c r="E229" s="70" t="e">
        <f>VLOOKUP($D229,客戶編輯設定自動代出!$A:$C,3,0)</f>
        <v>#N/A</v>
      </c>
      <c r="F229" s="70" t="e">
        <f>VLOOKUP($D229,客戶編輯設定自動代出!$A:$C,2,0)</f>
        <v>#N/A</v>
      </c>
      <c r="G229" s="70" t="s">
        <v>1581</v>
      </c>
      <c r="K229" s="72">
        <f t="shared" si="58"/>
        <v>0</v>
      </c>
      <c r="M229" s="74">
        <f t="shared" si="59"/>
        <v>0</v>
      </c>
      <c r="N229" s="74">
        <f t="shared" si="60"/>
        <v>0</v>
      </c>
      <c r="O229" s="71" t="str">
        <f t="shared" si="61"/>
        <v>Y</v>
      </c>
      <c r="Q229" s="119"/>
      <c r="R229" s="75"/>
      <c r="S229" s="75"/>
      <c r="T229" s="75"/>
      <c r="U229" s="75"/>
      <c r="V229" s="64">
        <v>228</v>
      </c>
      <c r="W229" s="69"/>
      <c r="X229" s="70"/>
      <c r="Y229" s="71"/>
      <c r="Z229" s="70" t="e">
        <f>VLOOKUP($Y229,客戶編輯設定自動代出!$A:$C,3,0)</f>
        <v>#N/A</v>
      </c>
      <c r="AA229" s="70" t="e">
        <f>VLOOKUP($Y229,客戶編輯設定自動代出!$A:$C,2,0)</f>
        <v>#N/A</v>
      </c>
      <c r="AB229" s="70" t="s">
        <v>1841</v>
      </c>
      <c r="AC229" s="70"/>
      <c r="AD229" s="70"/>
      <c r="AE229" s="72"/>
      <c r="AF229" s="72">
        <f t="shared" si="54"/>
        <v>0</v>
      </c>
      <c r="AG229" s="73"/>
      <c r="AH229" s="74">
        <f t="shared" si="55"/>
        <v>0</v>
      </c>
      <c r="AI229" s="74">
        <f t="shared" si="56"/>
        <v>0</v>
      </c>
      <c r="AJ229" s="71" t="str">
        <f t="shared" si="57"/>
        <v>Y</v>
      </c>
      <c r="AK229" s="71"/>
      <c r="AL229" s="71"/>
      <c r="AM229" s="75"/>
      <c r="AN229" s="75"/>
      <c r="AO229" s="75"/>
      <c r="AP229" s="75"/>
      <c r="AR229" s="70"/>
      <c r="BC229" s="74"/>
      <c r="BD229" s="74"/>
    </row>
    <row r="230" spans="1:56" ht="16.5" x14ac:dyDescent="0.25">
      <c r="A230" s="64">
        <v>229</v>
      </c>
      <c r="B230" s="69"/>
      <c r="E230" s="70" t="e">
        <f>VLOOKUP($D230,客戶編輯設定自動代出!$A:$C,3,0)</f>
        <v>#N/A</v>
      </c>
      <c r="F230" s="70" t="e">
        <f>VLOOKUP($D230,客戶編輯設定自動代出!$A:$C,2,0)</f>
        <v>#N/A</v>
      </c>
      <c r="G230" s="70" t="s">
        <v>1582</v>
      </c>
      <c r="K230" s="72">
        <f t="shared" si="58"/>
        <v>0</v>
      </c>
      <c r="M230" s="74">
        <f t="shared" si="59"/>
        <v>0</v>
      </c>
      <c r="N230" s="74">
        <f t="shared" si="60"/>
        <v>0</v>
      </c>
      <c r="O230" s="71" t="str">
        <f t="shared" si="61"/>
        <v>Y</v>
      </c>
      <c r="Q230" s="119"/>
      <c r="R230" s="75"/>
      <c r="S230" s="75"/>
      <c r="T230" s="75"/>
      <c r="U230" s="75"/>
      <c r="V230" s="64">
        <v>229</v>
      </c>
      <c r="W230" s="69"/>
      <c r="X230" s="70"/>
      <c r="Y230" s="71"/>
      <c r="Z230" s="70" t="e">
        <f>VLOOKUP($Y230,客戶編輯設定自動代出!$A:$C,3,0)</f>
        <v>#N/A</v>
      </c>
      <c r="AA230" s="70" t="e">
        <f>VLOOKUP($Y230,客戶編輯設定自動代出!$A:$C,2,0)</f>
        <v>#N/A</v>
      </c>
      <c r="AB230" s="70" t="s">
        <v>1842</v>
      </c>
      <c r="AC230" s="70"/>
      <c r="AD230" s="70"/>
      <c r="AE230" s="72"/>
      <c r="AF230" s="72">
        <f t="shared" si="54"/>
        <v>0</v>
      </c>
      <c r="AG230" s="73"/>
      <c r="AH230" s="74">
        <f t="shared" si="55"/>
        <v>0</v>
      </c>
      <c r="AI230" s="74">
        <f t="shared" si="56"/>
        <v>0</v>
      </c>
      <c r="AJ230" s="71" t="str">
        <f t="shared" si="57"/>
        <v>Y</v>
      </c>
      <c r="AK230" s="71"/>
      <c r="AL230" s="71"/>
      <c r="AM230" s="75"/>
      <c r="AN230" s="75"/>
      <c r="AO230" s="75"/>
      <c r="AP230" s="75"/>
      <c r="AR230" s="70"/>
      <c r="BC230" s="74"/>
      <c r="BD230" s="74"/>
    </row>
    <row r="231" spans="1:56" ht="16.5" x14ac:dyDescent="0.25">
      <c r="A231" s="64">
        <v>230</v>
      </c>
      <c r="B231" s="69"/>
      <c r="E231" s="70" t="e">
        <f>VLOOKUP($D231,客戶編輯設定自動代出!$A:$C,3,0)</f>
        <v>#N/A</v>
      </c>
      <c r="F231" s="70" t="e">
        <f>VLOOKUP($D231,客戶編輯設定自動代出!$A:$C,2,0)</f>
        <v>#N/A</v>
      </c>
      <c r="G231" s="70" t="s">
        <v>1583</v>
      </c>
      <c r="K231" s="72">
        <f t="shared" si="58"/>
        <v>0</v>
      </c>
      <c r="M231" s="74">
        <f t="shared" si="59"/>
        <v>0</v>
      </c>
      <c r="N231" s="74">
        <f t="shared" si="60"/>
        <v>0</v>
      </c>
      <c r="O231" s="71" t="str">
        <f t="shared" si="61"/>
        <v>Y</v>
      </c>
      <c r="Q231" s="119"/>
      <c r="R231" s="75"/>
      <c r="S231" s="75"/>
      <c r="T231" s="75"/>
      <c r="U231" s="75"/>
      <c r="V231" s="64">
        <v>230</v>
      </c>
      <c r="W231" s="69"/>
      <c r="X231" s="70"/>
      <c r="Y231" s="71"/>
      <c r="Z231" s="70" t="e">
        <f>VLOOKUP($Y231,客戶編輯設定自動代出!$A:$C,3,0)</f>
        <v>#N/A</v>
      </c>
      <c r="AA231" s="70" t="e">
        <f>VLOOKUP($Y231,客戶編輯設定自動代出!$A:$C,2,0)</f>
        <v>#N/A</v>
      </c>
      <c r="AB231" s="70" t="s">
        <v>1843</v>
      </c>
      <c r="AC231" s="70"/>
      <c r="AD231" s="70"/>
      <c r="AE231" s="72"/>
      <c r="AF231" s="72">
        <f t="shared" si="54"/>
        <v>0</v>
      </c>
      <c r="AG231" s="73"/>
      <c r="AH231" s="74">
        <f t="shared" si="55"/>
        <v>0</v>
      </c>
      <c r="AI231" s="74">
        <f t="shared" si="56"/>
        <v>0</v>
      </c>
      <c r="AJ231" s="71" t="str">
        <f t="shared" si="57"/>
        <v>Y</v>
      </c>
      <c r="AK231" s="71"/>
      <c r="AL231" s="71"/>
      <c r="AM231" s="75"/>
      <c r="AN231" s="75"/>
      <c r="AO231" s="75"/>
      <c r="AP231" s="75"/>
      <c r="AR231" s="70"/>
      <c r="BC231" s="74"/>
      <c r="BD231" s="74"/>
    </row>
    <row r="232" spans="1:56" ht="16.5" x14ac:dyDescent="0.25">
      <c r="A232" s="64">
        <v>231</v>
      </c>
      <c r="B232" s="69"/>
      <c r="E232" s="70" t="e">
        <f>VLOOKUP($D232,客戶編輯設定自動代出!$A:$C,3,0)</f>
        <v>#N/A</v>
      </c>
      <c r="F232" s="70" t="e">
        <f>VLOOKUP($D232,客戶編輯設定自動代出!$A:$C,2,0)</f>
        <v>#N/A</v>
      </c>
      <c r="G232" s="70" t="s">
        <v>1584</v>
      </c>
      <c r="K232" s="72">
        <f t="shared" si="58"/>
        <v>0</v>
      </c>
      <c r="M232" s="74">
        <f t="shared" si="59"/>
        <v>0</v>
      </c>
      <c r="N232" s="74">
        <f t="shared" si="60"/>
        <v>0</v>
      </c>
      <c r="O232" s="71" t="str">
        <f t="shared" si="61"/>
        <v>Y</v>
      </c>
      <c r="Q232" s="119"/>
      <c r="R232" s="75"/>
      <c r="S232" s="75"/>
      <c r="T232" s="75"/>
      <c r="U232" s="75"/>
      <c r="V232" s="64">
        <v>231</v>
      </c>
      <c r="W232" s="69"/>
      <c r="X232" s="70"/>
      <c r="Y232" s="71"/>
      <c r="Z232" s="70" t="e">
        <f>VLOOKUP($Y232,客戶編輯設定自動代出!$A:$C,3,0)</f>
        <v>#N/A</v>
      </c>
      <c r="AA232" s="70" t="e">
        <f>VLOOKUP($Y232,客戶編輯設定自動代出!$A:$C,2,0)</f>
        <v>#N/A</v>
      </c>
      <c r="AB232" s="70" t="s">
        <v>1844</v>
      </c>
      <c r="AC232" s="70"/>
      <c r="AD232" s="70"/>
      <c r="AE232" s="72"/>
      <c r="AF232" s="72">
        <f t="shared" si="54"/>
        <v>0</v>
      </c>
      <c r="AG232" s="73"/>
      <c r="AH232" s="74">
        <f t="shared" si="55"/>
        <v>0</v>
      </c>
      <c r="AI232" s="74">
        <f t="shared" si="56"/>
        <v>0</v>
      </c>
      <c r="AJ232" s="71" t="str">
        <f t="shared" si="57"/>
        <v>Y</v>
      </c>
      <c r="AK232" s="71"/>
      <c r="AL232" s="71"/>
      <c r="AM232" s="75"/>
      <c r="AN232" s="75"/>
      <c r="AO232" s="75"/>
      <c r="AP232" s="75"/>
      <c r="AR232" s="70"/>
      <c r="BC232" s="74"/>
      <c r="BD232" s="74"/>
    </row>
    <row r="233" spans="1:56" ht="16.5" x14ac:dyDescent="0.25">
      <c r="A233" s="64">
        <v>232</v>
      </c>
      <c r="B233" s="69"/>
      <c r="E233" s="70" t="e">
        <f>VLOOKUP($D233,客戶編輯設定自動代出!$A:$C,3,0)</f>
        <v>#N/A</v>
      </c>
      <c r="F233" s="70" t="e">
        <f>VLOOKUP($D233,客戶編輯設定自動代出!$A:$C,2,0)</f>
        <v>#N/A</v>
      </c>
      <c r="G233" s="70" t="s">
        <v>1585</v>
      </c>
      <c r="K233" s="72">
        <f t="shared" si="58"/>
        <v>0</v>
      </c>
      <c r="M233" s="74">
        <f t="shared" si="59"/>
        <v>0</v>
      </c>
      <c r="N233" s="74">
        <f t="shared" si="60"/>
        <v>0</v>
      </c>
      <c r="O233" s="71" t="str">
        <f t="shared" si="61"/>
        <v>Y</v>
      </c>
      <c r="Q233" s="119"/>
      <c r="R233" s="75"/>
      <c r="S233" s="75"/>
      <c r="T233" s="75"/>
      <c r="U233" s="75"/>
      <c r="V233" s="64">
        <v>232</v>
      </c>
      <c r="W233" s="69"/>
      <c r="X233" s="70"/>
      <c r="Y233" s="71"/>
      <c r="Z233" s="70" t="e">
        <f>VLOOKUP($Y233,客戶編輯設定自動代出!$A:$C,3,0)</f>
        <v>#N/A</v>
      </c>
      <c r="AA233" s="70" t="e">
        <f>VLOOKUP($Y233,客戶編輯設定自動代出!$A:$C,2,0)</f>
        <v>#N/A</v>
      </c>
      <c r="AB233" s="70" t="s">
        <v>1845</v>
      </c>
      <c r="AC233" s="70"/>
      <c r="AD233" s="70"/>
      <c r="AE233" s="72"/>
      <c r="AF233" s="72">
        <f t="shared" si="54"/>
        <v>0</v>
      </c>
      <c r="AG233" s="73"/>
      <c r="AH233" s="74">
        <f t="shared" si="55"/>
        <v>0</v>
      </c>
      <c r="AI233" s="74">
        <f t="shared" si="56"/>
        <v>0</v>
      </c>
      <c r="AJ233" s="71" t="str">
        <f t="shared" si="57"/>
        <v>Y</v>
      </c>
      <c r="AK233" s="71"/>
      <c r="AL233" s="71"/>
      <c r="AM233" s="75"/>
      <c r="AN233" s="75"/>
      <c r="AO233" s="75"/>
      <c r="AP233" s="75"/>
      <c r="AR233" s="70"/>
      <c r="BC233" s="74"/>
      <c r="BD233" s="74"/>
    </row>
    <row r="234" spans="1:56" ht="16.5" x14ac:dyDescent="0.25">
      <c r="A234" s="64">
        <v>233</v>
      </c>
      <c r="B234" s="69"/>
      <c r="E234" s="70" t="e">
        <f>VLOOKUP($D234,客戶編輯設定自動代出!$A:$C,3,0)</f>
        <v>#N/A</v>
      </c>
      <c r="F234" s="70" t="e">
        <f>VLOOKUP($D234,客戶編輯設定自動代出!$A:$C,2,0)</f>
        <v>#N/A</v>
      </c>
      <c r="G234" s="70" t="s">
        <v>1586</v>
      </c>
      <c r="K234" s="72">
        <f t="shared" si="58"/>
        <v>0</v>
      </c>
      <c r="M234" s="74">
        <f t="shared" si="59"/>
        <v>0</v>
      </c>
      <c r="N234" s="74">
        <f t="shared" si="60"/>
        <v>0</v>
      </c>
      <c r="O234" s="71" t="str">
        <f t="shared" si="61"/>
        <v>Y</v>
      </c>
      <c r="Q234" s="119"/>
      <c r="R234" s="75"/>
      <c r="S234" s="75"/>
      <c r="T234" s="75"/>
      <c r="U234" s="75"/>
      <c r="V234" s="64">
        <v>233</v>
      </c>
      <c r="W234" s="69"/>
      <c r="X234" s="70"/>
      <c r="Y234" s="71"/>
      <c r="Z234" s="70" t="e">
        <f>VLOOKUP($Y234,客戶編輯設定自動代出!$A:$C,3,0)</f>
        <v>#N/A</v>
      </c>
      <c r="AA234" s="70" t="e">
        <f>VLOOKUP($Y234,客戶編輯設定自動代出!$A:$C,2,0)</f>
        <v>#N/A</v>
      </c>
      <c r="AB234" s="70" t="s">
        <v>1846</v>
      </c>
      <c r="AC234" s="70"/>
      <c r="AD234" s="70"/>
      <c r="AE234" s="72"/>
      <c r="AF234" s="72">
        <f t="shared" si="54"/>
        <v>0</v>
      </c>
      <c r="AG234" s="73"/>
      <c r="AH234" s="74">
        <f t="shared" si="55"/>
        <v>0</v>
      </c>
      <c r="AI234" s="74">
        <f t="shared" si="56"/>
        <v>0</v>
      </c>
      <c r="AJ234" s="71" t="str">
        <f t="shared" si="57"/>
        <v>Y</v>
      </c>
      <c r="AK234" s="71"/>
      <c r="AL234" s="71"/>
      <c r="AM234" s="75"/>
      <c r="AN234" s="75"/>
      <c r="AO234" s="75"/>
      <c r="AP234" s="75"/>
      <c r="AR234" s="70"/>
      <c r="BC234" s="74"/>
      <c r="BD234" s="74"/>
    </row>
    <row r="235" spans="1:56" ht="16.5" x14ac:dyDescent="0.25">
      <c r="A235" s="64">
        <v>234</v>
      </c>
      <c r="B235" s="69"/>
      <c r="E235" s="70" t="e">
        <f>VLOOKUP($D235,客戶編輯設定自動代出!$A:$C,3,0)</f>
        <v>#N/A</v>
      </c>
      <c r="F235" s="70" t="e">
        <f>VLOOKUP($D235,客戶編輯設定自動代出!$A:$C,2,0)</f>
        <v>#N/A</v>
      </c>
      <c r="G235" s="70" t="s">
        <v>1587</v>
      </c>
      <c r="K235" s="72">
        <f t="shared" si="58"/>
        <v>0</v>
      </c>
      <c r="M235" s="74">
        <f t="shared" si="59"/>
        <v>0</v>
      </c>
      <c r="N235" s="74">
        <f t="shared" si="60"/>
        <v>0</v>
      </c>
      <c r="O235" s="71" t="str">
        <f t="shared" si="61"/>
        <v>Y</v>
      </c>
      <c r="Q235" s="119"/>
      <c r="R235" s="75"/>
      <c r="S235" s="75"/>
      <c r="T235" s="75"/>
      <c r="U235" s="75"/>
      <c r="V235" s="64">
        <v>234</v>
      </c>
      <c r="W235" s="69"/>
      <c r="X235" s="70"/>
      <c r="Y235" s="71"/>
      <c r="Z235" s="70" t="e">
        <f>VLOOKUP($Y235,客戶編輯設定自動代出!$A:$C,3,0)</f>
        <v>#N/A</v>
      </c>
      <c r="AA235" s="70" t="e">
        <f>VLOOKUP($Y235,客戶編輯設定自動代出!$A:$C,2,0)</f>
        <v>#N/A</v>
      </c>
      <c r="AB235" s="70" t="s">
        <v>1847</v>
      </c>
      <c r="AC235" s="70"/>
      <c r="AD235" s="70"/>
      <c r="AE235" s="72"/>
      <c r="AF235" s="72">
        <f t="shared" si="54"/>
        <v>0</v>
      </c>
      <c r="AG235" s="73"/>
      <c r="AH235" s="74">
        <f t="shared" si="55"/>
        <v>0</v>
      </c>
      <c r="AI235" s="74">
        <f t="shared" si="56"/>
        <v>0</v>
      </c>
      <c r="AJ235" s="71" t="str">
        <f t="shared" si="57"/>
        <v>Y</v>
      </c>
      <c r="AK235" s="71"/>
      <c r="AL235" s="71"/>
      <c r="AM235" s="75"/>
      <c r="AN235" s="75"/>
      <c r="AO235" s="75"/>
      <c r="AP235" s="75"/>
      <c r="AR235" s="70"/>
      <c r="BC235" s="74"/>
      <c r="BD235" s="74"/>
    </row>
    <row r="236" spans="1:56" ht="16.5" x14ac:dyDescent="0.25">
      <c r="A236" s="64">
        <v>235</v>
      </c>
      <c r="B236" s="69"/>
      <c r="E236" s="70" t="e">
        <f>VLOOKUP($D236,客戶編輯設定自動代出!$A:$C,3,0)</f>
        <v>#N/A</v>
      </c>
      <c r="F236" s="70" t="e">
        <f>VLOOKUP($D236,客戶編輯設定自動代出!$A:$C,2,0)</f>
        <v>#N/A</v>
      </c>
      <c r="G236" s="70" t="s">
        <v>1588</v>
      </c>
      <c r="K236" s="72">
        <f t="shared" si="58"/>
        <v>0</v>
      </c>
      <c r="M236" s="74">
        <f t="shared" si="59"/>
        <v>0</v>
      </c>
      <c r="N236" s="74">
        <f t="shared" si="60"/>
        <v>0</v>
      </c>
      <c r="O236" s="71" t="str">
        <f t="shared" si="61"/>
        <v>Y</v>
      </c>
      <c r="Q236" s="119"/>
      <c r="R236" s="75"/>
      <c r="S236" s="75"/>
      <c r="T236" s="75"/>
      <c r="U236" s="75"/>
      <c r="V236" s="64">
        <v>235</v>
      </c>
      <c r="W236" s="69"/>
      <c r="X236" s="70"/>
      <c r="Y236" s="71"/>
      <c r="Z236" s="70" t="e">
        <f>VLOOKUP($Y236,客戶編輯設定自動代出!$A:$C,3,0)</f>
        <v>#N/A</v>
      </c>
      <c r="AA236" s="70" t="e">
        <f>VLOOKUP($Y236,客戶編輯設定自動代出!$A:$C,2,0)</f>
        <v>#N/A</v>
      </c>
      <c r="AB236" s="70" t="s">
        <v>1848</v>
      </c>
      <c r="AC236" s="70"/>
      <c r="AD236" s="70"/>
      <c r="AE236" s="72"/>
      <c r="AF236" s="72">
        <f t="shared" si="54"/>
        <v>0</v>
      </c>
      <c r="AG236" s="73"/>
      <c r="AH236" s="74">
        <f t="shared" si="55"/>
        <v>0</v>
      </c>
      <c r="AI236" s="74">
        <f t="shared" si="56"/>
        <v>0</v>
      </c>
      <c r="AJ236" s="71" t="str">
        <f t="shared" si="57"/>
        <v>Y</v>
      </c>
      <c r="AK236" s="71"/>
      <c r="AL236" s="71"/>
      <c r="AM236" s="75"/>
      <c r="AN236" s="75"/>
      <c r="AO236" s="75"/>
      <c r="AP236" s="75"/>
      <c r="AR236" s="70"/>
      <c r="BC236" s="74"/>
      <c r="BD236" s="74"/>
    </row>
    <row r="237" spans="1:56" ht="16.5" x14ac:dyDescent="0.25">
      <c r="A237" s="64">
        <v>236</v>
      </c>
      <c r="B237" s="69"/>
      <c r="E237" s="70" t="e">
        <f>VLOOKUP($D237,客戶編輯設定自動代出!$A:$C,3,0)</f>
        <v>#N/A</v>
      </c>
      <c r="F237" s="70" t="e">
        <f>VLOOKUP($D237,客戶編輯設定自動代出!$A:$C,2,0)</f>
        <v>#N/A</v>
      </c>
      <c r="G237" s="70" t="s">
        <v>1589</v>
      </c>
      <c r="K237" s="72">
        <f t="shared" si="58"/>
        <v>0</v>
      </c>
      <c r="M237" s="74">
        <f t="shared" si="59"/>
        <v>0</v>
      </c>
      <c r="N237" s="74">
        <f t="shared" si="60"/>
        <v>0</v>
      </c>
      <c r="O237" s="71" t="str">
        <f t="shared" si="61"/>
        <v>Y</v>
      </c>
      <c r="Q237" s="119"/>
      <c r="R237" s="75"/>
      <c r="S237" s="75"/>
      <c r="T237" s="75"/>
      <c r="U237" s="75"/>
      <c r="V237" s="64">
        <v>236</v>
      </c>
      <c r="W237" s="69"/>
      <c r="X237" s="70"/>
      <c r="Y237" s="71"/>
      <c r="Z237" s="70" t="e">
        <f>VLOOKUP($Y237,客戶編輯設定自動代出!$A:$C,3,0)</f>
        <v>#N/A</v>
      </c>
      <c r="AA237" s="70" t="e">
        <f>VLOOKUP($Y237,客戶編輯設定自動代出!$A:$C,2,0)</f>
        <v>#N/A</v>
      </c>
      <c r="AB237" s="70" t="s">
        <v>1849</v>
      </c>
      <c r="AC237" s="70"/>
      <c r="AD237" s="70"/>
      <c r="AE237" s="72"/>
      <c r="AF237" s="72">
        <f t="shared" si="54"/>
        <v>0</v>
      </c>
      <c r="AG237" s="73"/>
      <c r="AH237" s="74">
        <f t="shared" si="55"/>
        <v>0</v>
      </c>
      <c r="AI237" s="74">
        <f t="shared" si="56"/>
        <v>0</v>
      </c>
      <c r="AJ237" s="71" t="str">
        <f t="shared" si="57"/>
        <v>Y</v>
      </c>
      <c r="AK237" s="71"/>
      <c r="AL237" s="71"/>
      <c r="AM237" s="75"/>
      <c r="AN237" s="75"/>
      <c r="AO237" s="75"/>
      <c r="AP237" s="75"/>
      <c r="AR237" s="70"/>
      <c r="BC237" s="74"/>
      <c r="BD237" s="74"/>
    </row>
    <row r="238" spans="1:56" ht="16.5" x14ac:dyDescent="0.25">
      <c r="A238" s="64">
        <v>237</v>
      </c>
      <c r="B238" s="69"/>
      <c r="E238" s="70" t="e">
        <f>VLOOKUP($D238,客戶編輯設定自動代出!$A:$C,3,0)</f>
        <v>#N/A</v>
      </c>
      <c r="F238" s="70" t="e">
        <f>VLOOKUP($D238,客戶編輯設定自動代出!$A:$C,2,0)</f>
        <v>#N/A</v>
      </c>
      <c r="G238" s="70" t="s">
        <v>1590</v>
      </c>
      <c r="K238" s="72">
        <f t="shared" si="58"/>
        <v>0</v>
      </c>
      <c r="M238" s="74">
        <f t="shared" si="59"/>
        <v>0</v>
      </c>
      <c r="N238" s="74">
        <f t="shared" si="60"/>
        <v>0</v>
      </c>
      <c r="O238" s="71" t="str">
        <f t="shared" si="61"/>
        <v>Y</v>
      </c>
      <c r="Q238" s="119"/>
      <c r="R238" s="75"/>
      <c r="S238" s="75"/>
      <c r="T238" s="75"/>
      <c r="U238" s="75"/>
      <c r="V238" s="64">
        <v>237</v>
      </c>
      <c r="W238" s="69"/>
      <c r="X238" s="70"/>
      <c r="Y238" s="71"/>
      <c r="Z238" s="70" t="e">
        <f>VLOOKUP($Y238,客戶編輯設定自動代出!$A:$C,3,0)</f>
        <v>#N/A</v>
      </c>
      <c r="AA238" s="70" t="e">
        <f>VLOOKUP($Y238,客戶編輯設定自動代出!$A:$C,2,0)</f>
        <v>#N/A</v>
      </c>
      <c r="AB238" s="70" t="s">
        <v>1850</v>
      </c>
      <c r="AC238" s="70"/>
      <c r="AD238" s="70"/>
      <c r="AE238" s="72"/>
      <c r="AF238" s="72">
        <f t="shared" si="54"/>
        <v>0</v>
      </c>
      <c r="AG238" s="73"/>
      <c r="AH238" s="74">
        <f t="shared" si="55"/>
        <v>0</v>
      </c>
      <c r="AI238" s="74">
        <f t="shared" si="56"/>
        <v>0</v>
      </c>
      <c r="AJ238" s="71" t="str">
        <f t="shared" si="57"/>
        <v>Y</v>
      </c>
      <c r="AK238" s="71"/>
      <c r="AL238" s="71"/>
      <c r="AM238" s="75"/>
      <c r="AN238" s="75"/>
      <c r="AO238" s="75"/>
      <c r="AP238" s="75"/>
      <c r="AR238" s="70"/>
      <c r="BC238" s="74"/>
      <c r="BD238" s="74"/>
    </row>
    <row r="239" spans="1:56" ht="16.5" x14ac:dyDescent="0.25">
      <c r="A239" s="64">
        <v>238</v>
      </c>
      <c r="B239" s="69"/>
      <c r="E239" s="70" t="e">
        <f>VLOOKUP($D239,客戶編輯設定自動代出!$A:$C,3,0)</f>
        <v>#N/A</v>
      </c>
      <c r="F239" s="70" t="e">
        <f>VLOOKUP($D239,客戶編輯設定自動代出!$A:$C,2,0)</f>
        <v>#N/A</v>
      </c>
      <c r="G239" s="70" t="s">
        <v>1591</v>
      </c>
      <c r="K239" s="72">
        <f t="shared" si="58"/>
        <v>0</v>
      </c>
      <c r="M239" s="74">
        <f t="shared" si="59"/>
        <v>0</v>
      </c>
      <c r="N239" s="74">
        <f t="shared" si="60"/>
        <v>0</v>
      </c>
      <c r="O239" s="71" t="str">
        <f t="shared" si="61"/>
        <v>Y</v>
      </c>
      <c r="Q239" s="119"/>
      <c r="R239" s="75"/>
      <c r="S239" s="75"/>
      <c r="T239" s="75"/>
      <c r="U239" s="75"/>
      <c r="V239" s="64">
        <v>238</v>
      </c>
      <c r="W239" s="69"/>
      <c r="X239" s="70"/>
      <c r="Y239" s="71"/>
      <c r="Z239" s="70" t="e">
        <f>VLOOKUP($Y239,客戶編輯設定自動代出!$A:$C,3,0)</f>
        <v>#N/A</v>
      </c>
      <c r="AA239" s="70" t="e">
        <f>VLOOKUP($Y239,客戶編輯設定自動代出!$A:$C,2,0)</f>
        <v>#N/A</v>
      </c>
      <c r="AB239" s="70" t="s">
        <v>1851</v>
      </c>
      <c r="AC239" s="70"/>
      <c r="AD239" s="70"/>
      <c r="AE239" s="72"/>
      <c r="AF239" s="72">
        <f t="shared" si="54"/>
        <v>0</v>
      </c>
      <c r="AG239" s="73"/>
      <c r="AH239" s="74">
        <f t="shared" si="55"/>
        <v>0</v>
      </c>
      <c r="AI239" s="74">
        <f t="shared" si="56"/>
        <v>0</v>
      </c>
      <c r="AJ239" s="71" t="str">
        <f t="shared" si="57"/>
        <v>Y</v>
      </c>
      <c r="AK239" s="71"/>
      <c r="AL239" s="71"/>
      <c r="AM239" s="75"/>
      <c r="AN239" s="75"/>
      <c r="AO239" s="75"/>
      <c r="AP239" s="75"/>
      <c r="AR239" s="70"/>
      <c r="BC239" s="74"/>
      <c r="BD239" s="74"/>
    </row>
    <row r="240" spans="1:56" ht="16.5" x14ac:dyDescent="0.25">
      <c r="A240" s="64">
        <v>239</v>
      </c>
      <c r="B240" s="69"/>
      <c r="E240" s="70" t="e">
        <f>VLOOKUP($D240,客戶編輯設定自動代出!$A:$C,3,0)</f>
        <v>#N/A</v>
      </c>
      <c r="F240" s="70" t="e">
        <f>VLOOKUP($D240,客戶編輯設定自動代出!$A:$C,2,0)</f>
        <v>#N/A</v>
      </c>
      <c r="G240" s="70" t="s">
        <v>1592</v>
      </c>
      <c r="K240" s="72">
        <f t="shared" si="58"/>
        <v>0</v>
      </c>
      <c r="M240" s="74">
        <f t="shared" si="59"/>
        <v>0</v>
      </c>
      <c r="N240" s="74">
        <f t="shared" si="60"/>
        <v>0</v>
      </c>
      <c r="O240" s="71" t="str">
        <f t="shared" si="61"/>
        <v>Y</v>
      </c>
      <c r="Q240" s="119"/>
      <c r="R240" s="75"/>
      <c r="S240" s="75"/>
      <c r="T240" s="75"/>
      <c r="U240" s="75"/>
      <c r="V240" s="64">
        <v>239</v>
      </c>
      <c r="W240" s="69"/>
      <c r="X240" s="70"/>
      <c r="Y240" s="71"/>
      <c r="Z240" s="70" t="e">
        <f>VLOOKUP($Y240,客戶編輯設定自動代出!$A:$C,3,0)</f>
        <v>#N/A</v>
      </c>
      <c r="AA240" s="70" t="e">
        <f>VLOOKUP($Y240,客戶編輯設定自動代出!$A:$C,2,0)</f>
        <v>#N/A</v>
      </c>
      <c r="AB240" s="70" t="s">
        <v>1852</v>
      </c>
      <c r="AC240" s="70"/>
      <c r="AD240" s="70"/>
      <c r="AE240" s="72"/>
      <c r="AF240" s="72">
        <f t="shared" si="54"/>
        <v>0</v>
      </c>
      <c r="AG240" s="73"/>
      <c r="AH240" s="74">
        <f t="shared" si="55"/>
        <v>0</v>
      </c>
      <c r="AI240" s="74">
        <f t="shared" si="56"/>
        <v>0</v>
      </c>
      <c r="AJ240" s="71" t="str">
        <f t="shared" si="57"/>
        <v>Y</v>
      </c>
      <c r="AK240" s="71"/>
      <c r="AL240" s="71"/>
      <c r="AM240" s="75"/>
      <c r="AN240" s="75"/>
      <c r="AO240" s="75"/>
      <c r="AP240" s="75"/>
      <c r="AR240" s="70"/>
      <c r="BC240" s="74"/>
      <c r="BD240" s="74"/>
    </row>
    <row r="241" spans="1:56" ht="16.5" x14ac:dyDescent="0.25">
      <c r="A241" s="64">
        <v>240</v>
      </c>
      <c r="B241" s="69"/>
      <c r="E241" s="70" t="e">
        <f>VLOOKUP($D241,客戶編輯設定自動代出!$A:$C,3,0)</f>
        <v>#N/A</v>
      </c>
      <c r="F241" s="70" t="e">
        <f>VLOOKUP($D241,客戶編輯設定自動代出!$A:$C,2,0)</f>
        <v>#N/A</v>
      </c>
      <c r="G241" s="70" t="s">
        <v>1593</v>
      </c>
      <c r="K241" s="72">
        <f t="shared" si="58"/>
        <v>0</v>
      </c>
      <c r="M241" s="74">
        <f t="shared" si="59"/>
        <v>0</v>
      </c>
      <c r="N241" s="74">
        <f t="shared" si="60"/>
        <v>0</v>
      </c>
      <c r="O241" s="71" t="str">
        <f t="shared" si="61"/>
        <v>Y</v>
      </c>
      <c r="Q241" s="119"/>
      <c r="R241" s="75"/>
      <c r="S241" s="75"/>
      <c r="T241" s="75"/>
      <c r="U241" s="75"/>
      <c r="V241" s="64">
        <v>240</v>
      </c>
      <c r="W241" s="69"/>
      <c r="X241" s="70"/>
      <c r="Y241" s="71"/>
      <c r="Z241" s="70" t="e">
        <f>VLOOKUP($Y241,客戶編輯設定自動代出!$A:$C,3,0)</f>
        <v>#N/A</v>
      </c>
      <c r="AA241" s="70" t="e">
        <f>VLOOKUP($Y241,客戶編輯設定自動代出!$A:$C,2,0)</f>
        <v>#N/A</v>
      </c>
      <c r="AB241" s="70" t="s">
        <v>1853</v>
      </c>
      <c r="AC241" s="70"/>
      <c r="AD241" s="70"/>
      <c r="AE241" s="72"/>
      <c r="AF241" s="72">
        <f t="shared" si="54"/>
        <v>0</v>
      </c>
      <c r="AG241" s="73"/>
      <c r="AH241" s="74">
        <f t="shared" si="55"/>
        <v>0</v>
      </c>
      <c r="AI241" s="74">
        <f t="shared" si="56"/>
        <v>0</v>
      </c>
      <c r="AJ241" s="71" t="str">
        <f t="shared" si="57"/>
        <v>Y</v>
      </c>
      <c r="AK241" s="71"/>
      <c r="AL241" s="71"/>
      <c r="AM241" s="75"/>
      <c r="AN241" s="75"/>
      <c r="AO241" s="75"/>
      <c r="AP241" s="75"/>
      <c r="AR241" s="70"/>
      <c r="BC241" s="74"/>
      <c r="BD241" s="74"/>
    </row>
    <row r="242" spans="1:56" ht="16.5" x14ac:dyDescent="0.25">
      <c r="A242" s="64">
        <v>241</v>
      </c>
      <c r="B242" s="69"/>
      <c r="E242" s="70" t="e">
        <f>VLOOKUP($D242,客戶編輯設定自動代出!$A:$C,3,0)</f>
        <v>#N/A</v>
      </c>
      <c r="F242" s="70" t="e">
        <f>VLOOKUP($D242,客戶編輯設定自動代出!$A:$C,2,0)</f>
        <v>#N/A</v>
      </c>
      <c r="G242" s="70" t="s">
        <v>1594</v>
      </c>
      <c r="K242" s="72">
        <f t="shared" si="58"/>
        <v>0</v>
      </c>
      <c r="M242" s="74">
        <f t="shared" si="59"/>
        <v>0</v>
      </c>
      <c r="N242" s="74">
        <f t="shared" si="60"/>
        <v>0</v>
      </c>
      <c r="O242" s="71" t="str">
        <f t="shared" si="61"/>
        <v>Y</v>
      </c>
      <c r="Q242" s="119"/>
      <c r="R242" s="75"/>
      <c r="S242" s="75"/>
      <c r="T242" s="75"/>
      <c r="U242" s="75"/>
      <c r="V242" s="64">
        <v>241</v>
      </c>
      <c r="W242" s="69"/>
      <c r="X242" s="70"/>
      <c r="Y242" s="71"/>
      <c r="Z242" s="70" t="e">
        <f>VLOOKUP($Y242,客戶編輯設定自動代出!$A:$C,3,0)</f>
        <v>#N/A</v>
      </c>
      <c r="AA242" s="70" t="e">
        <f>VLOOKUP($Y242,客戶編輯設定自動代出!$A:$C,2,0)</f>
        <v>#N/A</v>
      </c>
      <c r="AB242" s="70" t="s">
        <v>1854</v>
      </c>
      <c r="AC242" s="70"/>
      <c r="AD242" s="70"/>
      <c r="AE242" s="72"/>
      <c r="AF242" s="72">
        <f t="shared" si="54"/>
        <v>0</v>
      </c>
      <c r="AG242" s="73"/>
      <c r="AH242" s="74">
        <f t="shared" si="55"/>
        <v>0</v>
      </c>
      <c r="AI242" s="74">
        <f t="shared" si="56"/>
        <v>0</v>
      </c>
      <c r="AJ242" s="71" t="str">
        <f t="shared" si="57"/>
        <v>Y</v>
      </c>
      <c r="AK242" s="71"/>
      <c r="AL242" s="71"/>
      <c r="AM242" s="75"/>
      <c r="AN242" s="75"/>
      <c r="AO242" s="75"/>
      <c r="AP242" s="75"/>
      <c r="AR242" s="70"/>
      <c r="BC242" s="74"/>
      <c r="BD242" s="74"/>
    </row>
    <row r="243" spans="1:56" ht="16.5" x14ac:dyDescent="0.25">
      <c r="A243" s="64">
        <v>242</v>
      </c>
      <c r="B243" s="69"/>
      <c r="E243" s="70" t="e">
        <f>VLOOKUP($D243,客戶編輯設定自動代出!$A:$C,3,0)</f>
        <v>#N/A</v>
      </c>
      <c r="F243" s="70" t="e">
        <f>VLOOKUP($D243,客戶編輯設定自動代出!$A:$C,2,0)</f>
        <v>#N/A</v>
      </c>
      <c r="G243" s="70" t="s">
        <v>1595</v>
      </c>
      <c r="K243" s="72">
        <f t="shared" si="58"/>
        <v>0</v>
      </c>
      <c r="M243" s="74">
        <f t="shared" si="59"/>
        <v>0</v>
      </c>
      <c r="N243" s="74">
        <f t="shared" si="60"/>
        <v>0</v>
      </c>
      <c r="O243" s="71" t="str">
        <f t="shared" si="61"/>
        <v>Y</v>
      </c>
      <c r="Q243" s="119"/>
      <c r="R243" s="75"/>
      <c r="S243" s="75"/>
      <c r="T243" s="75"/>
      <c r="U243" s="75"/>
      <c r="V243" s="64">
        <v>242</v>
      </c>
      <c r="W243" s="69"/>
      <c r="X243" s="70"/>
      <c r="Y243" s="71"/>
      <c r="Z243" s="70" t="e">
        <f>VLOOKUP($Y243,客戶編輯設定自動代出!$A:$C,3,0)</f>
        <v>#N/A</v>
      </c>
      <c r="AA243" s="70" t="e">
        <f>VLOOKUP($Y243,客戶編輯設定自動代出!$A:$C,2,0)</f>
        <v>#N/A</v>
      </c>
      <c r="AB243" s="70" t="s">
        <v>1855</v>
      </c>
      <c r="AC243" s="70"/>
      <c r="AD243" s="70"/>
      <c r="AE243" s="72"/>
      <c r="AF243" s="72">
        <f t="shared" si="54"/>
        <v>0</v>
      </c>
      <c r="AG243" s="73"/>
      <c r="AH243" s="74">
        <f t="shared" si="55"/>
        <v>0</v>
      </c>
      <c r="AI243" s="74">
        <f t="shared" si="56"/>
        <v>0</v>
      </c>
      <c r="AJ243" s="71" t="str">
        <f t="shared" si="57"/>
        <v>Y</v>
      </c>
      <c r="AK243" s="71"/>
      <c r="AL243" s="71"/>
      <c r="AM243" s="75"/>
      <c r="AN243" s="75"/>
      <c r="AO243" s="75"/>
      <c r="AP243" s="75"/>
      <c r="AR243" s="70"/>
      <c r="BC243" s="74"/>
      <c r="BD243" s="74"/>
    </row>
    <row r="244" spans="1:56" ht="16.5" x14ac:dyDescent="0.25">
      <c r="A244" s="64">
        <v>243</v>
      </c>
      <c r="B244" s="69"/>
      <c r="E244" s="70" t="e">
        <f>VLOOKUP($D244,客戶編輯設定自動代出!$A:$C,3,0)</f>
        <v>#N/A</v>
      </c>
      <c r="F244" s="70" t="e">
        <f>VLOOKUP($D244,客戶編輯設定自動代出!$A:$C,2,0)</f>
        <v>#N/A</v>
      </c>
      <c r="G244" s="70" t="s">
        <v>1596</v>
      </c>
      <c r="K244" s="72">
        <f t="shared" si="58"/>
        <v>0</v>
      </c>
      <c r="M244" s="74">
        <f t="shared" si="59"/>
        <v>0</v>
      </c>
      <c r="N244" s="74">
        <f t="shared" si="60"/>
        <v>0</v>
      </c>
      <c r="O244" s="71" t="str">
        <f t="shared" si="61"/>
        <v>Y</v>
      </c>
      <c r="Q244" s="119"/>
      <c r="R244" s="75"/>
      <c r="S244" s="75"/>
      <c r="T244" s="75"/>
      <c r="U244" s="75"/>
      <c r="V244" s="64">
        <v>243</v>
      </c>
      <c r="W244" s="69"/>
      <c r="X244" s="70"/>
      <c r="Y244" s="71"/>
      <c r="Z244" s="70" t="e">
        <f>VLOOKUP($Y244,客戶編輯設定自動代出!$A:$C,3,0)</f>
        <v>#N/A</v>
      </c>
      <c r="AA244" s="70" t="e">
        <f>VLOOKUP($Y244,客戶編輯設定自動代出!$A:$C,2,0)</f>
        <v>#N/A</v>
      </c>
      <c r="AB244" s="70" t="s">
        <v>1856</v>
      </c>
      <c r="AC244" s="70"/>
      <c r="AD244" s="70"/>
      <c r="AE244" s="72"/>
      <c r="AF244" s="72">
        <f t="shared" si="54"/>
        <v>0</v>
      </c>
      <c r="AG244" s="73"/>
      <c r="AH244" s="74">
        <f t="shared" si="55"/>
        <v>0</v>
      </c>
      <c r="AI244" s="74">
        <f t="shared" si="56"/>
        <v>0</v>
      </c>
      <c r="AJ244" s="71" t="str">
        <f t="shared" si="57"/>
        <v>Y</v>
      </c>
      <c r="AK244" s="71"/>
      <c r="AL244" s="71"/>
      <c r="AM244" s="75"/>
      <c r="AN244" s="75"/>
      <c r="AO244" s="75"/>
      <c r="AP244" s="75"/>
      <c r="AR244" s="70"/>
      <c r="BC244" s="74"/>
      <c r="BD244" s="74"/>
    </row>
    <row r="245" spans="1:56" ht="16.5" x14ac:dyDescent="0.25">
      <c r="A245" s="64">
        <v>244</v>
      </c>
      <c r="B245" s="69"/>
      <c r="E245" s="70" t="e">
        <f>VLOOKUP($D245,客戶編輯設定自動代出!$A:$C,3,0)</f>
        <v>#N/A</v>
      </c>
      <c r="F245" s="70" t="e">
        <f>VLOOKUP($D245,客戶編輯設定自動代出!$A:$C,2,0)</f>
        <v>#N/A</v>
      </c>
      <c r="G245" s="70" t="s">
        <v>1597</v>
      </c>
      <c r="K245" s="72">
        <f t="shared" si="58"/>
        <v>0</v>
      </c>
      <c r="M245" s="74">
        <f t="shared" si="59"/>
        <v>0</v>
      </c>
      <c r="N245" s="74">
        <f t="shared" si="60"/>
        <v>0</v>
      </c>
      <c r="O245" s="71" t="str">
        <f t="shared" si="61"/>
        <v>Y</v>
      </c>
      <c r="Q245" s="119"/>
      <c r="R245" s="75"/>
      <c r="S245" s="75"/>
      <c r="T245" s="75"/>
      <c r="U245" s="75"/>
      <c r="V245" s="64">
        <v>244</v>
      </c>
      <c r="W245" s="69"/>
      <c r="X245" s="70"/>
      <c r="Y245" s="71"/>
      <c r="Z245" s="70" t="e">
        <f>VLOOKUP($Y245,客戶編輯設定自動代出!$A:$C,3,0)</f>
        <v>#N/A</v>
      </c>
      <c r="AA245" s="70" t="e">
        <f>VLOOKUP($Y245,客戶編輯設定自動代出!$A:$C,2,0)</f>
        <v>#N/A</v>
      </c>
      <c r="AB245" s="70" t="s">
        <v>1857</v>
      </c>
      <c r="AC245" s="70"/>
      <c r="AD245" s="70"/>
      <c r="AE245" s="72"/>
      <c r="AF245" s="72">
        <f t="shared" si="54"/>
        <v>0</v>
      </c>
      <c r="AG245" s="73"/>
      <c r="AH245" s="74">
        <f t="shared" si="55"/>
        <v>0</v>
      </c>
      <c r="AI245" s="74">
        <f t="shared" si="56"/>
        <v>0</v>
      </c>
      <c r="AJ245" s="71" t="str">
        <f t="shared" si="57"/>
        <v>Y</v>
      </c>
      <c r="AK245" s="71"/>
      <c r="AL245" s="71"/>
      <c r="AM245" s="75"/>
      <c r="AN245" s="75"/>
      <c r="AO245" s="75"/>
      <c r="AP245" s="75"/>
      <c r="AR245" s="70"/>
      <c r="BC245" s="74"/>
      <c r="BD245" s="74"/>
    </row>
    <row r="246" spans="1:56" ht="16.5" x14ac:dyDescent="0.25">
      <c r="A246" s="64">
        <v>245</v>
      </c>
      <c r="B246" s="69"/>
      <c r="E246" s="70" t="e">
        <f>VLOOKUP($D246,客戶編輯設定自動代出!$A:$C,3,0)</f>
        <v>#N/A</v>
      </c>
      <c r="F246" s="70" t="e">
        <f>VLOOKUP($D246,客戶編輯設定自動代出!$A:$C,2,0)</f>
        <v>#N/A</v>
      </c>
      <c r="G246" s="70" t="s">
        <v>1598</v>
      </c>
      <c r="K246" s="72">
        <f t="shared" si="58"/>
        <v>0</v>
      </c>
      <c r="M246" s="74">
        <f t="shared" si="59"/>
        <v>0</v>
      </c>
      <c r="N246" s="74">
        <f t="shared" si="60"/>
        <v>0</v>
      </c>
      <c r="O246" s="71" t="str">
        <f t="shared" si="61"/>
        <v>Y</v>
      </c>
      <c r="Q246" s="119"/>
      <c r="R246" s="75"/>
      <c r="S246" s="75"/>
      <c r="T246" s="75"/>
      <c r="U246" s="75"/>
      <c r="V246" s="64">
        <v>245</v>
      </c>
      <c r="W246" s="69"/>
      <c r="X246" s="70"/>
      <c r="Y246" s="71"/>
      <c r="Z246" s="70" t="e">
        <f>VLOOKUP($Y246,客戶編輯設定自動代出!$A:$C,3,0)</f>
        <v>#N/A</v>
      </c>
      <c r="AA246" s="70" t="e">
        <f>VLOOKUP($Y246,客戶編輯設定自動代出!$A:$C,2,0)</f>
        <v>#N/A</v>
      </c>
      <c r="AB246" s="70" t="s">
        <v>1858</v>
      </c>
      <c r="AC246" s="70"/>
      <c r="AD246" s="70"/>
      <c r="AE246" s="72"/>
      <c r="AF246" s="72">
        <f t="shared" si="54"/>
        <v>0</v>
      </c>
      <c r="AG246" s="73"/>
      <c r="AH246" s="74">
        <f t="shared" si="55"/>
        <v>0</v>
      </c>
      <c r="AI246" s="74">
        <f t="shared" si="56"/>
        <v>0</v>
      </c>
      <c r="AJ246" s="71" t="str">
        <f t="shared" si="57"/>
        <v>Y</v>
      </c>
      <c r="AK246" s="71"/>
      <c r="AL246" s="71"/>
      <c r="AM246" s="75"/>
      <c r="AN246" s="75"/>
      <c r="AO246" s="75"/>
      <c r="AP246" s="75"/>
      <c r="AR246" s="70"/>
      <c r="BC246" s="74"/>
      <c r="BD246" s="74"/>
    </row>
    <row r="247" spans="1:56" ht="16.5" x14ac:dyDescent="0.25">
      <c r="A247" s="64">
        <v>246</v>
      </c>
      <c r="B247" s="69"/>
      <c r="E247" s="70" t="e">
        <f>VLOOKUP($D247,客戶編輯設定自動代出!$A:$C,3,0)</f>
        <v>#N/A</v>
      </c>
      <c r="F247" s="70" t="e">
        <f>VLOOKUP($D247,客戶編輯設定自動代出!$A:$C,2,0)</f>
        <v>#N/A</v>
      </c>
      <c r="G247" s="70" t="s">
        <v>1599</v>
      </c>
      <c r="K247" s="72">
        <f t="shared" si="58"/>
        <v>0</v>
      </c>
      <c r="M247" s="74">
        <f t="shared" si="59"/>
        <v>0</v>
      </c>
      <c r="N247" s="74">
        <f t="shared" si="60"/>
        <v>0</v>
      </c>
      <c r="O247" s="71" t="str">
        <f t="shared" si="61"/>
        <v>Y</v>
      </c>
      <c r="Q247" s="119"/>
      <c r="R247" s="75"/>
      <c r="S247" s="75"/>
      <c r="T247" s="75"/>
      <c r="U247" s="75"/>
      <c r="V247" s="64">
        <v>246</v>
      </c>
      <c r="W247" s="69"/>
      <c r="X247" s="70"/>
      <c r="Y247" s="71"/>
      <c r="Z247" s="70" t="e">
        <f>VLOOKUP($Y247,客戶編輯設定自動代出!$A:$C,3,0)</f>
        <v>#N/A</v>
      </c>
      <c r="AA247" s="70" t="e">
        <f>VLOOKUP($Y247,客戶編輯設定自動代出!$A:$C,2,0)</f>
        <v>#N/A</v>
      </c>
      <c r="AB247" s="70" t="s">
        <v>1859</v>
      </c>
      <c r="AC247" s="70"/>
      <c r="AD247" s="70"/>
      <c r="AE247" s="72"/>
      <c r="AF247" s="72">
        <f t="shared" si="54"/>
        <v>0</v>
      </c>
      <c r="AG247" s="73"/>
      <c r="AH247" s="74">
        <f t="shared" si="55"/>
        <v>0</v>
      </c>
      <c r="AI247" s="74">
        <f t="shared" si="56"/>
        <v>0</v>
      </c>
      <c r="AJ247" s="71" t="str">
        <f t="shared" si="57"/>
        <v>Y</v>
      </c>
      <c r="AK247" s="71"/>
      <c r="AL247" s="71"/>
      <c r="AM247" s="75"/>
      <c r="AN247" s="75"/>
      <c r="AO247" s="75"/>
      <c r="AP247" s="75"/>
      <c r="AR247" s="70"/>
      <c r="BC247" s="74"/>
      <c r="BD247" s="74"/>
    </row>
    <row r="248" spans="1:56" ht="16.5" x14ac:dyDescent="0.25">
      <c r="A248" s="64">
        <v>247</v>
      </c>
      <c r="B248" s="69"/>
      <c r="E248" s="70" t="e">
        <f>VLOOKUP($D248,客戶編輯設定自動代出!$A:$C,3,0)</f>
        <v>#N/A</v>
      </c>
      <c r="F248" s="70" t="e">
        <f>VLOOKUP($D248,客戶編輯設定自動代出!$A:$C,2,0)</f>
        <v>#N/A</v>
      </c>
      <c r="G248" s="70" t="s">
        <v>1600</v>
      </c>
      <c r="K248" s="72">
        <f t="shared" si="58"/>
        <v>0</v>
      </c>
      <c r="M248" s="74">
        <f t="shared" si="59"/>
        <v>0</v>
      </c>
      <c r="N248" s="74">
        <f t="shared" si="60"/>
        <v>0</v>
      </c>
      <c r="O248" s="71" t="str">
        <f t="shared" si="61"/>
        <v>Y</v>
      </c>
      <c r="Q248" s="119"/>
      <c r="R248" s="75"/>
      <c r="S248" s="75"/>
      <c r="T248" s="75"/>
      <c r="U248" s="75"/>
      <c r="V248" s="64">
        <v>247</v>
      </c>
      <c r="W248" s="69"/>
      <c r="X248" s="70"/>
      <c r="Y248" s="71"/>
      <c r="Z248" s="70" t="e">
        <f>VLOOKUP($Y248,客戶編輯設定自動代出!$A:$C,3,0)</f>
        <v>#N/A</v>
      </c>
      <c r="AA248" s="70" t="e">
        <f>VLOOKUP($Y248,客戶編輯設定自動代出!$A:$C,2,0)</f>
        <v>#N/A</v>
      </c>
      <c r="AB248" s="70" t="s">
        <v>1860</v>
      </c>
      <c r="AC248" s="70"/>
      <c r="AD248" s="70"/>
      <c r="AE248" s="72"/>
      <c r="AF248" s="72">
        <f t="shared" si="54"/>
        <v>0</v>
      </c>
      <c r="AG248" s="73"/>
      <c r="AH248" s="74">
        <f t="shared" si="55"/>
        <v>0</v>
      </c>
      <c r="AI248" s="74">
        <f t="shared" si="56"/>
        <v>0</v>
      </c>
      <c r="AJ248" s="71" t="str">
        <f t="shared" si="57"/>
        <v>Y</v>
      </c>
      <c r="AK248" s="71"/>
      <c r="AL248" s="71"/>
      <c r="AM248" s="75"/>
      <c r="AN248" s="75"/>
      <c r="AO248" s="75"/>
      <c r="AP248" s="75"/>
      <c r="AR248" s="70"/>
      <c r="BC248" s="74"/>
      <c r="BD248" s="74"/>
    </row>
    <row r="249" spans="1:56" ht="16.5" x14ac:dyDescent="0.25">
      <c r="A249" s="64">
        <v>248</v>
      </c>
      <c r="B249" s="69"/>
      <c r="E249" s="70" t="e">
        <f>VLOOKUP($D249,客戶編輯設定自動代出!$A:$C,3,0)</f>
        <v>#N/A</v>
      </c>
      <c r="F249" s="70" t="e">
        <f>VLOOKUP($D249,客戶編輯設定自動代出!$A:$C,2,0)</f>
        <v>#N/A</v>
      </c>
      <c r="G249" s="70" t="s">
        <v>1601</v>
      </c>
      <c r="K249" s="72">
        <f t="shared" si="58"/>
        <v>0</v>
      </c>
      <c r="M249" s="74">
        <f t="shared" si="59"/>
        <v>0</v>
      </c>
      <c r="N249" s="74">
        <f t="shared" si="60"/>
        <v>0</v>
      </c>
      <c r="O249" s="71" t="str">
        <f t="shared" si="61"/>
        <v>Y</v>
      </c>
      <c r="Q249" s="119"/>
      <c r="R249" s="75"/>
      <c r="S249" s="75"/>
      <c r="T249" s="75"/>
      <c r="U249" s="75"/>
      <c r="V249" s="64">
        <v>248</v>
      </c>
      <c r="W249" s="69"/>
      <c r="X249" s="70"/>
      <c r="Y249" s="71"/>
      <c r="Z249" s="70" t="e">
        <f>VLOOKUP($Y249,客戶編輯設定自動代出!$A:$C,3,0)</f>
        <v>#N/A</v>
      </c>
      <c r="AA249" s="70" t="e">
        <f>VLOOKUP($Y249,客戶編輯設定自動代出!$A:$C,2,0)</f>
        <v>#N/A</v>
      </c>
      <c r="AB249" s="70" t="s">
        <v>1861</v>
      </c>
      <c r="AC249" s="70"/>
      <c r="AD249" s="70"/>
      <c r="AE249" s="72"/>
      <c r="AF249" s="72">
        <f t="shared" si="54"/>
        <v>0</v>
      </c>
      <c r="AG249" s="73"/>
      <c r="AH249" s="74">
        <f t="shared" si="55"/>
        <v>0</v>
      </c>
      <c r="AI249" s="74">
        <f t="shared" si="56"/>
        <v>0</v>
      </c>
      <c r="AJ249" s="71" t="str">
        <f t="shared" si="57"/>
        <v>Y</v>
      </c>
      <c r="AK249" s="71"/>
      <c r="AL249" s="71"/>
      <c r="AM249" s="75"/>
      <c r="AN249" s="75"/>
      <c r="AO249" s="75"/>
      <c r="AP249" s="75"/>
      <c r="AR249" s="70"/>
      <c r="BC249" s="74"/>
      <c r="BD249" s="74"/>
    </row>
    <row r="250" spans="1:56" ht="16.5" x14ac:dyDescent="0.25">
      <c r="A250" s="64">
        <v>249</v>
      </c>
      <c r="B250" s="69"/>
      <c r="E250" s="70" t="e">
        <f>VLOOKUP($D250,客戶編輯設定自動代出!$A:$C,3,0)</f>
        <v>#N/A</v>
      </c>
      <c r="F250" s="70" t="e">
        <f>VLOOKUP($D250,客戶編輯設定自動代出!$A:$C,2,0)</f>
        <v>#N/A</v>
      </c>
      <c r="G250" s="70" t="s">
        <v>1602</v>
      </c>
      <c r="K250" s="72">
        <f t="shared" si="58"/>
        <v>0</v>
      </c>
      <c r="M250" s="74">
        <f t="shared" si="59"/>
        <v>0</v>
      </c>
      <c r="N250" s="74">
        <f t="shared" si="60"/>
        <v>0</v>
      </c>
      <c r="O250" s="71" t="str">
        <f t="shared" si="61"/>
        <v>Y</v>
      </c>
      <c r="Q250" s="119"/>
      <c r="R250" s="75"/>
      <c r="S250" s="75"/>
      <c r="T250" s="75"/>
      <c r="U250" s="75"/>
      <c r="V250" s="64">
        <v>249</v>
      </c>
      <c r="W250" s="69"/>
      <c r="X250" s="70"/>
      <c r="Y250" s="71"/>
      <c r="Z250" s="70" t="e">
        <f>VLOOKUP($Y250,客戶編輯設定自動代出!$A:$C,3,0)</f>
        <v>#N/A</v>
      </c>
      <c r="AA250" s="70" t="e">
        <f>VLOOKUP($Y250,客戶編輯設定自動代出!$A:$C,2,0)</f>
        <v>#N/A</v>
      </c>
      <c r="AB250" s="70" t="s">
        <v>1862</v>
      </c>
      <c r="AC250" s="70"/>
      <c r="AD250" s="70"/>
      <c r="AE250" s="72"/>
      <c r="AF250" s="72">
        <f t="shared" si="54"/>
        <v>0</v>
      </c>
      <c r="AG250" s="73"/>
      <c r="AH250" s="74">
        <f t="shared" si="55"/>
        <v>0</v>
      </c>
      <c r="AI250" s="74">
        <f t="shared" si="56"/>
        <v>0</v>
      </c>
      <c r="AJ250" s="71" t="str">
        <f t="shared" si="57"/>
        <v>Y</v>
      </c>
      <c r="AK250" s="71"/>
      <c r="AL250" s="71"/>
      <c r="AM250" s="75"/>
      <c r="AN250" s="75"/>
      <c r="AO250" s="75"/>
      <c r="AP250" s="75"/>
      <c r="AR250" s="70"/>
      <c r="BC250" s="74"/>
      <c r="BD250" s="74"/>
    </row>
    <row r="251" spans="1:56" ht="16.5" x14ac:dyDescent="0.25">
      <c r="A251" s="64">
        <v>250</v>
      </c>
      <c r="B251" s="69"/>
      <c r="E251" s="70" t="e">
        <f>VLOOKUP($D251,客戶編輯設定自動代出!$A:$C,3,0)</f>
        <v>#N/A</v>
      </c>
      <c r="F251" s="70" t="e">
        <f>VLOOKUP($D251,客戶編輯設定自動代出!$A:$C,2,0)</f>
        <v>#N/A</v>
      </c>
      <c r="G251" s="70" t="s">
        <v>1603</v>
      </c>
      <c r="K251" s="72">
        <f t="shared" si="58"/>
        <v>0</v>
      </c>
      <c r="M251" s="74">
        <f t="shared" si="59"/>
        <v>0</v>
      </c>
      <c r="N251" s="74">
        <f t="shared" si="60"/>
        <v>0</v>
      </c>
      <c r="O251" s="71" t="str">
        <f t="shared" si="61"/>
        <v>Y</v>
      </c>
      <c r="Q251" s="119"/>
      <c r="R251" s="75"/>
      <c r="S251" s="75"/>
      <c r="T251" s="75"/>
      <c r="U251" s="75"/>
      <c r="V251" s="64">
        <v>250</v>
      </c>
      <c r="W251" s="69"/>
      <c r="X251" s="70"/>
      <c r="Y251" s="71"/>
      <c r="Z251" s="70" t="e">
        <f>VLOOKUP($Y251,客戶編輯設定自動代出!$A:$C,3,0)</f>
        <v>#N/A</v>
      </c>
      <c r="AA251" s="70" t="e">
        <f>VLOOKUP($Y251,客戶編輯設定自動代出!$A:$C,2,0)</f>
        <v>#N/A</v>
      </c>
      <c r="AB251" s="70" t="s">
        <v>1863</v>
      </c>
      <c r="AC251" s="70"/>
      <c r="AD251" s="70"/>
      <c r="AE251" s="72"/>
      <c r="AF251" s="72">
        <f t="shared" si="54"/>
        <v>0</v>
      </c>
      <c r="AG251" s="73"/>
      <c r="AH251" s="74">
        <f t="shared" si="55"/>
        <v>0</v>
      </c>
      <c r="AI251" s="74">
        <f t="shared" si="56"/>
        <v>0</v>
      </c>
      <c r="AJ251" s="71" t="str">
        <f t="shared" si="57"/>
        <v>Y</v>
      </c>
      <c r="AK251" s="71"/>
      <c r="AL251" s="71"/>
      <c r="AM251" s="75"/>
      <c r="AN251" s="75"/>
      <c r="AO251" s="75"/>
      <c r="AP251" s="75"/>
      <c r="AR251" s="70"/>
      <c r="BC251" s="74"/>
      <c r="BD251" s="74"/>
    </row>
    <row r="252" spans="1:56" ht="16.5" x14ac:dyDescent="0.25">
      <c r="B252" s="69"/>
      <c r="E252" s="70" t="e">
        <f>VLOOKUP($D252,客戶編輯設定自動代出!$A:$C,3,0)</f>
        <v>#N/A</v>
      </c>
      <c r="F252" s="70" t="e">
        <f>VLOOKUP($D252,客戶編輯設定自動代出!$A:$C,2,0)</f>
        <v>#N/A</v>
      </c>
      <c r="G252" s="70" t="s">
        <v>1604</v>
      </c>
      <c r="K252" s="72">
        <f t="shared" si="58"/>
        <v>0</v>
      </c>
      <c r="M252" s="74">
        <f t="shared" si="59"/>
        <v>0</v>
      </c>
      <c r="N252" s="74">
        <f t="shared" si="60"/>
        <v>0</v>
      </c>
      <c r="O252" s="71" t="str">
        <f t="shared" si="61"/>
        <v>Y</v>
      </c>
      <c r="Q252" s="119"/>
      <c r="R252" s="75"/>
      <c r="S252" s="75"/>
      <c r="T252" s="75"/>
      <c r="U252" s="75"/>
      <c r="V252" s="94"/>
      <c r="W252" s="69"/>
      <c r="X252" s="70"/>
      <c r="Y252" s="71"/>
      <c r="Z252" s="70" t="e">
        <f>VLOOKUP($Y252,客戶編輯設定自動代出!$A:$C,3,0)</f>
        <v>#N/A</v>
      </c>
      <c r="AA252" s="70" t="e">
        <f>VLOOKUP($Y252,客戶編輯設定自動代出!$A:$C,2,0)</f>
        <v>#N/A</v>
      </c>
      <c r="AB252" s="70" t="s">
        <v>1864</v>
      </c>
      <c r="AC252" s="70"/>
      <c r="AD252" s="70"/>
      <c r="AE252" s="72"/>
      <c r="AF252" s="72">
        <f t="shared" si="54"/>
        <v>0</v>
      </c>
      <c r="AG252" s="73"/>
      <c r="AH252" s="74">
        <f t="shared" si="55"/>
        <v>0</v>
      </c>
      <c r="AI252" s="74">
        <f t="shared" si="56"/>
        <v>0</v>
      </c>
      <c r="AJ252" s="71" t="str">
        <f t="shared" si="57"/>
        <v>Y</v>
      </c>
      <c r="AK252" s="71"/>
      <c r="AL252" s="71"/>
      <c r="AM252" s="75"/>
      <c r="AN252" s="75"/>
      <c r="AO252" s="75"/>
      <c r="AP252" s="75"/>
      <c r="AR252" s="70"/>
      <c r="BC252" s="74"/>
      <c r="BD252" s="74"/>
    </row>
    <row r="253" spans="1:56" ht="16.5" x14ac:dyDescent="0.25">
      <c r="B253" s="69"/>
      <c r="E253" s="70" t="e">
        <f>VLOOKUP($D253,客戶編輯設定自動代出!$A:$C,3,0)</f>
        <v>#N/A</v>
      </c>
      <c r="F253" s="70" t="e">
        <f>VLOOKUP($D253,客戶編輯設定自動代出!$A:$C,2,0)</f>
        <v>#N/A</v>
      </c>
      <c r="G253" s="70" t="s">
        <v>1605</v>
      </c>
      <c r="K253" s="72">
        <f t="shared" si="58"/>
        <v>0</v>
      </c>
      <c r="M253" s="74">
        <f t="shared" si="59"/>
        <v>0</v>
      </c>
      <c r="N253" s="74">
        <f t="shared" si="60"/>
        <v>0</v>
      </c>
      <c r="O253" s="71" t="str">
        <f t="shared" si="61"/>
        <v>Y</v>
      </c>
      <c r="Q253" s="119"/>
      <c r="R253" s="75"/>
      <c r="S253" s="75"/>
      <c r="T253" s="75"/>
      <c r="U253" s="75"/>
      <c r="V253" s="94"/>
      <c r="W253" s="69"/>
      <c r="X253" s="70"/>
      <c r="Y253" s="71"/>
      <c r="Z253" s="70" t="e">
        <f>VLOOKUP($Y253,客戶編輯設定自動代出!$A:$C,3,0)</f>
        <v>#N/A</v>
      </c>
      <c r="AA253" s="70" t="e">
        <f>VLOOKUP($Y253,客戶編輯設定自動代出!$A:$C,2,0)</f>
        <v>#N/A</v>
      </c>
      <c r="AB253" s="70" t="s">
        <v>1865</v>
      </c>
      <c r="AC253" s="70"/>
      <c r="AD253" s="70"/>
      <c r="AE253" s="72"/>
      <c r="AF253" s="72">
        <f t="shared" ref="AF253" si="62">AD253*AE253</f>
        <v>0</v>
      </c>
      <c r="AG253" s="73"/>
      <c r="AH253" s="74">
        <f t="shared" ref="AH253" si="63">AG253/1.05</f>
        <v>0</v>
      </c>
      <c r="AI253" s="74">
        <f t="shared" ref="AI253" si="64">AH253*0.05</f>
        <v>0</v>
      </c>
      <c r="AJ253" s="71" t="str">
        <f t="shared" ref="AJ253" si="65">IF($AF253=$AG253,"Y","N")</f>
        <v>Y</v>
      </c>
      <c r="AK253" s="71"/>
      <c r="AL253" s="71"/>
      <c r="AM253" s="75"/>
      <c r="AN253" s="75"/>
      <c r="AO253" s="75"/>
      <c r="AP253" s="75"/>
      <c r="AR253" s="70"/>
      <c r="BC253" s="74"/>
      <c r="BD253" s="74"/>
    </row>
    <row r="254" spans="1:56" ht="16.5" x14ac:dyDescent="0.25">
      <c r="B254" s="69"/>
      <c r="E254" s="70" t="e">
        <f>VLOOKUP($D254,客戶編輯設定自動代出!$A:$C,3,0)</f>
        <v>#N/A</v>
      </c>
      <c r="F254" s="70" t="e">
        <f>VLOOKUP($D254,客戶編輯設定自動代出!$A:$C,2,0)</f>
        <v>#N/A</v>
      </c>
      <c r="G254" s="70" t="s">
        <v>1606</v>
      </c>
      <c r="K254" s="72">
        <f t="shared" si="58"/>
        <v>0</v>
      </c>
      <c r="M254" s="74">
        <f t="shared" si="59"/>
        <v>0</v>
      </c>
      <c r="N254" s="74">
        <f t="shared" si="60"/>
        <v>0</v>
      </c>
      <c r="O254" s="71" t="str">
        <f t="shared" si="61"/>
        <v>Y</v>
      </c>
      <c r="Q254" s="119"/>
      <c r="R254" s="75"/>
      <c r="S254" s="75"/>
      <c r="T254" s="75"/>
      <c r="U254" s="75"/>
      <c r="V254" s="94"/>
      <c r="W254" s="75"/>
      <c r="X254" s="75"/>
      <c r="Y254" s="75"/>
      <c r="Z254" s="75"/>
      <c r="AA254" s="75"/>
      <c r="AB254" s="70"/>
      <c r="AC254" s="75"/>
      <c r="AD254" s="75"/>
      <c r="AE254" s="75"/>
      <c r="AF254" s="75"/>
      <c r="AG254" s="80">
        <f>SUM(AG3:AG253)</f>
        <v>0</v>
      </c>
      <c r="AH254" s="81">
        <f>SUM(AH3:AH253)</f>
        <v>0</v>
      </c>
      <c r="AI254" s="81">
        <f>SUM(AI3:AI253)</f>
        <v>0</v>
      </c>
      <c r="AJ254" s="83"/>
      <c r="AK254" s="83"/>
      <c r="AL254" s="83"/>
      <c r="AM254" s="75"/>
      <c r="AN254" s="75"/>
      <c r="AO254" s="75"/>
      <c r="AP254" s="75"/>
      <c r="AR254" s="70"/>
      <c r="BC254" s="74"/>
      <c r="BD254" s="74"/>
    </row>
    <row r="255" spans="1:56" ht="16.5" x14ac:dyDescent="0.25">
      <c r="B255" s="69"/>
      <c r="E255" s="70" t="e">
        <f>VLOOKUP($D255,客戶編輯設定自動代出!$A:$C,3,0)</f>
        <v>#N/A</v>
      </c>
      <c r="F255" s="70" t="e">
        <f>VLOOKUP($D255,客戶編輯設定自動代出!$A:$C,2,0)</f>
        <v>#N/A</v>
      </c>
      <c r="G255" s="70" t="s">
        <v>1607</v>
      </c>
      <c r="K255" s="72">
        <f t="shared" si="58"/>
        <v>0</v>
      </c>
      <c r="M255" s="74">
        <f t="shared" si="59"/>
        <v>0</v>
      </c>
      <c r="N255" s="74">
        <f t="shared" si="60"/>
        <v>0</v>
      </c>
      <c r="O255" s="71" t="str">
        <f t="shared" si="61"/>
        <v>Y</v>
      </c>
      <c r="Q255" s="119"/>
      <c r="R255" s="75"/>
      <c r="S255" s="75"/>
      <c r="T255" s="75"/>
      <c r="U255" s="75"/>
      <c r="V255" s="94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3"/>
      <c r="AH255" s="74"/>
      <c r="AI255" s="75"/>
      <c r="AJ255" s="75"/>
      <c r="AK255" s="75"/>
      <c r="AL255" s="75"/>
      <c r="AM255" s="75"/>
      <c r="AN255" s="75"/>
      <c r="AO255" s="75"/>
      <c r="AP255" s="75"/>
      <c r="AR255" s="70"/>
      <c r="BC255" s="74"/>
      <c r="BD255" s="74"/>
    </row>
    <row r="256" spans="1:56" ht="16.5" x14ac:dyDescent="0.25">
      <c r="B256" s="69"/>
      <c r="E256" s="70" t="e">
        <f>VLOOKUP($D256,客戶編輯設定自動代出!$A:$C,3,0)</f>
        <v>#N/A</v>
      </c>
      <c r="F256" s="70" t="e">
        <f>VLOOKUP($D256,客戶編輯設定自動代出!$A:$C,2,0)</f>
        <v>#N/A</v>
      </c>
      <c r="G256" s="70" t="s">
        <v>1608</v>
      </c>
      <c r="K256" s="72">
        <f t="shared" si="58"/>
        <v>0</v>
      </c>
      <c r="M256" s="74">
        <f t="shared" si="59"/>
        <v>0</v>
      </c>
      <c r="N256" s="74">
        <f t="shared" si="60"/>
        <v>0</v>
      </c>
      <c r="O256" s="71" t="str">
        <f t="shared" si="61"/>
        <v>Y</v>
      </c>
      <c r="Q256" s="119"/>
      <c r="R256" s="75"/>
      <c r="S256" s="75"/>
      <c r="T256" s="75"/>
      <c r="U256" s="75"/>
      <c r="V256" s="94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3"/>
      <c r="AH256" s="74"/>
      <c r="AI256" s="75"/>
      <c r="AJ256" s="75"/>
      <c r="AK256" s="75"/>
      <c r="AL256" s="75"/>
      <c r="AM256" s="75"/>
      <c r="AN256" s="75"/>
      <c r="AO256" s="75"/>
      <c r="AP256" s="75"/>
      <c r="AR256" s="70"/>
      <c r="BC256" s="74"/>
      <c r="BD256" s="74"/>
    </row>
    <row r="257" spans="2:56" ht="16.5" x14ac:dyDescent="0.25">
      <c r="B257" s="69"/>
      <c r="E257" s="70" t="e">
        <f>VLOOKUP($D257,客戶編輯設定自動代出!$A:$C,3,0)</f>
        <v>#N/A</v>
      </c>
      <c r="F257" s="70" t="e">
        <f>VLOOKUP($D257,客戶編輯設定自動代出!$A:$C,2,0)</f>
        <v>#N/A</v>
      </c>
      <c r="G257" s="70" t="s">
        <v>1609</v>
      </c>
      <c r="K257" s="72">
        <f t="shared" si="58"/>
        <v>0</v>
      </c>
      <c r="M257" s="74">
        <f t="shared" si="59"/>
        <v>0</v>
      </c>
      <c r="N257" s="74">
        <f t="shared" si="60"/>
        <v>0</v>
      </c>
      <c r="O257" s="71" t="str">
        <f t="shared" si="61"/>
        <v>Y</v>
      </c>
      <c r="Q257" s="119"/>
      <c r="R257" s="75"/>
      <c r="S257" s="75"/>
      <c r="T257" s="75"/>
      <c r="U257" s="75"/>
      <c r="V257" s="94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3"/>
      <c r="AH257" s="74"/>
      <c r="AI257" s="75"/>
      <c r="AJ257" s="75"/>
      <c r="AK257" s="75"/>
      <c r="AL257" s="75"/>
      <c r="AM257" s="75"/>
      <c r="AN257" s="75"/>
      <c r="AO257" s="75"/>
      <c r="AP257" s="75"/>
      <c r="AR257" s="70"/>
      <c r="BC257" s="74"/>
      <c r="BD257" s="74"/>
    </row>
    <row r="258" spans="2:56" ht="16.5" x14ac:dyDescent="0.25">
      <c r="B258" s="69"/>
      <c r="E258" s="70" t="e">
        <f>VLOOKUP($D258,客戶編輯設定自動代出!$A:$C,3,0)</f>
        <v>#N/A</v>
      </c>
      <c r="F258" s="70" t="e">
        <f>VLOOKUP($D258,客戶編輯設定自動代出!$A:$C,2,0)</f>
        <v>#N/A</v>
      </c>
      <c r="G258" s="70" t="s">
        <v>1610</v>
      </c>
      <c r="K258" s="72">
        <f t="shared" si="58"/>
        <v>0</v>
      </c>
      <c r="M258" s="74">
        <f t="shared" si="59"/>
        <v>0</v>
      </c>
      <c r="N258" s="74">
        <f t="shared" si="60"/>
        <v>0</v>
      </c>
      <c r="O258" s="71" t="str">
        <f t="shared" si="61"/>
        <v>Y</v>
      </c>
      <c r="Q258" s="119"/>
      <c r="R258" s="75"/>
      <c r="S258" s="75"/>
      <c r="T258" s="75"/>
      <c r="U258" s="75"/>
      <c r="V258" s="94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3"/>
      <c r="AH258" s="74"/>
      <c r="AI258" s="75"/>
      <c r="AJ258" s="75"/>
      <c r="AK258" s="75"/>
      <c r="AL258" s="75"/>
      <c r="AM258" s="75"/>
      <c r="AN258" s="75"/>
      <c r="AO258" s="75"/>
      <c r="AP258" s="75"/>
      <c r="AR258" s="70"/>
      <c r="BC258" s="74"/>
      <c r="BD258" s="74"/>
    </row>
    <row r="259" spans="2:56" ht="16.5" x14ac:dyDescent="0.25">
      <c r="B259" s="69"/>
      <c r="E259" s="70" t="e">
        <f>VLOOKUP($D259,客戶編輯設定自動代出!$A:$C,3,0)</f>
        <v>#N/A</v>
      </c>
      <c r="F259" s="70" t="e">
        <f>VLOOKUP($D259,客戶編輯設定自動代出!$A:$C,2,0)</f>
        <v>#N/A</v>
      </c>
      <c r="G259" s="70" t="s">
        <v>1611</v>
      </c>
      <c r="K259" s="72">
        <f t="shared" si="58"/>
        <v>0</v>
      </c>
      <c r="M259" s="74">
        <f t="shared" si="59"/>
        <v>0</v>
      </c>
      <c r="N259" s="74">
        <f t="shared" si="60"/>
        <v>0</v>
      </c>
      <c r="O259" s="71" t="str">
        <f t="shared" si="61"/>
        <v>Y</v>
      </c>
      <c r="Q259" s="119"/>
      <c r="R259" s="75"/>
      <c r="S259" s="75"/>
      <c r="T259" s="75"/>
      <c r="U259" s="75"/>
      <c r="V259" s="94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3"/>
      <c r="AH259" s="75"/>
      <c r="AI259" s="75"/>
      <c r="AJ259" s="75"/>
      <c r="AK259" s="75"/>
      <c r="AL259" s="75"/>
      <c r="AM259" s="75"/>
      <c r="AN259" s="75"/>
      <c r="AO259" s="75"/>
      <c r="AP259" s="75"/>
      <c r="AR259" s="70"/>
      <c r="BC259" s="74"/>
      <c r="BD259" s="74"/>
    </row>
    <row r="260" spans="2:56" ht="16.5" x14ac:dyDescent="0.25">
      <c r="B260" s="69"/>
      <c r="E260" s="70" t="e">
        <f>VLOOKUP($D260,客戶編輯設定自動代出!$A:$C,3,0)</f>
        <v>#N/A</v>
      </c>
      <c r="F260" s="70" t="e">
        <f>VLOOKUP($D260,客戶編輯設定自動代出!$A:$C,2,0)</f>
        <v>#N/A</v>
      </c>
      <c r="G260" s="70" t="s">
        <v>1612</v>
      </c>
      <c r="K260" s="72">
        <f t="shared" si="58"/>
        <v>0</v>
      </c>
      <c r="M260" s="74">
        <f t="shared" si="59"/>
        <v>0</v>
      </c>
      <c r="N260" s="74">
        <f t="shared" si="60"/>
        <v>0</v>
      </c>
      <c r="O260" s="71" t="str">
        <f t="shared" si="61"/>
        <v>Y</v>
      </c>
      <c r="Q260" s="119"/>
      <c r="R260" s="75"/>
      <c r="S260" s="75"/>
      <c r="T260" s="75"/>
      <c r="U260" s="75"/>
      <c r="V260" s="94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3"/>
      <c r="AH260" s="75"/>
      <c r="AI260" s="75"/>
      <c r="AJ260" s="75"/>
      <c r="AK260" s="75"/>
      <c r="AL260" s="75"/>
      <c r="AM260" s="75"/>
      <c r="AN260" s="75"/>
      <c r="AO260" s="75"/>
      <c r="AP260" s="75"/>
      <c r="AR260" s="70"/>
      <c r="BC260" s="74"/>
      <c r="BD260" s="74"/>
    </row>
    <row r="261" spans="2:56" ht="16.5" x14ac:dyDescent="0.25">
      <c r="B261" s="69"/>
      <c r="E261" s="70" t="e">
        <f>VLOOKUP($D261,客戶編輯設定自動代出!$A:$C,3,0)</f>
        <v>#N/A</v>
      </c>
      <c r="F261" s="70" t="e">
        <f>VLOOKUP($D261,客戶編輯設定自動代出!$A:$C,2,0)</f>
        <v>#N/A</v>
      </c>
      <c r="G261" s="70" t="s">
        <v>1613</v>
      </c>
      <c r="K261" s="72">
        <f t="shared" si="58"/>
        <v>0</v>
      </c>
      <c r="M261" s="74">
        <f t="shared" si="59"/>
        <v>0</v>
      </c>
      <c r="N261" s="74">
        <f t="shared" si="60"/>
        <v>0</v>
      </c>
      <c r="O261" s="71" t="str">
        <f t="shared" si="61"/>
        <v>Y</v>
      </c>
      <c r="Q261" s="119"/>
      <c r="R261" s="75"/>
      <c r="S261" s="75"/>
      <c r="T261" s="75"/>
      <c r="U261" s="75"/>
      <c r="V261" s="94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3"/>
      <c r="AH261" s="75"/>
      <c r="AI261" s="75"/>
      <c r="AJ261" s="75"/>
      <c r="AK261" s="75"/>
      <c r="AL261" s="75"/>
      <c r="AM261" s="75"/>
      <c r="AN261" s="75"/>
      <c r="AO261" s="75"/>
      <c r="AP261" s="75"/>
      <c r="AR261" s="70"/>
      <c r="BC261" s="74"/>
      <c r="BD261" s="74"/>
    </row>
    <row r="262" spans="2:56" ht="16.5" x14ac:dyDescent="0.25">
      <c r="B262" s="69"/>
      <c r="E262" s="70" t="e">
        <f>VLOOKUP($D262,客戶編輯設定自動代出!$A:$C,3,0)</f>
        <v>#N/A</v>
      </c>
      <c r="F262" s="70" t="e">
        <f>VLOOKUP($D262,客戶編輯設定自動代出!$A:$C,2,0)</f>
        <v>#N/A</v>
      </c>
      <c r="G262" s="70" t="s">
        <v>1614</v>
      </c>
      <c r="K262" s="72">
        <f t="shared" si="58"/>
        <v>0</v>
      </c>
      <c r="M262" s="74">
        <f t="shared" si="59"/>
        <v>0</v>
      </c>
      <c r="N262" s="74">
        <f t="shared" si="60"/>
        <v>0</v>
      </c>
      <c r="O262" s="71" t="str">
        <f t="shared" si="61"/>
        <v>Y</v>
      </c>
      <c r="Q262" s="119"/>
      <c r="R262" s="75"/>
      <c r="S262" s="75"/>
      <c r="T262" s="75"/>
      <c r="U262" s="75"/>
      <c r="V262" s="94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3"/>
      <c r="AH262" s="75"/>
      <c r="AI262" s="75"/>
      <c r="AJ262" s="75"/>
      <c r="AK262" s="75"/>
      <c r="AL262" s="75"/>
      <c r="AM262" s="75"/>
      <c r="AN262" s="75"/>
      <c r="AO262" s="75"/>
      <c r="AP262" s="75"/>
      <c r="AR262" s="70"/>
      <c r="BC262" s="74"/>
      <c r="BD262" s="74"/>
    </row>
    <row r="263" spans="2:56" ht="16.5" x14ac:dyDescent="0.25">
      <c r="B263" s="69"/>
      <c r="E263" s="70" t="e">
        <f>VLOOKUP($D263,客戶編輯設定自動代出!$A:$C,3,0)</f>
        <v>#N/A</v>
      </c>
      <c r="F263" s="70" t="e">
        <f>VLOOKUP($D263,客戶編輯設定自動代出!$A:$C,2,0)</f>
        <v>#N/A</v>
      </c>
      <c r="G263" s="70" t="s">
        <v>1615</v>
      </c>
      <c r="K263" s="72">
        <f t="shared" si="58"/>
        <v>0</v>
      </c>
      <c r="M263" s="74">
        <f t="shared" si="59"/>
        <v>0</v>
      </c>
      <c r="N263" s="74">
        <f t="shared" si="60"/>
        <v>0</v>
      </c>
      <c r="O263" s="71" t="str">
        <f t="shared" si="61"/>
        <v>Y</v>
      </c>
      <c r="Q263" s="119"/>
      <c r="R263" s="75"/>
      <c r="S263" s="75"/>
      <c r="T263" s="75"/>
      <c r="U263" s="75"/>
      <c r="V263" s="94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3"/>
      <c r="AH263" s="75"/>
      <c r="AI263" s="75"/>
      <c r="AJ263" s="75"/>
      <c r="AK263" s="75"/>
      <c r="AL263" s="75"/>
      <c r="AM263" s="75"/>
      <c r="AN263" s="75"/>
      <c r="AO263" s="75"/>
      <c r="AP263" s="75"/>
      <c r="AR263" s="70"/>
      <c r="BC263" s="74"/>
      <c r="BD263" s="74"/>
    </row>
    <row r="264" spans="2:56" ht="16.5" x14ac:dyDescent="0.25">
      <c r="B264" s="69"/>
      <c r="E264" s="70" t="e">
        <f>VLOOKUP($D264,客戶編輯設定自動代出!$A:$C,3,0)</f>
        <v>#N/A</v>
      </c>
      <c r="F264" s="70" t="e">
        <f>VLOOKUP($D264,客戶編輯設定自動代出!$A:$C,2,0)</f>
        <v>#N/A</v>
      </c>
      <c r="G264" s="70" t="s">
        <v>1616</v>
      </c>
      <c r="K264" s="72">
        <f t="shared" ref="K264" si="66">I264*J264</f>
        <v>0</v>
      </c>
      <c r="M264" s="74">
        <f t="shared" ref="M264" si="67">L264/1.05</f>
        <v>0</v>
      </c>
      <c r="N264" s="74">
        <f t="shared" ref="N264" si="68">M264*0.05</f>
        <v>0</v>
      </c>
      <c r="O264" s="71" t="str">
        <f t="shared" ref="O264" si="69">IF($K264=$L264,"Y","N")</f>
        <v>Y</v>
      </c>
      <c r="Q264" s="119"/>
      <c r="R264" s="75"/>
      <c r="S264" s="75"/>
      <c r="T264" s="75"/>
      <c r="U264" s="75"/>
      <c r="V264" s="94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R264" s="70"/>
      <c r="BC264" s="74"/>
      <c r="BD264" s="74"/>
    </row>
    <row r="265" spans="2:56" ht="16.5" x14ac:dyDescent="0.25">
      <c r="B265" s="69"/>
      <c r="F265" s="70"/>
      <c r="J265" s="117"/>
      <c r="K265" s="117"/>
      <c r="M265" s="74"/>
      <c r="N265" s="74"/>
      <c r="R265" s="75"/>
      <c r="S265" s="75"/>
      <c r="T265" s="75"/>
      <c r="U265" s="75"/>
      <c r="V265" s="94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R265" s="70"/>
      <c r="BC265" s="74"/>
      <c r="BD265" s="74"/>
    </row>
    <row r="266" spans="2:56" ht="16.5" x14ac:dyDescent="0.25">
      <c r="B266" s="69"/>
      <c r="F266" s="70"/>
      <c r="L266" s="80">
        <f>SUM(L3:L265)</f>
        <v>863305</v>
      </c>
      <c r="M266" s="81">
        <f>SUM(M3:M265)</f>
        <v>822195.23809523799</v>
      </c>
      <c r="N266" s="81">
        <f>SUM(N3:N265)</f>
        <v>41108.333333333328</v>
      </c>
      <c r="R266" s="75"/>
      <c r="S266" s="75"/>
      <c r="T266" s="75"/>
      <c r="U266" s="75"/>
      <c r="V266" s="94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R266" s="70"/>
      <c r="BC266" s="74"/>
      <c r="BD266" s="74"/>
    </row>
    <row r="267" spans="2:56" ht="16.5" x14ac:dyDescent="0.25">
      <c r="B267" s="70"/>
      <c r="F267" s="70"/>
      <c r="M267" s="74"/>
      <c r="N267" s="74"/>
      <c r="R267" s="75"/>
      <c r="S267" s="75"/>
      <c r="T267" s="75"/>
      <c r="U267" s="75"/>
      <c r="V267" s="94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R267" s="70"/>
      <c r="BC267" s="74"/>
      <c r="BD267" s="74"/>
    </row>
    <row r="268" spans="2:56" ht="16.5" x14ac:dyDescent="0.25">
      <c r="B268" s="70"/>
      <c r="F268" s="70"/>
      <c r="R268" s="75"/>
      <c r="S268" s="75"/>
      <c r="T268" s="75"/>
      <c r="U268" s="75"/>
      <c r="V268" s="94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R268" s="70"/>
      <c r="BC268" s="74"/>
      <c r="BD268" s="74"/>
    </row>
    <row r="269" spans="2:56" ht="16.5" x14ac:dyDescent="0.25">
      <c r="B269" s="70"/>
      <c r="F269" s="70"/>
      <c r="R269" s="75"/>
      <c r="S269" s="75"/>
      <c r="T269" s="75"/>
      <c r="U269" s="75"/>
      <c r="V269" s="94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R269" s="70"/>
    </row>
    <row r="270" spans="2:56" ht="16.5" x14ac:dyDescent="0.25">
      <c r="B270" s="70"/>
      <c r="F270" s="70"/>
      <c r="R270" s="75"/>
      <c r="S270" s="75"/>
      <c r="T270" s="75"/>
      <c r="U270" s="75"/>
      <c r="V270" s="94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R270" s="70"/>
    </row>
    <row r="271" spans="2:56" ht="16.5" x14ac:dyDescent="0.25">
      <c r="B271" s="70"/>
      <c r="F271" s="70"/>
      <c r="R271" s="75"/>
      <c r="S271" s="75"/>
      <c r="T271" s="75"/>
      <c r="U271" s="75"/>
      <c r="V271" s="94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R271" s="70"/>
    </row>
    <row r="272" spans="2:56" ht="16.5" x14ac:dyDescent="0.25">
      <c r="B272" s="70"/>
      <c r="F272" s="70"/>
      <c r="R272" s="75"/>
      <c r="S272" s="75"/>
      <c r="T272" s="75"/>
      <c r="U272" s="75"/>
      <c r="V272" s="94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R272" s="70"/>
    </row>
    <row r="273" spans="2:44" ht="16.5" x14ac:dyDescent="0.25">
      <c r="B273" s="70"/>
      <c r="F273" s="70"/>
      <c r="R273" s="75"/>
      <c r="S273" s="75"/>
      <c r="T273" s="75"/>
      <c r="U273" s="75"/>
      <c r="V273" s="94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R273" s="70"/>
    </row>
    <row r="274" spans="2:44" ht="16.5" x14ac:dyDescent="0.25">
      <c r="B274" s="70"/>
      <c r="F274" s="70"/>
      <c r="R274" s="75"/>
      <c r="S274" s="75"/>
      <c r="T274" s="75"/>
      <c r="U274" s="75"/>
      <c r="V274" s="94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R274" s="70"/>
    </row>
    <row r="275" spans="2:44" ht="16.5" x14ac:dyDescent="0.25">
      <c r="B275" s="70"/>
      <c r="F275" s="70"/>
      <c r="R275" s="75"/>
      <c r="S275" s="75"/>
      <c r="T275" s="75"/>
      <c r="U275" s="75"/>
      <c r="V275" s="94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R275" s="70"/>
    </row>
    <row r="276" spans="2:44" ht="16.5" x14ac:dyDescent="0.25">
      <c r="B276" s="70"/>
      <c r="F276" s="70"/>
      <c r="R276" s="75"/>
      <c r="S276" s="75"/>
      <c r="T276" s="75"/>
      <c r="U276" s="75"/>
      <c r="V276" s="94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R276" s="70"/>
    </row>
    <row r="277" spans="2:44" ht="16.5" x14ac:dyDescent="0.25">
      <c r="B277" s="70"/>
      <c r="F277" s="70"/>
      <c r="R277" s="75"/>
      <c r="S277" s="75"/>
      <c r="T277" s="75"/>
      <c r="U277" s="75"/>
      <c r="V277" s="94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R277" s="70"/>
    </row>
    <row r="278" spans="2:44" ht="16.5" x14ac:dyDescent="0.25">
      <c r="B278" s="70"/>
      <c r="F278" s="70"/>
      <c r="R278" s="75"/>
      <c r="S278" s="75"/>
      <c r="T278" s="75"/>
      <c r="U278" s="75"/>
      <c r="V278" s="94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R278" s="70"/>
    </row>
    <row r="279" spans="2:44" ht="16.5" x14ac:dyDescent="0.25">
      <c r="B279" s="70"/>
      <c r="F279" s="70"/>
      <c r="R279" s="75"/>
      <c r="S279" s="75"/>
      <c r="T279" s="75"/>
      <c r="U279" s="75"/>
      <c r="V279" s="94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R279" s="70"/>
    </row>
    <row r="280" spans="2:44" ht="16.5" x14ac:dyDescent="0.25">
      <c r="B280" s="70"/>
      <c r="F280" s="70"/>
      <c r="R280" s="75"/>
      <c r="S280" s="75"/>
      <c r="T280" s="75"/>
      <c r="U280" s="75"/>
      <c r="V280" s="94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R280" s="70"/>
    </row>
    <row r="281" spans="2:44" ht="16.5" x14ac:dyDescent="0.25">
      <c r="B281" s="70"/>
      <c r="F281" s="70"/>
      <c r="R281" s="75"/>
      <c r="S281" s="75"/>
      <c r="T281" s="75"/>
      <c r="U281" s="75"/>
      <c r="V281" s="94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R281" s="70"/>
    </row>
    <row r="282" spans="2:44" ht="16.5" x14ac:dyDescent="0.25">
      <c r="B282" s="70"/>
      <c r="F282" s="70"/>
      <c r="R282" s="75"/>
      <c r="S282" s="75"/>
      <c r="T282" s="75"/>
      <c r="U282" s="75"/>
      <c r="V282" s="94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R282" s="70"/>
    </row>
    <row r="283" spans="2:44" ht="16.5" x14ac:dyDescent="0.25">
      <c r="B283" s="70"/>
      <c r="F283" s="70"/>
      <c r="R283" s="75"/>
      <c r="S283" s="75"/>
      <c r="T283" s="75"/>
      <c r="U283" s="75"/>
      <c r="V283" s="94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R283" s="70"/>
    </row>
    <row r="284" spans="2:44" ht="16.5" x14ac:dyDescent="0.25">
      <c r="B284" s="70"/>
      <c r="F284" s="70"/>
      <c r="R284" s="75"/>
      <c r="S284" s="75"/>
      <c r="T284" s="75"/>
      <c r="U284" s="75"/>
      <c r="V284" s="94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R284" s="70"/>
    </row>
    <row r="285" spans="2:44" ht="16.5" x14ac:dyDescent="0.25">
      <c r="B285" s="70"/>
      <c r="F285" s="70"/>
      <c r="R285" s="75"/>
      <c r="S285" s="75"/>
      <c r="T285" s="75"/>
      <c r="U285" s="75"/>
      <c r="V285" s="94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R285" s="70"/>
    </row>
    <row r="286" spans="2:44" ht="16.5" x14ac:dyDescent="0.25">
      <c r="B286" s="70"/>
      <c r="F286" s="70"/>
      <c r="R286" s="75"/>
      <c r="S286" s="75"/>
      <c r="T286" s="75"/>
      <c r="U286" s="75"/>
      <c r="V286" s="94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R286" s="70"/>
    </row>
    <row r="287" spans="2:44" ht="16.5" x14ac:dyDescent="0.25">
      <c r="B287" s="70"/>
      <c r="F287" s="70"/>
      <c r="R287" s="75"/>
      <c r="S287" s="75"/>
      <c r="T287" s="75"/>
      <c r="U287" s="75"/>
      <c r="V287" s="94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R287" s="70"/>
    </row>
    <row r="288" spans="2:44" ht="16.5" x14ac:dyDescent="0.25">
      <c r="B288" s="70"/>
      <c r="F288" s="70"/>
      <c r="R288" s="75"/>
      <c r="S288" s="75"/>
      <c r="T288" s="75"/>
      <c r="U288" s="75"/>
      <c r="V288" s="94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R288" s="70"/>
    </row>
    <row r="289" spans="2:44" ht="16.5" x14ac:dyDescent="0.25">
      <c r="B289" s="70"/>
      <c r="F289" s="70"/>
      <c r="R289" s="75"/>
      <c r="S289" s="75"/>
      <c r="T289" s="75"/>
      <c r="U289" s="75"/>
      <c r="V289" s="94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R289" s="70"/>
    </row>
    <row r="290" spans="2:44" ht="16.5" x14ac:dyDescent="0.25">
      <c r="B290" s="70"/>
      <c r="F290" s="70"/>
      <c r="R290" s="75"/>
      <c r="S290" s="75"/>
      <c r="T290" s="75"/>
      <c r="U290" s="75"/>
      <c r="V290" s="94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R290" s="70"/>
    </row>
    <row r="291" spans="2:44" ht="16.5" x14ac:dyDescent="0.25">
      <c r="B291" s="70"/>
      <c r="F291" s="70"/>
      <c r="R291" s="75"/>
      <c r="S291" s="75"/>
      <c r="T291" s="75"/>
      <c r="U291" s="75"/>
      <c r="V291" s="94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R291" s="70"/>
    </row>
    <row r="292" spans="2:44" ht="16.5" x14ac:dyDescent="0.25">
      <c r="B292" s="70"/>
      <c r="F292" s="70"/>
      <c r="R292" s="75"/>
      <c r="S292" s="75"/>
      <c r="T292" s="75"/>
      <c r="U292" s="75"/>
      <c r="V292" s="94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R292" s="70"/>
    </row>
    <row r="293" spans="2:44" ht="16.5" x14ac:dyDescent="0.25">
      <c r="B293" s="70"/>
      <c r="F293" s="70"/>
      <c r="R293" s="75"/>
      <c r="S293" s="75"/>
      <c r="T293" s="75"/>
      <c r="U293" s="75"/>
      <c r="V293" s="94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R293" s="70"/>
    </row>
    <row r="294" spans="2:44" ht="16.5" x14ac:dyDescent="0.25">
      <c r="B294" s="70"/>
      <c r="F294" s="70"/>
      <c r="R294" s="75"/>
      <c r="S294" s="75"/>
      <c r="T294" s="75"/>
      <c r="U294" s="75"/>
      <c r="V294" s="94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R294" s="70"/>
    </row>
    <row r="295" spans="2:44" ht="16.5" x14ac:dyDescent="0.25">
      <c r="B295" s="70"/>
      <c r="F295" s="70"/>
      <c r="R295" s="75"/>
      <c r="S295" s="75"/>
      <c r="T295" s="75"/>
      <c r="U295" s="75"/>
      <c r="V295" s="94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R295" s="70"/>
    </row>
    <row r="296" spans="2:44" ht="16.5" x14ac:dyDescent="0.25">
      <c r="B296" s="70"/>
      <c r="F296" s="70"/>
      <c r="R296" s="75"/>
      <c r="S296" s="75"/>
      <c r="T296" s="75"/>
      <c r="U296" s="75"/>
      <c r="V296" s="94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R296" s="70"/>
    </row>
    <row r="297" spans="2:44" ht="16.5" x14ac:dyDescent="0.25">
      <c r="B297" s="70"/>
      <c r="F297" s="70"/>
      <c r="M297" s="74"/>
      <c r="R297" s="75"/>
      <c r="S297" s="75"/>
      <c r="T297" s="75"/>
      <c r="U297" s="75"/>
      <c r="V297" s="94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R297" s="70"/>
    </row>
    <row r="298" spans="2:44" ht="16.5" x14ac:dyDescent="0.25">
      <c r="B298" s="70"/>
      <c r="F298" s="70"/>
      <c r="R298" s="75"/>
      <c r="S298" s="75"/>
      <c r="T298" s="75"/>
      <c r="U298" s="75"/>
      <c r="V298" s="94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R298" s="70"/>
    </row>
    <row r="299" spans="2:44" ht="16.5" x14ac:dyDescent="0.25">
      <c r="B299" s="70"/>
      <c r="F299" s="70"/>
      <c r="R299" s="75"/>
      <c r="S299" s="75"/>
      <c r="T299" s="75"/>
      <c r="U299" s="75"/>
      <c r="V299" s="94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R299" s="70"/>
    </row>
    <row r="300" spans="2:44" ht="16.5" x14ac:dyDescent="0.25">
      <c r="B300" s="70"/>
      <c r="F300" s="70"/>
      <c r="R300" s="75"/>
      <c r="S300" s="75"/>
      <c r="T300" s="75"/>
      <c r="U300" s="75"/>
      <c r="V300" s="94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R300" s="70"/>
    </row>
    <row r="301" spans="2:44" ht="16.5" x14ac:dyDescent="0.25">
      <c r="B301" s="70"/>
      <c r="F301" s="70"/>
      <c r="R301" s="75"/>
      <c r="S301" s="75"/>
      <c r="T301" s="75"/>
      <c r="U301" s="75"/>
      <c r="V301" s="94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R301" s="70"/>
    </row>
    <row r="302" spans="2:44" ht="16.5" x14ac:dyDescent="0.25">
      <c r="B302" s="70"/>
      <c r="F302" s="70"/>
      <c r="R302" s="75"/>
      <c r="S302" s="75"/>
      <c r="T302" s="75"/>
      <c r="U302" s="75"/>
      <c r="V302" s="94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R302" s="70"/>
    </row>
    <row r="303" spans="2:44" ht="16.5" x14ac:dyDescent="0.25">
      <c r="B303" s="70"/>
      <c r="F303" s="70"/>
      <c r="R303" s="75"/>
      <c r="S303" s="75"/>
      <c r="T303" s="75"/>
      <c r="U303" s="75"/>
      <c r="V303" s="94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R303" s="70"/>
    </row>
    <row r="304" spans="2:44" ht="16.5" x14ac:dyDescent="0.25">
      <c r="B304" s="70"/>
      <c r="F304" s="70"/>
      <c r="R304" s="75"/>
      <c r="S304" s="75"/>
      <c r="T304" s="75"/>
      <c r="U304" s="75"/>
      <c r="V304" s="94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R304" s="70"/>
    </row>
    <row r="305" spans="2:44" ht="16.5" x14ac:dyDescent="0.25">
      <c r="B305" s="70"/>
      <c r="F305" s="70"/>
      <c r="R305" s="75"/>
      <c r="S305" s="75"/>
      <c r="T305" s="75"/>
      <c r="U305" s="75"/>
      <c r="V305" s="94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R305" s="70"/>
    </row>
    <row r="306" spans="2:44" ht="16.5" x14ac:dyDescent="0.25">
      <c r="B306" s="70"/>
      <c r="F306" s="70"/>
      <c r="R306" s="75"/>
      <c r="S306" s="75"/>
      <c r="T306" s="75"/>
      <c r="U306" s="75"/>
      <c r="V306" s="94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R306" s="70"/>
    </row>
    <row r="307" spans="2:44" ht="16.5" x14ac:dyDescent="0.25">
      <c r="B307" s="70"/>
      <c r="F307" s="70"/>
      <c r="R307" s="75"/>
      <c r="S307" s="75"/>
      <c r="T307" s="75"/>
      <c r="U307" s="75"/>
      <c r="V307" s="94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R307" s="70"/>
    </row>
    <row r="308" spans="2:44" ht="16.5" x14ac:dyDescent="0.25">
      <c r="B308" s="70"/>
      <c r="F308" s="70"/>
      <c r="R308" s="75"/>
      <c r="S308" s="75"/>
      <c r="T308" s="75"/>
      <c r="U308" s="75"/>
      <c r="V308" s="94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R308" s="70"/>
    </row>
    <row r="309" spans="2:44" ht="16.5" x14ac:dyDescent="0.25">
      <c r="B309" s="70"/>
      <c r="F309" s="70"/>
      <c r="R309" s="75"/>
      <c r="S309" s="75"/>
      <c r="T309" s="75"/>
      <c r="U309" s="75"/>
      <c r="V309" s="94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R309" s="70"/>
    </row>
    <row r="310" spans="2:44" ht="16.5" x14ac:dyDescent="0.25">
      <c r="B310" s="70"/>
      <c r="F310" s="70"/>
      <c r="R310" s="75"/>
      <c r="S310" s="75"/>
      <c r="T310" s="75"/>
      <c r="U310" s="75"/>
      <c r="V310" s="94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  <c r="AN310" s="75"/>
      <c r="AO310" s="75"/>
      <c r="AP310" s="75"/>
      <c r="AR310" s="70"/>
    </row>
    <row r="311" spans="2:44" ht="16.5" x14ac:dyDescent="0.25">
      <c r="B311" s="70"/>
      <c r="F311" s="70"/>
      <c r="R311" s="75"/>
      <c r="S311" s="75"/>
      <c r="T311" s="75"/>
      <c r="U311" s="75"/>
      <c r="V311" s="94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75"/>
      <c r="AP311" s="75"/>
      <c r="AR311" s="70"/>
    </row>
    <row r="312" spans="2:44" ht="16.5" x14ac:dyDescent="0.25">
      <c r="B312" s="70"/>
      <c r="F312" s="70"/>
      <c r="R312" s="75"/>
      <c r="S312" s="75"/>
      <c r="T312" s="75"/>
      <c r="U312" s="75"/>
      <c r="V312" s="94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75"/>
      <c r="AN312" s="75"/>
      <c r="AO312" s="75"/>
      <c r="AP312" s="75"/>
      <c r="AR312" s="70"/>
    </row>
    <row r="313" spans="2:44" ht="16.5" x14ac:dyDescent="0.25">
      <c r="B313" s="70"/>
      <c r="F313" s="70"/>
      <c r="R313" s="75"/>
      <c r="S313" s="75"/>
      <c r="T313" s="75"/>
      <c r="U313" s="75"/>
      <c r="V313" s="94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75"/>
      <c r="AP313" s="75"/>
      <c r="AR313" s="70"/>
    </row>
    <row r="314" spans="2:44" ht="16.5" x14ac:dyDescent="0.25">
      <c r="B314" s="70"/>
      <c r="F314" s="70"/>
      <c r="R314" s="75"/>
      <c r="S314" s="75"/>
      <c r="T314" s="75"/>
      <c r="U314" s="75"/>
      <c r="V314" s="94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  <c r="AN314" s="75"/>
      <c r="AO314" s="75"/>
      <c r="AP314" s="75"/>
      <c r="AR314" s="70"/>
    </row>
    <row r="315" spans="2:44" ht="16.5" x14ac:dyDescent="0.25">
      <c r="B315" s="70"/>
      <c r="F315" s="70"/>
      <c r="R315" s="75"/>
      <c r="S315" s="75"/>
      <c r="T315" s="75"/>
      <c r="U315" s="75"/>
      <c r="V315" s="94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R315" s="70"/>
    </row>
    <row r="316" spans="2:44" ht="16.5" x14ac:dyDescent="0.25">
      <c r="B316" s="70"/>
      <c r="F316" s="70"/>
      <c r="R316" s="75"/>
      <c r="S316" s="75"/>
      <c r="T316" s="75"/>
      <c r="U316" s="75"/>
      <c r="V316" s="94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  <c r="AM316" s="75"/>
      <c r="AN316" s="75"/>
      <c r="AO316" s="75"/>
      <c r="AP316" s="75"/>
      <c r="AR316" s="70"/>
    </row>
    <row r="317" spans="2:44" ht="16.5" x14ac:dyDescent="0.25">
      <c r="B317" s="70"/>
      <c r="F317" s="70"/>
      <c r="R317" s="75"/>
      <c r="S317" s="75"/>
      <c r="T317" s="75"/>
      <c r="U317" s="75"/>
      <c r="V317" s="94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75"/>
      <c r="AN317" s="75"/>
      <c r="AO317" s="75"/>
      <c r="AP317" s="75"/>
      <c r="AR317" s="70"/>
    </row>
    <row r="318" spans="2:44" ht="16.5" x14ac:dyDescent="0.25">
      <c r="B318" s="70"/>
      <c r="F318" s="70"/>
      <c r="R318" s="75"/>
      <c r="S318" s="75"/>
      <c r="T318" s="75"/>
      <c r="U318" s="75"/>
      <c r="V318" s="94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75"/>
      <c r="AN318" s="75"/>
      <c r="AO318" s="75"/>
      <c r="AP318" s="75"/>
      <c r="AR318" s="70"/>
    </row>
    <row r="319" spans="2:44" ht="16.5" x14ac:dyDescent="0.25">
      <c r="B319" s="70"/>
      <c r="F319" s="70"/>
      <c r="R319" s="75"/>
      <c r="S319" s="75"/>
      <c r="T319" s="75"/>
      <c r="U319" s="75"/>
      <c r="V319" s="94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75"/>
      <c r="AN319" s="75"/>
      <c r="AO319" s="75"/>
      <c r="AP319" s="75"/>
      <c r="AR319" s="70"/>
    </row>
    <row r="320" spans="2:44" ht="16.5" x14ac:dyDescent="0.25">
      <c r="B320" s="70"/>
      <c r="F320" s="70"/>
      <c r="R320" s="75"/>
      <c r="S320" s="75"/>
      <c r="T320" s="75"/>
      <c r="U320" s="75"/>
      <c r="V320" s="94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  <c r="AN320" s="75"/>
      <c r="AO320" s="75"/>
      <c r="AP320" s="75"/>
      <c r="AR320" s="70"/>
    </row>
    <row r="321" spans="2:44" ht="16.5" x14ac:dyDescent="0.25">
      <c r="B321" s="70"/>
      <c r="F321" s="70"/>
      <c r="R321" s="75"/>
      <c r="S321" s="75"/>
      <c r="T321" s="75"/>
      <c r="U321" s="75"/>
      <c r="V321" s="94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75"/>
      <c r="AN321" s="75"/>
      <c r="AO321" s="75"/>
      <c r="AP321" s="75"/>
      <c r="AR321" s="70"/>
    </row>
    <row r="322" spans="2:44" ht="16.5" x14ac:dyDescent="0.25">
      <c r="B322" s="70"/>
      <c r="F322" s="70"/>
      <c r="R322" s="75"/>
      <c r="S322" s="75"/>
      <c r="T322" s="75"/>
      <c r="U322" s="75"/>
      <c r="V322" s="94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R322" s="70"/>
    </row>
    <row r="323" spans="2:44" ht="16.5" x14ac:dyDescent="0.25">
      <c r="B323" s="70"/>
      <c r="F323" s="70"/>
      <c r="R323" s="75"/>
      <c r="S323" s="75"/>
      <c r="T323" s="75"/>
      <c r="U323" s="75"/>
      <c r="V323" s="94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75"/>
      <c r="AN323" s="75"/>
      <c r="AO323" s="75"/>
      <c r="AP323" s="75"/>
      <c r="AR323" s="70"/>
    </row>
    <row r="324" spans="2:44" ht="16.5" x14ac:dyDescent="0.25">
      <c r="B324" s="70"/>
      <c r="F324" s="70"/>
      <c r="R324" s="75"/>
      <c r="S324" s="75"/>
      <c r="T324" s="75"/>
      <c r="U324" s="75"/>
      <c r="V324" s="94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  <c r="AN324" s="75"/>
      <c r="AO324" s="75"/>
      <c r="AP324" s="75"/>
      <c r="AR324" s="70"/>
    </row>
    <row r="325" spans="2:44" ht="16.5" x14ac:dyDescent="0.25">
      <c r="B325" s="70"/>
      <c r="F325" s="70"/>
      <c r="R325" s="75"/>
      <c r="S325" s="75"/>
      <c r="T325" s="75"/>
      <c r="U325" s="75"/>
      <c r="V325" s="94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  <c r="AM325" s="75"/>
      <c r="AN325" s="75"/>
      <c r="AO325" s="75"/>
      <c r="AP325" s="75"/>
      <c r="AR325" s="70"/>
    </row>
    <row r="326" spans="2:44" ht="16.5" x14ac:dyDescent="0.25">
      <c r="B326" s="70"/>
      <c r="F326" s="70"/>
      <c r="R326" s="75"/>
      <c r="S326" s="75"/>
      <c r="T326" s="75"/>
      <c r="U326" s="75"/>
      <c r="V326" s="94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75"/>
      <c r="AN326" s="75"/>
      <c r="AO326" s="75"/>
      <c r="AP326" s="75"/>
      <c r="AR326" s="70"/>
    </row>
    <row r="327" spans="2:44" ht="16.5" x14ac:dyDescent="0.25">
      <c r="B327" s="70"/>
      <c r="F327" s="70"/>
      <c r="R327" s="75"/>
      <c r="S327" s="75"/>
      <c r="T327" s="75"/>
      <c r="U327" s="75"/>
      <c r="V327" s="94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75"/>
      <c r="AO327" s="75"/>
      <c r="AP327" s="75"/>
      <c r="AR327" s="70"/>
    </row>
    <row r="328" spans="2:44" ht="16.5" x14ac:dyDescent="0.25">
      <c r="B328" s="70"/>
      <c r="F328" s="70"/>
      <c r="R328" s="75"/>
      <c r="S328" s="75"/>
      <c r="T328" s="75"/>
      <c r="U328" s="75"/>
      <c r="V328" s="94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75"/>
      <c r="AP328" s="75"/>
      <c r="AR328" s="70"/>
    </row>
    <row r="329" spans="2:44" ht="16.5" x14ac:dyDescent="0.25">
      <c r="B329" s="70"/>
      <c r="F329" s="70"/>
      <c r="R329" s="75"/>
      <c r="S329" s="75"/>
      <c r="T329" s="75"/>
      <c r="U329" s="75"/>
      <c r="V329" s="94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75"/>
      <c r="AN329" s="75"/>
      <c r="AO329" s="75"/>
      <c r="AP329" s="75"/>
      <c r="AR329" s="70"/>
    </row>
    <row r="330" spans="2:44" ht="16.5" x14ac:dyDescent="0.25">
      <c r="B330" s="70"/>
      <c r="F330" s="70"/>
      <c r="R330" s="75"/>
      <c r="S330" s="75"/>
      <c r="T330" s="75"/>
      <c r="U330" s="75"/>
      <c r="V330" s="94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  <c r="AN330" s="75"/>
      <c r="AO330" s="75"/>
      <c r="AP330" s="75"/>
      <c r="AR330" s="70"/>
    </row>
    <row r="331" spans="2:44" ht="16.5" x14ac:dyDescent="0.25">
      <c r="B331" s="70"/>
      <c r="F331" s="70"/>
      <c r="R331" s="75"/>
      <c r="S331" s="75"/>
      <c r="T331" s="75"/>
      <c r="U331" s="75"/>
      <c r="V331" s="94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R331" s="70"/>
    </row>
    <row r="332" spans="2:44" ht="16.5" x14ac:dyDescent="0.25">
      <c r="B332" s="70"/>
      <c r="F332" s="70"/>
      <c r="R332" s="75"/>
      <c r="S332" s="75"/>
      <c r="T332" s="75"/>
      <c r="U332" s="75"/>
      <c r="V332" s="94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75"/>
      <c r="AP332" s="75"/>
      <c r="AR332" s="70"/>
    </row>
    <row r="333" spans="2:44" ht="16.5" x14ac:dyDescent="0.25">
      <c r="B333" s="70"/>
      <c r="F333" s="70"/>
      <c r="R333" s="75"/>
      <c r="S333" s="75"/>
      <c r="T333" s="75"/>
      <c r="U333" s="75"/>
      <c r="V333" s="94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R333" s="70"/>
    </row>
    <row r="334" spans="2:44" ht="16.5" x14ac:dyDescent="0.25">
      <c r="B334" s="70"/>
      <c r="F334" s="70"/>
      <c r="R334" s="75"/>
      <c r="S334" s="75"/>
      <c r="T334" s="75"/>
      <c r="U334" s="75"/>
      <c r="V334" s="94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R334" s="70"/>
    </row>
    <row r="335" spans="2:44" ht="16.5" x14ac:dyDescent="0.25">
      <c r="B335" s="70"/>
      <c r="F335" s="70"/>
      <c r="R335" s="75"/>
      <c r="S335" s="75"/>
      <c r="T335" s="75"/>
      <c r="U335" s="75"/>
      <c r="V335" s="94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75"/>
      <c r="AP335" s="75"/>
      <c r="AR335" s="70"/>
    </row>
    <row r="336" spans="2:44" ht="16.5" x14ac:dyDescent="0.25">
      <c r="B336" s="70"/>
      <c r="F336" s="70"/>
      <c r="R336" s="75"/>
      <c r="S336" s="75"/>
      <c r="T336" s="75"/>
      <c r="U336" s="75"/>
      <c r="V336" s="94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R336" s="70"/>
    </row>
    <row r="337" spans="2:44" ht="16.5" x14ac:dyDescent="0.25">
      <c r="B337" s="70"/>
      <c r="F337" s="70"/>
      <c r="R337" s="75"/>
      <c r="S337" s="75"/>
      <c r="T337" s="75"/>
      <c r="U337" s="75"/>
      <c r="V337" s="94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75"/>
      <c r="AP337" s="75"/>
      <c r="AR337" s="70"/>
    </row>
    <row r="338" spans="2:44" ht="16.5" x14ac:dyDescent="0.25">
      <c r="B338" s="70"/>
      <c r="F338" s="70"/>
      <c r="R338" s="75"/>
      <c r="S338" s="75"/>
      <c r="T338" s="75"/>
      <c r="U338" s="75"/>
      <c r="V338" s="94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  <c r="AN338" s="75"/>
      <c r="AO338" s="75"/>
      <c r="AP338" s="75"/>
      <c r="AR338" s="70"/>
    </row>
    <row r="339" spans="2:44" ht="16.5" x14ac:dyDescent="0.25">
      <c r="B339" s="70"/>
      <c r="F339" s="70"/>
      <c r="R339" s="75"/>
      <c r="S339" s="75"/>
      <c r="T339" s="75"/>
      <c r="U339" s="75"/>
      <c r="V339" s="94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75"/>
      <c r="AP339" s="75"/>
      <c r="AR339" s="70"/>
    </row>
    <row r="340" spans="2:44" ht="16.5" x14ac:dyDescent="0.25">
      <c r="B340" s="70"/>
      <c r="F340" s="70"/>
      <c r="R340" s="75"/>
      <c r="S340" s="75"/>
      <c r="T340" s="75"/>
      <c r="U340" s="75"/>
      <c r="V340" s="94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R340" s="70"/>
    </row>
    <row r="341" spans="2:44" ht="16.5" x14ac:dyDescent="0.25">
      <c r="B341" s="70"/>
      <c r="F341" s="70"/>
      <c r="R341" s="75"/>
      <c r="S341" s="75"/>
      <c r="T341" s="75"/>
      <c r="U341" s="75"/>
      <c r="V341" s="94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R341" s="70"/>
    </row>
    <row r="342" spans="2:44" ht="16.5" x14ac:dyDescent="0.25">
      <c r="B342" s="70"/>
      <c r="F342" s="70"/>
      <c r="R342" s="75"/>
      <c r="S342" s="75"/>
      <c r="T342" s="75"/>
      <c r="U342" s="75"/>
      <c r="V342" s="94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75"/>
      <c r="AP342" s="75"/>
      <c r="AR342" s="70"/>
    </row>
    <row r="343" spans="2:44" ht="16.5" x14ac:dyDescent="0.25">
      <c r="B343" s="70"/>
      <c r="F343" s="70"/>
      <c r="R343" s="75"/>
      <c r="S343" s="75"/>
      <c r="T343" s="75"/>
      <c r="U343" s="75"/>
      <c r="V343" s="94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75"/>
      <c r="AP343" s="75"/>
      <c r="AR343" s="70"/>
    </row>
    <row r="344" spans="2:44" ht="16.5" x14ac:dyDescent="0.25">
      <c r="B344" s="70"/>
      <c r="F344" s="70"/>
      <c r="R344" s="75"/>
      <c r="S344" s="75"/>
      <c r="T344" s="75"/>
      <c r="U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75"/>
      <c r="AP344" s="75"/>
      <c r="AR344" s="70"/>
    </row>
    <row r="345" spans="2:44" ht="16.5" x14ac:dyDescent="0.25">
      <c r="B345" s="70"/>
      <c r="F345" s="70"/>
      <c r="R345" s="75"/>
      <c r="S345" s="75"/>
      <c r="T345" s="75"/>
      <c r="U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75"/>
      <c r="AP345" s="75"/>
      <c r="AR345" s="70"/>
    </row>
    <row r="346" spans="2:44" ht="16.5" x14ac:dyDescent="0.25">
      <c r="B346" s="70"/>
      <c r="F346" s="70"/>
      <c r="R346" s="75"/>
      <c r="S346" s="75"/>
      <c r="T346" s="75"/>
      <c r="U346" s="75"/>
      <c r="AR346" s="70"/>
    </row>
    <row r="347" spans="2:44" ht="16.5" x14ac:dyDescent="0.25">
      <c r="B347" s="70"/>
      <c r="F347" s="70"/>
      <c r="R347" s="75"/>
      <c r="S347" s="75"/>
      <c r="T347" s="75"/>
      <c r="U347" s="75"/>
      <c r="AR347" s="70"/>
    </row>
    <row r="348" spans="2:44" ht="16.5" x14ac:dyDescent="0.25">
      <c r="B348" s="70"/>
      <c r="F348" s="70"/>
      <c r="R348" s="75"/>
      <c r="S348" s="75"/>
      <c r="T348" s="75"/>
      <c r="U348" s="75"/>
      <c r="AR348" s="70"/>
    </row>
    <row r="349" spans="2:44" ht="16.5" x14ac:dyDescent="0.25">
      <c r="B349" s="70"/>
      <c r="F349" s="70"/>
      <c r="R349" s="75"/>
      <c r="S349" s="75"/>
      <c r="T349" s="75"/>
      <c r="U349" s="75"/>
      <c r="AR349" s="70"/>
    </row>
    <row r="350" spans="2:44" ht="16.5" x14ac:dyDescent="0.25">
      <c r="B350" s="70"/>
      <c r="F350" s="70"/>
      <c r="R350" s="75"/>
      <c r="AR350" s="70"/>
    </row>
    <row r="351" spans="2:44" ht="16.5" x14ac:dyDescent="0.25">
      <c r="B351" s="70"/>
      <c r="F351" s="70"/>
      <c r="R351" s="75"/>
      <c r="AR351" s="70"/>
    </row>
    <row r="352" spans="2:44" ht="16.5" x14ac:dyDescent="0.25">
      <c r="B352" s="70"/>
      <c r="F352" s="70"/>
      <c r="R352" s="75"/>
      <c r="AR352" s="70"/>
    </row>
    <row r="353" spans="2:44" ht="16.5" x14ac:dyDescent="0.25">
      <c r="B353" s="70"/>
      <c r="F353" s="70"/>
      <c r="R353" s="75"/>
      <c r="AR353" s="70"/>
    </row>
    <row r="354" spans="2:44" ht="16.5" x14ac:dyDescent="0.25">
      <c r="B354" s="70"/>
      <c r="F354" s="70"/>
      <c r="R354" s="75"/>
      <c r="AR354" s="70"/>
    </row>
    <row r="355" spans="2:44" ht="16.5" x14ac:dyDescent="0.25">
      <c r="B355" s="70"/>
      <c r="F355" s="70"/>
      <c r="R355" s="75"/>
      <c r="AR355" s="70"/>
    </row>
    <row r="356" spans="2:44" ht="16.5" x14ac:dyDescent="0.25">
      <c r="B356" s="70"/>
      <c r="F356" s="70"/>
      <c r="R356" s="75"/>
      <c r="AR356" s="70"/>
    </row>
    <row r="357" spans="2:44" ht="16.5" x14ac:dyDescent="0.25">
      <c r="B357" s="70"/>
      <c r="F357" s="70"/>
      <c r="R357" s="75"/>
      <c r="AR357" s="70"/>
    </row>
    <row r="358" spans="2:44" x14ac:dyDescent="0.25">
      <c r="B358" s="70"/>
      <c r="F358" s="70"/>
      <c r="AR358" s="70"/>
    </row>
    <row r="359" spans="2:44" x14ac:dyDescent="0.25">
      <c r="B359" s="70"/>
      <c r="F359" s="70"/>
      <c r="AR359" s="70"/>
    </row>
    <row r="360" spans="2:44" x14ac:dyDescent="0.25">
      <c r="B360" s="70"/>
      <c r="F360" s="70"/>
      <c r="AR360" s="70"/>
    </row>
    <row r="361" spans="2:44" x14ac:dyDescent="0.25">
      <c r="B361" s="70"/>
      <c r="F361" s="70"/>
      <c r="AR361" s="70"/>
    </row>
    <row r="362" spans="2:44" x14ac:dyDescent="0.25">
      <c r="B362" s="70"/>
      <c r="F362" s="70"/>
      <c r="AR362" s="70"/>
    </row>
    <row r="363" spans="2:44" x14ac:dyDescent="0.25">
      <c r="B363" s="70"/>
      <c r="F363" s="70"/>
      <c r="AR363" s="70"/>
    </row>
    <row r="364" spans="2:44" x14ac:dyDescent="0.25">
      <c r="B364" s="70"/>
      <c r="F364" s="70"/>
      <c r="AR364" s="70"/>
    </row>
    <row r="365" spans="2:44" x14ac:dyDescent="0.25">
      <c r="B365" s="70"/>
      <c r="F365" s="70"/>
      <c r="AR365" s="70"/>
    </row>
    <row r="366" spans="2:44" x14ac:dyDescent="0.25">
      <c r="B366" s="70"/>
      <c r="F366" s="70"/>
      <c r="AR366" s="70"/>
    </row>
    <row r="367" spans="2:44" x14ac:dyDescent="0.25">
      <c r="B367" s="70"/>
      <c r="F367" s="70"/>
      <c r="AR367" s="70"/>
    </row>
    <row r="368" spans="2:44" x14ac:dyDescent="0.25">
      <c r="B368" s="70"/>
      <c r="F368" s="70"/>
      <c r="AR368" s="70"/>
    </row>
    <row r="369" spans="2:44" x14ac:dyDescent="0.25">
      <c r="B369" s="70"/>
      <c r="F369" s="70"/>
      <c r="AR369" s="70"/>
    </row>
    <row r="370" spans="2:44" x14ac:dyDescent="0.25">
      <c r="B370" s="70"/>
      <c r="F370" s="70"/>
      <c r="AR370" s="70"/>
    </row>
    <row r="371" spans="2:44" x14ac:dyDescent="0.25">
      <c r="B371" s="70"/>
      <c r="F371" s="70"/>
      <c r="AR371" s="70"/>
    </row>
    <row r="372" spans="2:44" x14ac:dyDescent="0.25">
      <c r="B372" s="70"/>
      <c r="F372" s="70"/>
      <c r="AR372" s="70"/>
    </row>
    <row r="373" spans="2:44" x14ac:dyDescent="0.25">
      <c r="B373" s="70"/>
      <c r="F373" s="70"/>
      <c r="AR373" s="70"/>
    </row>
    <row r="374" spans="2:44" x14ac:dyDescent="0.25">
      <c r="B374" s="70"/>
      <c r="F374" s="70"/>
      <c r="AR374" s="70"/>
    </row>
    <row r="375" spans="2:44" x14ac:dyDescent="0.25">
      <c r="B375" s="70"/>
      <c r="F375" s="70"/>
      <c r="AR375" s="70"/>
    </row>
    <row r="376" spans="2:44" x14ac:dyDescent="0.25">
      <c r="B376" s="70"/>
      <c r="F376" s="70"/>
      <c r="AR376" s="70"/>
    </row>
    <row r="377" spans="2:44" x14ac:dyDescent="0.25">
      <c r="B377" s="70"/>
      <c r="F377" s="70"/>
      <c r="AR377" s="70"/>
    </row>
    <row r="378" spans="2:44" x14ac:dyDescent="0.25">
      <c r="B378" s="70"/>
      <c r="F378" s="70"/>
      <c r="AR378" s="70"/>
    </row>
    <row r="379" spans="2:44" x14ac:dyDescent="0.25">
      <c r="B379" s="70"/>
      <c r="F379" s="70"/>
      <c r="AR379" s="70"/>
    </row>
    <row r="380" spans="2:44" x14ac:dyDescent="0.25">
      <c r="B380" s="70"/>
      <c r="F380" s="70"/>
      <c r="AR380" s="70"/>
    </row>
    <row r="381" spans="2:44" x14ac:dyDescent="0.25">
      <c r="B381" s="70"/>
      <c r="F381" s="70"/>
      <c r="AR381" s="70"/>
    </row>
    <row r="382" spans="2:44" x14ac:dyDescent="0.25">
      <c r="B382" s="70"/>
      <c r="F382" s="70"/>
      <c r="AR382" s="70"/>
    </row>
    <row r="383" spans="2:44" x14ac:dyDescent="0.25">
      <c r="B383" s="70"/>
      <c r="F383" s="70"/>
      <c r="AR383" s="70"/>
    </row>
    <row r="384" spans="2:44" x14ac:dyDescent="0.25">
      <c r="B384" s="70"/>
      <c r="F384" s="70"/>
      <c r="AR384" s="70"/>
    </row>
    <row r="385" spans="2:44" x14ac:dyDescent="0.25">
      <c r="B385" s="70"/>
      <c r="F385" s="70"/>
      <c r="AR385" s="70"/>
    </row>
    <row r="386" spans="2:44" x14ac:dyDescent="0.25">
      <c r="B386" s="70"/>
      <c r="F386" s="70"/>
      <c r="AR386" s="70"/>
    </row>
    <row r="387" spans="2:44" x14ac:dyDescent="0.25">
      <c r="B387" s="70"/>
      <c r="F387" s="70"/>
      <c r="AR387" s="70"/>
    </row>
    <row r="388" spans="2:44" x14ac:dyDescent="0.25">
      <c r="B388" s="70"/>
      <c r="F388" s="70"/>
      <c r="AR388" s="70"/>
    </row>
    <row r="389" spans="2:44" x14ac:dyDescent="0.25">
      <c r="B389" s="70"/>
      <c r="F389" s="70"/>
      <c r="AR389" s="70"/>
    </row>
    <row r="390" spans="2:44" x14ac:dyDescent="0.25">
      <c r="B390" s="70"/>
      <c r="F390" s="70"/>
      <c r="AR390" s="70"/>
    </row>
    <row r="391" spans="2:44" x14ac:dyDescent="0.25">
      <c r="B391" s="70"/>
      <c r="F391" s="70"/>
      <c r="AR391" s="70"/>
    </row>
    <row r="392" spans="2:44" x14ac:dyDescent="0.25">
      <c r="B392" s="70"/>
      <c r="F392" s="70"/>
      <c r="AR392" s="70"/>
    </row>
    <row r="393" spans="2:44" x14ac:dyDescent="0.25">
      <c r="B393" s="70"/>
      <c r="F393" s="70"/>
      <c r="AR393" s="70"/>
    </row>
    <row r="394" spans="2:44" x14ac:dyDescent="0.25">
      <c r="B394" s="70"/>
      <c r="F394" s="70"/>
      <c r="AR394" s="70"/>
    </row>
    <row r="395" spans="2:44" x14ac:dyDescent="0.25">
      <c r="B395" s="70"/>
      <c r="F395" s="70"/>
      <c r="AR395" s="70"/>
    </row>
    <row r="396" spans="2:44" x14ac:dyDescent="0.25">
      <c r="B396" s="70"/>
      <c r="F396" s="70"/>
      <c r="AR396" s="70"/>
    </row>
    <row r="397" spans="2:44" x14ac:dyDescent="0.25">
      <c r="B397" s="70"/>
      <c r="F397" s="70"/>
      <c r="AR397" s="70"/>
    </row>
    <row r="398" spans="2:44" x14ac:dyDescent="0.25">
      <c r="B398" s="70"/>
      <c r="F398" s="70"/>
      <c r="AR398" s="70"/>
    </row>
    <row r="399" spans="2:44" x14ac:dyDescent="0.25">
      <c r="B399" s="70"/>
      <c r="F399" s="70"/>
      <c r="AR399" s="70"/>
    </row>
    <row r="400" spans="2:44" x14ac:dyDescent="0.25">
      <c r="B400" s="70"/>
      <c r="F400" s="70"/>
      <c r="AR400" s="70"/>
    </row>
    <row r="401" spans="2:44" x14ac:dyDescent="0.25">
      <c r="B401" s="70"/>
      <c r="F401" s="70"/>
      <c r="AR401" s="70"/>
    </row>
    <row r="402" spans="2:44" x14ac:dyDescent="0.25">
      <c r="B402" s="70"/>
      <c r="F402" s="70"/>
      <c r="AR402" s="70"/>
    </row>
    <row r="403" spans="2:44" x14ac:dyDescent="0.25">
      <c r="B403" s="70"/>
      <c r="F403" s="70"/>
      <c r="AR403" s="70"/>
    </row>
    <row r="404" spans="2:44" x14ac:dyDescent="0.25">
      <c r="B404" s="70"/>
      <c r="F404" s="70"/>
      <c r="AR404" s="70"/>
    </row>
    <row r="405" spans="2:44" x14ac:dyDescent="0.25">
      <c r="B405" s="70"/>
      <c r="F405" s="70"/>
      <c r="AR405" s="70"/>
    </row>
    <row r="406" spans="2:44" x14ac:dyDescent="0.25">
      <c r="B406" s="70"/>
      <c r="F406" s="70"/>
      <c r="AR406" s="70"/>
    </row>
    <row r="407" spans="2:44" x14ac:dyDescent="0.25">
      <c r="B407" s="70"/>
      <c r="F407" s="70"/>
      <c r="AR407" s="70"/>
    </row>
    <row r="408" spans="2:44" x14ac:dyDescent="0.25">
      <c r="B408" s="70"/>
      <c r="F408" s="70"/>
      <c r="AR408" s="70"/>
    </row>
    <row r="409" spans="2:44" x14ac:dyDescent="0.25">
      <c r="B409" s="70"/>
      <c r="F409" s="70"/>
      <c r="AR409" s="70"/>
    </row>
    <row r="410" spans="2:44" x14ac:dyDescent="0.25">
      <c r="B410" s="70"/>
      <c r="F410" s="70"/>
      <c r="AR410" s="70"/>
    </row>
    <row r="411" spans="2:44" x14ac:dyDescent="0.25">
      <c r="B411" s="70"/>
      <c r="F411" s="70"/>
      <c r="AR411" s="70"/>
    </row>
    <row r="412" spans="2:44" x14ac:dyDescent="0.25">
      <c r="B412" s="70"/>
      <c r="F412" s="70"/>
      <c r="AR412" s="70"/>
    </row>
    <row r="413" spans="2:44" x14ac:dyDescent="0.25">
      <c r="B413" s="70"/>
      <c r="F413" s="70"/>
      <c r="AR413" s="70"/>
    </row>
    <row r="414" spans="2:44" x14ac:dyDescent="0.25">
      <c r="B414" s="70"/>
      <c r="F414" s="70"/>
      <c r="AR414" s="70"/>
    </row>
    <row r="415" spans="2:44" x14ac:dyDescent="0.25">
      <c r="B415" s="70"/>
      <c r="F415" s="70"/>
      <c r="AR415" s="70"/>
    </row>
    <row r="416" spans="2:44" x14ac:dyDescent="0.25">
      <c r="B416" s="70"/>
      <c r="F416" s="70"/>
      <c r="AR416" s="70"/>
    </row>
    <row r="417" spans="2:44" x14ac:dyDescent="0.25">
      <c r="B417" s="70"/>
      <c r="F417" s="70"/>
      <c r="AR417" s="70"/>
    </row>
    <row r="418" spans="2:44" x14ac:dyDescent="0.25">
      <c r="B418" s="70"/>
      <c r="F418" s="70"/>
      <c r="AR418" s="70"/>
    </row>
    <row r="419" spans="2:44" x14ac:dyDescent="0.25">
      <c r="B419" s="70"/>
      <c r="F419" s="70"/>
      <c r="AR419" s="70"/>
    </row>
    <row r="420" spans="2:44" x14ac:dyDescent="0.25">
      <c r="B420" s="70"/>
      <c r="F420" s="70"/>
      <c r="AR420" s="70"/>
    </row>
    <row r="421" spans="2:44" x14ac:dyDescent="0.25">
      <c r="B421" s="70"/>
      <c r="F421" s="70"/>
      <c r="AR421" s="70"/>
    </row>
    <row r="422" spans="2:44" x14ac:dyDescent="0.25">
      <c r="B422" s="70"/>
      <c r="F422" s="70"/>
      <c r="AR422" s="70"/>
    </row>
    <row r="423" spans="2:44" x14ac:dyDescent="0.25">
      <c r="B423" s="70"/>
      <c r="F423" s="70"/>
      <c r="AR423" s="70"/>
    </row>
    <row r="424" spans="2:44" x14ac:dyDescent="0.25">
      <c r="B424" s="70"/>
      <c r="F424" s="70"/>
      <c r="AR424" s="70"/>
    </row>
    <row r="425" spans="2:44" x14ac:dyDescent="0.25">
      <c r="B425" s="70"/>
      <c r="F425" s="70"/>
      <c r="AR425" s="70"/>
    </row>
    <row r="426" spans="2:44" x14ac:dyDescent="0.25">
      <c r="B426" s="70"/>
      <c r="F426" s="70"/>
      <c r="AR426" s="70"/>
    </row>
    <row r="427" spans="2:44" x14ac:dyDescent="0.25">
      <c r="B427" s="70"/>
      <c r="F427" s="70"/>
      <c r="AR427" s="70"/>
    </row>
    <row r="428" spans="2:44" x14ac:dyDescent="0.25">
      <c r="B428" s="70"/>
      <c r="F428" s="70"/>
      <c r="AR428" s="70"/>
    </row>
    <row r="429" spans="2:44" x14ac:dyDescent="0.25">
      <c r="B429" s="70"/>
      <c r="F429" s="70"/>
      <c r="AR429" s="70"/>
    </row>
    <row r="430" spans="2:44" x14ac:dyDescent="0.25">
      <c r="B430" s="70"/>
      <c r="F430" s="70"/>
      <c r="AR430" s="70"/>
    </row>
    <row r="431" spans="2:44" x14ac:dyDescent="0.25">
      <c r="B431" s="70"/>
      <c r="F431" s="70"/>
      <c r="AR431" s="70"/>
    </row>
    <row r="432" spans="2:44" x14ac:dyDescent="0.25">
      <c r="B432" s="70"/>
      <c r="F432" s="70"/>
      <c r="AR432" s="70"/>
    </row>
    <row r="433" spans="2:44" x14ac:dyDescent="0.25">
      <c r="B433" s="70"/>
      <c r="F433" s="70"/>
      <c r="AR433" s="70"/>
    </row>
    <row r="434" spans="2:44" x14ac:dyDescent="0.25">
      <c r="B434" s="70"/>
      <c r="F434" s="70"/>
      <c r="AR434" s="70"/>
    </row>
    <row r="435" spans="2:44" x14ac:dyDescent="0.25">
      <c r="B435" s="70"/>
      <c r="F435" s="70"/>
      <c r="AR435" s="70"/>
    </row>
    <row r="436" spans="2:44" x14ac:dyDescent="0.25">
      <c r="B436" s="70"/>
      <c r="F436" s="70"/>
      <c r="AR436" s="70"/>
    </row>
    <row r="437" spans="2:44" x14ac:dyDescent="0.25">
      <c r="B437" s="70"/>
      <c r="F437" s="70"/>
      <c r="AR437" s="70"/>
    </row>
    <row r="438" spans="2:44" x14ac:dyDescent="0.25">
      <c r="B438" s="70"/>
      <c r="F438" s="70"/>
      <c r="AR438" s="70"/>
    </row>
    <row r="439" spans="2:44" x14ac:dyDescent="0.25">
      <c r="B439" s="70"/>
      <c r="F439" s="70"/>
      <c r="AR439" s="70"/>
    </row>
    <row r="440" spans="2:44" x14ac:dyDescent="0.25">
      <c r="B440" s="70"/>
      <c r="F440" s="70"/>
      <c r="AR440" s="70"/>
    </row>
    <row r="441" spans="2:44" x14ac:dyDescent="0.25">
      <c r="B441" s="70"/>
      <c r="F441" s="70"/>
      <c r="AR441" s="70"/>
    </row>
    <row r="442" spans="2:44" x14ac:dyDescent="0.25">
      <c r="B442" s="70"/>
      <c r="F442" s="70"/>
      <c r="AR442" s="70"/>
    </row>
    <row r="443" spans="2:44" x14ac:dyDescent="0.25">
      <c r="B443" s="70"/>
      <c r="F443" s="70"/>
      <c r="AR443" s="70"/>
    </row>
    <row r="444" spans="2:44" x14ac:dyDescent="0.25">
      <c r="B444" s="70"/>
      <c r="F444" s="70"/>
      <c r="AR444" s="70"/>
    </row>
    <row r="445" spans="2:44" x14ac:dyDescent="0.25">
      <c r="B445" s="70"/>
      <c r="F445" s="70"/>
      <c r="AR445" s="70"/>
    </row>
    <row r="446" spans="2:44" x14ac:dyDescent="0.25">
      <c r="B446" s="70"/>
      <c r="F446" s="70"/>
      <c r="AR446" s="70"/>
    </row>
    <row r="447" spans="2:44" x14ac:dyDescent="0.25">
      <c r="B447" s="70"/>
      <c r="F447" s="70"/>
      <c r="AR447" s="70"/>
    </row>
    <row r="448" spans="2:44" x14ac:dyDescent="0.25">
      <c r="B448" s="70"/>
      <c r="F448" s="70"/>
      <c r="AR448" s="70"/>
    </row>
    <row r="449" spans="2:44" x14ac:dyDescent="0.25">
      <c r="B449" s="70"/>
      <c r="F449" s="70"/>
      <c r="AR449" s="70"/>
    </row>
    <row r="450" spans="2:44" x14ac:dyDescent="0.25">
      <c r="B450" s="70"/>
      <c r="F450" s="70"/>
      <c r="AR450" s="70"/>
    </row>
    <row r="451" spans="2:44" x14ac:dyDescent="0.25">
      <c r="B451" s="70"/>
      <c r="F451" s="70"/>
      <c r="AR451" s="70"/>
    </row>
    <row r="452" spans="2:44" x14ac:dyDescent="0.25">
      <c r="B452" s="70"/>
      <c r="F452" s="70"/>
      <c r="AR452" s="70"/>
    </row>
    <row r="453" spans="2:44" x14ac:dyDescent="0.25">
      <c r="B453" s="70"/>
      <c r="F453" s="70"/>
      <c r="AR453" s="70"/>
    </row>
    <row r="454" spans="2:44" x14ac:dyDescent="0.25">
      <c r="B454" s="70"/>
      <c r="F454" s="70"/>
      <c r="AR454" s="70"/>
    </row>
    <row r="455" spans="2:44" x14ac:dyDescent="0.25">
      <c r="B455" s="70"/>
      <c r="F455" s="70"/>
      <c r="AR455" s="70"/>
    </row>
    <row r="456" spans="2:44" x14ac:dyDescent="0.25">
      <c r="B456" s="70"/>
      <c r="F456" s="70"/>
      <c r="AR456" s="70"/>
    </row>
    <row r="457" spans="2:44" x14ac:dyDescent="0.25">
      <c r="B457" s="70"/>
      <c r="F457" s="70"/>
      <c r="AR457" s="70"/>
    </row>
    <row r="458" spans="2:44" x14ac:dyDescent="0.25">
      <c r="B458" s="70"/>
      <c r="F458" s="70"/>
      <c r="AR458" s="70"/>
    </row>
    <row r="459" spans="2:44" x14ac:dyDescent="0.25">
      <c r="B459" s="70"/>
      <c r="F459" s="70"/>
      <c r="AR459" s="70"/>
    </row>
    <row r="460" spans="2:44" x14ac:dyDescent="0.25">
      <c r="B460" s="70"/>
      <c r="F460" s="70"/>
      <c r="AR460" s="70"/>
    </row>
    <row r="461" spans="2:44" x14ac:dyDescent="0.25">
      <c r="B461" s="70"/>
      <c r="F461" s="70"/>
      <c r="AR461" s="70"/>
    </row>
    <row r="462" spans="2:44" x14ac:dyDescent="0.25">
      <c r="B462" s="70"/>
      <c r="F462" s="70"/>
      <c r="AR462" s="70"/>
    </row>
    <row r="463" spans="2:44" x14ac:dyDescent="0.25">
      <c r="B463" s="70"/>
      <c r="F463" s="70"/>
      <c r="AR463" s="70"/>
    </row>
    <row r="464" spans="2:44" x14ac:dyDescent="0.25">
      <c r="B464" s="70"/>
      <c r="F464" s="70"/>
      <c r="AR464" s="70"/>
    </row>
    <row r="465" spans="2:44" x14ac:dyDescent="0.25">
      <c r="B465" s="70"/>
      <c r="F465" s="70"/>
      <c r="AR465" s="70"/>
    </row>
    <row r="466" spans="2:44" x14ac:dyDescent="0.25">
      <c r="B466" s="70"/>
      <c r="F466" s="70"/>
      <c r="AR466" s="70"/>
    </row>
    <row r="467" spans="2:44" x14ac:dyDescent="0.25">
      <c r="B467" s="70"/>
      <c r="F467" s="70"/>
      <c r="AR467" s="70"/>
    </row>
    <row r="468" spans="2:44" x14ac:dyDescent="0.25">
      <c r="B468" s="70"/>
      <c r="F468" s="70"/>
      <c r="AR468" s="70"/>
    </row>
    <row r="469" spans="2:44" x14ac:dyDescent="0.25">
      <c r="B469" s="70"/>
      <c r="F469" s="70"/>
      <c r="AR469" s="70"/>
    </row>
    <row r="470" spans="2:44" x14ac:dyDescent="0.25">
      <c r="B470" s="70"/>
      <c r="F470" s="70"/>
      <c r="AR470" s="70"/>
    </row>
    <row r="471" spans="2:44" x14ac:dyDescent="0.25">
      <c r="B471" s="70"/>
      <c r="F471" s="70"/>
      <c r="AR471" s="70"/>
    </row>
    <row r="472" spans="2:44" x14ac:dyDescent="0.25">
      <c r="B472" s="70"/>
      <c r="F472" s="70"/>
      <c r="AR472" s="70"/>
    </row>
    <row r="473" spans="2:44" x14ac:dyDescent="0.25">
      <c r="B473" s="70"/>
      <c r="F473" s="70"/>
      <c r="AR473" s="70"/>
    </row>
    <row r="474" spans="2:44" x14ac:dyDescent="0.25">
      <c r="B474" s="70"/>
      <c r="F474" s="70"/>
      <c r="AR474" s="70"/>
    </row>
    <row r="475" spans="2:44" x14ac:dyDescent="0.25">
      <c r="B475" s="70"/>
      <c r="F475" s="70"/>
      <c r="AR475" s="70"/>
    </row>
    <row r="476" spans="2:44" x14ac:dyDescent="0.25">
      <c r="B476" s="70"/>
      <c r="F476" s="70"/>
      <c r="AR476" s="70"/>
    </row>
    <row r="477" spans="2:44" x14ac:dyDescent="0.25">
      <c r="B477" s="70"/>
      <c r="F477" s="70"/>
      <c r="AR477" s="70"/>
    </row>
    <row r="478" spans="2:44" x14ac:dyDescent="0.25">
      <c r="B478" s="70"/>
      <c r="F478" s="70"/>
      <c r="AR478" s="70"/>
    </row>
    <row r="479" spans="2:44" x14ac:dyDescent="0.25">
      <c r="B479" s="70"/>
      <c r="F479" s="70"/>
      <c r="AR479" s="70"/>
    </row>
    <row r="480" spans="2:44" x14ac:dyDescent="0.25">
      <c r="B480" s="70"/>
      <c r="F480" s="70"/>
      <c r="AR480" s="70"/>
    </row>
    <row r="481" spans="2:44" x14ac:dyDescent="0.25">
      <c r="B481" s="70"/>
      <c r="F481" s="70"/>
      <c r="AR481" s="70"/>
    </row>
    <row r="482" spans="2:44" x14ac:dyDescent="0.25">
      <c r="B482" s="70"/>
      <c r="F482" s="70"/>
      <c r="AR482" s="70"/>
    </row>
    <row r="483" spans="2:44" x14ac:dyDescent="0.25">
      <c r="B483" s="70"/>
      <c r="F483" s="70"/>
      <c r="AR483" s="70"/>
    </row>
    <row r="484" spans="2:44" x14ac:dyDescent="0.25">
      <c r="B484" s="70"/>
      <c r="F484" s="70"/>
      <c r="AR484" s="70"/>
    </row>
    <row r="485" spans="2:44" x14ac:dyDescent="0.25">
      <c r="B485" s="70"/>
      <c r="F485" s="70"/>
      <c r="AR485" s="70"/>
    </row>
    <row r="486" spans="2:44" x14ac:dyDescent="0.25">
      <c r="B486" s="70"/>
      <c r="F486" s="70"/>
      <c r="AR486" s="70"/>
    </row>
    <row r="487" spans="2:44" x14ac:dyDescent="0.25">
      <c r="B487" s="70"/>
      <c r="F487" s="70"/>
      <c r="AR487" s="70"/>
    </row>
    <row r="488" spans="2:44" x14ac:dyDescent="0.25">
      <c r="B488" s="70"/>
      <c r="F488" s="70"/>
      <c r="AR488" s="70"/>
    </row>
    <row r="489" spans="2:44" x14ac:dyDescent="0.25">
      <c r="B489" s="70"/>
      <c r="F489" s="70"/>
      <c r="AR489" s="70"/>
    </row>
    <row r="490" spans="2:44" x14ac:dyDescent="0.25">
      <c r="B490" s="70"/>
      <c r="F490" s="70"/>
      <c r="AR490" s="70"/>
    </row>
    <row r="491" spans="2:44" x14ac:dyDescent="0.25">
      <c r="B491" s="70"/>
      <c r="F491" s="70"/>
      <c r="AR491" s="70"/>
    </row>
    <row r="492" spans="2:44" x14ac:dyDescent="0.25">
      <c r="B492" s="70"/>
      <c r="F492" s="70"/>
      <c r="AR492" s="70"/>
    </row>
    <row r="493" spans="2:44" x14ac:dyDescent="0.25">
      <c r="B493" s="70"/>
      <c r="F493" s="70"/>
      <c r="AR493" s="70"/>
    </row>
    <row r="494" spans="2:44" x14ac:dyDescent="0.25">
      <c r="B494" s="70"/>
      <c r="F494" s="70"/>
      <c r="AR494" s="70"/>
    </row>
    <row r="495" spans="2:44" x14ac:dyDescent="0.25">
      <c r="B495" s="70"/>
      <c r="F495" s="70"/>
      <c r="AR495" s="70"/>
    </row>
    <row r="496" spans="2:44" x14ac:dyDescent="0.25">
      <c r="B496" s="70"/>
      <c r="F496" s="70"/>
      <c r="AR496" s="70"/>
    </row>
    <row r="497" spans="2:44" x14ac:dyDescent="0.25">
      <c r="B497" s="70"/>
      <c r="F497" s="70"/>
      <c r="AR497" s="70"/>
    </row>
    <row r="498" spans="2:44" x14ac:dyDescent="0.25">
      <c r="B498" s="70"/>
      <c r="F498" s="70"/>
      <c r="AR498" s="70"/>
    </row>
    <row r="499" spans="2:44" x14ac:dyDescent="0.25">
      <c r="B499" s="70"/>
      <c r="F499" s="70"/>
      <c r="AR499" s="70"/>
    </row>
    <row r="500" spans="2:44" x14ac:dyDescent="0.25">
      <c r="B500" s="70"/>
      <c r="F500" s="70"/>
      <c r="AR500" s="70"/>
    </row>
    <row r="501" spans="2:44" x14ac:dyDescent="0.25">
      <c r="B501" s="70"/>
      <c r="F501" s="70"/>
      <c r="AR501" s="70"/>
    </row>
    <row r="502" spans="2:44" x14ac:dyDescent="0.25">
      <c r="B502" s="70"/>
      <c r="F502" s="70"/>
      <c r="AR502" s="70"/>
    </row>
    <row r="503" spans="2:44" x14ac:dyDescent="0.25">
      <c r="B503" s="70"/>
      <c r="F503" s="70"/>
      <c r="AR503" s="70"/>
    </row>
    <row r="504" spans="2:44" x14ac:dyDescent="0.25">
      <c r="B504" s="70"/>
      <c r="F504" s="70"/>
      <c r="AR504" s="70"/>
    </row>
    <row r="505" spans="2:44" x14ac:dyDescent="0.25">
      <c r="B505" s="70"/>
      <c r="F505" s="70"/>
      <c r="AR505" s="70"/>
    </row>
    <row r="506" spans="2:44" x14ac:dyDescent="0.25">
      <c r="B506" s="70"/>
      <c r="F506" s="70"/>
      <c r="AR506" s="70"/>
    </row>
    <row r="507" spans="2:44" x14ac:dyDescent="0.25">
      <c r="B507" s="70"/>
      <c r="F507" s="70"/>
      <c r="L507" s="73" t="s">
        <v>362</v>
      </c>
      <c r="AR507" s="70"/>
    </row>
    <row r="508" spans="2:44" x14ac:dyDescent="0.25">
      <c r="B508" s="70"/>
      <c r="F508" s="70"/>
      <c r="AR508" s="70"/>
    </row>
    <row r="509" spans="2:44" x14ac:dyDescent="0.25">
      <c r="B509" s="70"/>
      <c r="F509" s="70"/>
      <c r="AR509" s="70"/>
    </row>
    <row r="510" spans="2:44" x14ac:dyDescent="0.25">
      <c r="B510" s="70"/>
      <c r="F510" s="70"/>
      <c r="AR510" s="70"/>
    </row>
    <row r="511" spans="2:44" x14ac:dyDescent="0.25">
      <c r="B511" s="70"/>
      <c r="F511" s="70"/>
      <c r="AR511" s="70"/>
    </row>
    <row r="512" spans="2:44" x14ac:dyDescent="0.25">
      <c r="B512" s="70"/>
      <c r="F512" s="70"/>
      <c r="AR512" s="70"/>
    </row>
    <row r="513" spans="2:44" x14ac:dyDescent="0.25">
      <c r="B513" s="70"/>
      <c r="F513" s="70"/>
      <c r="AR513" s="70"/>
    </row>
    <row r="514" spans="2:44" x14ac:dyDescent="0.25">
      <c r="B514" s="70"/>
      <c r="F514" s="70"/>
      <c r="AR514" s="70"/>
    </row>
    <row r="515" spans="2:44" x14ac:dyDescent="0.25">
      <c r="B515" s="70"/>
      <c r="F515" s="70"/>
      <c r="AR515" s="70"/>
    </row>
    <row r="516" spans="2:44" x14ac:dyDescent="0.25">
      <c r="B516" s="70"/>
      <c r="F516" s="70"/>
      <c r="AR516" s="70"/>
    </row>
    <row r="517" spans="2:44" x14ac:dyDescent="0.25">
      <c r="B517" s="70"/>
      <c r="F517" s="70"/>
      <c r="AR517" s="70"/>
    </row>
    <row r="518" spans="2:44" x14ac:dyDescent="0.25">
      <c r="B518" s="70"/>
      <c r="F518" s="70"/>
      <c r="O518" s="83"/>
      <c r="P518" s="83"/>
      <c r="Q518" s="83"/>
      <c r="AR518" s="70"/>
    </row>
    <row r="519" spans="2:44" x14ac:dyDescent="0.25">
      <c r="B519" s="70"/>
      <c r="F519" s="70"/>
      <c r="AR519" s="70"/>
    </row>
    <row r="520" spans="2:44" x14ac:dyDescent="0.25">
      <c r="B520" s="70"/>
      <c r="F520" s="70"/>
      <c r="AR520" s="70"/>
    </row>
    <row r="521" spans="2:44" x14ac:dyDescent="0.25">
      <c r="B521" s="70"/>
      <c r="F521" s="70"/>
      <c r="AR521" s="70"/>
    </row>
    <row r="522" spans="2:44" x14ac:dyDescent="0.25">
      <c r="B522" s="70"/>
      <c r="F522" s="70"/>
      <c r="AR522" s="70"/>
    </row>
    <row r="523" spans="2:44" x14ac:dyDescent="0.25">
      <c r="B523" s="70"/>
      <c r="F523" s="70"/>
      <c r="AR523" s="70"/>
    </row>
    <row r="524" spans="2:44" x14ac:dyDescent="0.25">
      <c r="B524" s="70"/>
      <c r="F524" s="70"/>
      <c r="AR524" s="70"/>
    </row>
    <row r="525" spans="2:44" x14ac:dyDescent="0.25">
      <c r="B525" s="70"/>
      <c r="F525" s="70"/>
      <c r="AR525" s="70"/>
    </row>
    <row r="526" spans="2:44" x14ac:dyDescent="0.25">
      <c r="B526" s="70"/>
      <c r="F526" s="70"/>
      <c r="AR526" s="70"/>
    </row>
    <row r="527" spans="2:44" x14ac:dyDescent="0.25">
      <c r="B527" s="70"/>
      <c r="F527" s="70"/>
      <c r="AR527" s="70"/>
    </row>
    <row r="528" spans="2:44" x14ac:dyDescent="0.25">
      <c r="B528" s="70"/>
      <c r="F528" s="70"/>
      <c r="AR528" s="70"/>
    </row>
    <row r="529" spans="2:44" x14ac:dyDescent="0.25">
      <c r="B529" s="70"/>
      <c r="F529" s="70"/>
      <c r="AR529" s="70"/>
    </row>
    <row r="530" spans="2:44" x14ac:dyDescent="0.25">
      <c r="B530" s="70"/>
      <c r="F530" s="70"/>
      <c r="AR530" s="70"/>
    </row>
    <row r="531" spans="2:44" x14ac:dyDescent="0.25">
      <c r="B531" s="70"/>
      <c r="F531" s="70"/>
      <c r="AR531" s="70"/>
    </row>
    <row r="532" spans="2:44" x14ac:dyDescent="0.25">
      <c r="B532" s="70"/>
      <c r="F532" s="70"/>
      <c r="AR532" s="70"/>
    </row>
    <row r="533" spans="2:44" x14ac:dyDescent="0.25">
      <c r="B533" s="70"/>
      <c r="F533" s="70"/>
      <c r="AR533" s="70"/>
    </row>
    <row r="534" spans="2:44" x14ac:dyDescent="0.25">
      <c r="B534" s="70"/>
      <c r="F534" s="70"/>
      <c r="AR534" s="70"/>
    </row>
    <row r="535" spans="2:44" x14ac:dyDescent="0.25">
      <c r="B535" s="70"/>
      <c r="F535" s="70"/>
      <c r="AR535" s="70"/>
    </row>
    <row r="536" spans="2:44" x14ac:dyDescent="0.25">
      <c r="B536" s="70"/>
      <c r="F536" s="70"/>
      <c r="AR536" s="70"/>
    </row>
    <row r="537" spans="2:44" x14ac:dyDescent="0.25">
      <c r="B537" s="70"/>
      <c r="F537" s="70"/>
      <c r="AR537" s="70"/>
    </row>
    <row r="538" spans="2:44" x14ac:dyDescent="0.25">
      <c r="B538" s="70"/>
      <c r="F538" s="70"/>
      <c r="AR538" s="70"/>
    </row>
    <row r="539" spans="2:44" x14ac:dyDescent="0.25">
      <c r="B539" s="70"/>
      <c r="F539" s="70"/>
      <c r="AR539" s="70"/>
    </row>
    <row r="540" spans="2:44" x14ac:dyDescent="0.25">
      <c r="B540" s="70"/>
      <c r="F540" s="70"/>
      <c r="AR540" s="70"/>
    </row>
    <row r="541" spans="2:44" x14ac:dyDescent="0.25">
      <c r="B541" s="70"/>
      <c r="F541" s="70"/>
      <c r="AR541" s="70"/>
    </row>
    <row r="542" spans="2:44" x14ac:dyDescent="0.25">
      <c r="B542" s="70"/>
      <c r="F542" s="70"/>
      <c r="AR542" s="70"/>
    </row>
    <row r="543" spans="2:44" x14ac:dyDescent="0.25">
      <c r="AR543" s="70"/>
    </row>
    <row r="544" spans="2:44" x14ac:dyDescent="0.25">
      <c r="AR544" s="70"/>
    </row>
    <row r="545" spans="44:44" x14ac:dyDescent="0.25">
      <c r="AR545" s="70"/>
    </row>
    <row r="546" spans="44:44" x14ac:dyDescent="0.25">
      <c r="AR546" s="70"/>
    </row>
    <row r="547" spans="44:44" x14ac:dyDescent="0.25">
      <c r="AR547" s="70"/>
    </row>
    <row r="548" spans="44:44" x14ac:dyDescent="0.25">
      <c r="AR548" s="70"/>
    </row>
    <row r="549" spans="44:44" x14ac:dyDescent="0.25">
      <c r="AR549" s="70"/>
    </row>
    <row r="550" spans="44:44" x14ac:dyDescent="0.25">
      <c r="AR550" s="70"/>
    </row>
    <row r="551" spans="44:44" x14ac:dyDescent="0.25">
      <c r="AR551" s="70"/>
    </row>
    <row r="552" spans="44:44" x14ac:dyDescent="0.25">
      <c r="AR552" s="70"/>
    </row>
    <row r="553" spans="44:44" x14ac:dyDescent="0.25">
      <c r="AR553" s="70"/>
    </row>
    <row r="554" spans="44:44" x14ac:dyDescent="0.25">
      <c r="AR554" s="70"/>
    </row>
    <row r="555" spans="44:44" x14ac:dyDescent="0.25">
      <c r="AR555" s="70"/>
    </row>
    <row r="556" spans="44:44" x14ac:dyDescent="0.25">
      <c r="AR556" s="70"/>
    </row>
    <row r="557" spans="44:44" x14ac:dyDescent="0.25">
      <c r="AR557" s="70"/>
    </row>
    <row r="558" spans="44:44" x14ac:dyDescent="0.25">
      <c r="AR558" s="70"/>
    </row>
    <row r="559" spans="44:44" x14ac:dyDescent="0.25">
      <c r="AR559" s="70"/>
    </row>
    <row r="560" spans="44:44" x14ac:dyDescent="0.25">
      <c r="AR560" s="70"/>
    </row>
    <row r="561" spans="44:44" x14ac:dyDescent="0.25">
      <c r="AR561" s="70"/>
    </row>
    <row r="562" spans="44:44" x14ac:dyDescent="0.25">
      <c r="AR562" s="70"/>
    </row>
    <row r="563" spans="44:44" x14ac:dyDescent="0.25">
      <c r="AR563" s="70"/>
    </row>
    <row r="564" spans="44:44" x14ac:dyDescent="0.25">
      <c r="AR564" s="70"/>
    </row>
    <row r="565" spans="44:44" x14ac:dyDescent="0.25">
      <c r="AR565" s="70"/>
    </row>
    <row r="566" spans="44:44" x14ac:dyDescent="0.25">
      <c r="AR566" s="70"/>
    </row>
    <row r="567" spans="44:44" x14ac:dyDescent="0.25">
      <c r="AR567" s="70"/>
    </row>
    <row r="568" spans="44:44" x14ac:dyDescent="0.25">
      <c r="AR568" s="70"/>
    </row>
    <row r="569" spans="44:44" x14ac:dyDescent="0.25">
      <c r="AR569" s="70"/>
    </row>
    <row r="570" spans="44:44" x14ac:dyDescent="0.25">
      <c r="AR570" s="70"/>
    </row>
    <row r="571" spans="44:44" x14ac:dyDescent="0.25">
      <c r="AR571" s="70"/>
    </row>
    <row r="572" spans="44:44" x14ac:dyDescent="0.25">
      <c r="AR572" s="70"/>
    </row>
    <row r="573" spans="44:44" x14ac:dyDescent="0.25">
      <c r="AR573" s="70"/>
    </row>
    <row r="574" spans="44:44" x14ac:dyDescent="0.25">
      <c r="AR574" s="70"/>
    </row>
    <row r="575" spans="44:44" x14ac:dyDescent="0.25">
      <c r="AR575" s="70"/>
    </row>
    <row r="576" spans="44:44" x14ac:dyDescent="0.25">
      <c r="AR576" s="70"/>
    </row>
    <row r="577" spans="44:44" x14ac:dyDescent="0.25">
      <c r="AR577" s="70"/>
    </row>
    <row r="578" spans="44:44" x14ac:dyDescent="0.25">
      <c r="AR578" s="70"/>
    </row>
    <row r="579" spans="44:44" x14ac:dyDescent="0.25">
      <c r="AR579" s="70"/>
    </row>
    <row r="580" spans="44:44" x14ac:dyDescent="0.25">
      <c r="AR580" s="70"/>
    </row>
    <row r="581" spans="44:44" x14ac:dyDescent="0.25">
      <c r="AR581" s="70"/>
    </row>
    <row r="582" spans="44:44" x14ac:dyDescent="0.25">
      <c r="AR582" s="70"/>
    </row>
    <row r="583" spans="44:44" x14ac:dyDescent="0.25">
      <c r="AR583" s="70"/>
    </row>
    <row r="584" spans="44:44" x14ac:dyDescent="0.25">
      <c r="AR584" s="70"/>
    </row>
    <row r="585" spans="44:44" x14ac:dyDescent="0.25">
      <c r="AR585" s="70"/>
    </row>
    <row r="586" spans="44:44" x14ac:dyDescent="0.25">
      <c r="AR586" s="70"/>
    </row>
    <row r="587" spans="44:44" x14ac:dyDescent="0.25">
      <c r="AR587" s="70"/>
    </row>
    <row r="588" spans="44:44" x14ac:dyDescent="0.25">
      <c r="AR588" s="70"/>
    </row>
    <row r="589" spans="44:44" x14ac:dyDescent="0.25">
      <c r="AR589" s="70"/>
    </row>
    <row r="590" spans="44:44" x14ac:dyDescent="0.25">
      <c r="AR590" s="70"/>
    </row>
    <row r="591" spans="44:44" x14ac:dyDescent="0.25">
      <c r="AR591" s="70"/>
    </row>
    <row r="592" spans="44:44" x14ac:dyDescent="0.25">
      <c r="AR592" s="70"/>
    </row>
    <row r="593" spans="44:44" x14ac:dyDescent="0.25">
      <c r="AR593" s="70"/>
    </row>
    <row r="594" spans="44:44" x14ac:dyDescent="0.25">
      <c r="AR594" s="70"/>
    </row>
    <row r="595" spans="44:44" x14ac:dyDescent="0.25">
      <c r="AR595" s="70"/>
    </row>
    <row r="596" spans="44:44" x14ac:dyDescent="0.25">
      <c r="AR596" s="70"/>
    </row>
    <row r="597" spans="44:44" x14ac:dyDescent="0.25">
      <c r="AR597" s="70"/>
    </row>
    <row r="598" spans="44:44" x14ac:dyDescent="0.25">
      <c r="AR598" s="70"/>
    </row>
    <row r="599" spans="44:44" x14ac:dyDescent="0.25">
      <c r="AR599" s="70"/>
    </row>
    <row r="600" spans="44:44" x14ac:dyDescent="0.25">
      <c r="AR600" s="70"/>
    </row>
    <row r="601" spans="44:44" x14ac:dyDescent="0.25">
      <c r="AR601" s="70"/>
    </row>
    <row r="602" spans="44:44" x14ac:dyDescent="0.25">
      <c r="AR602" s="70"/>
    </row>
    <row r="603" spans="44:44" x14ac:dyDescent="0.25">
      <c r="AR603" s="70"/>
    </row>
    <row r="604" spans="44:44" x14ac:dyDescent="0.25">
      <c r="AR604" s="70"/>
    </row>
    <row r="605" spans="44:44" x14ac:dyDescent="0.25">
      <c r="AR605" s="70"/>
    </row>
    <row r="606" spans="44:44" x14ac:dyDescent="0.25">
      <c r="AR606" s="70"/>
    </row>
    <row r="607" spans="44:44" x14ac:dyDescent="0.25">
      <c r="AR607" s="70"/>
    </row>
    <row r="608" spans="44:44" x14ac:dyDescent="0.25">
      <c r="AR608" s="70"/>
    </row>
    <row r="609" spans="44:44" x14ac:dyDescent="0.25">
      <c r="AR609" s="70"/>
    </row>
    <row r="610" spans="44:44" x14ac:dyDescent="0.25">
      <c r="AR610" s="70"/>
    </row>
    <row r="611" spans="44:44" x14ac:dyDescent="0.25">
      <c r="AR611" s="70"/>
    </row>
    <row r="612" spans="44:44" x14ac:dyDescent="0.25">
      <c r="AR612" s="70"/>
    </row>
    <row r="613" spans="44:44" x14ac:dyDescent="0.25">
      <c r="AR613" s="70"/>
    </row>
    <row r="614" spans="44:44" x14ac:dyDescent="0.25">
      <c r="AR614" s="70"/>
    </row>
    <row r="615" spans="44:44" x14ac:dyDescent="0.25">
      <c r="AR615" s="70"/>
    </row>
    <row r="616" spans="44:44" x14ac:dyDescent="0.25">
      <c r="AR616" s="70"/>
    </row>
    <row r="617" spans="44:44" x14ac:dyDescent="0.25">
      <c r="AR617" s="70"/>
    </row>
    <row r="618" spans="44:44" x14ac:dyDescent="0.25">
      <c r="AR618" s="70"/>
    </row>
    <row r="619" spans="44:44" x14ac:dyDescent="0.25">
      <c r="AR619" s="70"/>
    </row>
    <row r="620" spans="44:44" x14ac:dyDescent="0.25">
      <c r="AR620" s="70"/>
    </row>
    <row r="621" spans="44:44" x14ac:dyDescent="0.25">
      <c r="AR621" s="70"/>
    </row>
    <row r="622" spans="44:44" x14ac:dyDescent="0.25">
      <c r="AR622" s="70"/>
    </row>
    <row r="623" spans="44:44" x14ac:dyDescent="0.25">
      <c r="AR623" s="70"/>
    </row>
    <row r="624" spans="44:44" x14ac:dyDescent="0.25">
      <c r="AR624" s="70"/>
    </row>
    <row r="625" spans="44:44" x14ac:dyDescent="0.25">
      <c r="AR625" s="70"/>
    </row>
    <row r="626" spans="44:44" x14ac:dyDescent="0.25">
      <c r="AR626" s="70"/>
    </row>
    <row r="627" spans="44:44" x14ac:dyDescent="0.25">
      <c r="AR627" s="70"/>
    </row>
    <row r="628" spans="44:44" x14ac:dyDescent="0.25">
      <c r="AR628" s="70"/>
    </row>
    <row r="629" spans="44:44" x14ac:dyDescent="0.25">
      <c r="AR629" s="70"/>
    </row>
    <row r="630" spans="44:44" x14ac:dyDescent="0.25">
      <c r="AR630" s="70"/>
    </row>
    <row r="631" spans="44:44" x14ac:dyDescent="0.25">
      <c r="AR631" s="70"/>
    </row>
    <row r="632" spans="44:44" x14ac:dyDescent="0.25">
      <c r="AR632" s="70"/>
    </row>
    <row r="633" spans="44:44" x14ac:dyDescent="0.25">
      <c r="AR633" s="70"/>
    </row>
    <row r="634" spans="44:44" x14ac:dyDescent="0.25">
      <c r="AR634" s="70"/>
    </row>
    <row r="635" spans="44:44" x14ac:dyDescent="0.25">
      <c r="AR635" s="70"/>
    </row>
    <row r="636" spans="44:44" x14ac:dyDescent="0.25">
      <c r="AR636" s="70"/>
    </row>
    <row r="637" spans="44:44" x14ac:dyDescent="0.25">
      <c r="AR637" s="70"/>
    </row>
    <row r="638" spans="44:44" x14ac:dyDescent="0.25">
      <c r="AR638" s="70"/>
    </row>
    <row r="639" spans="44:44" x14ac:dyDescent="0.25">
      <c r="AR639" s="70"/>
    </row>
    <row r="640" spans="44:44" x14ac:dyDescent="0.25">
      <c r="AR640" s="70"/>
    </row>
    <row r="641" spans="44:44" x14ac:dyDescent="0.25">
      <c r="AR641" s="70"/>
    </row>
    <row r="642" spans="44:44" x14ac:dyDescent="0.25">
      <c r="AR642" s="70"/>
    </row>
    <row r="643" spans="44:44" x14ac:dyDescent="0.25">
      <c r="AR643" s="70"/>
    </row>
    <row r="644" spans="44:44" x14ac:dyDescent="0.25">
      <c r="AR644" s="70"/>
    </row>
    <row r="645" spans="44:44" x14ac:dyDescent="0.25">
      <c r="AR645" s="70"/>
    </row>
    <row r="646" spans="44:44" x14ac:dyDescent="0.25">
      <c r="AR646" s="70"/>
    </row>
    <row r="647" spans="44:44" x14ac:dyDescent="0.25">
      <c r="AR647" s="70"/>
    </row>
    <row r="648" spans="44:44" x14ac:dyDescent="0.25">
      <c r="AR648" s="70"/>
    </row>
    <row r="649" spans="44:44" x14ac:dyDescent="0.25">
      <c r="AR649" s="70"/>
    </row>
    <row r="650" spans="44:44" x14ac:dyDescent="0.25">
      <c r="AR650" s="70"/>
    </row>
    <row r="651" spans="44:44" x14ac:dyDescent="0.25">
      <c r="AR651" s="70"/>
    </row>
    <row r="652" spans="44:44" x14ac:dyDescent="0.25">
      <c r="AR652" s="70"/>
    </row>
    <row r="653" spans="44:44" x14ac:dyDescent="0.25">
      <c r="AR653" s="70"/>
    </row>
    <row r="654" spans="44:44" x14ac:dyDescent="0.25">
      <c r="AR654" s="70"/>
    </row>
    <row r="655" spans="44:44" x14ac:dyDescent="0.25">
      <c r="AR655" s="70"/>
    </row>
    <row r="656" spans="44:44" x14ac:dyDescent="0.25">
      <c r="AR656" s="70"/>
    </row>
    <row r="657" spans="44:44" x14ac:dyDescent="0.25">
      <c r="AR657" s="70"/>
    </row>
    <row r="658" spans="44:44" x14ac:dyDescent="0.25">
      <c r="AR658" s="70"/>
    </row>
    <row r="659" spans="44:44" x14ac:dyDescent="0.25">
      <c r="AR659" s="70"/>
    </row>
    <row r="660" spans="44:44" x14ac:dyDescent="0.25">
      <c r="AR660" s="70"/>
    </row>
    <row r="661" spans="44:44" x14ac:dyDescent="0.25">
      <c r="AR661" s="70"/>
    </row>
    <row r="662" spans="44:44" x14ac:dyDescent="0.25">
      <c r="AR662" s="70"/>
    </row>
    <row r="663" spans="44:44" x14ac:dyDescent="0.25">
      <c r="AR663" s="70"/>
    </row>
    <row r="664" spans="44:44" x14ac:dyDescent="0.25">
      <c r="AR664" s="70"/>
    </row>
    <row r="665" spans="44:44" x14ac:dyDescent="0.25">
      <c r="AR665" s="70"/>
    </row>
    <row r="666" spans="44:44" x14ac:dyDescent="0.25">
      <c r="AR666" s="70"/>
    </row>
    <row r="667" spans="44:44" x14ac:dyDescent="0.25">
      <c r="AR667" s="70"/>
    </row>
    <row r="668" spans="44:44" x14ac:dyDescent="0.25">
      <c r="AR668" s="70"/>
    </row>
    <row r="669" spans="44:44" x14ac:dyDescent="0.25">
      <c r="AR669" s="70"/>
    </row>
    <row r="670" spans="44:44" x14ac:dyDescent="0.25">
      <c r="AR670" s="70"/>
    </row>
    <row r="671" spans="44:44" x14ac:dyDescent="0.25">
      <c r="AR671" s="70"/>
    </row>
    <row r="672" spans="44:44" x14ac:dyDescent="0.25">
      <c r="AR672" s="70"/>
    </row>
    <row r="673" spans="44:44" x14ac:dyDescent="0.25">
      <c r="AR673" s="70"/>
    </row>
    <row r="674" spans="44:44" x14ac:dyDescent="0.25">
      <c r="AR674" s="70"/>
    </row>
    <row r="675" spans="44:44" x14ac:dyDescent="0.25">
      <c r="AR675" s="70"/>
    </row>
    <row r="676" spans="44:44" x14ac:dyDescent="0.25">
      <c r="AR676" s="70"/>
    </row>
    <row r="677" spans="44:44" x14ac:dyDescent="0.25">
      <c r="AR677" s="70"/>
    </row>
    <row r="678" spans="44:44" x14ac:dyDescent="0.25">
      <c r="AR678" s="70"/>
    </row>
    <row r="679" spans="44:44" x14ac:dyDescent="0.25">
      <c r="AR679" s="70"/>
    </row>
    <row r="680" spans="44:44" x14ac:dyDescent="0.25">
      <c r="AR680" s="70"/>
    </row>
    <row r="681" spans="44:44" x14ac:dyDescent="0.25">
      <c r="AR681" s="70"/>
    </row>
    <row r="682" spans="44:44" x14ac:dyDescent="0.25">
      <c r="AR682" s="70"/>
    </row>
    <row r="683" spans="44:44" x14ac:dyDescent="0.25">
      <c r="AR683" s="70"/>
    </row>
    <row r="684" spans="44:44" x14ac:dyDescent="0.25">
      <c r="AR684" s="70"/>
    </row>
    <row r="685" spans="44:44" x14ac:dyDescent="0.25">
      <c r="AR685" s="70"/>
    </row>
    <row r="686" spans="44:44" x14ac:dyDescent="0.25">
      <c r="AR686" s="70"/>
    </row>
    <row r="687" spans="44:44" x14ac:dyDescent="0.25">
      <c r="AR687" s="70"/>
    </row>
    <row r="688" spans="44:44" x14ac:dyDescent="0.25">
      <c r="AR688" s="70"/>
    </row>
    <row r="689" spans="44:44" x14ac:dyDescent="0.25">
      <c r="AR689" s="70"/>
    </row>
    <row r="690" spans="44:44" x14ac:dyDescent="0.25">
      <c r="AR690" s="70"/>
    </row>
    <row r="691" spans="44:44" x14ac:dyDescent="0.25">
      <c r="AR691" s="70"/>
    </row>
    <row r="692" spans="44:44" x14ac:dyDescent="0.25">
      <c r="AR692" s="70"/>
    </row>
    <row r="693" spans="44:44" x14ac:dyDescent="0.25">
      <c r="AR693" s="70"/>
    </row>
    <row r="694" spans="44:44" x14ac:dyDescent="0.25">
      <c r="AR694" s="70"/>
    </row>
    <row r="695" spans="44:44" x14ac:dyDescent="0.25">
      <c r="AR695" s="70"/>
    </row>
    <row r="696" spans="44:44" x14ac:dyDescent="0.25">
      <c r="AR696" s="70"/>
    </row>
    <row r="697" spans="44:44" x14ac:dyDescent="0.25">
      <c r="AR697" s="70"/>
    </row>
    <row r="698" spans="44:44" x14ac:dyDescent="0.25">
      <c r="AR698" s="70"/>
    </row>
    <row r="699" spans="44:44" x14ac:dyDescent="0.25">
      <c r="AR699" s="70"/>
    </row>
    <row r="700" spans="44:44" x14ac:dyDescent="0.25">
      <c r="AR700" s="70"/>
    </row>
    <row r="701" spans="44:44" x14ac:dyDescent="0.25">
      <c r="AR701" s="70"/>
    </row>
    <row r="702" spans="44:44" x14ac:dyDescent="0.25">
      <c r="AR702" s="70"/>
    </row>
    <row r="703" spans="44:44" x14ac:dyDescent="0.25">
      <c r="AR703" s="70"/>
    </row>
    <row r="704" spans="44:44" x14ac:dyDescent="0.25">
      <c r="AR704" s="70"/>
    </row>
    <row r="705" spans="44:44" x14ac:dyDescent="0.25">
      <c r="AR705" s="70"/>
    </row>
    <row r="706" spans="44:44" x14ac:dyDescent="0.25">
      <c r="AR706" s="70"/>
    </row>
    <row r="707" spans="44:44" x14ac:dyDescent="0.25">
      <c r="AR707" s="70"/>
    </row>
    <row r="708" spans="44:44" x14ac:dyDescent="0.25">
      <c r="AR708" s="70"/>
    </row>
    <row r="709" spans="44:44" x14ac:dyDescent="0.25">
      <c r="AR709" s="70"/>
    </row>
    <row r="710" spans="44:44" x14ac:dyDescent="0.25">
      <c r="AR710" s="70"/>
    </row>
    <row r="711" spans="44:44" x14ac:dyDescent="0.25">
      <c r="AR711" s="70"/>
    </row>
    <row r="712" spans="44:44" x14ac:dyDescent="0.25">
      <c r="AR712" s="70"/>
    </row>
    <row r="713" spans="44:44" x14ac:dyDescent="0.25">
      <c r="AR713" s="70"/>
    </row>
    <row r="714" spans="44:44" x14ac:dyDescent="0.25">
      <c r="AR714" s="70"/>
    </row>
    <row r="715" spans="44:44" x14ac:dyDescent="0.25">
      <c r="AR715" s="70"/>
    </row>
    <row r="716" spans="44:44" x14ac:dyDescent="0.25">
      <c r="AR716" s="70"/>
    </row>
    <row r="717" spans="44:44" x14ac:dyDescent="0.25">
      <c r="AR717" s="70"/>
    </row>
    <row r="718" spans="44:44" x14ac:dyDescent="0.25">
      <c r="AR718" s="70"/>
    </row>
    <row r="719" spans="44:44" x14ac:dyDescent="0.25">
      <c r="AR719" s="70"/>
    </row>
    <row r="720" spans="44:44" x14ac:dyDescent="0.25">
      <c r="AR720" s="70"/>
    </row>
    <row r="721" spans="44:44" x14ac:dyDescent="0.25">
      <c r="AR721" s="70"/>
    </row>
    <row r="722" spans="44:44" x14ac:dyDescent="0.25">
      <c r="AR722" s="70"/>
    </row>
    <row r="723" spans="44:44" x14ac:dyDescent="0.25">
      <c r="AR723" s="70"/>
    </row>
    <row r="724" spans="44:44" x14ac:dyDescent="0.25">
      <c r="AR724" s="70"/>
    </row>
    <row r="725" spans="44:44" x14ac:dyDescent="0.25">
      <c r="AR725" s="70"/>
    </row>
    <row r="726" spans="44:44" x14ac:dyDescent="0.25">
      <c r="AR726" s="70"/>
    </row>
    <row r="727" spans="44:44" x14ac:dyDescent="0.25">
      <c r="AR727" s="70"/>
    </row>
    <row r="728" spans="44:44" x14ac:dyDescent="0.25">
      <c r="AR728" s="70"/>
    </row>
    <row r="729" spans="44:44" x14ac:dyDescent="0.25">
      <c r="AR729" s="70"/>
    </row>
    <row r="730" spans="44:44" x14ac:dyDescent="0.25">
      <c r="AR730" s="70"/>
    </row>
    <row r="731" spans="44:44" x14ac:dyDescent="0.25">
      <c r="AR731" s="70"/>
    </row>
    <row r="732" spans="44:44" x14ac:dyDescent="0.25">
      <c r="AR732" s="70"/>
    </row>
    <row r="733" spans="44:44" x14ac:dyDescent="0.25">
      <c r="AR733" s="70"/>
    </row>
    <row r="734" spans="44:44" x14ac:dyDescent="0.25">
      <c r="AR734" s="70"/>
    </row>
    <row r="735" spans="44:44" x14ac:dyDescent="0.25">
      <c r="AR735" s="70"/>
    </row>
    <row r="736" spans="44:44" x14ac:dyDescent="0.25">
      <c r="AR736" s="70"/>
    </row>
    <row r="737" spans="44:44" x14ac:dyDescent="0.25">
      <c r="AR737" s="70"/>
    </row>
    <row r="738" spans="44:44" x14ac:dyDescent="0.25">
      <c r="AR738" s="70"/>
    </row>
    <row r="739" spans="44:44" x14ac:dyDescent="0.25">
      <c r="AR739" s="70"/>
    </row>
    <row r="740" spans="44:44" x14ac:dyDescent="0.25">
      <c r="AR740" s="70"/>
    </row>
    <row r="741" spans="44:44" x14ac:dyDescent="0.25">
      <c r="AR741" s="70"/>
    </row>
    <row r="742" spans="44:44" x14ac:dyDescent="0.25">
      <c r="AR742" s="70"/>
    </row>
    <row r="743" spans="44:44" x14ac:dyDescent="0.25">
      <c r="AR743" s="70"/>
    </row>
    <row r="744" spans="44:44" x14ac:dyDescent="0.25">
      <c r="AR744" s="70"/>
    </row>
    <row r="745" spans="44:44" x14ac:dyDescent="0.25">
      <c r="AR745" s="70"/>
    </row>
    <row r="746" spans="44:44" x14ac:dyDescent="0.25">
      <c r="AR746" s="70"/>
    </row>
    <row r="747" spans="44:44" x14ac:dyDescent="0.25">
      <c r="AR747" s="70"/>
    </row>
    <row r="748" spans="44:44" x14ac:dyDescent="0.25">
      <c r="AR748" s="70"/>
    </row>
    <row r="749" spans="44:44" x14ac:dyDescent="0.25">
      <c r="AR749" s="70"/>
    </row>
    <row r="750" spans="44:44" x14ac:dyDescent="0.25">
      <c r="AR750" s="70"/>
    </row>
    <row r="751" spans="44:44" x14ac:dyDescent="0.25">
      <c r="AR751" s="70"/>
    </row>
    <row r="752" spans="44:44" x14ac:dyDescent="0.25">
      <c r="AR752" s="70"/>
    </row>
    <row r="753" spans="44:44" x14ac:dyDescent="0.25">
      <c r="AR753" s="70"/>
    </row>
    <row r="754" spans="44:44" x14ac:dyDescent="0.25">
      <c r="AR754" s="70"/>
    </row>
    <row r="755" spans="44:44" x14ac:dyDescent="0.25">
      <c r="AR755" s="70"/>
    </row>
    <row r="756" spans="44:44" x14ac:dyDescent="0.25">
      <c r="AR756" s="70"/>
    </row>
    <row r="757" spans="44:44" x14ac:dyDescent="0.25">
      <c r="AR757" s="70"/>
    </row>
    <row r="758" spans="44:44" x14ac:dyDescent="0.25">
      <c r="AR758" s="70"/>
    </row>
    <row r="759" spans="44:44" x14ac:dyDescent="0.25">
      <c r="AR759" s="70"/>
    </row>
    <row r="760" spans="44:44" x14ac:dyDescent="0.25">
      <c r="AR760" s="70"/>
    </row>
    <row r="761" spans="44:44" x14ac:dyDescent="0.25">
      <c r="AR761" s="70"/>
    </row>
    <row r="762" spans="44:44" x14ac:dyDescent="0.25">
      <c r="AR762" s="70"/>
    </row>
    <row r="763" spans="44:44" x14ac:dyDescent="0.25">
      <c r="AR763" s="70"/>
    </row>
    <row r="764" spans="44:44" x14ac:dyDescent="0.25">
      <c r="AR764" s="70"/>
    </row>
    <row r="765" spans="44:44" x14ac:dyDescent="0.25">
      <c r="AR765" s="70"/>
    </row>
    <row r="766" spans="44:44" x14ac:dyDescent="0.25">
      <c r="AR766" s="70"/>
    </row>
    <row r="767" spans="44:44" x14ac:dyDescent="0.25">
      <c r="AR767" s="70"/>
    </row>
    <row r="768" spans="44:44" x14ac:dyDescent="0.25">
      <c r="AR768" s="70"/>
    </row>
    <row r="769" spans="44:44" x14ac:dyDescent="0.25">
      <c r="AR769" s="70"/>
    </row>
    <row r="770" spans="44:44" x14ac:dyDescent="0.25">
      <c r="AR770" s="70"/>
    </row>
    <row r="771" spans="44:44" x14ac:dyDescent="0.25">
      <c r="AR771" s="70"/>
    </row>
    <row r="772" spans="44:44" x14ac:dyDescent="0.25">
      <c r="AR772" s="70"/>
    </row>
    <row r="773" spans="44:44" x14ac:dyDescent="0.25">
      <c r="AR773" s="70"/>
    </row>
    <row r="774" spans="44:44" x14ac:dyDescent="0.25">
      <c r="AR774" s="70"/>
    </row>
    <row r="775" spans="44:44" x14ac:dyDescent="0.25">
      <c r="AR775" s="70"/>
    </row>
    <row r="776" spans="44:44" x14ac:dyDescent="0.25">
      <c r="AR776" s="70"/>
    </row>
    <row r="777" spans="44:44" x14ac:dyDescent="0.25">
      <c r="AR777" s="70"/>
    </row>
    <row r="778" spans="44:44" x14ac:dyDescent="0.25">
      <c r="AR778" s="70"/>
    </row>
    <row r="779" spans="44:44" x14ac:dyDescent="0.25">
      <c r="AR779" s="70"/>
    </row>
    <row r="780" spans="44:44" x14ac:dyDescent="0.25">
      <c r="AR780" s="70"/>
    </row>
    <row r="781" spans="44:44" x14ac:dyDescent="0.25">
      <c r="AR781" s="70"/>
    </row>
    <row r="782" spans="44:44" x14ac:dyDescent="0.25">
      <c r="AR782" s="70"/>
    </row>
    <row r="783" spans="44:44" x14ac:dyDescent="0.25">
      <c r="AR783" s="70"/>
    </row>
    <row r="784" spans="44:44" x14ac:dyDescent="0.25">
      <c r="AR784" s="70"/>
    </row>
    <row r="785" spans="44:44" x14ac:dyDescent="0.25">
      <c r="AR785" s="70"/>
    </row>
    <row r="786" spans="44:44" x14ac:dyDescent="0.25">
      <c r="AR786" s="70"/>
    </row>
    <row r="787" spans="44:44" x14ac:dyDescent="0.25">
      <c r="AR787" s="70"/>
    </row>
    <row r="788" spans="44:44" x14ac:dyDescent="0.25">
      <c r="AR788" s="70"/>
    </row>
    <row r="789" spans="44:44" x14ac:dyDescent="0.25">
      <c r="AR789" s="70"/>
    </row>
    <row r="790" spans="44:44" x14ac:dyDescent="0.25">
      <c r="AR790" s="70"/>
    </row>
    <row r="791" spans="44:44" x14ac:dyDescent="0.25">
      <c r="AR791" s="70"/>
    </row>
    <row r="792" spans="44:44" x14ac:dyDescent="0.25">
      <c r="AR792" s="70"/>
    </row>
    <row r="793" spans="44:44" x14ac:dyDescent="0.25">
      <c r="AR793" s="70"/>
    </row>
    <row r="794" spans="44:44" x14ac:dyDescent="0.25">
      <c r="AR794" s="70"/>
    </row>
    <row r="795" spans="44:44" x14ac:dyDescent="0.25">
      <c r="AR795" s="70"/>
    </row>
    <row r="796" spans="44:44" x14ac:dyDescent="0.25">
      <c r="AR796" s="70"/>
    </row>
    <row r="797" spans="44:44" x14ac:dyDescent="0.25">
      <c r="AR797" s="70"/>
    </row>
    <row r="798" spans="44:44" x14ac:dyDescent="0.25">
      <c r="AR798" s="70"/>
    </row>
    <row r="799" spans="44:44" x14ac:dyDescent="0.25">
      <c r="AR799" s="70"/>
    </row>
    <row r="800" spans="44:44" x14ac:dyDescent="0.25">
      <c r="AR800" s="70"/>
    </row>
    <row r="801" spans="44:44" x14ac:dyDescent="0.25">
      <c r="AR801" s="70"/>
    </row>
    <row r="802" spans="44:44" x14ac:dyDescent="0.25">
      <c r="AR802" s="70"/>
    </row>
    <row r="803" spans="44:44" x14ac:dyDescent="0.25">
      <c r="AR803" s="70"/>
    </row>
    <row r="804" spans="44:44" x14ac:dyDescent="0.25">
      <c r="AR804" s="70"/>
    </row>
    <row r="805" spans="44:44" x14ac:dyDescent="0.25">
      <c r="AR805" s="70"/>
    </row>
    <row r="806" spans="44:44" x14ac:dyDescent="0.25">
      <c r="AR806" s="70"/>
    </row>
    <row r="807" spans="44:44" x14ac:dyDescent="0.25">
      <c r="AR807" s="70"/>
    </row>
    <row r="808" spans="44:44" x14ac:dyDescent="0.25">
      <c r="AR808" s="70"/>
    </row>
    <row r="809" spans="44:44" x14ac:dyDescent="0.25">
      <c r="AR809" s="70"/>
    </row>
    <row r="810" spans="44:44" x14ac:dyDescent="0.25">
      <c r="AR810" s="70"/>
    </row>
    <row r="811" spans="44:44" x14ac:dyDescent="0.25">
      <c r="AR811" s="70"/>
    </row>
    <row r="812" spans="44:44" x14ac:dyDescent="0.25">
      <c r="AR812" s="70"/>
    </row>
    <row r="813" spans="44:44" x14ac:dyDescent="0.25">
      <c r="AR813" s="70"/>
    </row>
    <row r="814" spans="44:44" x14ac:dyDescent="0.25">
      <c r="AR814" s="70"/>
    </row>
    <row r="815" spans="44:44" x14ac:dyDescent="0.25">
      <c r="AR815" s="70"/>
    </row>
    <row r="816" spans="44:44" x14ac:dyDescent="0.25">
      <c r="AR816" s="70"/>
    </row>
    <row r="817" spans="44:44" x14ac:dyDescent="0.25">
      <c r="AR817" s="70"/>
    </row>
    <row r="818" spans="44:44" x14ac:dyDescent="0.25">
      <c r="AR818" s="70"/>
    </row>
    <row r="819" spans="44:44" x14ac:dyDescent="0.25">
      <c r="AR819" s="70"/>
    </row>
    <row r="820" spans="44:44" x14ac:dyDescent="0.25">
      <c r="AR820" s="70"/>
    </row>
    <row r="821" spans="44:44" x14ac:dyDescent="0.25">
      <c r="AR821" s="70"/>
    </row>
    <row r="822" spans="44:44" x14ac:dyDescent="0.25">
      <c r="AR822" s="70"/>
    </row>
    <row r="823" spans="44:44" x14ac:dyDescent="0.25">
      <c r="AR823" s="70"/>
    </row>
    <row r="824" spans="44:44" x14ac:dyDescent="0.25">
      <c r="AR824" s="70"/>
    </row>
    <row r="825" spans="44:44" x14ac:dyDescent="0.25">
      <c r="AR825" s="70"/>
    </row>
    <row r="826" spans="44:44" x14ac:dyDescent="0.25">
      <c r="AR826" s="70"/>
    </row>
    <row r="827" spans="44:44" x14ac:dyDescent="0.25">
      <c r="AR827" s="70"/>
    </row>
    <row r="828" spans="44:44" x14ac:dyDescent="0.25">
      <c r="AR828" s="70"/>
    </row>
    <row r="829" spans="44:44" x14ac:dyDescent="0.25">
      <c r="AR829" s="70"/>
    </row>
    <row r="830" spans="44:44" x14ac:dyDescent="0.25">
      <c r="AR830" s="70"/>
    </row>
    <row r="831" spans="44:44" x14ac:dyDescent="0.25">
      <c r="AR831" s="70"/>
    </row>
    <row r="832" spans="44:44" x14ac:dyDescent="0.25">
      <c r="AR832" s="70"/>
    </row>
    <row r="833" spans="44:44" x14ac:dyDescent="0.25">
      <c r="AR833" s="70"/>
    </row>
    <row r="834" spans="44:44" x14ac:dyDescent="0.25">
      <c r="AR834" s="70"/>
    </row>
    <row r="835" spans="44:44" x14ac:dyDescent="0.25">
      <c r="AR835" s="70"/>
    </row>
    <row r="836" spans="44:44" x14ac:dyDescent="0.25">
      <c r="AR836" s="70"/>
    </row>
    <row r="837" spans="44:44" x14ac:dyDescent="0.25">
      <c r="AR837" s="70"/>
    </row>
    <row r="838" spans="44:44" x14ac:dyDescent="0.25">
      <c r="AR838" s="70"/>
    </row>
    <row r="839" spans="44:44" x14ac:dyDescent="0.25">
      <c r="AR839" s="70"/>
    </row>
    <row r="840" spans="44:44" x14ac:dyDescent="0.25">
      <c r="AR840" s="70"/>
    </row>
    <row r="841" spans="44:44" x14ac:dyDescent="0.25">
      <c r="AR841" s="70"/>
    </row>
    <row r="842" spans="44:44" x14ac:dyDescent="0.25">
      <c r="AR842" s="70"/>
    </row>
    <row r="843" spans="44:44" x14ac:dyDescent="0.25">
      <c r="AR843" s="70"/>
    </row>
    <row r="844" spans="44:44" x14ac:dyDescent="0.25">
      <c r="AR844" s="70"/>
    </row>
    <row r="845" spans="44:44" x14ac:dyDescent="0.25">
      <c r="AR845" s="70"/>
    </row>
    <row r="846" spans="44:44" x14ac:dyDescent="0.25">
      <c r="AR846" s="70"/>
    </row>
    <row r="847" spans="44:44" x14ac:dyDescent="0.25">
      <c r="AR847" s="70"/>
    </row>
    <row r="848" spans="44:44" x14ac:dyDescent="0.25">
      <c r="AR848" s="70"/>
    </row>
    <row r="849" spans="44:44" x14ac:dyDescent="0.25">
      <c r="AR849" s="70"/>
    </row>
    <row r="850" spans="44:44" x14ac:dyDescent="0.25">
      <c r="AR850" s="70"/>
    </row>
    <row r="851" spans="44:44" x14ac:dyDescent="0.25">
      <c r="AR851" s="70"/>
    </row>
    <row r="852" spans="44:44" x14ac:dyDescent="0.25">
      <c r="AR852" s="70"/>
    </row>
    <row r="853" spans="44:44" x14ac:dyDescent="0.25">
      <c r="AR853" s="70"/>
    </row>
    <row r="854" spans="44:44" x14ac:dyDescent="0.25">
      <c r="AR854" s="70"/>
    </row>
    <row r="855" spans="44:44" x14ac:dyDescent="0.25">
      <c r="AR855" s="70"/>
    </row>
    <row r="856" spans="44:44" x14ac:dyDescent="0.25">
      <c r="AR856" s="70"/>
    </row>
    <row r="857" spans="44:44" x14ac:dyDescent="0.25">
      <c r="AR857" s="70"/>
    </row>
    <row r="858" spans="44:44" x14ac:dyDescent="0.25">
      <c r="AR858" s="70"/>
    </row>
    <row r="859" spans="44:44" x14ac:dyDescent="0.25">
      <c r="AR859" s="70"/>
    </row>
    <row r="860" spans="44:44" x14ac:dyDescent="0.25">
      <c r="AR860" s="70"/>
    </row>
    <row r="861" spans="44:44" x14ac:dyDescent="0.25">
      <c r="AR861" s="70"/>
    </row>
    <row r="862" spans="44:44" x14ac:dyDescent="0.25">
      <c r="AR862" s="70"/>
    </row>
    <row r="863" spans="44:44" x14ac:dyDescent="0.25">
      <c r="AR863" s="70"/>
    </row>
    <row r="864" spans="44:44" x14ac:dyDescent="0.25">
      <c r="AR864" s="70"/>
    </row>
    <row r="865" spans="44:44" x14ac:dyDescent="0.25">
      <c r="AR865" s="70"/>
    </row>
    <row r="866" spans="44:44" x14ac:dyDescent="0.25">
      <c r="AR866" s="70"/>
    </row>
    <row r="867" spans="44:44" x14ac:dyDescent="0.25">
      <c r="AR867" s="70"/>
    </row>
    <row r="868" spans="44:44" x14ac:dyDescent="0.25">
      <c r="AR868" s="70"/>
    </row>
    <row r="869" spans="44:44" x14ac:dyDescent="0.25">
      <c r="AR869" s="70"/>
    </row>
    <row r="870" spans="44:44" x14ac:dyDescent="0.25">
      <c r="AR870" s="70"/>
    </row>
    <row r="871" spans="44:44" x14ac:dyDescent="0.25">
      <c r="AR871" s="70"/>
    </row>
    <row r="872" spans="44:44" x14ac:dyDescent="0.25">
      <c r="AR872" s="70"/>
    </row>
    <row r="873" spans="44:44" x14ac:dyDescent="0.25">
      <c r="AR873" s="70"/>
    </row>
    <row r="874" spans="44:44" x14ac:dyDescent="0.25">
      <c r="AR874" s="70"/>
    </row>
    <row r="875" spans="44:44" x14ac:dyDescent="0.25">
      <c r="AR875" s="70"/>
    </row>
    <row r="876" spans="44:44" x14ac:dyDescent="0.25">
      <c r="AR876" s="70"/>
    </row>
    <row r="877" spans="44:44" x14ac:dyDescent="0.25">
      <c r="AR877" s="70"/>
    </row>
    <row r="878" spans="44:44" x14ac:dyDescent="0.25">
      <c r="AR878" s="70"/>
    </row>
    <row r="879" spans="44:44" x14ac:dyDescent="0.25">
      <c r="AR879" s="70"/>
    </row>
    <row r="880" spans="44:44" x14ac:dyDescent="0.25">
      <c r="AR880" s="70"/>
    </row>
    <row r="881" spans="44:44" x14ac:dyDescent="0.25">
      <c r="AR881" s="70"/>
    </row>
    <row r="882" spans="44:44" x14ac:dyDescent="0.25">
      <c r="AR882" s="70"/>
    </row>
    <row r="883" spans="44:44" x14ac:dyDescent="0.25">
      <c r="AR883" s="70"/>
    </row>
    <row r="884" spans="44:44" x14ac:dyDescent="0.25">
      <c r="AR884" s="70"/>
    </row>
    <row r="885" spans="44:44" x14ac:dyDescent="0.25">
      <c r="AR885" s="70"/>
    </row>
    <row r="886" spans="44:44" x14ac:dyDescent="0.25">
      <c r="AR886" s="70"/>
    </row>
    <row r="887" spans="44:44" x14ac:dyDescent="0.25">
      <c r="AR887" s="70"/>
    </row>
    <row r="888" spans="44:44" x14ac:dyDescent="0.25">
      <c r="AR888" s="70"/>
    </row>
    <row r="889" spans="44:44" x14ac:dyDescent="0.25">
      <c r="AR889" s="70"/>
    </row>
    <row r="890" spans="44:44" x14ac:dyDescent="0.25">
      <c r="AR890" s="70"/>
    </row>
    <row r="891" spans="44:44" x14ac:dyDescent="0.25">
      <c r="AR891" s="70"/>
    </row>
    <row r="892" spans="44:44" x14ac:dyDescent="0.25">
      <c r="AR892" s="70"/>
    </row>
    <row r="893" spans="44:44" x14ac:dyDescent="0.25">
      <c r="AR893" s="70"/>
    </row>
    <row r="894" spans="44:44" x14ac:dyDescent="0.25">
      <c r="AR894" s="70"/>
    </row>
    <row r="895" spans="44:44" x14ac:dyDescent="0.25">
      <c r="AR895" s="70"/>
    </row>
    <row r="896" spans="44:44" x14ac:dyDescent="0.25">
      <c r="AR896" s="70"/>
    </row>
    <row r="897" spans="44:44" x14ac:dyDescent="0.25">
      <c r="AR897" s="70"/>
    </row>
    <row r="898" spans="44:44" x14ac:dyDescent="0.25">
      <c r="AR898" s="70"/>
    </row>
    <row r="899" spans="44:44" x14ac:dyDescent="0.25">
      <c r="AR899" s="70"/>
    </row>
    <row r="900" spans="44:44" x14ac:dyDescent="0.25">
      <c r="AR900" s="70"/>
    </row>
    <row r="901" spans="44:44" x14ac:dyDescent="0.25">
      <c r="AR901" s="70"/>
    </row>
    <row r="902" spans="44:44" x14ac:dyDescent="0.25">
      <c r="AR902" s="70"/>
    </row>
    <row r="903" spans="44:44" x14ac:dyDescent="0.25">
      <c r="AR903" s="70"/>
    </row>
    <row r="904" spans="44:44" x14ac:dyDescent="0.25">
      <c r="AR904" s="70"/>
    </row>
    <row r="905" spans="44:44" x14ac:dyDescent="0.25">
      <c r="AR905" s="70"/>
    </row>
    <row r="906" spans="44:44" x14ac:dyDescent="0.25">
      <c r="AR906" s="70"/>
    </row>
    <row r="907" spans="44:44" x14ac:dyDescent="0.25">
      <c r="AR907" s="70"/>
    </row>
    <row r="908" spans="44:44" x14ac:dyDescent="0.25">
      <c r="AR908" s="70"/>
    </row>
    <row r="909" spans="44:44" x14ac:dyDescent="0.25">
      <c r="AR909" s="70"/>
    </row>
    <row r="910" spans="44:44" x14ac:dyDescent="0.25">
      <c r="AR910" s="70"/>
    </row>
    <row r="911" spans="44:44" x14ac:dyDescent="0.25">
      <c r="AR911" s="70"/>
    </row>
    <row r="912" spans="44:44" x14ac:dyDescent="0.25">
      <c r="AR912" s="70"/>
    </row>
    <row r="913" spans="44:44" x14ac:dyDescent="0.25">
      <c r="AR913" s="70"/>
    </row>
    <row r="914" spans="44:44" x14ac:dyDescent="0.25">
      <c r="AR914" s="70"/>
    </row>
    <row r="915" spans="44:44" x14ac:dyDescent="0.25">
      <c r="AR915" s="70"/>
    </row>
    <row r="916" spans="44:44" x14ac:dyDescent="0.25">
      <c r="AR916" s="70"/>
    </row>
    <row r="917" spans="44:44" x14ac:dyDescent="0.25">
      <c r="AR917" s="70"/>
    </row>
    <row r="918" spans="44:44" x14ac:dyDescent="0.25">
      <c r="AR918" s="70"/>
    </row>
    <row r="919" spans="44:44" x14ac:dyDescent="0.25">
      <c r="AR919" s="70"/>
    </row>
    <row r="920" spans="44:44" x14ac:dyDescent="0.25">
      <c r="AR920" s="70"/>
    </row>
    <row r="921" spans="44:44" x14ac:dyDescent="0.25">
      <c r="AR921" s="70"/>
    </row>
    <row r="922" spans="44:44" x14ac:dyDescent="0.25">
      <c r="AR922" s="70"/>
    </row>
    <row r="923" spans="44:44" x14ac:dyDescent="0.25">
      <c r="AR923" s="70"/>
    </row>
    <row r="924" spans="44:44" x14ac:dyDescent="0.25">
      <c r="AR924" s="70"/>
    </row>
    <row r="925" spans="44:44" x14ac:dyDescent="0.25">
      <c r="AR925" s="70"/>
    </row>
    <row r="926" spans="44:44" x14ac:dyDescent="0.25">
      <c r="AR926" s="70"/>
    </row>
    <row r="927" spans="44:44" x14ac:dyDescent="0.25">
      <c r="AR927" s="70"/>
    </row>
    <row r="928" spans="44:44" x14ac:dyDescent="0.25">
      <c r="AR928" s="70"/>
    </row>
    <row r="929" spans="44:44" x14ac:dyDescent="0.25">
      <c r="AR929" s="70"/>
    </row>
    <row r="930" spans="44:44" x14ac:dyDescent="0.25">
      <c r="AR930" s="70"/>
    </row>
    <row r="931" spans="44:44" x14ac:dyDescent="0.25">
      <c r="AR931" s="70"/>
    </row>
    <row r="932" spans="44:44" x14ac:dyDescent="0.25">
      <c r="AR932" s="70"/>
    </row>
    <row r="933" spans="44:44" x14ac:dyDescent="0.25">
      <c r="AR933" s="70"/>
    </row>
    <row r="934" spans="44:44" x14ac:dyDescent="0.25">
      <c r="AR934" s="70"/>
    </row>
    <row r="935" spans="44:44" x14ac:dyDescent="0.25">
      <c r="AR935" s="70"/>
    </row>
    <row r="936" spans="44:44" x14ac:dyDescent="0.25">
      <c r="AR936" s="70"/>
    </row>
    <row r="937" spans="44:44" x14ac:dyDescent="0.25">
      <c r="AR937" s="70"/>
    </row>
    <row r="938" spans="44:44" x14ac:dyDescent="0.25">
      <c r="AR938" s="70"/>
    </row>
    <row r="939" spans="44:44" x14ac:dyDescent="0.25">
      <c r="AR939" s="70"/>
    </row>
    <row r="940" spans="44:44" x14ac:dyDescent="0.25">
      <c r="AR940" s="70"/>
    </row>
    <row r="941" spans="44:44" x14ac:dyDescent="0.25">
      <c r="AR941" s="70"/>
    </row>
    <row r="942" spans="44:44" x14ac:dyDescent="0.25">
      <c r="AR942" s="70"/>
    </row>
    <row r="943" spans="44:44" x14ac:dyDescent="0.25">
      <c r="AR943" s="70"/>
    </row>
    <row r="944" spans="44:44" x14ac:dyDescent="0.25">
      <c r="AR944" s="70"/>
    </row>
    <row r="945" spans="44:44" x14ac:dyDescent="0.25">
      <c r="AR945" s="70"/>
    </row>
    <row r="946" spans="44:44" x14ac:dyDescent="0.25">
      <c r="AR946" s="70"/>
    </row>
    <row r="947" spans="44:44" x14ac:dyDescent="0.25">
      <c r="AR947" s="70"/>
    </row>
    <row r="948" spans="44:44" x14ac:dyDescent="0.25">
      <c r="AR948" s="70"/>
    </row>
    <row r="949" spans="44:44" x14ac:dyDescent="0.25">
      <c r="AR949" s="70"/>
    </row>
    <row r="950" spans="44:44" x14ac:dyDescent="0.25">
      <c r="AR950" s="70"/>
    </row>
    <row r="951" spans="44:44" x14ac:dyDescent="0.25">
      <c r="AR951" s="70"/>
    </row>
    <row r="952" spans="44:44" x14ac:dyDescent="0.25">
      <c r="AR952" s="70"/>
    </row>
    <row r="953" spans="44:44" x14ac:dyDescent="0.25">
      <c r="AR953" s="70"/>
    </row>
    <row r="954" spans="44:44" x14ac:dyDescent="0.25">
      <c r="AR954" s="70"/>
    </row>
    <row r="955" spans="44:44" x14ac:dyDescent="0.25">
      <c r="AR955" s="70"/>
    </row>
    <row r="956" spans="44:44" x14ac:dyDescent="0.25">
      <c r="AR956" s="70"/>
    </row>
    <row r="957" spans="44:44" x14ac:dyDescent="0.25">
      <c r="AR957" s="70"/>
    </row>
    <row r="958" spans="44:44" x14ac:dyDescent="0.25">
      <c r="AR958" s="70"/>
    </row>
    <row r="959" spans="44:44" x14ac:dyDescent="0.25">
      <c r="AR959" s="70"/>
    </row>
    <row r="960" spans="44:44" x14ac:dyDescent="0.25">
      <c r="AR960" s="70"/>
    </row>
    <row r="961" spans="44:44" x14ac:dyDescent="0.25">
      <c r="AR961" s="70"/>
    </row>
    <row r="962" spans="44:44" x14ac:dyDescent="0.25">
      <c r="AR962" s="70"/>
    </row>
    <row r="963" spans="44:44" x14ac:dyDescent="0.25">
      <c r="AR963" s="70"/>
    </row>
    <row r="964" spans="44:44" x14ac:dyDescent="0.25">
      <c r="AR964" s="70"/>
    </row>
    <row r="965" spans="44:44" x14ac:dyDescent="0.25">
      <c r="AR965" s="70"/>
    </row>
    <row r="966" spans="44:44" x14ac:dyDescent="0.25">
      <c r="AR966" s="70"/>
    </row>
    <row r="967" spans="44:44" x14ac:dyDescent="0.25">
      <c r="AR967" s="70"/>
    </row>
    <row r="968" spans="44:44" x14ac:dyDescent="0.25">
      <c r="AR968" s="70"/>
    </row>
    <row r="969" spans="44:44" x14ac:dyDescent="0.25">
      <c r="AR969" s="70"/>
    </row>
    <row r="970" spans="44:44" x14ac:dyDescent="0.25">
      <c r="AR970" s="70"/>
    </row>
    <row r="971" spans="44:44" x14ac:dyDescent="0.25">
      <c r="AR971" s="70"/>
    </row>
    <row r="972" spans="44:44" x14ac:dyDescent="0.25">
      <c r="AR972" s="70"/>
    </row>
    <row r="973" spans="44:44" x14ac:dyDescent="0.25">
      <c r="AR973" s="70"/>
    </row>
    <row r="974" spans="44:44" x14ac:dyDescent="0.25">
      <c r="AR974" s="70"/>
    </row>
    <row r="975" spans="44:44" x14ac:dyDescent="0.25">
      <c r="AR975" s="70"/>
    </row>
    <row r="976" spans="44:44" x14ac:dyDescent="0.25">
      <c r="AR976" s="70"/>
    </row>
    <row r="977" spans="44:44" x14ac:dyDescent="0.25">
      <c r="AR977" s="70"/>
    </row>
    <row r="978" spans="44:44" x14ac:dyDescent="0.25">
      <c r="AR978" s="70"/>
    </row>
    <row r="979" spans="44:44" x14ac:dyDescent="0.25">
      <c r="AR979" s="70"/>
    </row>
    <row r="980" spans="44:44" x14ac:dyDescent="0.25">
      <c r="AR980" s="70"/>
    </row>
    <row r="981" spans="44:44" x14ac:dyDescent="0.25">
      <c r="AR981" s="70"/>
    </row>
    <row r="982" spans="44:44" x14ac:dyDescent="0.25">
      <c r="AR982" s="70"/>
    </row>
    <row r="983" spans="44:44" x14ac:dyDescent="0.25">
      <c r="AR983" s="70"/>
    </row>
    <row r="984" spans="44:44" x14ac:dyDescent="0.25">
      <c r="AR984" s="70"/>
    </row>
    <row r="985" spans="44:44" x14ac:dyDescent="0.25">
      <c r="AR985" s="70"/>
    </row>
    <row r="986" spans="44:44" x14ac:dyDescent="0.25">
      <c r="AR986" s="70"/>
    </row>
    <row r="987" spans="44:44" x14ac:dyDescent="0.25">
      <c r="AR987" s="70"/>
    </row>
    <row r="988" spans="44:44" x14ac:dyDescent="0.25">
      <c r="AR988" s="70"/>
    </row>
    <row r="989" spans="44:44" x14ac:dyDescent="0.25">
      <c r="AR989" s="70"/>
    </row>
    <row r="990" spans="44:44" x14ac:dyDescent="0.25">
      <c r="AR990" s="70"/>
    </row>
    <row r="991" spans="44:44" x14ac:dyDescent="0.25">
      <c r="AR991" s="70"/>
    </row>
    <row r="992" spans="44:44" x14ac:dyDescent="0.25">
      <c r="AR992" s="70"/>
    </row>
    <row r="993" spans="44:44" x14ac:dyDescent="0.25">
      <c r="AR993" s="70"/>
    </row>
    <row r="994" spans="44:44" x14ac:dyDescent="0.25">
      <c r="AR994" s="70"/>
    </row>
    <row r="995" spans="44:44" x14ac:dyDescent="0.25">
      <c r="AR995" s="70"/>
    </row>
    <row r="996" spans="44:44" x14ac:dyDescent="0.25">
      <c r="AR996" s="70"/>
    </row>
    <row r="997" spans="44:44" x14ac:dyDescent="0.25">
      <c r="AR997" s="70"/>
    </row>
    <row r="998" spans="44:44" x14ac:dyDescent="0.25">
      <c r="AR998" s="70"/>
    </row>
    <row r="999" spans="44:44" x14ac:dyDescent="0.25">
      <c r="AR999" s="70"/>
    </row>
    <row r="1000" spans="44:44" x14ac:dyDescent="0.25">
      <c r="AR1000" s="70"/>
    </row>
    <row r="1001" spans="44:44" x14ac:dyDescent="0.25">
      <c r="AR1001" s="70"/>
    </row>
    <row r="1002" spans="44:44" x14ac:dyDescent="0.25">
      <c r="AR1002" s="70"/>
    </row>
    <row r="1003" spans="44:44" x14ac:dyDescent="0.25">
      <c r="AR1003" s="70"/>
    </row>
    <row r="1004" spans="44:44" x14ac:dyDescent="0.25">
      <c r="AR1004" s="70"/>
    </row>
    <row r="1005" spans="44:44" x14ac:dyDescent="0.25">
      <c r="AR1005" s="70"/>
    </row>
    <row r="1006" spans="44:44" x14ac:dyDescent="0.25">
      <c r="AR1006" s="70"/>
    </row>
    <row r="1007" spans="44:44" x14ac:dyDescent="0.25">
      <c r="AR1007" s="70"/>
    </row>
    <row r="1008" spans="44:44" x14ac:dyDescent="0.25">
      <c r="AR1008" s="70"/>
    </row>
    <row r="1009" spans="44:44" x14ac:dyDescent="0.25">
      <c r="AR1009" s="70"/>
    </row>
    <row r="1010" spans="44:44" x14ac:dyDescent="0.25">
      <c r="AR1010" s="70"/>
    </row>
    <row r="1011" spans="44:44" x14ac:dyDescent="0.25">
      <c r="AR1011" s="70"/>
    </row>
    <row r="1012" spans="44:44" x14ac:dyDescent="0.25">
      <c r="AR1012" s="70"/>
    </row>
    <row r="1013" spans="44:44" x14ac:dyDescent="0.25">
      <c r="AR1013" s="70"/>
    </row>
    <row r="1014" spans="44:44" x14ac:dyDescent="0.25">
      <c r="AR1014" s="70"/>
    </row>
    <row r="1015" spans="44:44" x14ac:dyDescent="0.25">
      <c r="AR1015" s="70"/>
    </row>
    <row r="1016" spans="44:44" x14ac:dyDescent="0.25">
      <c r="AR1016" s="70"/>
    </row>
    <row r="1017" spans="44:44" x14ac:dyDescent="0.25">
      <c r="AR1017" s="70"/>
    </row>
    <row r="1018" spans="44:44" x14ac:dyDescent="0.25">
      <c r="AR1018" s="70"/>
    </row>
    <row r="1019" spans="44:44" x14ac:dyDescent="0.25">
      <c r="AR1019" s="70"/>
    </row>
    <row r="1020" spans="44:44" x14ac:dyDescent="0.25">
      <c r="AR1020" s="70"/>
    </row>
    <row r="1021" spans="44:44" x14ac:dyDescent="0.25">
      <c r="AR1021" s="70"/>
    </row>
    <row r="1022" spans="44:44" x14ac:dyDescent="0.25">
      <c r="AR1022" s="70"/>
    </row>
    <row r="1023" spans="44:44" x14ac:dyDescent="0.25">
      <c r="AR1023" s="70"/>
    </row>
    <row r="1024" spans="44:44" x14ac:dyDescent="0.25">
      <c r="AR1024" s="70"/>
    </row>
    <row r="1025" spans="44:44" x14ac:dyDescent="0.25">
      <c r="AR1025" s="70"/>
    </row>
    <row r="1026" spans="44:44" x14ac:dyDescent="0.25">
      <c r="AR1026" s="70"/>
    </row>
    <row r="1027" spans="44:44" x14ac:dyDescent="0.25">
      <c r="AR1027" s="70"/>
    </row>
    <row r="1028" spans="44:44" x14ac:dyDescent="0.25">
      <c r="AR1028" s="70"/>
    </row>
    <row r="1029" spans="44:44" x14ac:dyDescent="0.25">
      <c r="AR1029" s="70"/>
    </row>
    <row r="1030" spans="44:44" x14ac:dyDescent="0.25">
      <c r="AR1030" s="70"/>
    </row>
    <row r="1031" spans="44:44" x14ac:dyDescent="0.25">
      <c r="AR1031" s="70"/>
    </row>
    <row r="1032" spans="44:44" x14ac:dyDescent="0.25">
      <c r="AR1032" s="70"/>
    </row>
    <row r="1033" spans="44:44" x14ac:dyDescent="0.25">
      <c r="AR1033" s="70"/>
    </row>
    <row r="1034" spans="44:44" x14ac:dyDescent="0.25">
      <c r="AR1034" s="70"/>
    </row>
    <row r="1035" spans="44:44" x14ac:dyDescent="0.25">
      <c r="AR1035" s="70"/>
    </row>
    <row r="1036" spans="44:44" x14ac:dyDescent="0.25">
      <c r="AR1036" s="70"/>
    </row>
    <row r="1037" spans="44:44" x14ac:dyDescent="0.25">
      <c r="AR1037" s="70"/>
    </row>
    <row r="1038" spans="44:44" x14ac:dyDescent="0.25">
      <c r="AR1038" s="70"/>
    </row>
    <row r="1039" spans="44:44" x14ac:dyDescent="0.25">
      <c r="AR1039" s="70"/>
    </row>
    <row r="1040" spans="44:44" x14ac:dyDescent="0.25">
      <c r="AR1040" s="70"/>
    </row>
    <row r="1041" spans="44:44" x14ac:dyDescent="0.25">
      <c r="AR1041" s="70"/>
    </row>
    <row r="1042" spans="44:44" x14ac:dyDescent="0.25">
      <c r="AR1042" s="70"/>
    </row>
    <row r="1043" spans="44:44" x14ac:dyDescent="0.25">
      <c r="AR1043" s="70"/>
    </row>
    <row r="1044" spans="44:44" x14ac:dyDescent="0.25">
      <c r="AR1044" s="70"/>
    </row>
    <row r="1045" spans="44:44" x14ac:dyDescent="0.25">
      <c r="AR1045" s="70"/>
    </row>
    <row r="1046" spans="44:44" x14ac:dyDescent="0.25">
      <c r="AR1046" s="70"/>
    </row>
    <row r="1047" spans="44:44" x14ac:dyDescent="0.25">
      <c r="AR1047" s="70"/>
    </row>
    <row r="1048" spans="44:44" x14ac:dyDescent="0.25">
      <c r="AR1048" s="70"/>
    </row>
    <row r="1049" spans="44:44" x14ac:dyDescent="0.25">
      <c r="AR1049" s="70"/>
    </row>
    <row r="1050" spans="44:44" x14ac:dyDescent="0.25">
      <c r="AR1050" s="70"/>
    </row>
    <row r="1051" spans="44:44" x14ac:dyDescent="0.25">
      <c r="AR1051" s="70"/>
    </row>
    <row r="1052" spans="44:44" x14ac:dyDescent="0.25">
      <c r="AR1052" s="70"/>
    </row>
    <row r="1053" spans="44:44" x14ac:dyDescent="0.25">
      <c r="AR1053" s="70"/>
    </row>
    <row r="1054" spans="44:44" x14ac:dyDescent="0.25">
      <c r="AR1054" s="70"/>
    </row>
    <row r="1055" spans="44:44" x14ac:dyDescent="0.25">
      <c r="AR1055" s="70"/>
    </row>
    <row r="1056" spans="44:44" x14ac:dyDescent="0.25">
      <c r="AR1056" s="70"/>
    </row>
    <row r="1057" spans="44:44" x14ac:dyDescent="0.25">
      <c r="AR1057" s="70"/>
    </row>
    <row r="1058" spans="44:44" x14ac:dyDescent="0.25">
      <c r="AR1058" s="70"/>
    </row>
    <row r="1059" spans="44:44" x14ac:dyDescent="0.25">
      <c r="AR1059" s="70"/>
    </row>
    <row r="1060" spans="44:44" x14ac:dyDescent="0.25">
      <c r="AR1060" s="70"/>
    </row>
    <row r="1061" spans="44:44" x14ac:dyDescent="0.25">
      <c r="AR1061" s="70"/>
    </row>
    <row r="1062" spans="44:44" x14ac:dyDescent="0.25">
      <c r="AR1062" s="70"/>
    </row>
    <row r="1063" spans="44:44" x14ac:dyDescent="0.25">
      <c r="AR1063" s="70"/>
    </row>
    <row r="1064" spans="44:44" x14ac:dyDescent="0.25">
      <c r="AR1064" s="70"/>
    </row>
    <row r="1065" spans="44:44" x14ac:dyDescent="0.25">
      <c r="AR1065" s="70"/>
    </row>
    <row r="1066" spans="44:44" x14ac:dyDescent="0.25">
      <c r="AR1066" s="70"/>
    </row>
    <row r="1067" spans="44:44" x14ac:dyDescent="0.25">
      <c r="AR1067" s="70"/>
    </row>
    <row r="1068" spans="44:44" x14ac:dyDescent="0.25">
      <c r="AR1068" s="70"/>
    </row>
    <row r="1069" spans="44:44" x14ac:dyDescent="0.25">
      <c r="AR1069" s="70"/>
    </row>
    <row r="1070" spans="44:44" x14ac:dyDescent="0.25">
      <c r="AR1070" s="70"/>
    </row>
    <row r="1071" spans="44:44" x14ac:dyDescent="0.25">
      <c r="AR1071" s="70"/>
    </row>
    <row r="1072" spans="44:44" x14ac:dyDescent="0.25">
      <c r="AR1072" s="70"/>
    </row>
    <row r="1073" spans="44:44" x14ac:dyDescent="0.25">
      <c r="AR1073" s="70"/>
    </row>
    <row r="1074" spans="44:44" x14ac:dyDescent="0.25">
      <c r="AR1074" s="70"/>
    </row>
    <row r="1075" spans="44:44" x14ac:dyDescent="0.25">
      <c r="AR1075" s="70"/>
    </row>
    <row r="1076" spans="44:44" x14ac:dyDescent="0.25">
      <c r="AR1076" s="70"/>
    </row>
    <row r="1077" spans="44:44" x14ac:dyDescent="0.25">
      <c r="AR1077" s="70"/>
    </row>
    <row r="1078" spans="44:44" x14ac:dyDescent="0.25">
      <c r="AR1078" s="70"/>
    </row>
    <row r="1079" spans="44:44" x14ac:dyDescent="0.25">
      <c r="AR1079" s="70"/>
    </row>
    <row r="1080" spans="44:44" x14ac:dyDescent="0.25">
      <c r="AR1080" s="70"/>
    </row>
    <row r="1081" spans="44:44" x14ac:dyDescent="0.25">
      <c r="AR1081" s="70"/>
    </row>
    <row r="1082" spans="44:44" x14ac:dyDescent="0.25">
      <c r="AR1082" s="70"/>
    </row>
    <row r="1083" spans="44:44" x14ac:dyDescent="0.25">
      <c r="AR1083" s="70"/>
    </row>
    <row r="1084" spans="44:44" x14ac:dyDescent="0.25">
      <c r="AR1084" s="70"/>
    </row>
    <row r="1085" spans="44:44" x14ac:dyDescent="0.25">
      <c r="AR1085" s="70"/>
    </row>
    <row r="1086" spans="44:44" x14ac:dyDescent="0.25">
      <c r="AR1086" s="70"/>
    </row>
    <row r="1087" spans="44:44" x14ac:dyDescent="0.25">
      <c r="AR1087" s="70"/>
    </row>
    <row r="1088" spans="44:44" x14ac:dyDescent="0.25">
      <c r="AR1088" s="70"/>
    </row>
    <row r="1089" spans="44:44" x14ac:dyDescent="0.25">
      <c r="AR1089" s="70"/>
    </row>
    <row r="1090" spans="44:44" x14ac:dyDescent="0.25">
      <c r="AR1090" s="70"/>
    </row>
    <row r="1091" spans="44:44" x14ac:dyDescent="0.25">
      <c r="AR1091" s="70"/>
    </row>
    <row r="1092" spans="44:44" x14ac:dyDescent="0.25">
      <c r="AR1092" s="70"/>
    </row>
    <row r="1093" spans="44:44" x14ac:dyDescent="0.25">
      <c r="AR1093" s="70"/>
    </row>
    <row r="1094" spans="44:44" x14ac:dyDescent="0.25">
      <c r="AR1094" s="70"/>
    </row>
    <row r="1095" spans="44:44" x14ac:dyDescent="0.25">
      <c r="AR1095" s="70"/>
    </row>
    <row r="1096" spans="44:44" x14ac:dyDescent="0.25">
      <c r="AR1096" s="70"/>
    </row>
    <row r="1097" spans="44:44" x14ac:dyDescent="0.25">
      <c r="AR1097" s="70"/>
    </row>
    <row r="1098" spans="44:44" x14ac:dyDescent="0.25">
      <c r="AR1098" s="70"/>
    </row>
    <row r="1099" spans="44:44" x14ac:dyDescent="0.25">
      <c r="AR1099" s="70"/>
    </row>
    <row r="1100" spans="44:44" x14ac:dyDescent="0.25">
      <c r="AR1100" s="70"/>
    </row>
    <row r="1101" spans="44:44" x14ac:dyDescent="0.25">
      <c r="AR1101" s="70"/>
    </row>
    <row r="1102" spans="44:44" x14ac:dyDescent="0.25">
      <c r="AR1102" s="70"/>
    </row>
    <row r="1103" spans="44:44" x14ac:dyDescent="0.25">
      <c r="AR1103" s="70"/>
    </row>
    <row r="1104" spans="44:44" x14ac:dyDescent="0.25">
      <c r="AR1104" s="70"/>
    </row>
    <row r="1105" spans="44:44" x14ac:dyDescent="0.25">
      <c r="AR1105" s="70"/>
    </row>
    <row r="1106" spans="44:44" x14ac:dyDescent="0.25">
      <c r="AR1106" s="70"/>
    </row>
    <row r="1107" spans="44:44" x14ac:dyDescent="0.25">
      <c r="AR1107" s="70"/>
    </row>
    <row r="1108" spans="44:44" x14ac:dyDescent="0.25">
      <c r="AR1108" s="70"/>
    </row>
    <row r="1109" spans="44:44" x14ac:dyDescent="0.25">
      <c r="AR1109" s="70"/>
    </row>
    <row r="1110" spans="44:44" x14ac:dyDescent="0.25">
      <c r="AR1110" s="70"/>
    </row>
    <row r="1111" spans="44:44" x14ac:dyDescent="0.25">
      <c r="AR1111" s="70"/>
    </row>
    <row r="1112" spans="44:44" x14ac:dyDescent="0.25">
      <c r="AR1112" s="70"/>
    </row>
    <row r="1113" spans="44:44" x14ac:dyDescent="0.25">
      <c r="AR1113" s="70"/>
    </row>
    <row r="1114" spans="44:44" x14ac:dyDescent="0.25">
      <c r="AR1114" s="70"/>
    </row>
    <row r="1115" spans="44:44" x14ac:dyDescent="0.25">
      <c r="AR1115" s="70"/>
    </row>
    <row r="1116" spans="44:44" x14ac:dyDescent="0.25">
      <c r="AR1116" s="70"/>
    </row>
    <row r="1117" spans="44:44" x14ac:dyDescent="0.25">
      <c r="AR1117" s="70"/>
    </row>
    <row r="1118" spans="44:44" x14ac:dyDescent="0.25">
      <c r="AR1118" s="70"/>
    </row>
    <row r="1119" spans="44:44" x14ac:dyDescent="0.25">
      <c r="AR1119" s="70"/>
    </row>
    <row r="1120" spans="44:44" x14ac:dyDescent="0.25">
      <c r="AR1120" s="70"/>
    </row>
    <row r="1121" spans="44:44" x14ac:dyDescent="0.25">
      <c r="AR1121" s="70"/>
    </row>
    <row r="1122" spans="44:44" x14ac:dyDescent="0.25">
      <c r="AR1122" s="70"/>
    </row>
    <row r="1123" spans="44:44" x14ac:dyDescent="0.25">
      <c r="AR1123" s="70"/>
    </row>
    <row r="1124" spans="44:44" x14ac:dyDescent="0.25">
      <c r="AR1124" s="70"/>
    </row>
    <row r="1125" spans="44:44" x14ac:dyDescent="0.25">
      <c r="AR1125" s="70"/>
    </row>
    <row r="1126" spans="44:44" x14ac:dyDescent="0.25">
      <c r="AR1126" s="70"/>
    </row>
    <row r="1127" spans="44:44" x14ac:dyDescent="0.25">
      <c r="AR1127" s="70"/>
    </row>
    <row r="1128" spans="44:44" x14ac:dyDescent="0.25">
      <c r="AR1128" s="70"/>
    </row>
    <row r="1129" spans="44:44" x14ac:dyDescent="0.25">
      <c r="AR1129" s="70"/>
    </row>
    <row r="1130" spans="44:44" x14ac:dyDescent="0.25">
      <c r="AR1130" s="70"/>
    </row>
    <row r="1131" spans="44:44" x14ac:dyDescent="0.25">
      <c r="AR1131" s="70"/>
    </row>
    <row r="1132" spans="44:44" x14ac:dyDescent="0.25">
      <c r="AR1132" s="70"/>
    </row>
    <row r="1133" spans="44:44" x14ac:dyDescent="0.25">
      <c r="AR1133" s="70"/>
    </row>
    <row r="1134" spans="44:44" x14ac:dyDescent="0.25">
      <c r="AR1134" s="70"/>
    </row>
    <row r="1135" spans="44:44" x14ac:dyDescent="0.25">
      <c r="AR1135" s="70"/>
    </row>
    <row r="1136" spans="44:44" x14ac:dyDescent="0.25">
      <c r="AR1136" s="70"/>
    </row>
    <row r="1137" spans="44:44" x14ac:dyDescent="0.25">
      <c r="AR1137" s="70"/>
    </row>
    <row r="1138" spans="44:44" x14ac:dyDescent="0.25">
      <c r="AR1138" s="70"/>
    </row>
    <row r="1139" spans="44:44" x14ac:dyDescent="0.25">
      <c r="AR1139" s="70"/>
    </row>
    <row r="1140" spans="44:44" x14ac:dyDescent="0.25">
      <c r="AR1140" s="70"/>
    </row>
    <row r="1141" spans="44:44" x14ac:dyDescent="0.25">
      <c r="AR1141" s="70"/>
    </row>
    <row r="1142" spans="44:44" x14ac:dyDescent="0.25">
      <c r="AR1142" s="70"/>
    </row>
    <row r="1143" spans="44:44" x14ac:dyDescent="0.25">
      <c r="AR1143" s="70"/>
    </row>
    <row r="1144" spans="44:44" x14ac:dyDescent="0.25">
      <c r="AR1144" s="70"/>
    </row>
    <row r="1145" spans="44:44" x14ac:dyDescent="0.25">
      <c r="AR1145" s="70"/>
    </row>
    <row r="1146" spans="44:44" x14ac:dyDescent="0.25">
      <c r="AR1146" s="70"/>
    </row>
    <row r="1147" spans="44:44" x14ac:dyDescent="0.25">
      <c r="AR1147" s="70"/>
    </row>
    <row r="1148" spans="44:44" x14ac:dyDescent="0.25">
      <c r="AR1148" s="70"/>
    </row>
    <row r="1149" spans="44:44" x14ac:dyDescent="0.25">
      <c r="AR1149" s="70"/>
    </row>
    <row r="1150" spans="44:44" x14ac:dyDescent="0.25">
      <c r="AR1150" s="70"/>
    </row>
    <row r="1151" spans="44:44" x14ac:dyDescent="0.25">
      <c r="AR1151" s="70"/>
    </row>
    <row r="1152" spans="44:44" x14ac:dyDescent="0.25">
      <c r="AR1152" s="70"/>
    </row>
    <row r="1153" spans="44:44" x14ac:dyDescent="0.25">
      <c r="AR1153" s="70"/>
    </row>
    <row r="1154" spans="44:44" x14ac:dyDescent="0.25">
      <c r="AR1154" s="70"/>
    </row>
    <row r="1155" spans="44:44" x14ac:dyDescent="0.25">
      <c r="AR1155" s="70"/>
    </row>
    <row r="1156" spans="44:44" x14ac:dyDescent="0.25">
      <c r="AR1156" s="70"/>
    </row>
    <row r="1157" spans="44:44" x14ac:dyDescent="0.25">
      <c r="AR1157" s="70"/>
    </row>
    <row r="1158" spans="44:44" x14ac:dyDescent="0.25">
      <c r="AR1158" s="70"/>
    </row>
    <row r="1159" spans="44:44" x14ac:dyDescent="0.25">
      <c r="AR1159" s="70"/>
    </row>
    <row r="1160" spans="44:44" x14ac:dyDescent="0.25">
      <c r="AR1160" s="70"/>
    </row>
    <row r="1161" spans="44:44" x14ac:dyDescent="0.25">
      <c r="AR1161" s="70"/>
    </row>
    <row r="1162" spans="44:44" x14ac:dyDescent="0.25">
      <c r="AR1162" s="70"/>
    </row>
    <row r="1163" spans="44:44" x14ac:dyDescent="0.25">
      <c r="AR1163" s="70"/>
    </row>
    <row r="1164" spans="44:44" x14ac:dyDescent="0.25">
      <c r="AR1164" s="70"/>
    </row>
    <row r="1165" spans="44:44" x14ac:dyDescent="0.25">
      <c r="AR1165" s="70"/>
    </row>
    <row r="1166" spans="44:44" x14ac:dyDescent="0.25">
      <c r="AR1166" s="70"/>
    </row>
    <row r="1167" spans="44:44" x14ac:dyDescent="0.25">
      <c r="AR1167" s="70"/>
    </row>
    <row r="1168" spans="44:44" x14ac:dyDescent="0.25">
      <c r="AR1168" s="70"/>
    </row>
    <row r="1169" spans="44:44" x14ac:dyDescent="0.25">
      <c r="AR1169" s="70"/>
    </row>
    <row r="1170" spans="44:44" x14ac:dyDescent="0.25">
      <c r="AR1170" s="70"/>
    </row>
    <row r="1171" spans="44:44" x14ac:dyDescent="0.25">
      <c r="AR1171" s="70"/>
    </row>
    <row r="1172" spans="44:44" x14ac:dyDescent="0.25">
      <c r="AR1172" s="70"/>
    </row>
    <row r="1173" spans="44:44" x14ac:dyDescent="0.25">
      <c r="AR1173" s="70"/>
    </row>
    <row r="1174" spans="44:44" x14ac:dyDescent="0.25">
      <c r="AR1174" s="70"/>
    </row>
    <row r="1175" spans="44:44" x14ac:dyDescent="0.25">
      <c r="AR1175" s="70"/>
    </row>
    <row r="1176" spans="44:44" x14ac:dyDescent="0.25">
      <c r="AR1176" s="70"/>
    </row>
    <row r="1177" spans="44:44" x14ac:dyDescent="0.25">
      <c r="AR1177" s="70"/>
    </row>
    <row r="1178" spans="44:44" x14ac:dyDescent="0.25">
      <c r="AR1178" s="70"/>
    </row>
    <row r="1179" spans="44:44" x14ac:dyDescent="0.25">
      <c r="AR1179" s="70"/>
    </row>
    <row r="1180" spans="44:44" x14ac:dyDescent="0.25">
      <c r="AR1180" s="70"/>
    </row>
    <row r="1181" spans="44:44" x14ac:dyDescent="0.25">
      <c r="AR1181" s="70"/>
    </row>
    <row r="1182" spans="44:44" x14ac:dyDescent="0.25">
      <c r="AR1182" s="70"/>
    </row>
    <row r="1183" spans="44:44" x14ac:dyDescent="0.25">
      <c r="AR1183" s="70"/>
    </row>
    <row r="1184" spans="44:44" x14ac:dyDescent="0.25">
      <c r="AR1184" s="70"/>
    </row>
    <row r="1185" spans="44:44" x14ac:dyDescent="0.25">
      <c r="AR1185" s="70"/>
    </row>
    <row r="1186" spans="44:44" x14ac:dyDescent="0.25">
      <c r="AR1186" s="70"/>
    </row>
    <row r="1187" spans="44:44" x14ac:dyDescent="0.25">
      <c r="AR1187" s="70"/>
    </row>
    <row r="1188" spans="44:44" x14ac:dyDescent="0.25">
      <c r="AR1188" s="70"/>
    </row>
    <row r="1189" spans="44:44" x14ac:dyDescent="0.25">
      <c r="AR1189" s="70"/>
    </row>
    <row r="1190" spans="44:44" x14ac:dyDescent="0.25">
      <c r="AR1190" s="70"/>
    </row>
    <row r="1191" spans="44:44" x14ac:dyDescent="0.25">
      <c r="AR1191" s="70"/>
    </row>
    <row r="1192" spans="44:44" x14ac:dyDescent="0.25">
      <c r="AR1192" s="70"/>
    </row>
    <row r="1193" spans="44:44" x14ac:dyDescent="0.25">
      <c r="AR1193" s="70"/>
    </row>
    <row r="1194" spans="44:44" x14ac:dyDescent="0.25">
      <c r="AR1194" s="70"/>
    </row>
    <row r="1195" spans="44:44" x14ac:dyDescent="0.25">
      <c r="AR1195" s="70"/>
    </row>
    <row r="1196" spans="44:44" x14ac:dyDescent="0.25">
      <c r="AR1196" s="70"/>
    </row>
    <row r="1197" spans="44:44" x14ac:dyDescent="0.25">
      <c r="AR1197" s="70"/>
    </row>
    <row r="1198" spans="44:44" x14ac:dyDescent="0.25">
      <c r="AR1198" s="70"/>
    </row>
    <row r="1199" spans="44:44" x14ac:dyDescent="0.25">
      <c r="AR1199" s="70"/>
    </row>
    <row r="1200" spans="44:44" x14ac:dyDescent="0.25">
      <c r="AR1200" s="70"/>
    </row>
    <row r="1201" spans="44:44" x14ac:dyDescent="0.25">
      <c r="AR1201" s="70"/>
    </row>
    <row r="1202" spans="44:44" x14ac:dyDescent="0.25">
      <c r="AR1202" s="70"/>
    </row>
    <row r="1203" spans="44:44" x14ac:dyDescent="0.25">
      <c r="AR1203" s="70"/>
    </row>
    <row r="1204" spans="44:44" x14ac:dyDescent="0.25">
      <c r="AR1204" s="70"/>
    </row>
    <row r="1205" spans="44:44" x14ac:dyDescent="0.25">
      <c r="AR1205" s="70"/>
    </row>
    <row r="1206" spans="44:44" x14ac:dyDescent="0.25">
      <c r="AR1206" s="70"/>
    </row>
    <row r="1207" spans="44:44" x14ac:dyDescent="0.25">
      <c r="AR1207" s="70"/>
    </row>
    <row r="1208" spans="44:44" x14ac:dyDescent="0.25">
      <c r="AR1208" s="70"/>
    </row>
    <row r="1209" spans="44:44" x14ac:dyDescent="0.25">
      <c r="AR1209" s="70"/>
    </row>
    <row r="1210" spans="44:44" x14ac:dyDescent="0.25">
      <c r="AR1210" s="70"/>
    </row>
    <row r="1211" spans="44:44" x14ac:dyDescent="0.25">
      <c r="AR1211" s="70"/>
    </row>
    <row r="1048571" spans="22:42" ht="16.5" x14ac:dyDescent="0.25">
      <c r="V1048571" s="94"/>
    </row>
    <row r="1048573" spans="22:42" ht="16.5" x14ac:dyDescent="0.25">
      <c r="W1048573" s="75"/>
      <c r="X1048573" s="75"/>
      <c r="Y1048573" s="75"/>
      <c r="Z1048573" s="75"/>
      <c r="AA1048573" s="75"/>
      <c r="AB1048573" s="75"/>
      <c r="AC1048573" s="75"/>
      <c r="AD1048573" s="75"/>
      <c r="AE1048573" s="75"/>
      <c r="AF1048573" s="75"/>
      <c r="AG1048573" s="75"/>
      <c r="AH1048573" s="75"/>
      <c r="AI1048573" s="75"/>
      <c r="AJ1048573" s="75"/>
      <c r="AK1048573" s="75"/>
      <c r="AL1048573" s="75"/>
      <c r="AM1048573" s="75"/>
      <c r="AN1048573" s="75"/>
      <c r="AO1048573" s="75"/>
      <c r="AP1048573" s="75"/>
    </row>
  </sheetData>
  <autoFilter ref="A2:CA253"/>
  <phoneticPr fontId="3" type="noConversion"/>
  <conditionalFormatting sqref="G266">
    <cfRule type="duplicateValues" dxfId="39" priority="329"/>
  </conditionalFormatting>
  <conditionalFormatting sqref="AJ3:AL254 O3:Q265">
    <cfRule type="cellIs" dxfId="38" priority="50" operator="equal">
      <formula>"N"</formula>
    </cfRule>
  </conditionalFormatting>
  <conditionalFormatting sqref="AB21">
    <cfRule type="duplicateValues" dxfId="36" priority="5"/>
  </conditionalFormatting>
  <conditionalFormatting sqref="AB34">
    <cfRule type="duplicateValues" dxfId="34" priority="3"/>
  </conditionalFormatting>
  <conditionalFormatting sqref="AB3:AB20 AB22:AB33 AB35:AB254">
    <cfRule type="duplicateValues" dxfId="33" priority="402"/>
  </conditionalFormatting>
  <conditionalFormatting sqref="G68:G72">
    <cfRule type="duplicateValues" dxfId="32" priority="407"/>
  </conditionalFormatting>
  <conditionalFormatting sqref="G3:G67 G73:G265">
    <cfRule type="duplicateValues" dxfId="31" priority="410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工作人員.發票格式.KEY法說明!$A$1:$A$6</xm:f>
          </x14:formula1>
          <xm:sqref>AC254:AF283 AG264:AG283 AB255:AB283 AI255:AL283 AH259:AH283 V252:V281 W1048573:AP1048576 V1048571:V1048576 W254:AA283 BT3:BT197 AM3:AP283 S3:U287 R3:R295</xm:sqref>
        </x14:dataValidation>
        <x14:dataValidation type="list" allowBlank="1" showInputMessage="1" showErrorMessage="1">
          <x14:formula1>
            <xm:f>[1]廠商編輯設定自動代出!#REF!</xm:f>
          </x14:formula1>
          <xm:sqref>W284:AP345 V282:V343 R296:R357 S288:U349</xm:sqref>
        </x14:dataValidation>
        <x14:dataValidation type="list" allowBlank="1" showInputMessage="1" showErrorMessage="1">
          <x14:formula1>
            <xm:f>工作人員.發票格式.KEY法說明!$E$1:$E$4</xm:f>
          </x14:formula1>
          <xm:sqref>AK3:AK253</xm:sqref>
        </x14:dataValidation>
        <x14:dataValidation type="list" allowBlank="1" showInputMessage="1" showErrorMessage="1">
          <x14:formula1>
            <xm:f>工作人員.發票格式.KEY法說明!$E$1:$E$5</xm:f>
          </x14:formula1>
          <xm:sqref>P3:P264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29"/>
  <sheetViews>
    <sheetView zoomScale="80" zoomScaleNormal="80" workbookViewId="0">
      <pane ySplit="2" topLeftCell="A3" activePane="bottomLeft" state="frozen"/>
      <selection activeCell="B132" sqref="B132"/>
      <selection pane="bottomLeft" activeCell="H44" sqref="H44"/>
    </sheetView>
  </sheetViews>
  <sheetFormatPr defaultColWidth="9" defaultRowHeight="16.5" x14ac:dyDescent="0.25"/>
  <cols>
    <col min="1" max="1" width="9" style="4"/>
    <col min="2" max="2" width="12" style="4" bestFit="1" customWidth="1"/>
    <col min="3" max="3" width="14.25" style="35" customWidth="1"/>
    <col min="4" max="4" width="9.125" style="21" customWidth="1"/>
    <col min="5" max="5" width="20.25" style="1" customWidth="1"/>
    <col min="6" max="6" width="16.875" style="35" customWidth="1"/>
    <col min="7" max="7" width="21.25" style="52" customWidth="1"/>
    <col min="8" max="8" width="30.5" style="7" customWidth="1"/>
    <col min="9" max="9" width="16.875" style="7" customWidth="1"/>
    <col min="10" max="10" width="11.375" style="42" customWidth="1"/>
    <col min="11" max="11" width="15" style="5" customWidth="1"/>
    <col min="12" max="12" width="11.375" style="5" customWidth="1"/>
    <col min="13" max="13" width="13" style="29" customWidth="1"/>
    <col min="14" max="14" width="16.5" style="5" customWidth="1"/>
    <col min="15" max="15" width="12.625" style="97" customWidth="1"/>
    <col min="16" max="16" width="14.375" style="52" customWidth="1"/>
    <col min="17" max="17" width="9" style="1"/>
    <col min="18" max="18" width="10.25" style="1" customWidth="1"/>
    <col min="19" max="19" width="9.75" style="1" customWidth="1"/>
    <col min="20" max="20" width="10" style="1" customWidth="1"/>
    <col min="21" max="21" width="10.25" style="3" customWidth="1"/>
    <col min="22" max="22" width="9" style="1"/>
    <col min="25" max="16384" width="9" style="1"/>
  </cols>
  <sheetData>
    <row r="1" spans="1:24" s="14" customFormat="1" ht="20.25" x14ac:dyDescent="0.25">
      <c r="A1" s="9" t="s">
        <v>5</v>
      </c>
      <c r="B1" s="9"/>
      <c r="C1" s="100"/>
      <c r="D1" s="20"/>
      <c r="E1" s="54" t="s">
        <v>2015</v>
      </c>
      <c r="F1" s="55" t="s">
        <v>337</v>
      </c>
      <c r="G1" s="50"/>
      <c r="H1" s="11"/>
      <c r="I1" s="11"/>
      <c r="J1" s="18"/>
      <c r="K1" s="12"/>
      <c r="L1" s="12"/>
      <c r="M1" s="26">
        <f>SUM(M3:M209)</f>
        <v>495919</v>
      </c>
      <c r="N1" s="26">
        <f>SUM(N3:N209)</f>
        <v>472304.71428571438</v>
      </c>
      <c r="O1" s="26">
        <f>SUM(O3:O209)</f>
        <v>23615.333333333336</v>
      </c>
      <c r="P1" s="50"/>
      <c r="U1" s="31"/>
    </row>
    <row r="2" spans="1:24" s="19" customFormat="1" x14ac:dyDescent="0.25">
      <c r="A2" s="19" t="s">
        <v>272</v>
      </c>
      <c r="B2" s="19" t="s">
        <v>284</v>
      </c>
      <c r="C2" s="15" t="s">
        <v>273</v>
      </c>
      <c r="D2" s="16" t="s">
        <v>274</v>
      </c>
      <c r="E2" s="16" t="s">
        <v>275</v>
      </c>
      <c r="F2" s="15" t="s">
        <v>276</v>
      </c>
      <c r="G2" s="14" t="s">
        <v>0</v>
      </c>
      <c r="H2" s="17" t="s">
        <v>300</v>
      </c>
      <c r="I2" s="17" t="s">
        <v>295</v>
      </c>
      <c r="J2" s="18" t="s">
        <v>296</v>
      </c>
      <c r="K2" s="18" t="s">
        <v>297</v>
      </c>
      <c r="L2" s="18" t="s">
        <v>298</v>
      </c>
      <c r="M2" s="27" t="s">
        <v>3</v>
      </c>
      <c r="N2" s="18" t="s">
        <v>1</v>
      </c>
      <c r="O2" s="98" t="s">
        <v>2</v>
      </c>
      <c r="P2" s="99" t="s">
        <v>4</v>
      </c>
      <c r="Q2" s="19" t="s">
        <v>285</v>
      </c>
      <c r="R2" s="17" t="s">
        <v>1326</v>
      </c>
      <c r="S2" s="17" t="s">
        <v>1327</v>
      </c>
      <c r="T2" s="17" t="s">
        <v>1328</v>
      </c>
      <c r="U2" s="15" t="s">
        <v>299</v>
      </c>
    </row>
    <row r="3" spans="1:24" x14ac:dyDescent="0.25">
      <c r="A3" s="4">
        <v>1</v>
      </c>
      <c r="B3" s="4">
        <v>1150505</v>
      </c>
      <c r="C3" s="35" t="s">
        <v>2053</v>
      </c>
      <c r="E3" s="1" t="s">
        <v>2054</v>
      </c>
      <c r="F3" s="8">
        <v>38903921</v>
      </c>
      <c r="G3" s="51" t="s">
        <v>2055</v>
      </c>
      <c r="H3" s="2" t="s">
        <v>2056</v>
      </c>
      <c r="I3" s="2" t="s">
        <v>2057</v>
      </c>
      <c r="J3" s="49">
        <v>45.16</v>
      </c>
      <c r="K3" s="48">
        <v>31</v>
      </c>
      <c r="L3" s="6">
        <f t="shared" ref="L3:L66" si="0">J3*K3</f>
        <v>1399.9599999999998</v>
      </c>
      <c r="M3" s="29">
        <v>1400</v>
      </c>
      <c r="N3" s="6">
        <f t="shared" ref="N3:N66" si="1">M3/1.05</f>
        <v>1333.3333333333333</v>
      </c>
      <c r="O3" s="95">
        <v>67</v>
      </c>
      <c r="Q3" s="1" t="s">
        <v>2043</v>
      </c>
    </row>
    <row r="4" spans="1:24" x14ac:dyDescent="0.25">
      <c r="A4" s="4">
        <v>2</v>
      </c>
      <c r="B4" s="4">
        <v>1150505</v>
      </c>
      <c r="C4" s="35" t="s">
        <v>2053</v>
      </c>
      <c r="E4" s="1" t="s">
        <v>2054</v>
      </c>
      <c r="F4" s="8">
        <v>38903921</v>
      </c>
      <c r="G4" s="51" t="s">
        <v>2058</v>
      </c>
      <c r="H4" s="2" t="s">
        <v>2056</v>
      </c>
      <c r="I4" s="2" t="s">
        <v>2057</v>
      </c>
      <c r="J4" s="49">
        <v>32.25</v>
      </c>
      <c r="K4" s="48">
        <v>31</v>
      </c>
      <c r="L4" s="6">
        <f t="shared" si="0"/>
        <v>999.75</v>
      </c>
      <c r="M4" s="29">
        <v>1000</v>
      </c>
      <c r="N4" s="6">
        <f t="shared" si="1"/>
        <v>952.38095238095229</v>
      </c>
      <c r="O4" s="95">
        <v>48</v>
      </c>
      <c r="Q4" s="1" t="s">
        <v>2043</v>
      </c>
    </row>
    <row r="5" spans="1:24" ht="16.5" customHeight="1" x14ac:dyDescent="0.25">
      <c r="A5" s="4">
        <v>3</v>
      </c>
      <c r="B5" s="4">
        <v>1150505</v>
      </c>
      <c r="C5" s="35" t="s">
        <v>2059</v>
      </c>
      <c r="E5" s="1" t="s">
        <v>2054</v>
      </c>
      <c r="F5" s="8">
        <v>38903921</v>
      </c>
      <c r="G5" s="51" t="s">
        <v>2060</v>
      </c>
      <c r="H5" s="2" t="s">
        <v>2056</v>
      </c>
      <c r="I5" s="2" t="s">
        <v>2057</v>
      </c>
      <c r="J5" s="49">
        <v>74.209999999999994</v>
      </c>
      <c r="K5" s="48">
        <v>31</v>
      </c>
      <c r="L5" s="6">
        <f t="shared" si="0"/>
        <v>2300.5099999999998</v>
      </c>
      <c r="M5" s="29">
        <v>2301</v>
      </c>
      <c r="N5" s="6">
        <f t="shared" si="1"/>
        <v>2191.4285714285716</v>
      </c>
      <c r="O5" s="95">
        <v>110</v>
      </c>
      <c r="Q5" s="1" t="s">
        <v>2043</v>
      </c>
    </row>
    <row r="6" spans="1:24" x14ac:dyDescent="0.25">
      <c r="A6" s="4">
        <v>4</v>
      </c>
      <c r="B6" s="4">
        <v>1150505</v>
      </c>
      <c r="C6" s="35" t="s">
        <v>2059</v>
      </c>
      <c r="E6" s="1" t="s">
        <v>2061</v>
      </c>
      <c r="F6" s="8">
        <v>38960823</v>
      </c>
      <c r="G6" s="51" t="s">
        <v>2062</v>
      </c>
      <c r="H6" s="2" t="s">
        <v>2056</v>
      </c>
      <c r="I6" s="2" t="s">
        <v>2057</v>
      </c>
      <c r="J6" s="49">
        <v>64.510000000000005</v>
      </c>
      <c r="K6" s="48">
        <v>31</v>
      </c>
      <c r="L6" s="6">
        <f t="shared" si="0"/>
        <v>1999.8100000000002</v>
      </c>
      <c r="M6" s="29">
        <v>2000</v>
      </c>
      <c r="N6" s="6">
        <f t="shared" si="1"/>
        <v>1904.7619047619046</v>
      </c>
      <c r="O6" s="95">
        <v>95</v>
      </c>
      <c r="Q6" s="1" t="s">
        <v>2043</v>
      </c>
    </row>
    <row r="7" spans="1:24" x14ac:dyDescent="0.25">
      <c r="A7" s="4">
        <v>5</v>
      </c>
      <c r="B7" s="4">
        <v>1150506</v>
      </c>
      <c r="C7" s="35" t="s">
        <v>2066</v>
      </c>
      <c r="E7" s="1" t="s">
        <v>2061</v>
      </c>
      <c r="F7" s="8">
        <v>38960823</v>
      </c>
      <c r="G7" s="51" t="s">
        <v>2067</v>
      </c>
      <c r="H7" s="2" t="s">
        <v>2056</v>
      </c>
      <c r="I7" s="2" t="s">
        <v>2057</v>
      </c>
      <c r="J7" s="49">
        <v>32.25</v>
      </c>
      <c r="K7" s="48">
        <v>31</v>
      </c>
      <c r="L7" s="6">
        <f t="shared" si="0"/>
        <v>999.75</v>
      </c>
      <c r="M7" s="29">
        <v>1000</v>
      </c>
      <c r="N7" s="6">
        <f t="shared" si="1"/>
        <v>952.38095238095229</v>
      </c>
      <c r="O7" s="95">
        <v>48</v>
      </c>
      <c r="Q7" s="1" t="s">
        <v>2043</v>
      </c>
    </row>
    <row r="8" spans="1:24" x14ac:dyDescent="0.25">
      <c r="A8" s="4">
        <v>6</v>
      </c>
      <c r="B8" s="4">
        <v>1150506</v>
      </c>
      <c r="C8" s="35" t="s">
        <v>2068</v>
      </c>
      <c r="E8" s="1" t="s">
        <v>2061</v>
      </c>
      <c r="F8" s="8">
        <v>38960823</v>
      </c>
      <c r="G8" s="51" t="s">
        <v>2069</v>
      </c>
      <c r="H8" s="2" t="s">
        <v>2056</v>
      </c>
      <c r="I8" s="2" t="s">
        <v>2057</v>
      </c>
      <c r="J8" s="49">
        <v>64.510000000000005</v>
      </c>
      <c r="K8" s="48">
        <v>31</v>
      </c>
      <c r="L8" s="6">
        <f t="shared" si="0"/>
        <v>1999.8100000000002</v>
      </c>
      <c r="M8" s="29">
        <v>1000</v>
      </c>
      <c r="N8" s="6">
        <f t="shared" si="1"/>
        <v>952.38095238095229</v>
      </c>
      <c r="O8" s="95">
        <v>48</v>
      </c>
      <c r="Q8" s="1" t="s">
        <v>2043</v>
      </c>
    </row>
    <row r="9" spans="1:24" ht="16.5" customHeight="1" x14ac:dyDescent="0.25">
      <c r="A9" s="4">
        <v>7</v>
      </c>
      <c r="B9" s="4">
        <v>1150508</v>
      </c>
      <c r="C9" s="35" t="s">
        <v>2077</v>
      </c>
      <c r="E9" s="1" t="s">
        <v>2078</v>
      </c>
      <c r="F9" s="8">
        <v>88605975</v>
      </c>
      <c r="G9" s="51" t="s">
        <v>2079</v>
      </c>
      <c r="H9" s="2" t="s">
        <v>2056</v>
      </c>
      <c r="I9" s="2" t="s">
        <v>2080</v>
      </c>
      <c r="J9" s="49">
        <v>59.167999999999999</v>
      </c>
      <c r="K9" s="48">
        <v>33.9</v>
      </c>
      <c r="L9" s="6">
        <f t="shared" si="0"/>
        <v>2005.7951999999998</v>
      </c>
      <c r="M9" s="29">
        <v>2006</v>
      </c>
      <c r="N9" s="6">
        <f t="shared" si="1"/>
        <v>1910.4761904761904</v>
      </c>
      <c r="O9" s="95">
        <v>96</v>
      </c>
      <c r="Q9" s="1" t="s">
        <v>2021</v>
      </c>
    </row>
    <row r="10" spans="1:24" s="24" customFormat="1" x14ac:dyDescent="0.25">
      <c r="A10" s="23">
        <v>8</v>
      </c>
      <c r="B10" s="4">
        <v>1150509</v>
      </c>
      <c r="C10" s="35" t="s">
        <v>2084</v>
      </c>
      <c r="D10" s="21"/>
      <c r="E10" s="1" t="s">
        <v>2061</v>
      </c>
      <c r="F10" s="8">
        <v>38960823</v>
      </c>
      <c r="G10" s="51" t="s">
        <v>2085</v>
      </c>
      <c r="H10" s="2" t="s">
        <v>2056</v>
      </c>
      <c r="I10" s="2" t="s">
        <v>2086</v>
      </c>
      <c r="J10" s="49">
        <v>64.5</v>
      </c>
      <c r="K10" s="48">
        <v>31</v>
      </c>
      <c r="L10" s="6">
        <f t="shared" si="0"/>
        <v>1999.5</v>
      </c>
      <c r="M10" s="29">
        <v>2000</v>
      </c>
      <c r="N10" s="6">
        <f t="shared" si="1"/>
        <v>1904.7619047619046</v>
      </c>
      <c r="O10" s="95">
        <v>95</v>
      </c>
      <c r="P10" s="52"/>
      <c r="Q10" s="1" t="s">
        <v>2035</v>
      </c>
      <c r="R10" s="1"/>
      <c r="S10" s="1"/>
      <c r="T10" s="1"/>
      <c r="U10" s="3"/>
      <c r="V10" s="1"/>
      <c r="W10"/>
      <c r="X10" s="93"/>
    </row>
    <row r="11" spans="1:24" x14ac:dyDescent="0.25">
      <c r="A11" s="4">
        <v>9</v>
      </c>
      <c r="B11" s="4">
        <v>1150512</v>
      </c>
      <c r="C11" s="35" t="s">
        <v>2097</v>
      </c>
      <c r="E11" s="1" t="s">
        <v>2054</v>
      </c>
      <c r="F11" s="8">
        <v>38903921</v>
      </c>
      <c r="G11" s="51" t="s">
        <v>2098</v>
      </c>
      <c r="H11" s="2" t="s">
        <v>2056</v>
      </c>
      <c r="I11" s="2" t="s">
        <v>2057</v>
      </c>
      <c r="J11" s="49">
        <v>48.38</v>
      </c>
      <c r="K11" s="48">
        <v>31</v>
      </c>
      <c r="L11" s="6">
        <f t="shared" si="0"/>
        <v>1499.78</v>
      </c>
      <c r="M11" s="29">
        <v>1500</v>
      </c>
      <c r="N11" s="6">
        <f t="shared" si="1"/>
        <v>1428.5714285714284</v>
      </c>
      <c r="O11" s="95">
        <v>71</v>
      </c>
      <c r="Q11" s="1" t="s">
        <v>2021</v>
      </c>
    </row>
    <row r="12" spans="1:24" x14ac:dyDescent="0.25">
      <c r="A12" s="4">
        <v>10</v>
      </c>
      <c r="B12" s="4">
        <v>1150507</v>
      </c>
      <c r="C12" s="35" t="s">
        <v>2102</v>
      </c>
      <c r="D12" s="21">
        <v>5</v>
      </c>
      <c r="E12" s="1" t="s">
        <v>11</v>
      </c>
      <c r="F12" s="8" t="s">
        <v>182</v>
      </c>
      <c r="G12" s="51" t="s">
        <v>2099</v>
      </c>
      <c r="H12" s="2" t="s">
        <v>2100</v>
      </c>
      <c r="I12" s="2" t="s">
        <v>2101</v>
      </c>
      <c r="J12" s="49">
        <v>1</v>
      </c>
      <c r="K12" s="48">
        <v>-633</v>
      </c>
      <c r="L12" s="6">
        <v>-633</v>
      </c>
      <c r="M12" s="29">
        <v>-665</v>
      </c>
      <c r="N12" s="6">
        <v>-633.33333333333326</v>
      </c>
      <c r="O12" s="95">
        <f t="shared" ref="O12:O66" si="2">N12*0.05</f>
        <v>-31.666666666666664</v>
      </c>
      <c r="Q12" s="1" t="s">
        <v>2017</v>
      </c>
    </row>
    <row r="13" spans="1:24" x14ac:dyDescent="0.25">
      <c r="A13" s="4">
        <v>11</v>
      </c>
      <c r="B13" s="4">
        <v>1150513</v>
      </c>
      <c r="C13" s="35" t="s">
        <v>2103</v>
      </c>
      <c r="E13" s="1" t="s">
        <v>2104</v>
      </c>
      <c r="F13" s="8">
        <v>70714536</v>
      </c>
      <c r="G13" s="51" t="s">
        <v>2105</v>
      </c>
      <c r="H13" s="2" t="s">
        <v>2056</v>
      </c>
      <c r="I13" s="2" t="s">
        <v>2086</v>
      </c>
      <c r="J13" s="49">
        <v>77.45</v>
      </c>
      <c r="K13" s="48">
        <v>31</v>
      </c>
      <c r="L13" s="6">
        <f t="shared" si="0"/>
        <v>2400.9500000000003</v>
      </c>
      <c r="M13" s="29">
        <v>2401</v>
      </c>
      <c r="N13" s="6">
        <f t="shared" si="1"/>
        <v>2286.6666666666665</v>
      </c>
      <c r="O13" s="95">
        <v>114</v>
      </c>
      <c r="Q13" s="1" t="s">
        <v>2017</v>
      </c>
    </row>
    <row r="14" spans="1:24" x14ac:dyDescent="0.25">
      <c r="A14" s="4">
        <v>12</v>
      </c>
      <c r="B14" s="4">
        <v>1150514</v>
      </c>
      <c r="C14" s="35" t="s">
        <v>2110</v>
      </c>
      <c r="E14" s="1" t="s">
        <v>2111</v>
      </c>
      <c r="F14" s="8">
        <v>28483484</v>
      </c>
      <c r="G14" s="51" t="s">
        <v>2112</v>
      </c>
      <c r="H14" s="2" t="s">
        <v>2056</v>
      </c>
      <c r="I14" s="2" t="s">
        <v>2113</v>
      </c>
      <c r="J14" s="49">
        <v>1</v>
      </c>
      <c r="K14" s="48">
        <v>30</v>
      </c>
      <c r="L14" s="6">
        <f t="shared" si="0"/>
        <v>30</v>
      </c>
      <c r="M14" s="29">
        <v>30</v>
      </c>
      <c r="N14" s="6">
        <f t="shared" si="1"/>
        <v>28.571428571428569</v>
      </c>
      <c r="O14" s="95">
        <v>1</v>
      </c>
      <c r="Q14" s="1" t="s">
        <v>2017</v>
      </c>
    </row>
    <row r="15" spans="1:24" x14ac:dyDescent="0.25">
      <c r="A15" s="4">
        <v>13</v>
      </c>
      <c r="B15" s="4">
        <v>1150514</v>
      </c>
      <c r="C15" s="35" t="s">
        <v>2110</v>
      </c>
      <c r="E15" s="1" t="s">
        <v>2054</v>
      </c>
      <c r="F15" s="8">
        <v>38903921</v>
      </c>
      <c r="G15" s="51" t="s">
        <v>2114</v>
      </c>
      <c r="H15" s="2" t="s">
        <v>2056</v>
      </c>
      <c r="I15" s="2" t="s">
        <v>2086</v>
      </c>
      <c r="J15" s="49">
        <v>64.5</v>
      </c>
      <c r="K15" s="48">
        <v>31</v>
      </c>
      <c r="L15" s="6">
        <f t="shared" si="0"/>
        <v>1999.5</v>
      </c>
      <c r="M15" s="29">
        <v>2000</v>
      </c>
      <c r="N15" s="6">
        <f t="shared" si="1"/>
        <v>1904.7619047619046</v>
      </c>
      <c r="O15" s="95">
        <v>95</v>
      </c>
      <c r="Q15" s="1" t="s">
        <v>2017</v>
      </c>
    </row>
    <row r="16" spans="1:24" x14ac:dyDescent="0.25">
      <c r="A16" s="4">
        <v>14</v>
      </c>
      <c r="B16" s="4">
        <v>1150514</v>
      </c>
      <c r="C16" s="35" t="s">
        <v>2117</v>
      </c>
      <c r="E16" s="1" t="s">
        <v>2061</v>
      </c>
      <c r="F16" s="8">
        <v>38960823</v>
      </c>
      <c r="G16" s="51" t="s">
        <v>2118</v>
      </c>
      <c r="H16" s="2" t="s">
        <v>2056</v>
      </c>
      <c r="I16" s="2" t="s">
        <v>2086</v>
      </c>
      <c r="J16" s="49">
        <v>119.36</v>
      </c>
      <c r="K16" s="48">
        <v>31</v>
      </c>
      <c r="L16" s="6">
        <f t="shared" si="0"/>
        <v>3700.16</v>
      </c>
      <c r="M16" s="29">
        <v>3700</v>
      </c>
      <c r="N16" s="6">
        <f t="shared" si="1"/>
        <v>3523.8095238095239</v>
      </c>
      <c r="O16" s="95">
        <v>176</v>
      </c>
      <c r="Q16" s="1" t="s">
        <v>2017</v>
      </c>
    </row>
    <row r="17" spans="1:17" x14ac:dyDescent="0.25">
      <c r="A17" s="4">
        <v>15</v>
      </c>
      <c r="B17" s="4">
        <v>1150515</v>
      </c>
      <c r="C17" s="35" t="s">
        <v>2119</v>
      </c>
      <c r="D17" s="21">
        <v>175</v>
      </c>
      <c r="E17" s="1" t="str">
        <f>VLOOKUP($D17,廠商編輯設定自動代出!$A:$C,2,0)</f>
        <v>南冠輪胎</v>
      </c>
      <c r="F17" s="8">
        <f>VLOOKUP($D17,廠商編輯設定自動代出!$A:$C,3,0)</f>
        <v>98746762</v>
      </c>
      <c r="G17" s="51" t="s">
        <v>2120</v>
      </c>
      <c r="H17" s="2" t="s">
        <v>2056</v>
      </c>
      <c r="I17" s="2" t="s">
        <v>2121</v>
      </c>
      <c r="J17" s="49">
        <v>20</v>
      </c>
      <c r="K17" s="48">
        <v>1952.38</v>
      </c>
      <c r="L17" s="6">
        <f t="shared" si="0"/>
        <v>39047.600000000006</v>
      </c>
      <c r="M17" s="29">
        <v>41000</v>
      </c>
      <c r="N17" s="6">
        <f t="shared" si="1"/>
        <v>39047.619047619046</v>
      </c>
      <c r="O17" s="95">
        <v>1952</v>
      </c>
      <c r="Q17" s="1" t="s">
        <v>2021</v>
      </c>
    </row>
    <row r="18" spans="1:17" x14ac:dyDescent="0.25">
      <c r="A18" s="4">
        <v>16</v>
      </c>
      <c r="B18" s="4">
        <v>1150516</v>
      </c>
      <c r="C18" s="35" t="s">
        <v>2124</v>
      </c>
      <c r="E18" s="1" t="s">
        <v>2125</v>
      </c>
      <c r="F18" s="8">
        <v>16212867</v>
      </c>
      <c r="G18" s="51" t="s">
        <v>2126</v>
      </c>
      <c r="H18" s="2" t="s">
        <v>2056</v>
      </c>
      <c r="I18" s="2" t="s">
        <v>2086</v>
      </c>
      <c r="J18" s="49">
        <v>64.510000000000005</v>
      </c>
      <c r="K18" s="48">
        <v>31</v>
      </c>
      <c r="L18" s="6">
        <f t="shared" si="0"/>
        <v>1999.8100000000002</v>
      </c>
      <c r="M18" s="29">
        <v>2000</v>
      </c>
      <c r="N18" s="6">
        <f t="shared" si="1"/>
        <v>1904.7619047619046</v>
      </c>
      <c r="O18" s="95">
        <v>95</v>
      </c>
      <c r="Q18" s="1" t="s">
        <v>2021</v>
      </c>
    </row>
    <row r="19" spans="1:17" x14ac:dyDescent="0.25">
      <c r="A19" s="4">
        <v>17</v>
      </c>
      <c r="B19" s="4">
        <v>1150518</v>
      </c>
      <c r="C19" s="35" t="s">
        <v>2139</v>
      </c>
      <c r="E19" s="1" t="s">
        <v>2140</v>
      </c>
      <c r="F19" s="8">
        <v>47412427</v>
      </c>
      <c r="G19" s="51" t="s">
        <v>2141</v>
      </c>
      <c r="H19" s="2" t="s">
        <v>2056</v>
      </c>
      <c r="I19" s="2" t="s">
        <v>2142</v>
      </c>
      <c r="J19" s="49">
        <v>14.749000000000001</v>
      </c>
      <c r="K19" s="48">
        <v>33.9</v>
      </c>
      <c r="L19" s="6">
        <f t="shared" si="0"/>
        <v>499.99110000000002</v>
      </c>
      <c r="M19" s="29">
        <v>500</v>
      </c>
      <c r="N19" s="6">
        <f t="shared" si="1"/>
        <v>476.19047619047615</v>
      </c>
      <c r="O19" s="95">
        <v>24</v>
      </c>
      <c r="Q19" s="1" t="s">
        <v>2021</v>
      </c>
    </row>
    <row r="20" spans="1:17" x14ac:dyDescent="0.25">
      <c r="A20" s="4">
        <v>18</v>
      </c>
      <c r="B20" s="4">
        <v>1150518</v>
      </c>
      <c r="C20" s="35" t="s">
        <v>2143</v>
      </c>
      <c r="E20" s="1" t="s">
        <v>2144</v>
      </c>
      <c r="F20" s="8">
        <v>42870872</v>
      </c>
      <c r="G20" s="51" t="s">
        <v>2145</v>
      </c>
      <c r="H20" s="2" t="s">
        <v>2056</v>
      </c>
      <c r="I20" s="2" t="s">
        <v>2146</v>
      </c>
      <c r="J20" s="49">
        <v>1</v>
      </c>
      <c r="K20" s="48">
        <v>947</v>
      </c>
      <c r="L20" s="6">
        <f t="shared" si="0"/>
        <v>947</v>
      </c>
      <c r="M20" s="29">
        <v>997</v>
      </c>
      <c r="N20" s="6">
        <f t="shared" si="1"/>
        <v>949.52380952380952</v>
      </c>
      <c r="O20" s="95">
        <v>47</v>
      </c>
      <c r="Q20" s="1" t="s">
        <v>2021</v>
      </c>
    </row>
    <row r="21" spans="1:17" x14ac:dyDescent="0.25">
      <c r="A21" s="4">
        <v>19</v>
      </c>
      <c r="B21" s="4">
        <v>1150520</v>
      </c>
      <c r="C21" s="35" t="s">
        <v>2149</v>
      </c>
      <c r="E21" s="1" t="s">
        <v>2150</v>
      </c>
      <c r="F21" s="8">
        <v>76927228</v>
      </c>
      <c r="G21" s="51" t="s">
        <v>2151</v>
      </c>
      <c r="H21" s="2" t="s">
        <v>2056</v>
      </c>
      <c r="I21" s="2" t="s">
        <v>2152</v>
      </c>
      <c r="J21" s="49">
        <v>1</v>
      </c>
      <c r="K21" s="48">
        <v>130</v>
      </c>
      <c r="L21" s="6">
        <f t="shared" si="0"/>
        <v>130</v>
      </c>
      <c r="M21" s="29">
        <v>130</v>
      </c>
      <c r="N21" s="6">
        <f t="shared" si="1"/>
        <v>123.80952380952381</v>
      </c>
      <c r="O21" s="95">
        <v>6</v>
      </c>
      <c r="Q21" s="1" t="s">
        <v>2017</v>
      </c>
    </row>
    <row r="22" spans="1:17" x14ac:dyDescent="0.25">
      <c r="A22" s="4">
        <v>20</v>
      </c>
      <c r="B22" s="4">
        <v>1150520</v>
      </c>
      <c r="C22" s="35" t="s">
        <v>2153</v>
      </c>
      <c r="E22" s="1" t="s">
        <v>2054</v>
      </c>
      <c r="F22" s="8">
        <v>38903921</v>
      </c>
      <c r="G22" s="51" t="s">
        <v>2154</v>
      </c>
      <c r="H22" s="2" t="s">
        <v>2056</v>
      </c>
      <c r="I22" s="2" t="s">
        <v>2155</v>
      </c>
      <c r="J22" s="49">
        <v>13.12</v>
      </c>
      <c r="K22" s="48">
        <v>32.4</v>
      </c>
      <c r="L22" s="6">
        <f t="shared" si="0"/>
        <v>425.08799999999997</v>
      </c>
      <c r="M22" s="29">
        <v>425</v>
      </c>
      <c r="N22" s="6">
        <f t="shared" si="1"/>
        <v>404.76190476190476</v>
      </c>
      <c r="O22" s="95">
        <v>20</v>
      </c>
      <c r="Q22" s="1" t="s">
        <v>2017</v>
      </c>
    </row>
    <row r="23" spans="1:17" x14ac:dyDescent="0.25">
      <c r="A23" s="4">
        <v>21</v>
      </c>
      <c r="B23" s="4">
        <v>1150520</v>
      </c>
      <c r="C23" s="35" t="s">
        <v>2153</v>
      </c>
      <c r="E23" s="1" t="s">
        <v>2054</v>
      </c>
      <c r="F23" s="8">
        <v>38903921</v>
      </c>
      <c r="G23" s="51" t="s">
        <v>2156</v>
      </c>
      <c r="H23" s="2" t="s">
        <v>2056</v>
      </c>
      <c r="I23" s="2" t="s">
        <v>2157</v>
      </c>
      <c r="J23" s="49">
        <v>50.81</v>
      </c>
      <c r="K23" s="48">
        <v>31</v>
      </c>
      <c r="L23" s="6">
        <f t="shared" si="0"/>
        <v>1575.1100000000001</v>
      </c>
      <c r="M23" s="29">
        <v>1575</v>
      </c>
      <c r="N23" s="6">
        <f t="shared" si="1"/>
        <v>1500</v>
      </c>
      <c r="O23" s="95">
        <v>75</v>
      </c>
      <c r="Q23" s="1" t="s">
        <v>2017</v>
      </c>
    </row>
    <row r="24" spans="1:17" x14ac:dyDescent="0.25">
      <c r="A24" s="4">
        <v>22</v>
      </c>
      <c r="B24" s="4">
        <v>1150520</v>
      </c>
      <c r="C24" s="35" t="s">
        <v>2153</v>
      </c>
      <c r="E24" s="1" t="s">
        <v>2158</v>
      </c>
      <c r="F24" s="8">
        <v>16319880</v>
      </c>
      <c r="G24" s="51" t="s">
        <v>2159</v>
      </c>
      <c r="H24" s="2" t="s">
        <v>2056</v>
      </c>
      <c r="I24" s="2" t="s">
        <v>2160</v>
      </c>
      <c r="J24" s="49">
        <v>1</v>
      </c>
      <c r="K24" s="48">
        <v>1990</v>
      </c>
      <c r="L24" s="6">
        <f t="shared" si="0"/>
        <v>1990</v>
      </c>
      <c r="M24" s="29">
        <v>1990</v>
      </c>
      <c r="N24" s="6">
        <f t="shared" si="1"/>
        <v>1895.2380952380952</v>
      </c>
      <c r="O24" s="95">
        <v>95</v>
      </c>
      <c r="Q24" s="1" t="s">
        <v>2017</v>
      </c>
    </row>
    <row r="25" spans="1:17" x14ac:dyDescent="0.25">
      <c r="A25" s="4">
        <v>23</v>
      </c>
      <c r="B25" s="4">
        <v>1150520</v>
      </c>
      <c r="C25" s="35" t="s">
        <v>2163</v>
      </c>
      <c r="F25" s="8"/>
      <c r="G25" s="51" t="s">
        <v>2165</v>
      </c>
      <c r="H25" s="2" t="s">
        <v>2166</v>
      </c>
      <c r="I25" s="2" t="s">
        <v>2167</v>
      </c>
      <c r="J25" s="49">
        <v>1</v>
      </c>
      <c r="K25" s="48">
        <v>194851</v>
      </c>
      <c r="L25" s="6">
        <v>192799</v>
      </c>
      <c r="M25" s="29">
        <v>192799</v>
      </c>
      <c r="N25" s="6">
        <v>183619</v>
      </c>
      <c r="O25" s="95">
        <v>9180</v>
      </c>
      <c r="P25" s="52" t="s">
        <v>2164</v>
      </c>
      <c r="Q25" s="1" t="s">
        <v>2017</v>
      </c>
    </row>
    <row r="26" spans="1:17" x14ac:dyDescent="0.25">
      <c r="A26" s="4">
        <v>24</v>
      </c>
      <c r="B26" s="4">
        <v>1150520</v>
      </c>
      <c r="C26" s="35" t="s">
        <v>2168</v>
      </c>
      <c r="D26" s="21">
        <v>414</v>
      </c>
      <c r="E26" s="1" t="s">
        <v>2169</v>
      </c>
      <c r="F26" s="8">
        <v>96831762</v>
      </c>
      <c r="G26" s="51" t="s">
        <v>2170</v>
      </c>
      <c r="H26" s="2" t="s">
        <v>2056</v>
      </c>
      <c r="I26" s="2" t="s">
        <v>2171</v>
      </c>
      <c r="J26" s="49">
        <v>1</v>
      </c>
      <c r="K26" s="48">
        <v>15157</v>
      </c>
      <c r="L26" s="6">
        <f t="shared" si="0"/>
        <v>15157</v>
      </c>
      <c r="M26" s="29">
        <v>15157</v>
      </c>
      <c r="N26" s="6">
        <f t="shared" si="1"/>
        <v>14435.238095238095</v>
      </c>
      <c r="O26" s="95">
        <v>722</v>
      </c>
      <c r="P26" s="52" t="s">
        <v>2164</v>
      </c>
      <c r="Q26" s="1" t="s">
        <v>2017</v>
      </c>
    </row>
    <row r="27" spans="1:17" x14ac:dyDescent="0.25">
      <c r="A27" s="4">
        <v>25</v>
      </c>
      <c r="B27" s="4">
        <v>1150520</v>
      </c>
      <c r="C27" s="35" t="s">
        <v>2172</v>
      </c>
      <c r="D27" s="21">
        <v>175</v>
      </c>
      <c r="E27" s="1" t="str">
        <f>VLOOKUP($D27,廠商編輯設定自動代出!$A:$C,2,0)</f>
        <v>南冠輪胎</v>
      </c>
      <c r="F27" s="8">
        <f>VLOOKUP($D27,廠商編輯設定自動代出!$A:$C,3,0)</f>
        <v>98746762</v>
      </c>
      <c r="G27" s="51" t="s">
        <v>2173</v>
      </c>
      <c r="H27" s="2" t="s">
        <v>2056</v>
      </c>
      <c r="I27" s="2" t="s">
        <v>2174</v>
      </c>
      <c r="J27" s="49">
        <v>2</v>
      </c>
      <c r="K27" s="48">
        <v>5047.62</v>
      </c>
      <c r="L27" s="6">
        <f t="shared" si="0"/>
        <v>10095.24</v>
      </c>
      <c r="M27" s="29">
        <v>10600</v>
      </c>
      <c r="N27" s="6">
        <f t="shared" si="1"/>
        <v>10095.238095238095</v>
      </c>
      <c r="O27" s="95">
        <v>505</v>
      </c>
      <c r="Q27" s="1" t="s">
        <v>2017</v>
      </c>
    </row>
    <row r="28" spans="1:17" x14ac:dyDescent="0.25">
      <c r="A28" s="4">
        <v>26</v>
      </c>
      <c r="B28" s="4">
        <v>1150522</v>
      </c>
      <c r="C28" s="35" t="s">
        <v>2181</v>
      </c>
      <c r="E28" s="1" t="s">
        <v>2061</v>
      </c>
      <c r="F28" s="8">
        <v>38960823</v>
      </c>
      <c r="G28" s="51" t="s">
        <v>2182</v>
      </c>
      <c r="H28" s="2" t="s">
        <v>2056</v>
      </c>
      <c r="I28" s="2" t="s">
        <v>2183</v>
      </c>
      <c r="J28" s="49">
        <v>70.97</v>
      </c>
      <c r="K28" s="48">
        <v>31</v>
      </c>
      <c r="L28" s="6">
        <f t="shared" si="0"/>
        <v>2200.0700000000002</v>
      </c>
      <c r="M28" s="29">
        <v>2200</v>
      </c>
      <c r="N28" s="6">
        <f t="shared" si="1"/>
        <v>2095.238095238095</v>
      </c>
      <c r="O28" s="95">
        <v>105</v>
      </c>
      <c r="Q28" s="1" t="s">
        <v>2017</v>
      </c>
    </row>
    <row r="29" spans="1:17" x14ac:dyDescent="0.25">
      <c r="A29" s="4">
        <v>27</v>
      </c>
      <c r="B29" s="4">
        <v>1150523</v>
      </c>
      <c r="C29" s="35" t="s">
        <v>2191</v>
      </c>
      <c r="E29" s="1" t="s">
        <v>2061</v>
      </c>
      <c r="F29" s="8">
        <v>38960823</v>
      </c>
      <c r="G29" s="51" t="s">
        <v>2187</v>
      </c>
      <c r="H29" s="2" t="s">
        <v>2056</v>
      </c>
      <c r="I29" s="2" t="s">
        <v>2188</v>
      </c>
      <c r="J29" s="49">
        <v>2.95</v>
      </c>
      <c r="K29" s="48">
        <v>33.9</v>
      </c>
      <c r="L29" s="6">
        <f t="shared" si="0"/>
        <v>100.005</v>
      </c>
      <c r="M29" s="29">
        <v>100</v>
      </c>
      <c r="N29" s="6">
        <f t="shared" si="1"/>
        <v>95.238095238095241</v>
      </c>
      <c r="O29" s="95">
        <v>5</v>
      </c>
      <c r="Q29" s="1" t="s">
        <v>2017</v>
      </c>
    </row>
    <row r="30" spans="1:17" x14ac:dyDescent="0.25">
      <c r="A30" s="4">
        <v>28</v>
      </c>
      <c r="B30" s="4">
        <v>1150523</v>
      </c>
      <c r="C30" s="35" t="s">
        <v>2192</v>
      </c>
      <c r="D30" s="21">
        <v>175</v>
      </c>
      <c r="E30" s="1" t="str">
        <f>VLOOKUP($D30,廠商編輯設定自動代出!$A:$C,2,0)</f>
        <v>南冠輪胎</v>
      </c>
      <c r="F30" s="8">
        <f>VLOOKUP($D30,廠商編輯設定自動代出!$A:$C,3,0)</f>
        <v>98746762</v>
      </c>
      <c r="G30" s="51" t="s">
        <v>2193</v>
      </c>
      <c r="H30" s="2" t="s">
        <v>2056</v>
      </c>
      <c r="I30" s="2" t="s">
        <v>2195</v>
      </c>
      <c r="J30" s="49">
        <v>1</v>
      </c>
      <c r="K30" s="48">
        <v>107300</v>
      </c>
      <c r="L30" s="6">
        <f t="shared" si="0"/>
        <v>107300</v>
      </c>
      <c r="M30" s="29">
        <v>107300</v>
      </c>
      <c r="N30" s="6">
        <f t="shared" si="1"/>
        <v>102190.47619047618</v>
      </c>
      <c r="O30" s="95">
        <v>5110</v>
      </c>
      <c r="Q30" s="1" t="s">
        <v>2017</v>
      </c>
    </row>
    <row r="31" spans="1:17" x14ac:dyDescent="0.25">
      <c r="A31" s="4">
        <v>29</v>
      </c>
      <c r="B31" s="4">
        <v>1150523</v>
      </c>
      <c r="C31" s="35" t="s">
        <v>2192</v>
      </c>
      <c r="D31" s="21">
        <v>175</v>
      </c>
      <c r="E31" s="1" t="str">
        <f>VLOOKUP($D31,廠商編輯設定自動代出!$A:$C,2,0)</f>
        <v>南冠輪胎</v>
      </c>
      <c r="F31" s="8">
        <f>VLOOKUP($D31,廠商編輯設定自動代出!$A:$C,3,0)</f>
        <v>98746762</v>
      </c>
      <c r="G31" s="51" t="s">
        <v>2196</v>
      </c>
      <c r="H31" s="2" t="s">
        <v>2056</v>
      </c>
      <c r="I31" s="2" t="s">
        <v>2194</v>
      </c>
      <c r="J31" s="49">
        <v>10</v>
      </c>
      <c r="K31" s="48">
        <v>4761.8999999999996</v>
      </c>
      <c r="L31" s="6">
        <f t="shared" si="0"/>
        <v>47619</v>
      </c>
      <c r="M31" s="29">
        <v>50000</v>
      </c>
      <c r="N31" s="6">
        <f t="shared" si="1"/>
        <v>47619.047619047618</v>
      </c>
      <c r="O31" s="95">
        <v>2381</v>
      </c>
      <c r="Q31" s="1" t="s">
        <v>2017</v>
      </c>
    </row>
    <row r="32" spans="1:17" x14ac:dyDescent="0.25">
      <c r="A32" s="4">
        <v>30</v>
      </c>
      <c r="B32" s="4">
        <v>1150525</v>
      </c>
      <c r="C32" s="35" t="s">
        <v>2200</v>
      </c>
      <c r="E32" s="1" t="s">
        <v>2201</v>
      </c>
      <c r="F32" s="8">
        <v>42073525</v>
      </c>
      <c r="G32" s="51" t="s">
        <v>2202</v>
      </c>
      <c r="H32" s="2" t="s">
        <v>2056</v>
      </c>
      <c r="I32" s="2" t="s">
        <v>2203</v>
      </c>
      <c r="J32" s="49">
        <v>107.46</v>
      </c>
      <c r="K32" s="48">
        <v>33.9</v>
      </c>
      <c r="L32" s="6">
        <f t="shared" si="0"/>
        <v>3642.8939999999998</v>
      </c>
      <c r="M32" s="29">
        <v>3643</v>
      </c>
      <c r="N32" s="6">
        <f t="shared" si="1"/>
        <v>3469.5238095238092</v>
      </c>
      <c r="O32" s="95">
        <v>173</v>
      </c>
      <c r="Q32" s="1" t="s">
        <v>2021</v>
      </c>
    </row>
    <row r="33" spans="1:17" x14ac:dyDescent="0.25">
      <c r="A33" s="4">
        <v>31</v>
      </c>
      <c r="B33" s="4">
        <v>1150527</v>
      </c>
      <c r="C33" s="35" t="s">
        <v>2206</v>
      </c>
      <c r="E33" s="1" t="s">
        <v>2054</v>
      </c>
      <c r="F33" s="8">
        <v>38903921</v>
      </c>
      <c r="G33" s="51" t="s">
        <v>2207</v>
      </c>
      <c r="H33" s="2" t="s">
        <v>2056</v>
      </c>
      <c r="I33" s="2" t="s">
        <v>2203</v>
      </c>
      <c r="J33" s="49">
        <v>23.59</v>
      </c>
      <c r="K33" s="48">
        <v>33.9</v>
      </c>
      <c r="L33" s="6">
        <f t="shared" si="0"/>
        <v>799.70099999999991</v>
      </c>
      <c r="M33" s="29">
        <v>800</v>
      </c>
      <c r="N33" s="6">
        <f t="shared" si="1"/>
        <v>761.90476190476193</v>
      </c>
      <c r="O33" s="95">
        <v>38</v>
      </c>
      <c r="Q33" s="1" t="s">
        <v>2017</v>
      </c>
    </row>
    <row r="34" spans="1:17" x14ac:dyDescent="0.25">
      <c r="A34" s="4">
        <v>32</v>
      </c>
      <c r="B34" s="4">
        <v>1150527</v>
      </c>
      <c r="C34" s="35" t="s">
        <v>2206</v>
      </c>
      <c r="E34" s="1" t="s">
        <v>2054</v>
      </c>
      <c r="F34" s="8">
        <v>38903921</v>
      </c>
      <c r="G34" s="51" t="s">
        <v>2208</v>
      </c>
      <c r="H34" s="2" t="s">
        <v>2056</v>
      </c>
      <c r="I34" s="2" t="s">
        <v>2183</v>
      </c>
      <c r="J34" s="49">
        <v>46.44</v>
      </c>
      <c r="K34" s="48">
        <v>31</v>
      </c>
      <c r="L34" s="6">
        <f t="shared" si="0"/>
        <v>1439.6399999999999</v>
      </c>
      <c r="M34" s="29">
        <v>1440</v>
      </c>
      <c r="N34" s="6">
        <f t="shared" si="1"/>
        <v>1371.4285714285713</v>
      </c>
      <c r="O34" s="95">
        <v>69</v>
      </c>
      <c r="Q34" s="1" t="s">
        <v>2017</v>
      </c>
    </row>
    <row r="35" spans="1:17" x14ac:dyDescent="0.25">
      <c r="A35" s="4">
        <v>33</v>
      </c>
      <c r="B35" s="4">
        <v>1150527</v>
      </c>
      <c r="C35" s="35" t="s">
        <v>2206</v>
      </c>
      <c r="E35" s="1" t="s">
        <v>2054</v>
      </c>
      <c r="F35" s="8">
        <v>38903921</v>
      </c>
      <c r="G35" s="51" t="s">
        <v>2209</v>
      </c>
      <c r="H35" s="2" t="s">
        <v>2056</v>
      </c>
      <c r="I35" s="2" t="s">
        <v>2183</v>
      </c>
      <c r="J35" s="49">
        <v>75.81</v>
      </c>
      <c r="K35" s="48">
        <v>31</v>
      </c>
      <c r="L35" s="6">
        <f t="shared" si="0"/>
        <v>2350.11</v>
      </c>
      <c r="M35" s="29">
        <v>2350</v>
      </c>
      <c r="N35" s="6">
        <f t="shared" si="1"/>
        <v>2238.0952380952381</v>
      </c>
      <c r="O35" s="95">
        <v>112</v>
      </c>
      <c r="Q35" s="1" t="s">
        <v>2017</v>
      </c>
    </row>
    <row r="36" spans="1:17" x14ac:dyDescent="0.25">
      <c r="A36" s="4">
        <v>34</v>
      </c>
      <c r="B36" s="4">
        <v>1150529</v>
      </c>
      <c r="C36" s="35" t="s">
        <v>2210</v>
      </c>
      <c r="E36" s="1" t="s">
        <v>2211</v>
      </c>
      <c r="F36" s="8">
        <v>94450422</v>
      </c>
      <c r="G36" s="51" t="s">
        <v>2212</v>
      </c>
      <c r="H36" s="2" t="s">
        <v>2056</v>
      </c>
      <c r="I36" s="2" t="s">
        <v>2057</v>
      </c>
      <c r="J36" s="49">
        <v>32.25</v>
      </c>
      <c r="K36" s="48">
        <v>31</v>
      </c>
      <c r="L36" s="6">
        <f t="shared" si="0"/>
        <v>999.75</v>
      </c>
      <c r="M36" s="29">
        <v>1000</v>
      </c>
      <c r="N36" s="6">
        <f t="shared" si="1"/>
        <v>952.38095238095229</v>
      </c>
      <c r="O36" s="95">
        <v>48</v>
      </c>
      <c r="Q36" s="1" t="s">
        <v>2017</v>
      </c>
    </row>
    <row r="37" spans="1:17" x14ac:dyDescent="0.25">
      <c r="A37" s="4">
        <v>35</v>
      </c>
      <c r="B37" s="4">
        <v>1150529</v>
      </c>
      <c r="C37" s="35" t="s">
        <v>2210</v>
      </c>
      <c r="E37" s="1" t="s">
        <v>2213</v>
      </c>
      <c r="F37" s="8">
        <v>60697392</v>
      </c>
      <c r="G37" s="51" t="s">
        <v>2214</v>
      </c>
      <c r="H37" s="2" t="s">
        <v>2056</v>
      </c>
      <c r="I37" s="2" t="s">
        <v>2215</v>
      </c>
      <c r="J37" s="49">
        <v>1</v>
      </c>
      <c r="K37" s="48">
        <v>30000</v>
      </c>
      <c r="L37" s="6">
        <f t="shared" si="0"/>
        <v>30000</v>
      </c>
      <c r="M37" s="29">
        <v>31500</v>
      </c>
      <c r="N37" s="6">
        <f t="shared" si="1"/>
        <v>30000</v>
      </c>
      <c r="O37" s="95">
        <v>1500</v>
      </c>
      <c r="Q37" s="1" t="s">
        <v>2017</v>
      </c>
    </row>
    <row r="38" spans="1:17" x14ac:dyDescent="0.25">
      <c r="A38" s="4">
        <v>36</v>
      </c>
      <c r="B38" s="4">
        <v>1150530</v>
      </c>
      <c r="C38" s="35" t="s">
        <v>2221</v>
      </c>
      <c r="E38" s="1" t="s">
        <v>2222</v>
      </c>
      <c r="F38" s="35" t="s">
        <v>2223</v>
      </c>
      <c r="G38" s="51" t="s">
        <v>2224</v>
      </c>
      <c r="H38" s="2" t="s">
        <v>2056</v>
      </c>
      <c r="I38" s="2" t="s">
        <v>2225</v>
      </c>
      <c r="J38" s="49">
        <v>24</v>
      </c>
      <c r="K38" s="48">
        <v>60</v>
      </c>
      <c r="L38" s="6">
        <f t="shared" si="0"/>
        <v>1440</v>
      </c>
      <c r="M38" s="29">
        <v>1440</v>
      </c>
      <c r="N38" s="6">
        <f t="shared" si="1"/>
        <v>1371.4285714285713</v>
      </c>
      <c r="O38" s="95">
        <v>69</v>
      </c>
      <c r="Q38" s="1" t="s">
        <v>2017</v>
      </c>
    </row>
    <row r="39" spans="1:17" x14ac:dyDescent="0.25">
      <c r="A39" s="4">
        <v>37</v>
      </c>
      <c r="B39" s="4">
        <v>1150530</v>
      </c>
      <c r="C39" s="35" t="s">
        <v>2221</v>
      </c>
      <c r="E39" s="1" t="s">
        <v>2054</v>
      </c>
      <c r="F39" s="8">
        <v>38903921</v>
      </c>
      <c r="G39" s="51" t="s">
        <v>2226</v>
      </c>
      <c r="H39" s="2" t="s">
        <v>2056</v>
      </c>
      <c r="I39" s="2" t="s">
        <v>2057</v>
      </c>
      <c r="J39" s="49">
        <v>64.510000000000005</v>
      </c>
      <c r="K39" s="48">
        <v>31</v>
      </c>
      <c r="L39" s="6">
        <f t="shared" si="0"/>
        <v>1999.8100000000002</v>
      </c>
      <c r="M39" s="29">
        <v>2000</v>
      </c>
      <c r="N39" s="6">
        <f t="shared" si="1"/>
        <v>1904.7619047619046</v>
      </c>
      <c r="O39" s="95">
        <v>95</v>
      </c>
      <c r="Q39" s="1" t="s">
        <v>2017</v>
      </c>
    </row>
    <row r="40" spans="1:17" x14ac:dyDescent="0.25">
      <c r="A40" s="4">
        <v>38</v>
      </c>
      <c r="B40" s="4">
        <v>1150530</v>
      </c>
      <c r="C40" s="35" t="s">
        <v>2221</v>
      </c>
      <c r="E40" s="1" t="s">
        <v>2061</v>
      </c>
      <c r="F40" s="8">
        <v>38960823</v>
      </c>
      <c r="G40" s="51" t="s">
        <v>2227</v>
      </c>
      <c r="H40" s="2" t="s">
        <v>2056</v>
      </c>
      <c r="I40" s="2" t="s">
        <v>2057</v>
      </c>
      <c r="J40" s="49">
        <v>58.06</v>
      </c>
      <c r="K40" s="48">
        <v>31</v>
      </c>
      <c r="L40" s="6">
        <f t="shared" si="0"/>
        <v>1799.8600000000001</v>
      </c>
      <c r="M40" s="29">
        <v>1800</v>
      </c>
      <c r="N40" s="6">
        <f t="shared" si="1"/>
        <v>1714.2857142857142</v>
      </c>
      <c r="O40" s="95">
        <v>86</v>
      </c>
      <c r="Q40" s="1" t="s">
        <v>2017</v>
      </c>
    </row>
    <row r="41" spans="1:17" x14ac:dyDescent="0.25">
      <c r="A41" s="4">
        <v>39</v>
      </c>
      <c r="B41" s="4">
        <v>1150530</v>
      </c>
      <c r="C41" s="35" t="s">
        <v>2228</v>
      </c>
      <c r="E41" s="1" t="s">
        <v>2054</v>
      </c>
      <c r="F41" s="8">
        <v>38903921</v>
      </c>
      <c r="G41" s="51" t="s">
        <v>2229</v>
      </c>
      <c r="H41" s="2" t="s">
        <v>2056</v>
      </c>
      <c r="I41" s="2" t="s">
        <v>2057</v>
      </c>
      <c r="J41" s="49">
        <v>48.38</v>
      </c>
      <c r="K41" s="48">
        <v>31</v>
      </c>
      <c r="L41" s="6">
        <f t="shared" si="0"/>
        <v>1499.78</v>
      </c>
      <c r="M41" s="29">
        <v>1500</v>
      </c>
      <c r="N41" s="6">
        <f t="shared" si="1"/>
        <v>1428.5714285714284</v>
      </c>
      <c r="O41" s="95">
        <v>71</v>
      </c>
      <c r="Q41" s="1" t="s">
        <v>2017</v>
      </c>
    </row>
    <row r="42" spans="1:17" x14ac:dyDescent="0.25">
      <c r="A42" s="4">
        <v>40</v>
      </c>
      <c r="E42" s="1" t="e">
        <f>VLOOKUP($D42,廠商編輯設定自動代出!$A:$C,2,0)</f>
        <v>#N/A</v>
      </c>
      <c r="F42" s="8" t="e">
        <f>VLOOKUP($D42,廠商編輯設定自動代出!$A:$C,3,0)</f>
        <v>#N/A</v>
      </c>
      <c r="G42" s="51"/>
      <c r="H42" s="2"/>
      <c r="I42" s="2"/>
      <c r="J42" s="49"/>
      <c r="K42" s="48"/>
      <c r="L42" s="6">
        <f t="shared" si="0"/>
        <v>0</v>
      </c>
      <c r="N42" s="6">
        <f t="shared" si="1"/>
        <v>0</v>
      </c>
      <c r="O42" s="95">
        <f t="shared" ref="O42:O102" si="3">N42*0.05</f>
        <v>0</v>
      </c>
    </row>
    <row r="43" spans="1:17" x14ac:dyDescent="0.25">
      <c r="A43" s="4">
        <v>41</v>
      </c>
      <c r="E43" s="1" t="e">
        <f>VLOOKUP($D43,廠商編輯設定自動代出!$A:$C,2,0)</f>
        <v>#N/A</v>
      </c>
      <c r="F43" s="8" t="e">
        <f>VLOOKUP($D43,廠商編輯設定自動代出!$A:$C,3,0)</f>
        <v>#N/A</v>
      </c>
      <c r="G43" s="51"/>
      <c r="H43" s="2"/>
      <c r="I43" s="2"/>
      <c r="J43" s="49"/>
      <c r="K43" s="48"/>
      <c r="L43" s="6">
        <f t="shared" si="0"/>
        <v>0</v>
      </c>
      <c r="N43" s="6">
        <f t="shared" si="1"/>
        <v>0</v>
      </c>
      <c r="O43" s="95">
        <f t="shared" si="3"/>
        <v>0</v>
      </c>
    </row>
    <row r="44" spans="1:17" ht="16.5" customHeight="1" x14ac:dyDescent="0.25">
      <c r="A44" s="4">
        <v>42</v>
      </c>
      <c r="E44" s="1" t="e">
        <f>VLOOKUP($D44,廠商編輯設定自動代出!$A:$C,2,0)</f>
        <v>#N/A</v>
      </c>
      <c r="F44" s="8" t="e">
        <f>VLOOKUP($D44,廠商編輯設定自動代出!$A:$C,3,0)</f>
        <v>#N/A</v>
      </c>
      <c r="G44" s="51"/>
      <c r="H44" s="2"/>
      <c r="I44" s="2"/>
      <c r="J44" s="49"/>
      <c r="K44" s="48"/>
      <c r="L44" s="6">
        <f t="shared" si="0"/>
        <v>0</v>
      </c>
      <c r="N44" s="6">
        <f t="shared" si="1"/>
        <v>0</v>
      </c>
      <c r="O44" s="95">
        <f t="shared" si="3"/>
        <v>0</v>
      </c>
    </row>
    <row r="45" spans="1:17" x14ac:dyDescent="0.25">
      <c r="A45" s="4">
        <v>43</v>
      </c>
      <c r="E45" s="1" t="e">
        <f>VLOOKUP($D45,廠商編輯設定自動代出!$A:$C,2,0)</f>
        <v>#N/A</v>
      </c>
      <c r="F45" s="8" t="e">
        <f>VLOOKUP($D45,廠商編輯設定自動代出!$A:$C,3,0)</f>
        <v>#N/A</v>
      </c>
      <c r="G45" s="51"/>
      <c r="H45" s="2"/>
      <c r="I45" s="2"/>
      <c r="J45" s="49"/>
      <c r="K45" s="48"/>
      <c r="L45" s="6">
        <f t="shared" si="0"/>
        <v>0</v>
      </c>
      <c r="N45" s="6">
        <f t="shared" si="1"/>
        <v>0</v>
      </c>
      <c r="O45" s="95">
        <f t="shared" si="3"/>
        <v>0</v>
      </c>
    </row>
    <row r="46" spans="1:17" x14ac:dyDescent="0.25">
      <c r="A46" s="4">
        <v>44</v>
      </c>
      <c r="E46" s="1" t="e">
        <f>VLOOKUP($D46,廠商編輯設定自動代出!$A:$C,2,0)</f>
        <v>#N/A</v>
      </c>
      <c r="F46" s="8" t="e">
        <f>VLOOKUP($D46,廠商編輯設定自動代出!$A:$C,3,0)</f>
        <v>#N/A</v>
      </c>
      <c r="G46" s="51"/>
      <c r="H46" s="2"/>
      <c r="I46" s="2"/>
      <c r="J46" s="49"/>
      <c r="K46" s="48"/>
      <c r="L46" s="6">
        <f t="shared" si="0"/>
        <v>0</v>
      </c>
      <c r="N46" s="6">
        <f t="shared" si="1"/>
        <v>0</v>
      </c>
      <c r="O46" s="95">
        <f t="shared" si="3"/>
        <v>0</v>
      </c>
    </row>
    <row r="47" spans="1:17" x14ac:dyDescent="0.25">
      <c r="A47" s="4">
        <v>45</v>
      </c>
      <c r="E47" s="1" t="e">
        <f>VLOOKUP($D47,廠商編輯設定自動代出!$A:$C,2,0)</f>
        <v>#N/A</v>
      </c>
      <c r="F47" s="8" t="e">
        <f>VLOOKUP($D47,廠商編輯設定自動代出!$A:$C,3,0)</f>
        <v>#N/A</v>
      </c>
      <c r="G47" s="51"/>
      <c r="H47" s="2"/>
      <c r="I47" s="2"/>
      <c r="J47" s="49"/>
      <c r="K47" s="48"/>
      <c r="L47" s="6">
        <f t="shared" si="0"/>
        <v>0</v>
      </c>
      <c r="N47" s="6">
        <f t="shared" si="1"/>
        <v>0</v>
      </c>
      <c r="O47" s="95">
        <f t="shared" si="3"/>
        <v>0</v>
      </c>
    </row>
    <row r="48" spans="1:17" x14ac:dyDescent="0.25">
      <c r="A48" s="4">
        <v>46</v>
      </c>
      <c r="E48" s="1" t="e">
        <f>VLOOKUP($D48,廠商編輯設定自動代出!$A:$C,2,0)</f>
        <v>#N/A</v>
      </c>
      <c r="F48" s="8" t="e">
        <f>VLOOKUP($D48,廠商編輯設定自動代出!$A:$C,3,0)</f>
        <v>#N/A</v>
      </c>
      <c r="G48" s="51"/>
      <c r="H48" s="2"/>
      <c r="I48" s="2"/>
      <c r="J48" s="49"/>
      <c r="K48" s="48"/>
      <c r="L48" s="6">
        <f t="shared" si="0"/>
        <v>0</v>
      </c>
      <c r="N48" s="6">
        <f t="shared" si="1"/>
        <v>0</v>
      </c>
      <c r="O48" s="95">
        <f t="shared" si="3"/>
        <v>0</v>
      </c>
    </row>
    <row r="49" spans="1:15" x14ac:dyDescent="0.25">
      <c r="A49" s="4">
        <v>47</v>
      </c>
      <c r="E49" s="1" t="e">
        <f>VLOOKUP($D49,廠商編輯設定自動代出!$A:$C,2,0)</f>
        <v>#N/A</v>
      </c>
      <c r="F49" s="8" t="e">
        <f>VLOOKUP($D49,廠商編輯設定自動代出!$A:$C,3,0)</f>
        <v>#N/A</v>
      </c>
      <c r="G49" s="51"/>
      <c r="H49" s="2"/>
      <c r="I49" s="2"/>
      <c r="J49" s="49"/>
      <c r="K49" s="48"/>
      <c r="L49" s="6">
        <f t="shared" si="0"/>
        <v>0</v>
      </c>
      <c r="N49" s="6">
        <f t="shared" si="1"/>
        <v>0</v>
      </c>
      <c r="O49" s="95">
        <f t="shared" si="3"/>
        <v>0</v>
      </c>
    </row>
    <row r="50" spans="1:15" x14ac:dyDescent="0.25">
      <c r="A50" s="4">
        <v>48</v>
      </c>
      <c r="E50" s="1" t="e">
        <f>VLOOKUP($D50,廠商編輯設定自動代出!$A:$C,2,0)</f>
        <v>#N/A</v>
      </c>
      <c r="F50" s="8" t="e">
        <f>VLOOKUP($D50,廠商編輯設定自動代出!$A:$C,3,0)</f>
        <v>#N/A</v>
      </c>
      <c r="G50" s="51"/>
      <c r="H50" s="2"/>
      <c r="I50" s="2"/>
      <c r="J50" s="49"/>
      <c r="K50" s="48"/>
      <c r="L50" s="6">
        <f t="shared" si="0"/>
        <v>0</v>
      </c>
      <c r="N50" s="6">
        <f t="shared" si="1"/>
        <v>0</v>
      </c>
      <c r="O50" s="95">
        <f t="shared" si="3"/>
        <v>0</v>
      </c>
    </row>
    <row r="51" spans="1:15" x14ac:dyDescent="0.25">
      <c r="A51" s="4">
        <v>49</v>
      </c>
      <c r="E51" s="1" t="e">
        <f>VLOOKUP($D51,廠商編輯設定自動代出!$A:$C,2,0)</f>
        <v>#N/A</v>
      </c>
      <c r="F51" s="8" t="e">
        <f>VLOOKUP($D51,廠商編輯設定自動代出!$A:$C,3,0)</f>
        <v>#N/A</v>
      </c>
      <c r="G51" s="51"/>
      <c r="H51" s="2"/>
      <c r="I51" s="2"/>
      <c r="J51" s="49"/>
      <c r="K51" s="48"/>
      <c r="L51" s="6">
        <f t="shared" si="0"/>
        <v>0</v>
      </c>
      <c r="N51" s="6">
        <f t="shared" si="1"/>
        <v>0</v>
      </c>
      <c r="O51" s="95">
        <f t="shared" si="3"/>
        <v>0</v>
      </c>
    </row>
    <row r="52" spans="1:15" x14ac:dyDescent="0.25">
      <c r="A52" s="4">
        <v>50</v>
      </c>
      <c r="E52" s="1" t="e">
        <f>VLOOKUP($D52,廠商編輯設定自動代出!$A:$C,2,0)</f>
        <v>#N/A</v>
      </c>
      <c r="F52" s="8" t="e">
        <f>VLOOKUP($D52,廠商編輯設定自動代出!$A:$C,3,0)</f>
        <v>#N/A</v>
      </c>
      <c r="G52" s="51"/>
      <c r="H52" s="2"/>
      <c r="I52" s="2"/>
      <c r="J52" s="49"/>
      <c r="K52" s="48"/>
      <c r="L52" s="6">
        <f t="shared" si="0"/>
        <v>0</v>
      </c>
      <c r="N52" s="6">
        <f t="shared" si="1"/>
        <v>0</v>
      </c>
      <c r="O52" s="95">
        <f t="shared" si="3"/>
        <v>0</v>
      </c>
    </row>
    <row r="53" spans="1:15" ht="16.5" customHeight="1" x14ac:dyDescent="0.25">
      <c r="A53" s="4">
        <v>51</v>
      </c>
      <c r="E53" s="1" t="e">
        <f>VLOOKUP($D53,廠商編輯設定自動代出!$A:$C,2,0)</f>
        <v>#N/A</v>
      </c>
      <c r="F53" s="8" t="e">
        <f>VLOOKUP($D53,廠商編輯設定自動代出!$A:$C,3,0)</f>
        <v>#N/A</v>
      </c>
      <c r="G53" s="51"/>
      <c r="H53" s="2"/>
      <c r="I53" s="2"/>
      <c r="J53" s="49"/>
      <c r="K53" s="48"/>
      <c r="L53" s="6">
        <f t="shared" si="0"/>
        <v>0</v>
      </c>
      <c r="N53" s="6">
        <f t="shared" si="1"/>
        <v>0</v>
      </c>
      <c r="O53" s="95">
        <f t="shared" si="3"/>
        <v>0</v>
      </c>
    </row>
    <row r="54" spans="1:15" ht="16.5" customHeight="1" x14ac:dyDescent="0.25">
      <c r="A54" s="4">
        <v>52</v>
      </c>
      <c r="E54" s="1" t="e">
        <f>VLOOKUP($D54,廠商編輯設定自動代出!$A:$C,2,0)</f>
        <v>#N/A</v>
      </c>
      <c r="F54" s="8" t="e">
        <f>VLOOKUP($D54,廠商編輯設定自動代出!$A:$C,3,0)</f>
        <v>#N/A</v>
      </c>
      <c r="G54" s="51"/>
      <c r="H54" s="2"/>
      <c r="I54" s="2"/>
      <c r="J54" s="49"/>
      <c r="K54" s="48"/>
      <c r="L54" s="6">
        <f t="shared" si="0"/>
        <v>0</v>
      </c>
      <c r="N54" s="6">
        <f t="shared" si="1"/>
        <v>0</v>
      </c>
      <c r="O54" s="95">
        <f t="shared" si="3"/>
        <v>0</v>
      </c>
    </row>
    <row r="55" spans="1:15" ht="16.5" customHeight="1" x14ac:dyDescent="0.25">
      <c r="A55" s="4">
        <v>53</v>
      </c>
      <c r="E55" s="1" t="e">
        <f>VLOOKUP($D55,廠商編輯設定自動代出!$A:$C,2,0)</f>
        <v>#N/A</v>
      </c>
      <c r="F55" s="8" t="e">
        <f>VLOOKUP($D55,廠商編輯設定自動代出!$A:$C,3,0)</f>
        <v>#N/A</v>
      </c>
      <c r="G55" s="51"/>
      <c r="H55" s="2"/>
      <c r="I55" s="2"/>
      <c r="J55" s="49"/>
      <c r="K55" s="48"/>
      <c r="L55" s="6">
        <f t="shared" si="0"/>
        <v>0</v>
      </c>
      <c r="N55" s="6">
        <f t="shared" si="1"/>
        <v>0</v>
      </c>
      <c r="O55" s="95">
        <f t="shared" si="3"/>
        <v>0</v>
      </c>
    </row>
    <row r="56" spans="1:15" ht="16.5" customHeight="1" x14ac:dyDescent="0.25">
      <c r="A56" s="4">
        <v>54</v>
      </c>
      <c r="E56" s="1" t="e">
        <f>VLOOKUP($D56,廠商編輯設定自動代出!$A:$C,2,0)</f>
        <v>#N/A</v>
      </c>
      <c r="F56" s="8" t="e">
        <f>VLOOKUP($D56,廠商編輯設定自動代出!$A:$C,3,0)</f>
        <v>#N/A</v>
      </c>
      <c r="G56" s="51"/>
      <c r="H56" s="2"/>
      <c r="I56" s="2"/>
      <c r="J56" s="49"/>
      <c r="K56" s="48"/>
      <c r="L56" s="6">
        <f t="shared" si="0"/>
        <v>0</v>
      </c>
      <c r="N56" s="6">
        <f t="shared" si="1"/>
        <v>0</v>
      </c>
      <c r="O56" s="95">
        <f t="shared" si="3"/>
        <v>0</v>
      </c>
    </row>
    <row r="57" spans="1:15" ht="16.5" customHeight="1" x14ac:dyDescent="0.25">
      <c r="A57" s="4">
        <v>55</v>
      </c>
      <c r="E57" s="1" t="e">
        <f>VLOOKUP($D57,廠商編輯設定自動代出!$A:$C,2,0)</f>
        <v>#N/A</v>
      </c>
      <c r="F57" s="8" t="e">
        <f>VLOOKUP($D57,廠商編輯設定自動代出!$A:$C,3,0)</f>
        <v>#N/A</v>
      </c>
      <c r="G57" s="51"/>
      <c r="H57" s="2"/>
      <c r="I57" s="2"/>
      <c r="J57" s="49"/>
      <c r="K57" s="48"/>
      <c r="L57" s="6">
        <f t="shared" si="0"/>
        <v>0</v>
      </c>
      <c r="N57" s="6">
        <f t="shared" si="1"/>
        <v>0</v>
      </c>
      <c r="O57" s="95">
        <f t="shared" si="3"/>
        <v>0</v>
      </c>
    </row>
    <row r="58" spans="1:15" ht="16.5" customHeight="1" x14ac:dyDescent="0.25">
      <c r="A58" s="4">
        <v>56</v>
      </c>
      <c r="E58" s="1" t="e">
        <f>VLOOKUP($D58,廠商編輯設定自動代出!$A:$C,2,0)</f>
        <v>#N/A</v>
      </c>
      <c r="F58" s="8" t="e">
        <f>VLOOKUP($D58,廠商編輯設定自動代出!$A:$C,3,0)</f>
        <v>#N/A</v>
      </c>
      <c r="G58" s="51"/>
      <c r="H58" s="2"/>
      <c r="I58" s="2"/>
      <c r="J58" s="49"/>
      <c r="K58" s="48"/>
      <c r="L58" s="6">
        <f t="shared" si="0"/>
        <v>0</v>
      </c>
      <c r="N58" s="6">
        <f t="shared" si="1"/>
        <v>0</v>
      </c>
      <c r="O58" s="95">
        <f t="shared" si="3"/>
        <v>0</v>
      </c>
    </row>
    <row r="59" spans="1:15" x14ac:dyDescent="0.25">
      <c r="A59" s="4">
        <v>57</v>
      </c>
      <c r="E59" s="1" t="e">
        <f>VLOOKUP($D59,廠商編輯設定自動代出!$A:$C,2,0)</f>
        <v>#N/A</v>
      </c>
      <c r="F59" s="8" t="e">
        <f>VLOOKUP($D59,廠商編輯設定自動代出!$A:$C,3,0)</f>
        <v>#N/A</v>
      </c>
      <c r="G59" s="51"/>
      <c r="H59" s="2"/>
      <c r="I59" s="2"/>
      <c r="J59" s="49"/>
      <c r="K59" s="48"/>
      <c r="L59" s="6">
        <f t="shared" si="0"/>
        <v>0</v>
      </c>
      <c r="N59" s="6">
        <f t="shared" si="1"/>
        <v>0</v>
      </c>
      <c r="O59" s="95">
        <f t="shared" si="3"/>
        <v>0</v>
      </c>
    </row>
    <row r="60" spans="1:15" ht="16.5" customHeight="1" x14ac:dyDescent="0.25">
      <c r="A60" s="4">
        <v>58</v>
      </c>
      <c r="E60" s="1" t="e">
        <f>VLOOKUP($D60,廠商編輯設定自動代出!$A:$C,2,0)</f>
        <v>#N/A</v>
      </c>
      <c r="F60" s="8" t="e">
        <f>VLOOKUP($D60,廠商編輯設定自動代出!$A:$C,3,0)</f>
        <v>#N/A</v>
      </c>
      <c r="G60" s="51"/>
      <c r="H60" s="2"/>
      <c r="I60" s="2"/>
      <c r="J60" s="49"/>
      <c r="K60" s="48"/>
      <c r="L60" s="6">
        <f t="shared" si="0"/>
        <v>0</v>
      </c>
      <c r="N60" s="6">
        <f t="shared" si="1"/>
        <v>0</v>
      </c>
      <c r="O60" s="95">
        <f t="shared" si="3"/>
        <v>0</v>
      </c>
    </row>
    <row r="61" spans="1:15" ht="16.5" customHeight="1" x14ac:dyDescent="0.25">
      <c r="A61" s="4">
        <v>59</v>
      </c>
      <c r="E61" s="1" t="e">
        <f>VLOOKUP($D61,廠商編輯設定自動代出!$A:$C,2,0)</f>
        <v>#N/A</v>
      </c>
      <c r="F61" s="8" t="e">
        <f>VLOOKUP($D61,廠商編輯設定自動代出!$A:$C,3,0)</f>
        <v>#N/A</v>
      </c>
      <c r="G61" s="51"/>
      <c r="H61" s="2"/>
      <c r="I61" s="2"/>
      <c r="J61" s="49"/>
      <c r="K61" s="48"/>
      <c r="L61" s="6">
        <f t="shared" si="0"/>
        <v>0</v>
      </c>
      <c r="N61" s="6">
        <f t="shared" si="1"/>
        <v>0</v>
      </c>
      <c r="O61" s="95">
        <f t="shared" si="3"/>
        <v>0</v>
      </c>
    </row>
    <row r="62" spans="1:15" ht="16.5" customHeight="1" x14ac:dyDescent="0.25">
      <c r="A62" s="4">
        <v>60</v>
      </c>
      <c r="E62" s="1" t="e">
        <f>VLOOKUP($D62,廠商編輯設定自動代出!$A:$C,2,0)</f>
        <v>#N/A</v>
      </c>
      <c r="F62" s="8" t="e">
        <f>VLOOKUP($D62,廠商編輯設定自動代出!$A:$C,3,0)</f>
        <v>#N/A</v>
      </c>
      <c r="G62" s="51"/>
      <c r="H62" s="2"/>
      <c r="I62" s="2"/>
      <c r="J62" s="49"/>
      <c r="K62" s="48"/>
      <c r="L62" s="6">
        <f t="shared" si="0"/>
        <v>0</v>
      </c>
      <c r="N62" s="6">
        <f t="shared" si="1"/>
        <v>0</v>
      </c>
      <c r="O62" s="95">
        <f t="shared" si="3"/>
        <v>0</v>
      </c>
    </row>
    <row r="63" spans="1:15" x14ac:dyDescent="0.25">
      <c r="A63" s="4">
        <v>61</v>
      </c>
      <c r="E63" s="1" t="e">
        <f>VLOOKUP($D63,廠商編輯設定自動代出!$A:$C,2,0)</f>
        <v>#N/A</v>
      </c>
      <c r="F63" s="8" t="e">
        <f>VLOOKUP($D63,廠商編輯設定自動代出!$A:$C,3,0)</f>
        <v>#N/A</v>
      </c>
      <c r="G63" s="51"/>
      <c r="H63" s="2"/>
      <c r="I63" s="2"/>
      <c r="J63" s="49"/>
      <c r="K63" s="48"/>
      <c r="L63" s="6">
        <f t="shared" si="0"/>
        <v>0</v>
      </c>
      <c r="N63" s="6">
        <f t="shared" si="1"/>
        <v>0</v>
      </c>
      <c r="O63" s="95">
        <f t="shared" si="3"/>
        <v>0</v>
      </c>
    </row>
    <row r="64" spans="1:15" ht="16.5" customHeight="1" x14ac:dyDescent="0.25">
      <c r="A64" s="4">
        <v>62</v>
      </c>
      <c r="E64" s="1" t="e">
        <f>VLOOKUP($D64,廠商編輯設定自動代出!$A:$C,2,0)</f>
        <v>#N/A</v>
      </c>
      <c r="F64" s="8" t="e">
        <f>VLOOKUP($D64,廠商編輯設定自動代出!$A:$C,3,0)</f>
        <v>#N/A</v>
      </c>
      <c r="G64" s="51"/>
      <c r="H64" s="2"/>
      <c r="I64" s="2"/>
      <c r="J64" s="49"/>
      <c r="K64" s="48"/>
      <c r="L64" s="6">
        <f t="shared" si="0"/>
        <v>0</v>
      </c>
      <c r="N64" s="6">
        <f t="shared" si="1"/>
        <v>0</v>
      </c>
      <c r="O64" s="95">
        <f t="shared" si="3"/>
        <v>0</v>
      </c>
    </row>
    <row r="65" spans="1:15" ht="16.5" customHeight="1" x14ac:dyDescent="0.25">
      <c r="A65" s="4">
        <v>63</v>
      </c>
      <c r="E65" s="1" t="e">
        <f>VLOOKUP($D65,廠商編輯設定自動代出!$A:$C,2,0)</f>
        <v>#N/A</v>
      </c>
      <c r="F65" s="8" t="e">
        <f>VLOOKUP($D65,廠商編輯設定自動代出!$A:$C,3,0)</f>
        <v>#N/A</v>
      </c>
      <c r="G65" s="51"/>
      <c r="H65" s="2"/>
      <c r="I65" s="2"/>
      <c r="J65" s="49"/>
      <c r="K65" s="48"/>
      <c r="L65" s="6">
        <f t="shared" si="0"/>
        <v>0</v>
      </c>
      <c r="N65" s="6">
        <f t="shared" si="1"/>
        <v>0</v>
      </c>
      <c r="O65" s="95">
        <f t="shared" si="3"/>
        <v>0</v>
      </c>
    </row>
    <row r="66" spans="1:15" x14ac:dyDescent="0.25">
      <c r="A66" s="4">
        <v>64</v>
      </c>
      <c r="E66" s="1" t="e">
        <f>VLOOKUP($D66,廠商編輯設定自動代出!$A:$C,2,0)</f>
        <v>#N/A</v>
      </c>
      <c r="F66" s="8" t="e">
        <f>VLOOKUP($D66,廠商編輯設定自動代出!$A:$C,3,0)</f>
        <v>#N/A</v>
      </c>
      <c r="G66" s="51"/>
      <c r="H66" s="2"/>
      <c r="I66" s="2"/>
      <c r="J66" s="49"/>
      <c r="K66" s="48"/>
      <c r="L66" s="6">
        <f t="shared" si="0"/>
        <v>0</v>
      </c>
      <c r="N66" s="6">
        <f t="shared" si="1"/>
        <v>0</v>
      </c>
      <c r="O66" s="95">
        <f t="shared" si="3"/>
        <v>0</v>
      </c>
    </row>
    <row r="67" spans="1:15" x14ac:dyDescent="0.25">
      <c r="A67" s="4">
        <v>65</v>
      </c>
      <c r="E67" s="1" t="e">
        <f>VLOOKUP($D67,廠商編輯設定自動代出!$A:$C,2,0)</f>
        <v>#N/A</v>
      </c>
      <c r="F67" s="8" t="e">
        <f>VLOOKUP($D67,廠商編輯設定自動代出!$A:$C,3,0)</f>
        <v>#N/A</v>
      </c>
      <c r="G67" s="51"/>
      <c r="H67" s="2"/>
      <c r="I67" s="2"/>
      <c r="J67" s="49"/>
      <c r="K67" s="48"/>
      <c r="L67" s="6">
        <f t="shared" ref="L67:L102" si="4">J67*K67</f>
        <v>0</v>
      </c>
      <c r="N67" s="6">
        <f t="shared" ref="N67:N102" si="5">M67/1.05</f>
        <v>0</v>
      </c>
      <c r="O67" s="95">
        <f t="shared" si="3"/>
        <v>0</v>
      </c>
    </row>
    <row r="68" spans="1:15" x14ac:dyDescent="0.25">
      <c r="A68" s="4">
        <v>66</v>
      </c>
      <c r="E68" s="1" t="e">
        <f>VLOOKUP($D68,廠商編輯設定自動代出!$A:$C,2,0)</f>
        <v>#N/A</v>
      </c>
      <c r="F68" s="8" t="e">
        <f>VLOOKUP($D68,廠商編輯設定自動代出!$A:$C,3,0)</f>
        <v>#N/A</v>
      </c>
      <c r="G68" s="51"/>
      <c r="H68" s="2"/>
      <c r="I68" s="2"/>
      <c r="J68" s="49"/>
      <c r="K68" s="48"/>
      <c r="L68" s="6">
        <f t="shared" si="4"/>
        <v>0</v>
      </c>
      <c r="N68" s="6">
        <f t="shared" si="5"/>
        <v>0</v>
      </c>
      <c r="O68" s="95">
        <f t="shared" si="3"/>
        <v>0</v>
      </c>
    </row>
    <row r="69" spans="1:15" x14ac:dyDescent="0.25">
      <c r="A69" s="4">
        <v>67</v>
      </c>
      <c r="E69" s="1" t="e">
        <f>VLOOKUP($D69,廠商編輯設定自動代出!$A:$C,2,0)</f>
        <v>#N/A</v>
      </c>
      <c r="F69" s="8" t="e">
        <f>VLOOKUP($D69,廠商編輯設定自動代出!$A:$C,3,0)</f>
        <v>#N/A</v>
      </c>
      <c r="G69" s="51"/>
      <c r="H69" s="2"/>
      <c r="I69" s="2"/>
      <c r="J69" s="49"/>
      <c r="K69" s="48"/>
      <c r="L69" s="6">
        <f t="shared" si="4"/>
        <v>0</v>
      </c>
      <c r="N69" s="6">
        <f t="shared" si="5"/>
        <v>0</v>
      </c>
      <c r="O69" s="95">
        <f t="shared" si="3"/>
        <v>0</v>
      </c>
    </row>
    <row r="70" spans="1:15" ht="16.5" customHeight="1" x14ac:dyDescent="0.25">
      <c r="A70" s="4">
        <v>68</v>
      </c>
      <c r="E70" s="1" t="e">
        <f>VLOOKUP($D70,廠商編輯設定自動代出!$A:$C,2,0)</f>
        <v>#N/A</v>
      </c>
      <c r="F70" s="8" t="e">
        <f>VLOOKUP($D70,廠商編輯設定自動代出!$A:$C,3,0)</f>
        <v>#N/A</v>
      </c>
      <c r="G70" s="51"/>
      <c r="H70" s="2"/>
      <c r="I70" s="2"/>
      <c r="J70" s="49"/>
      <c r="K70" s="48"/>
      <c r="L70" s="6">
        <f t="shared" si="4"/>
        <v>0</v>
      </c>
      <c r="N70" s="6">
        <f t="shared" si="5"/>
        <v>0</v>
      </c>
      <c r="O70" s="95">
        <f t="shared" si="3"/>
        <v>0</v>
      </c>
    </row>
    <row r="71" spans="1:15" ht="16.5" customHeight="1" x14ac:dyDescent="0.25">
      <c r="A71" s="4">
        <v>69</v>
      </c>
      <c r="E71" s="1" t="e">
        <f>VLOOKUP($D71,廠商編輯設定自動代出!$A:$C,2,0)</f>
        <v>#N/A</v>
      </c>
      <c r="F71" s="8" t="e">
        <f>VLOOKUP($D71,廠商編輯設定自動代出!$A:$C,3,0)</f>
        <v>#N/A</v>
      </c>
      <c r="G71" s="51"/>
      <c r="H71" s="2"/>
      <c r="I71" s="2"/>
      <c r="J71" s="49"/>
      <c r="K71" s="48"/>
      <c r="L71" s="6">
        <f t="shared" si="4"/>
        <v>0</v>
      </c>
      <c r="N71" s="6">
        <f t="shared" si="5"/>
        <v>0</v>
      </c>
      <c r="O71" s="95">
        <f t="shared" si="3"/>
        <v>0</v>
      </c>
    </row>
    <row r="72" spans="1:15" ht="16.5" customHeight="1" x14ac:dyDescent="0.25">
      <c r="A72" s="4">
        <v>71</v>
      </c>
      <c r="E72" s="1" t="e">
        <f>VLOOKUP($D72,廠商編輯設定自動代出!$A:$C,2,0)</f>
        <v>#N/A</v>
      </c>
      <c r="F72" s="8" t="e">
        <f>VLOOKUP($D72,廠商編輯設定自動代出!$A:$C,3,0)</f>
        <v>#N/A</v>
      </c>
      <c r="G72" s="51"/>
      <c r="H72" s="2"/>
      <c r="I72" s="2"/>
      <c r="J72" s="49"/>
      <c r="K72" s="48"/>
      <c r="L72" s="6">
        <f t="shared" si="4"/>
        <v>0</v>
      </c>
      <c r="N72" s="6">
        <f t="shared" si="5"/>
        <v>0</v>
      </c>
      <c r="O72" s="95">
        <f t="shared" si="3"/>
        <v>0</v>
      </c>
    </row>
    <row r="73" spans="1:15" ht="16.5" customHeight="1" x14ac:dyDescent="0.25">
      <c r="A73" s="4">
        <v>72</v>
      </c>
      <c r="E73" s="1" t="e">
        <f>VLOOKUP($D73,廠商編輯設定自動代出!$A:$C,2,0)</f>
        <v>#N/A</v>
      </c>
      <c r="F73" s="8" t="e">
        <f>VLOOKUP($D73,廠商編輯設定自動代出!$A:$C,3,0)</f>
        <v>#N/A</v>
      </c>
      <c r="G73" s="51"/>
      <c r="H73" s="2"/>
      <c r="I73" s="2"/>
      <c r="J73" s="49"/>
      <c r="K73" s="48"/>
      <c r="L73" s="6">
        <f t="shared" si="4"/>
        <v>0</v>
      </c>
      <c r="N73" s="6">
        <f t="shared" si="5"/>
        <v>0</v>
      </c>
      <c r="O73" s="95">
        <f t="shared" si="3"/>
        <v>0</v>
      </c>
    </row>
    <row r="74" spans="1:15" x14ac:dyDescent="0.25">
      <c r="A74" s="4">
        <v>73</v>
      </c>
      <c r="E74" s="1" t="e">
        <f>VLOOKUP($D74,廠商編輯設定自動代出!$A:$C,2,0)</f>
        <v>#N/A</v>
      </c>
      <c r="F74" s="8" t="e">
        <f>VLOOKUP($D74,廠商編輯設定自動代出!$A:$C,3,0)</f>
        <v>#N/A</v>
      </c>
      <c r="G74" s="51"/>
      <c r="H74" s="2"/>
      <c r="I74" s="2"/>
      <c r="J74" s="49"/>
      <c r="K74" s="48"/>
      <c r="L74" s="6">
        <f t="shared" si="4"/>
        <v>0</v>
      </c>
      <c r="N74" s="6">
        <f t="shared" si="5"/>
        <v>0</v>
      </c>
      <c r="O74" s="95">
        <f t="shared" si="3"/>
        <v>0</v>
      </c>
    </row>
    <row r="75" spans="1:15" ht="16.5" customHeight="1" x14ac:dyDescent="0.25">
      <c r="A75" s="4">
        <v>74</v>
      </c>
      <c r="E75" s="1" t="e">
        <f>VLOOKUP($D75,廠商編輯設定自動代出!$A:$C,2,0)</f>
        <v>#N/A</v>
      </c>
      <c r="F75" s="8" t="e">
        <f>VLOOKUP($D75,廠商編輯設定自動代出!$A:$C,3,0)</f>
        <v>#N/A</v>
      </c>
      <c r="G75" s="51"/>
      <c r="H75" s="2"/>
      <c r="I75" s="2"/>
      <c r="J75" s="49"/>
      <c r="K75" s="48"/>
      <c r="L75" s="6">
        <f t="shared" si="4"/>
        <v>0</v>
      </c>
      <c r="N75" s="6">
        <f t="shared" si="5"/>
        <v>0</v>
      </c>
      <c r="O75" s="95">
        <f t="shared" si="3"/>
        <v>0</v>
      </c>
    </row>
    <row r="76" spans="1:15" ht="16.5" customHeight="1" x14ac:dyDescent="0.25">
      <c r="A76" s="4">
        <v>75</v>
      </c>
      <c r="E76" s="1" t="e">
        <f>VLOOKUP($D76,廠商編輯設定自動代出!$A:$C,2,0)</f>
        <v>#N/A</v>
      </c>
      <c r="F76" s="8" t="e">
        <f>VLOOKUP($D76,廠商編輯設定自動代出!$A:$C,3,0)</f>
        <v>#N/A</v>
      </c>
      <c r="G76" s="51"/>
      <c r="H76" s="2"/>
      <c r="I76" s="2"/>
      <c r="J76" s="49"/>
      <c r="K76" s="48"/>
      <c r="L76" s="6">
        <f t="shared" si="4"/>
        <v>0</v>
      </c>
      <c r="N76" s="6">
        <f t="shared" si="5"/>
        <v>0</v>
      </c>
      <c r="O76" s="95">
        <f t="shared" si="3"/>
        <v>0</v>
      </c>
    </row>
    <row r="77" spans="1:15" x14ac:dyDescent="0.25">
      <c r="A77" s="4">
        <v>76</v>
      </c>
      <c r="E77" s="1" t="e">
        <f>VLOOKUP($D77,廠商編輯設定自動代出!$A:$C,2,0)</f>
        <v>#N/A</v>
      </c>
      <c r="F77" s="8" t="e">
        <f>VLOOKUP($D77,廠商編輯設定自動代出!$A:$C,3,0)</f>
        <v>#N/A</v>
      </c>
      <c r="G77" s="51"/>
      <c r="H77" s="2"/>
      <c r="I77" s="2"/>
      <c r="J77" s="49"/>
      <c r="K77" s="48"/>
      <c r="L77" s="6">
        <f t="shared" si="4"/>
        <v>0</v>
      </c>
      <c r="N77" s="6">
        <f t="shared" si="5"/>
        <v>0</v>
      </c>
      <c r="O77" s="95">
        <f t="shared" si="3"/>
        <v>0</v>
      </c>
    </row>
    <row r="78" spans="1:15" x14ac:dyDescent="0.25">
      <c r="A78" s="4">
        <v>77</v>
      </c>
      <c r="E78" s="1" t="e">
        <f>VLOOKUP($D78,廠商編輯設定自動代出!$A:$C,2,0)</f>
        <v>#N/A</v>
      </c>
      <c r="F78" s="8" t="e">
        <f>VLOOKUP($D78,廠商編輯設定自動代出!$A:$C,3,0)</f>
        <v>#N/A</v>
      </c>
      <c r="G78" s="51"/>
      <c r="H78" s="2"/>
      <c r="I78" s="2"/>
      <c r="J78" s="49"/>
      <c r="K78" s="48"/>
      <c r="L78" s="6">
        <f t="shared" si="4"/>
        <v>0</v>
      </c>
      <c r="N78" s="6">
        <f t="shared" si="5"/>
        <v>0</v>
      </c>
      <c r="O78" s="95">
        <f t="shared" si="3"/>
        <v>0</v>
      </c>
    </row>
    <row r="79" spans="1:15" x14ac:dyDescent="0.25">
      <c r="A79" s="4">
        <v>78</v>
      </c>
      <c r="E79" s="1" t="e">
        <f>VLOOKUP($D79,廠商編輯設定自動代出!$A:$C,2,0)</f>
        <v>#N/A</v>
      </c>
      <c r="F79" s="8" t="e">
        <f>VLOOKUP($D79,廠商編輯設定自動代出!$A:$C,3,0)</f>
        <v>#N/A</v>
      </c>
      <c r="G79" s="51"/>
      <c r="H79" s="2"/>
      <c r="I79" s="2"/>
      <c r="J79" s="49"/>
      <c r="K79" s="48"/>
      <c r="L79" s="6">
        <f t="shared" si="4"/>
        <v>0</v>
      </c>
      <c r="N79" s="6">
        <f t="shared" si="5"/>
        <v>0</v>
      </c>
      <c r="O79" s="95">
        <f t="shared" si="3"/>
        <v>0</v>
      </c>
    </row>
    <row r="80" spans="1:15" x14ac:dyDescent="0.25">
      <c r="A80" s="4">
        <v>79</v>
      </c>
      <c r="E80" s="1" t="e">
        <f>VLOOKUP($D80,廠商編輯設定自動代出!$A:$C,2,0)</f>
        <v>#N/A</v>
      </c>
      <c r="F80" s="8" t="e">
        <f>VLOOKUP($D80,廠商編輯設定自動代出!$A:$C,3,0)</f>
        <v>#N/A</v>
      </c>
      <c r="G80" s="51"/>
      <c r="H80" s="2"/>
      <c r="I80" s="2"/>
      <c r="J80" s="49"/>
      <c r="K80" s="48"/>
      <c r="L80" s="6">
        <f t="shared" si="4"/>
        <v>0</v>
      </c>
      <c r="N80" s="6">
        <f t="shared" si="5"/>
        <v>0</v>
      </c>
      <c r="O80" s="95">
        <f t="shared" si="3"/>
        <v>0</v>
      </c>
    </row>
    <row r="81" spans="1:23" x14ac:dyDescent="0.25">
      <c r="A81" s="4">
        <v>80</v>
      </c>
      <c r="E81" s="1" t="e">
        <f>VLOOKUP($D81,廠商編輯設定自動代出!$A:$C,2,0)</f>
        <v>#N/A</v>
      </c>
      <c r="F81" s="8" t="e">
        <f>VLOOKUP($D81,廠商編輯設定自動代出!$A:$C,3,0)</f>
        <v>#N/A</v>
      </c>
      <c r="G81" s="51"/>
      <c r="H81" s="2"/>
      <c r="I81" s="2"/>
      <c r="J81" s="49"/>
      <c r="K81" s="48"/>
      <c r="L81" s="6">
        <f t="shared" si="4"/>
        <v>0</v>
      </c>
      <c r="N81" s="6">
        <f t="shared" si="5"/>
        <v>0</v>
      </c>
      <c r="O81" s="95">
        <f t="shared" si="3"/>
        <v>0</v>
      </c>
    </row>
    <row r="82" spans="1:23" x14ac:dyDescent="0.25">
      <c r="A82" s="4">
        <v>81</v>
      </c>
      <c r="E82" s="1" t="e">
        <f>VLOOKUP($D82,廠商編輯設定自動代出!$A:$C,2,0)</f>
        <v>#N/A</v>
      </c>
      <c r="F82" s="8" t="e">
        <f>VLOOKUP($D82,廠商編輯設定自動代出!$A:$C,3,0)</f>
        <v>#N/A</v>
      </c>
      <c r="G82" s="51"/>
      <c r="H82" s="2"/>
      <c r="I82" s="2"/>
      <c r="J82" s="49"/>
      <c r="K82" s="48"/>
      <c r="L82" s="6">
        <f t="shared" si="4"/>
        <v>0</v>
      </c>
      <c r="N82" s="6">
        <f t="shared" si="5"/>
        <v>0</v>
      </c>
      <c r="O82" s="95">
        <f t="shared" si="3"/>
        <v>0</v>
      </c>
    </row>
    <row r="83" spans="1:23" x14ac:dyDescent="0.25">
      <c r="A83" s="4">
        <v>82</v>
      </c>
      <c r="E83" s="1" t="e">
        <f>VLOOKUP($D83,廠商編輯設定自動代出!$A:$C,2,0)</f>
        <v>#N/A</v>
      </c>
      <c r="F83" s="8" t="e">
        <f>VLOOKUP($D83,廠商編輯設定自動代出!$A:$C,3,0)</f>
        <v>#N/A</v>
      </c>
      <c r="G83" s="51"/>
      <c r="H83" s="2"/>
      <c r="I83" s="2"/>
      <c r="J83" s="49"/>
      <c r="K83" s="48"/>
      <c r="L83" s="6">
        <f t="shared" si="4"/>
        <v>0</v>
      </c>
      <c r="N83" s="6">
        <f t="shared" si="5"/>
        <v>0</v>
      </c>
      <c r="O83" s="95">
        <f t="shared" si="3"/>
        <v>0</v>
      </c>
    </row>
    <row r="84" spans="1:23" ht="16.5" customHeight="1" x14ac:dyDescent="0.25">
      <c r="A84" s="4">
        <v>83</v>
      </c>
      <c r="E84" s="1" t="e">
        <f>VLOOKUP($D84,廠商編輯設定自動代出!$A:$C,2,0)</f>
        <v>#N/A</v>
      </c>
      <c r="F84" s="8" t="e">
        <f>VLOOKUP($D84,廠商編輯設定自動代出!$A:$C,3,0)</f>
        <v>#N/A</v>
      </c>
      <c r="G84" s="51"/>
      <c r="H84" s="2"/>
      <c r="I84" s="2"/>
      <c r="J84" s="49"/>
      <c r="K84" s="48"/>
      <c r="L84" s="6">
        <f t="shared" si="4"/>
        <v>0</v>
      </c>
      <c r="N84" s="6">
        <f t="shared" si="5"/>
        <v>0</v>
      </c>
      <c r="O84" s="95">
        <f t="shared" si="3"/>
        <v>0</v>
      </c>
    </row>
    <row r="85" spans="1:23" x14ac:dyDescent="0.25">
      <c r="A85" s="4">
        <v>84</v>
      </c>
      <c r="E85" s="1" t="e">
        <f>VLOOKUP($D85,廠商編輯設定自動代出!$A:$C,2,0)</f>
        <v>#N/A</v>
      </c>
      <c r="F85" s="8" t="e">
        <f>VLOOKUP($D85,廠商編輯設定自動代出!$A:$C,3,0)</f>
        <v>#N/A</v>
      </c>
      <c r="G85" s="51"/>
      <c r="H85" s="2"/>
      <c r="I85" s="2"/>
      <c r="J85" s="49"/>
      <c r="K85" s="48"/>
      <c r="L85" s="6">
        <f t="shared" si="4"/>
        <v>0</v>
      </c>
      <c r="N85" s="6">
        <f t="shared" si="5"/>
        <v>0</v>
      </c>
      <c r="O85" s="95">
        <f t="shared" si="3"/>
        <v>0</v>
      </c>
    </row>
    <row r="86" spans="1:23" x14ac:dyDescent="0.25">
      <c r="A86" s="4">
        <v>85</v>
      </c>
      <c r="E86" s="1" t="e">
        <f>VLOOKUP($D86,廠商編輯設定自動代出!$A:$C,2,0)</f>
        <v>#N/A</v>
      </c>
      <c r="F86" s="8" t="e">
        <f>VLOOKUP($D86,廠商編輯設定自動代出!$A:$C,3,0)</f>
        <v>#N/A</v>
      </c>
      <c r="G86" s="51"/>
      <c r="H86" s="2"/>
      <c r="I86" s="2"/>
      <c r="J86" s="49"/>
      <c r="K86" s="48"/>
      <c r="L86" s="6">
        <f t="shared" si="4"/>
        <v>0</v>
      </c>
      <c r="N86" s="6">
        <f t="shared" si="5"/>
        <v>0</v>
      </c>
      <c r="O86" s="95">
        <f t="shared" si="3"/>
        <v>0</v>
      </c>
    </row>
    <row r="87" spans="1:23" x14ac:dyDescent="0.25">
      <c r="A87" s="4">
        <v>86</v>
      </c>
      <c r="E87" s="1" t="e">
        <f>VLOOKUP($D87,廠商編輯設定自動代出!$A:$C,2,0)</f>
        <v>#N/A</v>
      </c>
      <c r="F87" s="8" t="e">
        <f>VLOOKUP($D87,廠商編輯設定自動代出!$A:$C,3,0)</f>
        <v>#N/A</v>
      </c>
      <c r="G87" s="51"/>
      <c r="H87" s="2"/>
      <c r="I87" s="2"/>
      <c r="J87" s="49"/>
      <c r="K87" s="48"/>
      <c r="L87" s="6">
        <f t="shared" si="4"/>
        <v>0</v>
      </c>
      <c r="N87" s="6">
        <f t="shared" si="5"/>
        <v>0</v>
      </c>
      <c r="O87" s="95">
        <f t="shared" si="3"/>
        <v>0</v>
      </c>
    </row>
    <row r="88" spans="1:23" x14ac:dyDescent="0.25">
      <c r="A88" s="4">
        <v>87</v>
      </c>
      <c r="E88" s="1" t="e">
        <f>VLOOKUP($D88,廠商編輯設定自動代出!$A:$C,2,0)</f>
        <v>#N/A</v>
      </c>
      <c r="F88" s="8" t="e">
        <f>VLOOKUP($D88,廠商編輯設定自動代出!$A:$C,3,0)</f>
        <v>#N/A</v>
      </c>
      <c r="G88" s="51"/>
      <c r="H88" s="2"/>
      <c r="I88" s="2"/>
      <c r="J88" s="49"/>
      <c r="K88" s="48"/>
      <c r="L88" s="6">
        <f t="shared" si="4"/>
        <v>0</v>
      </c>
      <c r="N88" s="6">
        <f t="shared" si="5"/>
        <v>0</v>
      </c>
      <c r="O88" s="95">
        <f t="shared" si="3"/>
        <v>0</v>
      </c>
    </row>
    <row r="89" spans="1:23" ht="16.5" customHeight="1" x14ac:dyDescent="0.25">
      <c r="A89" s="4">
        <v>88</v>
      </c>
      <c r="E89" s="1" t="e">
        <f>VLOOKUP($D89,廠商編輯設定自動代出!$A:$C,2,0)</f>
        <v>#N/A</v>
      </c>
      <c r="F89" s="8" t="e">
        <f>VLOOKUP($D89,廠商編輯設定自動代出!$A:$C,3,0)</f>
        <v>#N/A</v>
      </c>
      <c r="G89" s="51"/>
      <c r="H89" s="2"/>
      <c r="I89" s="2"/>
      <c r="J89" s="49"/>
      <c r="K89" s="48"/>
      <c r="L89" s="6">
        <f t="shared" si="4"/>
        <v>0</v>
      </c>
      <c r="N89" s="6">
        <f t="shared" si="5"/>
        <v>0</v>
      </c>
      <c r="O89" s="95">
        <f t="shared" si="3"/>
        <v>0</v>
      </c>
    </row>
    <row r="90" spans="1:23" ht="16.5" customHeight="1" x14ac:dyDescent="0.25">
      <c r="A90" s="4">
        <v>89</v>
      </c>
      <c r="E90" s="1" t="e">
        <f>VLOOKUP($D90,廠商編輯設定自動代出!$A:$C,2,0)</f>
        <v>#N/A</v>
      </c>
      <c r="F90" s="8" t="e">
        <f>VLOOKUP($D90,廠商編輯設定自動代出!$A:$C,3,0)</f>
        <v>#N/A</v>
      </c>
      <c r="G90" s="51"/>
      <c r="H90" s="2"/>
      <c r="I90" s="2"/>
      <c r="J90" s="49"/>
      <c r="K90" s="48"/>
      <c r="L90" s="6">
        <f t="shared" si="4"/>
        <v>0</v>
      </c>
      <c r="N90" s="6">
        <f t="shared" si="5"/>
        <v>0</v>
      </c>
      <c r="O90" s="95">
        <f t="shared" si="3"/>
        <v>0</v>
      </c>
    </row>
    <row r="91" spans="1:23" x14ac:dyDescent="0.25">
      <c r="A91" s="4">
        <v>90</v>
      </c>
      <c r="E91" s="1" t="e">
        <f>VLOOKUP($D91,廠商編輯設定自動代出!$A:$C,2,0)</f>
        <v>#N/A</v>
      </c>
      <c r="F91" s="8" t="e">
        <f>VLOOKUP($D91,廠商編輯設定自動代出!$A:$C,3,0)</f>
        <v>#N/A</v>
      </c>
      <c r="G91" s="51"/>
      <c r="H91" s="2"/>
      <c r="I91" s="2"/>
      <c r="J91" s="49"/>
      <c r="K91" s="48"/>
      <c r="L91" s="6">
        <f t="shared" si="4"/>
        <v>0</v>
      </c>
      <c r="N91" s="6">
        <f t="shared" si="5"/>
        <v>0</v>
      </c>
      <c r="O91" s="95">
        <f t="shared" si="3"/>
        <v>0</v>
      </c>
    </row>
    <row r="92" spans="1:23" s="24" customFormat="1" ht="16.5" customHeight="1" x14ac:dyDescent="0.25">
      <c r="A92" s="4">
        <v>91</v>
      </c>
      <c r="B92" s="4"/>
      <c r="C92" s="35"/>
      <c r="D92" s="21"/>
      <c r="E92" s="1" t="e">
        <f>VLOOKUP($D92,廠商編輯設定自動代出!$A:$C,2,0)</f>
        <v>#N/A</v>
      </c>
      <c r="F92" s="8" t="e">
        <f>VLOOKUP($D92,廠商編輯設定自動代出!$A:$C,3,0)</f>
        <v>#N/A</v>
      </c>
      <c r="G92" s="51"/>
      <c r="H92" s="2"/>
      <c r="I92" s="2"/>
      <c r="J92" s="49"/>
      <c r="K92" s="48"/>
      <c r="L92" s="6">
        <f t="shared" si="4"/>
        <v>0</v>
      </c>
      <c r="M92" s="29"/>
      <c r="N92" s="6">
        <f t="shared" si="5"/>
        <v>0</v>
      </c>
      <c r="O92" s="95">
        <f t="shared" si="3"/>
        <v>0</v>
      </c>
      <c r="P92" s="52"/>
      <c r="Q92" s="1"/>
      <c r="R92" s="1"/>
      <c r="S92" s="1"/>
      <c r="T92" s="1"/>
      <c r="U92" s="3"/>
      <c r="V92" s="1"/>
      <c r="W92"/>
    </row>
    <row r="93" spans="1:23" x14ac:dyDescent="0.25">
      <c r="A93" s="4">
        <v>92</v>
      </c>
      <c r="E93" s="1" t="e">
        <f>VLOOKUP($D93,廠商編輯設定自動代出!$A:$C,2,0)</f>
        <v>#N/A</v>
      </c>
      <c r="F93" s="8" t="e">
        <f>VLOOKUP($D93,廠商編輯設定自動代出!$A:$C,3,0)</f>
        <v>#N/A</v>
      </c>
      <c r="G93" s="51"/>
      <c r="H93" s="2"/>
      <c r="I93" s="2"/>
      <c r="J93" s="49"/>
      <c r="K93" s="48"/>
      <c r="L93" s="6">
        <f t="shared" si="4"/>
        <v>0</v>
      </c>
      <c r="N93" s="6">
        <f t="shared" si="5"/>
        <v>0</v>
      </c>
      <c r="O93" s="95">
        <f t="shared" si="3"/>
        <v>0</v>
      </c>
    </row>
    <row r="94" spans="1:23" ht="16.5" customHeight="1" x14ac:dyDescent="0.25">
      <c r="A94" s="4">
        <v>93</v>
      </c>
      <c r="E94" s="1" t="e">
        <f>VLOOKUP($D94,廠商編輯設定自動代出!$A:$C,2,0)</f>
        <v>#N/A</v>
      </c>
      <c r="F94" s="8" t="e">
        <f>VLOOKUP($D94,廠商編輯設定自動代出!$A:$C,3,0)</f>
        <v>#N/A</v>
      </c>
      <c r="G94" s="51"/>
      <c r="H94" s="2"/>
      <c r="I94" s="2"/>
      <c r="J94" s="49"/>
      <c r="K94" s="48"/>
      <c r="L94" s="6">
        <f t="shared" si="4"/>
        <v>0</v>
      </c>
      <c r="N94" s="6">
        <f t="shared" si="5"/>
        <v>0</v>
      </c>
      <c r="O94" s="95">
        <f t="shared" si="3"/>
        <v>0</v>
      </c>
    </row>
    <row r="95" spans="1:23" x14ac:dyDescent="0.25">
      <c r="A95" s="4">
        <v>94</v>
      </c>
      <c r="E95" s="1" t="e">
        <f>VLOOKUP($D95,廠商編輯設定自動代出!$A:$C,2,0)</f>
        <v>#N/A</v>
      </c>
      <c r="F95" s="8" t="e">
        <f>VLOOKUP($D95,廠商編輯設定自動代出!$A:$C,3,0)</f>
        <v>#N/A</v>
      </c>
      <c r="G95" s="51"/>
      <c r="H95" s="2"/>
      <c r="I95" s="2"/>
      <c r="J95" s="49"/>
      <c r="K95" s="48"/>
      <c r="L95" s="6">
        <f t="shared" si="4"/>
        <v>0</v>
      </c>
      <c r="N95" s="6">
        <f t="shared" si="5"/>
        <v>0</v>
      </c>
      <c r="O95" s="95">
        <f t="shared" si="3"/>
        <v>0</v>
      </c>
    </row>
    <row r="96" spans="1:23" ht="16.5" customHeight="1" x14ac:dyDescent="0.25">
      <c r="A96" s="4">
        <v>95</v>
      </c>
      <c r="E96" s="1" t="e">
        <f>VLOOKUP($D96,廠商編輯設定自動代出!$A:$C,2,0)</f>
        <v>#N/A</v>
      </c>
      <c r="F96" s="8" t="e">
        <f>VLOOKUP($D96,廠商編輯設定自動代出!$A:$C,3,0)</f>
        <v>#N/A</v>
      </c>
      <c r="G96" s="51"/>
      <c r="H96" s="2"/>
      <c r="I96" s="2"/>
      <c r="J96" s="49"/>
      <c r="K96" s="48"/>
      <c r="L96" s="6">
        <f t="shared" si="4"/>
        <v>0</v>
      </c>
      <c r="N96" s="6">
        <f t="shared" si="5"/>
        <v>0</v>
      </c>
      <c r="O96" s="95">
        <f t="shared" si="3"/>
        <v>0</v>
      </c>
    </row>
    <row r="97" spans="1:15" x14ac:dyDescent="0.25">
      <c r="A97" s="4">
        <v>96</v>
      </c>
      <c r="E97" s="1" t="e">
        <f>VLOOKUP($D97,廠商編輯設定自動代出!$A:$C,2,0)</f>
        <v>#N/A</v>
      </c>
      <c r="F97" s="8" t="e">
        <f>VLOOKUP($D97,廠商編輯設定自動代出!$A:$C,3,0)</f>
        <v>#N/A</v>
      </c>
      <c r="G97" s="51"/>
      <c r="H97" s="2"/>
      <c r="I97" s="2"/>
      <c r="J97" s="49"/>
      <c r="K97" s="48"/>
      <c r="L97" s="6">
        <f t="shared" si="4"/>
        <v>0</v>
      </c>
      <c r="N97" s="6">
        <f t="shared" si="5"/>
        <v>0</v>
      </c>
      <c r="O97" s="95">
        <f t="shared" si="3"/>
        <v>0</v>
      </c>
    </row>
    <row r="98" spans="1:15" x14ac:dyDescent="0.25">
      <c r="A98" s="4">
        <v>97</v>
      </c>
      <c r="E98" s="1" t="e">
        <f>VLOOKUP($D98,廠商編輯設定自動代出!$A:$C,2,0)</f>
        <v>#N/A</v>
      </c>
      <c r="F98" s="8" t="e">
        <f>VLOOKUP($D98,廠商編輯設定自動代出!$A:$C,3,0)</f>
        <v>#N/A</v>
      </c>
      <c r="G98" s="51"/>
      <c r="H98" s="2"/>
      <c r="I98" s="2"/>
      <c r="J98" s="49"/>
      <c r="K98" s="48"/>
      <c r="L98" s="6">
        <f t="shared" si="4"/>
        <v>0</v>
      </c>
      <c r="N98" s="6">
        <f t="shared" si="5"/>
        <v>0</v>
      </c>
      <c r="O98" s="95">
        <f t="shared" si="3"/>
        <v>0</v>
      </c>
    </row>
    <row r="99" spans="1:15" x14ac:dyDescent="0.25">
      <c r="A99" s="4">
        <v>98</v>
      </c>
      <c r="E99" s="1" t="e">
        <f>VLOOKUP($D99,廠商編輯設定自動代出!$A:$C,2,0)</f>
        <v>#N/A</v>
      </c>
      <c r="F99" s="8" t="e">
        <f>VLOOKUP($D99,廠商編輯設定自動代出!$A:$C,3,0)</f>
        <v>#N/A</v>
      </c>
      <c r="G99" s="51"/>
      <c r="H99" s="2"/>
      <c r="I99" s="2"/>
      <c r="J99" s="49"/>
      <c r="K99" s="48"/>
      <c r="L99" s="6">
        <f t="shared" si="4"/>
        <v>0</v>
      </c>
      <c r="N99" s="6">
        <f t="shared" si="5"/>
        <v>0</v>
      </c>
      <c r="O99" s="95">
        <f t="shared" si="3"/>
        <v>0</v>
      </c>
    </row>
    <row r="100" spans="1:15" x14ac:dyDescent="0.25">
      <c r="A100" s="4">
        <v>99</v>
      </c>
      <c r="E100" s="1" t="e">
        <f>VLOOKUP($D100,廠商編輯設定自動代出!$A:$C,2,0)</f>
        <v>#N/A</v>
      </c>
      <c r="F100" s="8" t="e">
        <f>VLOOKUP($D100,廠商編輯設定自動代出!$A:$C,3,0)</f>
        <v>#N/A</v>
      </c>
      <c r="G100" s="51"/>
      <c r="H100" s="2"/>
      <c r="I100" s="2"/>
      <c r="J100" s="49"/>
      <c r="K100" s="48"/>
      <c r="L100" s="6">
        <f t="shared" si="4"/>
        <v>0</v>
      </c>
      <c r="N100" s="6">
        <f t="shared" si="5"/>
        <v>0</v>
      </c>
      <c r="O100" s="95">
        <f t="shared" si="3"/>
        <v>0</v>
      </c>
    </row>
    <row r="101" spans="1:15" x14ac:dyDescent="0.25">
      <c r="A101" s="4">
        <v>100</v>
      </c>
      <c r="E101" s="1" t="e">
        <f>VLOOKUP($D101,廠商編輯設定自動代出!$A:$C,2,0)</f>
        <v>#N/A</v>
      </c>
      <c r="F101" s="8" t="e">
        <f>VLOOKUP($D101,廠商編輯設定自動代出!$A:$C,3,0)</f>
        <v>#N/A</v>
      </c>
      <c r="G101" s="51"/>
      <c r="H101" s="2"/>
      <c r="I101" s="2"/>
      <c r="J101" s="49"/>
      <c r="K101" s="48"/>
      <c r="L101" s="6">
        <f t="shared" si="4"/>
        <v>0</v>
      </c>
      <c r="N101" s="6">
        <f t="shared" si="5"/>
        <v>0</v>
      </c>
      <c r="O101" s="95">
        <f t="shared" si="3"/>
        <v>0</v>
      </c>
    </row>
    <row r="102" spans="1:15" ht="16.5" customHeight="1" x14ac:dyDescent="0.25">
      <c r="A102" s="4">
        <v>101</v>
      </c>
      <c r="E102" s="1" t="e">
        <f>VLOOKUP($D102,廠商編輯設定自動代出!$A:$C,2,0)</f>
        <v>#N/A</v>
      </c>
      <c r="F102" s="8" t="e">
        <f>VLOOKUP($D102,廠商編輯設定自動代出!$A:$C,3,0)</f>
        <v>#N/A</v>
      </c>
      <c r="G102" s="51"/>
      <c r="H102" s="2"/>
      <c r="I102" s="2"/>
      <c r="J102" s="49"/>
      <c r="K102" s="48"/>
      <c r="L102" s="6">
        <f t="shared" si="4"/>
        <v>0</v>
      </c>
      <c r="N102" s="6">
        <f t="shared" si="5"/>
        <v>0</v>
      </c>
      <c r="O102" s="95">
        <f t="shared" si="3"/>
        <v>0</v>
      </c>
    </row>
    <row r="103" spans="1:15" x14ac:dyDescent="0.25">
      <c r="A103" s="4">
        <v>102</v>
      </c>
      <c r="E103" s="1" t="e">
        <f>VLOOKUP($D103,廠商編輯設定自動代出!$A:$C,2,0)</f>
        <v>#N/A</v>
      </c>
      <c r="F103" s="8" t="e">
        <f>VLOOKUP($D103,廠商編輯設定自動代出!$A:$C,3,0)</f>
        <v>#N/A</v>
      </c>
      <c r="G103" s="51"/>
      <c r="H103" s="2"/>
      <c r="I103" s="2"/>
      <c r="J103" s="49"/>
      <c r="K103" s="48"/>
      <c r="L103" s="6">
        <f t="shared" ref="L102:L130" si="6">J103*K103</f>
        <v>0</v>
      </c>
      <c r="N103" s="6">
        <f t="shared" ref="N102:N130" si="7">M103/1.05</f>
        <v>0</v>
      </c>
      <c r="O103" s="95">
        <f t="shared" ref="O102:O130" si="8">N103*0.05</f>
        <v>0</v>
      </c>
    </row>
    <row r="104" spans="1:15" x14ac:dyDescent="0.25">
      <c r="A104" s="4">
        <v>103</v>
      </c>
      <c r="E104" s="1" t="e">
        <f>VLOOKUP($D104,廠商編輯設定自動代出!$A:$C,2,0)</f>
        <v>#N/A</v>
      </c>
      <c r="F104" s="8" t="e">
        <f>VLOOKUP($D104,廠商編輯設定自動代出!$A:$C,3,0)</f>
        <v>#N/A</v>
      </c>
      <c r="G104" s="51"/>
      <c r="H104" s="2"/>
      <c r="I104" s="2"/>
      <c r="J104" s="49"/>
      <c r="K104" s="48"/>
      <c r="L104" s="6">
        <f t="shared" si="6"/>
        <v>0</v>
      </c>
      <c r="N104" s="6">
        <f t="shared" si="7"/>
        <v>0</v>
      </c>
      <c r="O104" s="95">
        <f t="shared" si="8"/>
        <v>0</v>
      </c>
    </row>
    <row r="105" spans="1:15" x14ac:dyDescent="0.25">
      <c r="A105" s="4">
        <v>104</v>
      </c>
      <c r="E105" s="1" t="e">
        <f>VLOOKUP($D105,廠商編輯設定自動代出!$A:$C,2,0)</f>
        <v>#N/A</v>
      </c>
      <c r="F105" s="8" t="e">
        <f>VLOOKUP($D105,廠商編輯設定自動代出!$A:$C,3,0)</f>
        <v>#N/A</v>
      </c>
      <c r="G105" s="51"/>
      <c r="H105" s="2"/>
      <c r="I105" s="2"/>
      <c r="J105" s="49"/>
      <c r="K105" s="48"/>
      <c r="L105" s="6">
        <f t="shared" si="6"/>
        <v>0</v>
      </c>
      <c r="N105" s="6">
        <f t="shared" si="7"/>
        <v>0</v>
      </c>
      <c r="O105" s="95">
        <f t="shared" si="8"/>
        <v>0</v>
      </c>
    </row>
    <row r="106" spans="1:15" x14ac:dyDescent="0.25">
      <c r="A106" s="4">
        <v>105</v>
      </c>
      <c r="E106" s="1" t="e">
        <f>VLOOKUP($D106,廠商編輯設定自動代出!$A:$C,2,0)</f>
        <v>#N/A</v>
      </c>
      <c r="F106" s="8" t="e">
        <f>VLOOKUP($D106,廠商編輯設定自動代出!$A:$C,3,0)</f>
        <v>#N/A</v>
      </c>
      <c r="G106" s="51"/>
      <c r="H106" s="2"/>
      <c r="I106" s="2"/>
      <c r="J106" s="49"/>
      <c r="K106" s="48"/>
      <c r="L106" s="6">
        <f t="shared" si="6"/>
        <v>0</v>
      </c>
      <c r="N106" s="6">
        <f t="shared" si="7"/>
        <v>0</v>
      </c>
      <c r="O106" s="95">
        <f t="shared" si="8"/>
        <v>0</v>
      </c>
    </row>
    <row r="107" spans="1:15" x14ac:dyDescent="0.25">
      <c r="A107" s="4">
        <v>106</v>
      </c>
      <c r="E107" s="1" t="e">
        <f>VLOOKUP($D107,廠商編輯設定自動代出!$A:$C,2,0)</f>
        <v>#N/A</v>
      </c>
      <c r="F107" s="8" t="e">
        <f>VLOOKUP($D107,廠商編輯設定自動代出!$A:$C,3,0)</f>
        <v>#N/A</v>
      </c>
      <c r="G107" s="51"/>
      <c r="H107" s="2"/>
      <c r="I107" s="2"/>
      <c r="J107" s="49"/>
      <c r="K107" s="48"/>
      <c r="L107" s="6">
        <f t="shared" si="6"/>
        <v>0</v>
      </c>
      <c r="N107" s="6">
        <f t="shared" si="7"/>
        <v>0</v>
      </c>
      <c r="O107" s="95">
        <f t="shared" si="8"/>
        <v>0</v>
      </c>
    </row>
    <row r="108" spans="1:15" x14ac:dyDescent="0.25">
      <c r="A108" s="4">
        <v>107</v>
      </c>
      <c r="E108" s="1" t="e">
        <f>VLOOKUP($D108,廠商編輯設定自動代出!$A:$C,2,0)</f>
        <v>#N/A</v>
      </c>
      <c r="F108" s="8" t="e">
        <f>VLOOKUP($D108,廠商編輯設定自動代出!$A:$C,3,0)</f>
        <v>#N/A</v>
      </c>
      <c r="G108" s="51"/>
      <c r="H108" s="2"/>
      <c r="I108" s="2"/>
      <c r="J108" s="49"/>
      <c r="K108" s="48"/>
      <c r="L108" s="6">
        <f t="shared" si="6"/>
        <v>0</v>
      </c>
      <c r="N108" s="6">
        <f t="shared" si="7"/>
        <v>0</v>
      </c>
      <c r="O108" s="95">
        <f t="shared" si="8"/>
        <v>0</v>
      </c>
    </row>
    <row r="109" spans="1:15" x14ac:dyDescent="0.25">
      <c r="A109" s="4">
        <v>108</v>
      </c>
      <c r="E109" s="1" t="e">
        <f>VLOOKUP($D109,廠商編輯設定自動代出!$A:$C,2,0)</f>
        <v>#N/A</v>
      </c>
      <c r="F109" s="8" t="e">
        <f>VLOOKUP($D109,廠商編輯設定自動代出!$A:$C,3,0)</f>
        <v>#N/A</v>
      </c>
      <c r="G109" s="51"/>
      <c r="H109" s="2"/>
      <c r="I109" s="2"/>
      <c r="J109" s="49"/>
      <c r="K109" s="48"/>
      <c r="L109" s="6">
        <f t="shared" si="6"/>
        <v>0</v>
      </c>
      <c r="N109" s="6">
        <f t="shared" si="7"/>
        <v>0</v>
      </c>
      <c r="O109" s="95">
        <f t="shared" si="8"/>
        <v>0</v>
      </c>
    </row>
    <row r="110" spans="1:15" x14ac:dyDescent="0.25">
      <c r="A110" s="4">
        <v>109</v>
      </c>
      <c r="E110" s="1" t="e">
        <f>VLOOKUP($D110,廠商編輯設定自動代出!$A:$C,2,0)</f>
        <v>#N/A</v>
      </c>
      <c r="F110" s="8" t="e">
        <f>VLOOKUP($D110,廠商編輯設定自動代出!$A:$C,3,0)</f>
        <v>#N/A</v>
      </c>
      <c r="G110" s="51"/>
      <c r="H110" s="2"/>
      <c r="I110" s="2"/>
      <c r="J110" s="49"/>
      <c r="K110" s="48"/>
      <c r="L110" s="6">
        <f t="shared" si="6"/>
        <v>0</v>
      </c>
      <c r="N110" s="6">
        <f t="shared" si="7"/>
        <v>0</v>
      </c>
      <c r="O110" s="95">
        <f t="shared" si="8"/>
        <v>0</v>
      </c>
    </row>
    <row r="111" spans="1:15" x14ac:dyDescent="0.25">
      <c r="A111" s="4">
        <v>110</v>
      </c>
      <c r="E111" s="1" t="e">
        <f>VLOOKUP($D111,廠商編輯設定自動代出!$A:$C,2,0)</f>
        <v>#N/A</v>
      </c>
      <c r="F111" s="8" t="e">
        <f>VLOOKUP($D111,廠商編輯設定自動代出!$A:$C,3,0)</f>
        <v>#N/A</v>
      </c>
      <c r="G111" s="51"/>
      <c r="H111" s="2"/>
      <c r="I111" s="2"/>
      <c r="J111" s="49"/>
      <c r="K111" s="48"/>
      <c r="L111" s="6">
        <f t="shared" si="6"/>
        <v>0</v>
      </c>
      <c r="N111" s="6">
        <f t="shared" si="7"/>
        <v>0</v>
      </c>
      <c r="O111" s="95">
        <f t="shared" si="8"/>
        <v>0</v>
      </c>
    </row>
    <row r="112" spans="1:15" x14ac:dyDescent="0.25">
      <c r="A112" s="4">
        <v>111</v>
      </c>
      <c r="E112" s="1" t="e">
        <f>VLOOKUP($D112,廠商編輯設定自動代出!$A:$C,2,0)</f>
        <v>#N/A</v>
      </c>
      <c r="F112" s="8" t="e">
        <f>VLOOKUP($D112,廠商編輯設定自動代出!$A:$C,3,0)</f>
        <v>#N/A</v>
      </c>
      <c r="G112" s="51"/>
      <c r="H112" s="2"/>
      <c r="I112" s="2"/>
      <c r="J112" s="49"/>
      <c r="K112" s="48"/>
      <c r="L112" s="6">
        <f t="shared" si="6"/>
        <v>0</v>
      </c>
      <c r="N112" s="6">
        <f t="shared" si="7"/>
        <v>0</v>
      </c>
      <c r="O112" s="95">
        <f t="shared" si="8"/>
        <v>0</v>
      </c>
    </row>
    <row r="113" spans="1:15" x14ac:dyDescent="0.25">
      <c r="A113" s="4">
        <v>112</v>
      </c>
      <c r="E113" s="1" t="e">
        <f>VLOOKUP($D113,廠商編輯設定自動代出!$A:$C,2,0)</f>
        <v>#N/A</v>
      </c>
      <c r="F113" s="8" t="e">
        <f>VLOOKUP($D113,廠商編輯設定自動代出!$A:$C,3,0)</f>
        <v>#N/A</v>
      </c>
      <c r="G113" s="51"/>
      <c r="H113" s="2"/>
      <c r="I113" s="2"/>
      <c r="J113" s="49"/>
      <c r="K113" s="48"/>
      <c r="L113" s="6">
        <f t="shared" si="6"/>
        <v>0</v>
      </c>
      <c r="N113" s="6">
        <f t="shared" si="7"/>
        <v>0</v>
      </c>
      <c r="O113" s="95">
        <f t="shared" si="8"/>
        <v>0</v>
      </c>
    </row>
    <row r="114" spans="1:15" x14ac:dyDescent="0.25">
      <c r="A114" s="4">
        <v>113</v>
      </c>
      <c r="E114" s="1" t="e">
        <f>VLOOKUP($D114,廠商編輯設定自動代出!$A:$C,2,0)</f>
        <v>#N/A</v>
      </c>
      <c r="F114" s="8" t="e">
        <f>VLOOKUP($D114,廠商編輯設定自動代出!$A:$C,3,0)</f>
        <v>#N/A</v>
      </c>
      <c r="G114" s="51"/>
      <c r="H114" s="2"/>
      <c r="I114" s="2"/>
      <c r="J114" s="49"/>
      <c r="K114" s="48"/>
      <c r="L114" s="6">
        <f t="shared" si="6"/>
        <v>0</v>
      </c>
      <c r="N114" s="6">
        <f t="shared" si="7"/>
        <v>0</v>
      </c>
      <c r="O114" s="95">
        <f t="shared" si="8"/>
        <v>0</v>
      </c>
    </row>
    <row r="115" spans="1:15" x14ac:dyDescent="0.25">
      <c r="A115" s="4">
        <v>114</v>
      </c>
      <c r="E115" s="1" t="e">
        <f>VLOOKUP($D115,廠商編輯設定自動代出!$A:$C,2,0)</f>
        <v>#N/A</v>
      </c>
      <c r="F115" s="8" t="e">
        <f>VLOOKUP($D115,廠商編輯設定自動代出!$A:$C,3,0)</f>
        <v>#N/A</v>
      </c>
      <c r="G115" s="51"/>
      <c r="H115" s="2"/>
      <c r="I115" s="2"/>
      <c r="J115" s="49"/>
      <c r="K115" s="48"/>
      <c r="L115" s="6">
        <f t="shared" si="6"/>
        <v>0</v>
      </c>
      <c r="N115" s="6">
        <f t="shared" si="7"/>
        <v>0</v>
      </c>
      <c r="O115" s="95">
        <f t="shared" si="8"/>
        <v>0</v>
      </c>
    </row>
    <row r="116" spans="1:15" x14ac:dyDescent="0.25">
      <c r="A116" s="4">
        <v>115</v>
      </c>
      <c r="E116" s="1" t="e">
        <f>VLOOKUP($D116,廠商編輯設定自動代出!$A:$C,2,0)</f>
        <v>#N/A</v>
      </c>
      <c r="F116" s="8" t="e">
        <f>VLOOKUP($D116,廠商編輯設定自動代出!$A:$C,3,0)</f>
        <v>#N/A</v>
      </c>
      <c r="G116" s="51"/>
      <c r="H116" s="2"/>
      <c r="I116" s="2"/>
      <c r="J116" s="49"/>
      <c r="K116" s="48"/>
      <c r="L116" s="6">
        <f t="shared" si="6"/>
        <v>0</v>
      </c>
      <c r="N116" s="6">
        <f t="shared" si="7"/>
        <v>0</v>
      </c>
      <c r="O116" s="95">
        <f t="shared" si="8"/>
        <v>0</v>
      </c>
    </row>
    <row r="117" spans="1:15" x14ac:dyDescent="0.25">
      <c r="A117" s="4">
        <v>116</v>
      </c>
      <c r="E117" s="1" t="e">
        <f>VLOOKUP($D117,廠商編輯設定自動代出!$A:$C,2,0)</f>
        <v>#N/A</v>
      </c>
      <c r="F117" s="8" t="e">
        <f>VLOOKUP($D117,廠商編輯設定自動代出!$A:$C,3,0)</f>
        <v>#N/A</v>
      </c>
      <c r="G117" s="51"/>
      <c r="H117" s="2"/>
      <c r="I117" s="2"/>
      <c r="J117" s="49"/>
      <c r="K117" s="48"/>
      <c r="L117" s="6">
        <f t="shared" si="6"/>
        <v>0</v>
      </c>
      <c r="N117" s="6">
        <f t="shared" si="7"/>
        <v>0</v>
      </c>
      <c r="O117" s="95">
        <f t="shared" si="8"/>
        <v>0</v>
      </c>
    </row>
    <row r="118" spans="1:15" x14ac:dyDescent="0.25">
      <c r="A118" s="4">
        <v>117</v>
      </c>
      <c r="E118" s="1" t="e">
        <f>VLOOKUP($D118,廠商編輯設定自動代出!$A:$C,2,0)</f>
        <v>#N/A</v>
      </c>
      <c r="F118" s="8" t="e">
        <f>VLOOKUP($D118,廠商編輯設定自動代出!$A:$C,3,0)</f>
        <v>#N/A</v>
      </c>
      <c r="G118" s="51"/>
      <c r="H118" s="2"/>
      <c r="I118" s="2"/>
      <c r="J118" s="49"/>
      <c r="K118" s="48"/>
      <c r="L118" s="6">
        <f t="shared" si="6"/>
        <v>0</v>
      </c>
      <c r="N118" s="6">
        <f t="shared" si="7"/>
        <v>0</v>
      </c>
      <c r="O118" s="95">
        <f t="shared" si="8"/>
        <v>0</v>
      </c>
    </row>
    <row r="119" spans="1:15" x14ac:dyDescent="0.25">
      <c r="A119" s="4">
        <v>118</v>
      </c>
      <c r="E119" s="1" t="e">
        <f>VLOOKUP($D119,廠商編輯設定自動代出!$A:$C,2,0)</f>
        <v>#N/A</v>
      </c>
      <c r="F119" s="8" t="e">
        <f>VLOOKUP($D119,廠商編輯設定自動代出!$A:$C,3,0)</f>
        <v>#N/A</v>
      </c>
      <c r="G119" s="51"/>
      <c r="H119" s="2"/>
      <c r="I119" s="2"/>
      <c r="J119" s="49"/>
      <c r="K119" s="48"/>
      <c r="L119" s="6">
        <f t="shared" si="6"/>
        <v>0</v>
      </c>
      <c r="N119" s="6">
        <f t="shared" si="7"/>
        <v>0</v>
      </c>
      <c r="O119" s="95">
        <f t="shared" si="8"/>
        <v>0</v>
      </c>
    </row>
    <row r="120" spans="1:15" x14ac:dyDescent="0.25">
      <c r="A120" s="4">
        <v>119</v>
      </c>
      <c r="E120" s="1" t="e">
        <f>VLOOKUP($D120,廠商編輯設定自動代出!$A:$C,2,0)</f>
        <v>#N/A</v>
      </c>
      <c r="F120" s="8" t="e">
        <f>VLOOKUP($D120,廠商編輯設定自動代出!$A:$C,3,0)</f>
        <v>#N/A</v>
      </c>
      <c r="G120" s="51"/>
      <c r="H120" s="2"/>
      <c r="I120" s="2"/>
      <c r="J120" s="49"/>
      <c r="K120" s="48"/>
      <c r="L120" s="6">
        <f t="shared" si="6"/>
        <v>0</v>
      </c>
      <c r="N120" s="6">
        <f t="shared" si="7"/>
        <v>0</v>
      </c>
      <c r="O120" s="95">
        <f t="shared" si="8"/>
        <v>0</v>
      </c>
    </row>
    <row r="121" spans="1:15" x14ac:dyDescent="0.25">
      <c r="A121" s="4">
        <v>120</v>
      </c>
      <c r="E121" s="1" t="e">
        <f>VLOOKUP($D121,廠商編輯設定自動代出!$A:$C,2,0)</f>
        <v>#N/A</v>
      </c>
      <c r="F121" s="8" t="e">
        <f>VLOOKUP($D121,廠商編輯設定自動代出!$A:$C,3,0)</f>
        <v>#N/A</v>
      </c>
      <c r="G121" s="51"/>
      <c r="H121" s="2"/>
      <c r="I121" s="2"/>
      <c r="J121" s="49"/>
      <c r="K121" s="48"/>
      <c r="L121" s="6">
        <f t="shared" si="6"/>
        <v>0</v>
      </c>
      <c r="N121" s="6">
        <f t="shared" si="7"/>
        <v>0</v>
      </c>
      <c r="O121" s="95">
        <f t="shared" si="8"/>
        <v>0</v>
      </c>
    </row>
    <row r="122" spans="1:15" x14ac:dyDescent="0.25">
      <c r="A122" s="4">
        <v>121</v>
      </c>
      <c r="E122" s="1" t="e">
        <f>VLOOKUP($D122,廠商編輯設定自動代出!$A:$C,2,0)</f>
        <v>#N/A</v>
      </c>
      <c r="F122" s="8" t="e">
        <f>VLOOKUP($D122,廠商編輯設定自動代出!$A:$C,3,0)</f>
        <v>#N/A</v>
      </c>
      <c r="G122" s="51"/>
      <c r="H122" s="2"/>
      <c r="I122" s="2"/>
      <c r="J122" s="49"/>
      <c r="K122" s="48"/>
      <c r="L122" s="6">
        <f t="shared" si="6"/>
        <v>0</v>
      </c>
      <c r="N122" s="6">
        <f t="shared" si="7"/>
        <v>0</v>
      </c>
      <c r="O122" s="95">
        <f t="shared" si="8"/>
        <v>0</v>
      </c>
    </row>
    <row r="123" spans="1:15" ht="16.5" customHeight="1" x14ac:dyDescent="0.25">
      <c r="A123" s="4">
        <v>122</v>
      </c>
      <c r="E123" s="1" t="e">
        <f>VLOOKUP($D123,廠商編輯設定自動代出!$A:$C,2,0)</f>
        <v>#N/A</v>
      </c>
      <c r="F123" s="8" t="e">
        <f>VLOOKUP($D123,廠商編輯設定自動代出!$A:$C,3,0)</f>
        <v>#N/A</v>
      </c>
      <c r="G123" s="51"/>
      <c r="H123" s="2"/>
      <c r="I123" s="2"/>
      <c r="J123" s="49"/>
      <c r="K123" s="48"/>
      <c r="L123" s="6">
        <f t="shared" si="6"/>
        <v>0</v>
      </c>
      <c r="N123" s="6">
        <f t="shared" si="7"/>
        <v>0</v>
      </c>
      <c r="O123" s="95">
        <f t="shared" si="8"/>
        <v>0</v>
      </c>
    </row>
    <row r="124" spans="1:15" ht="16.5" customHeight="1" x14ac:dyDescent="0.25">
      <c r="A124" s="4">
        <v>123</v>
      </c>
      <c r="E124" s="1" t="e">
        <f>VLOOKUP($D124,廠商編輯設定自動代出!$A:$C,2,0)</f>
        <v>#N/A</v>
      </c>
      <c r="F124" s="8" t="e">
        <f>VLOOKUP($D124,廠商編輯設定自動代出!$A:$C,3,0)</f>
        <v>#N/A</v>
      </c>
      <c r="G124" s="51"/>
      <c r="H124" s="2"/>
      <c r="I124" s="2"/>
      <c r="J124" s="49"/>
      <c r="K124" s="48"/>
      <c r="L124" s="6">
        <f t="shared" si="6"/>
        <v>0</v>
      </c>
      <c r="N124" s="6">
        <f t="shared" si="7"/>
        <v>0</v>
      </c>
      <c r="O124" s="95">
        <f t="shared" si="8"/>
        <v>0</v>
      </c>
    </row>
    <row r="125" spans="1:15" x14ac:dyDescent="0.25">
      <c r="A125" s="4">
        <v>124</v>
      </c>
      <c r="E125" s="1" t="e">
        <f>VLOOKUP($D125,廠商編輯設定自動代出!$A:$C,2,0)</f>
        <v>#N/A</v>
      </c>
      <c r="F125" s="8" t="e">
        <f>VLOOKUP($D125,廠商編輯設定自動代出!$A:$C,3,0)</f>
        <v>#N/A</v>
      </c>
      <c r="G125" s="51"/>
      <c r="H125" s="2"/>
      <c r="I125" s="2"/>
      <c r="J125" s="49"/>
      <c r="K125" s="48"/>
      <c r="L125" s="6">
        <f t="shared" si="6"/>
        <v>0</v>
      </c>
      <c r="N125" s="6">
        <f t="shared" si="7"/>
        <v>0</v>
      </c>
      <c r="O125" s="95">
        <f t="shared" si="8"/>
        <v>0</v>
      </c>
    </row>
    <row r="126" spans="1:15" x14ac:dyDescent="0.25">
      <c r="A126" s="4">
        <v>125</v>
      </c>
      <c r="E126" s="1" t="e">
        <f>VLOOKUP($D126,廠商編輯設定自動代出!$A:$C,2,0)</f>
        <v>#N/A</v>
      </c>
      <c r="F126" s="8" t="e">
        <f>VLOOKUP($D126,廠商編輯設定自動代出!$A:$C,3,0)</f>
        <v>#N/A</v>
      </c>
      <c r="G126" s="51"/>
      <c r="H126" s="2"/>
      <c r="I126" s="2"/>
      <c r="J126" s="49"/>
      <c r="K126" s="48"/>
      <c r="L126" s="6">
        <f t="shared" si="6"/>
        <v>0</v>
      </c>
      <c r="N126" s="6">
        <f t="shared" si="7"/>
        <v>0</v>
      </c>
      <c r="O126" s="95">
        <f t="shared" si="8"/>
        <v>0</v>
      </c>
    </row>
    <row r="127" spans="1:15" x14ac:dyDescent="0.25">
      <c r="A127" s="4">
        <v>126</v>
      </c>
      <c r="E127" s="1" t="e">
        <f>VLOOKUP($D127,廠商編輯設定自動代出!$A:$C,2,0)</f>
        <v>#N/A</v>
      </c>
      <c r="F127" s="8" t="e">
        <f>VLOOKUP($D127,廠商編輯設定自動代出!$A:$C,3,0)</f>
        <v>#N/A</v>
      </c>
      <c r="G127" s="51"/>
      <c r="H127" s="2"/>
      <c r="I127" s="2"/>
      <c r="J127" s="49"/>
      <c r="K127" s="48"/>
      <c r="L127" s="6">
        <f t="shared" si="6"/>
        <v>0</v>
      </c>
      <c r="N127" s="6">
        <f t="shared" si="7"/>
        <v>0</v>
      </c>
      <c r="O127" s="95">
        <f t="shared" si="8"/>
        <v>0</v>
      </c>
    </row>
    <row r="128" spans="1:15" x14ac:dyDescent="0.25">
      <c r="A128" s="4">
        <v>127</v>
      </c>
      <c r="E128" s="1" t="e">
        <f>VLOOKUP($D128,廠商編輯設定自動代出!$A:$C,2,0)</f>
        <v>#N/A</v>
      </c>
      <c r="F128" s="8" t="e">
        <f>VLOOKUP($D128,廠商編輯設定自動代出!$A:$C,3,0)</f>
        <v>#N/A</v>
      </c>
      <c r="G128" s="51"/>
      <c r="H128" s="2"/>
      <c r="I128" s="2"/>
      <c r="J128" s="49"/>
      <c r="K128" s="48"/>
      <c r="L128" s="6">
        <f t="shared" si="6"/>
        <v>0</v>
      </c>
      <c r="N128" s="6">
        <f t="shared" si="7"/>
        <v>0</v>
      </c>
      <c r="O128" s="95">
        <f t="shared" si="8"/>
        <v>0</v>
      </c>
    </row>
    <row r="129" spans="1:15" ht="16.5" customHeight="1" x14ac:dyDescent="0.25">
      <c r="A129" s="4">
        <v>128</v>
      </c>
      <c r="E129" s="1" t="e">
        <f>VLOOKUP($D129,廠商編輯設定自動代出!$A:$C,2,0)</f>
        <v>#N/A</v>
      </c>
      <c r="F129" s="8" t="e">
        <f>VLOOKUP($D129,廠商編輯設定自動代出!$A:$C,3,0)</f>
        <v>#N/A</v>
      </c>
      <c r="G129" s="51"/>
      <c r="H129" s="2"/>
      <c r="I129" s="2"/>
      <c r="J129" s="49"/>
      <c r="K129" s="48"/>
      <c r="L129" s="6">
        <f t="shared" si="6"/>
        <v>0</v>
      </c>
      <c r="N129" s="6">
        <f t="shared" si="7"/>
        <v>0</v>
      </c>
      <c r="O129" s="95">
        <f t="shared" si="8"/>
        <v>0</v>
      </c>
    </row>
    <row r="130" spans="1:15" x14ac:dyDescent="0.25">
      <c r="A130" s="4">
        <v>129</v>
      </c>
      <c r="E130" s="1" t="e">
        <f>VLOOKUP($D130,廠商編輯設定自動代出!$A:$C,2,0)</f>
        <v>#N/A</v>
      </c>
      <c r="F130" s="8" t="e">
        <f>VLOOKUP($D130,廠商編輯設定自動代出!$A:$C,3,0)</f>
        <v>#N/A</v>
      </c>
      <c r="G130" s="51"/>
      <c r="H130" s="2"/>
      <c r="I130" s="2"/>
      <c r="J130" s="49"/>
      <c r="K130" s="48"/>
      <c r="L130" s="6">
        <f t="shared" si="6"/>
        <v>0</v>
      </c>
      <c r="N130" s="6">
        <f t="shared" si="7"/>
        <v>0</v>
      </c>
      <c r="O130" s="95">
        <f t="shared" si="8"/>
        <v>0</v>
      </c>
    </row>
    <row r="131" spans="1:15" x14ac:dyDescent="0.25">
      <c r="A131" s="4">
        <v>130</v>
      </c>
      <c r="E131" s="1" t="e">
        <f>VLOOKUP($D131,廠商編輯設定自動代出!$A:$C,2,0)</f>
        <v>#N/A</v>
      </c>
      <c r="F131" s="8" t="e">
        <f>VLOOKUP($D131,廠商編輯設定自動代出!$A:$C,3,0)</f>
        <v>#N/A</v>
      </c>
      <c r="G131" s="51"/>
      <c r="H131" s="2"/>
      <c r="I131" s="2"/>
      <c r="J131" s="49"/>
      <c r="K131" s="48"/>
      <c r="L131" s="6">
        <f t="shared" ref="L131:L194" si="9">J131*K131</f>
        <v>0</v>
      </c>
      <c r="N131" s="6">
        <f t="shared" ref="N131:N194" si="10">M131/1.05</f>
        <v>0</v>
      </c>
      <c r="O131" s="95">
        <f t="shared" ref="O131:O194" si="11">N131*0.05</f>
        <v>0</v>
      </c>
    </row>
    <row r="132" spans="1:15" x14ac:dyDescent="0.25">
      <c r="A132" s="4">
        <v>131</v>
      </c>
      <c r="E132" s="1" t="e">
        <f>VLOOKUP($D132,廠商編輯設定自動代出!$A:$C,2,0)</f>
        <v>#N/A</v>
      </c>
      <c r="F132" s="8" t="e">
        <f>VLOOKUP($D132,廠商編輯設定自動代出!$A:$C,3,0)</f>
        <v>#N/A</v>
      </c>
      <c r="G132" s="51"/>
      <c r="H132" s="2"/>
      <c r="I132" s="2"/>
      <c r="J132" s="49"/>
      <c r="K132" s="48"/>
      <c r="L132" s="6">
        <f t="shared" si="9"/>
        <v>0</v>
      </c>
      <c r="N132" s="6">
        <f t="shared" si="10"/>
        <v>0</v>
      </c>
      <c r="O132" s="95">
        <f t="shared" si="11"/>
        <v>0</v>
      </c>
    </row>
    <row r="133" spans="1:15" x14ac:dyDescent="0.25">
      <c r="A133" s="4">
        <v>132</v>
      </c>
      <c r="E133" s="1" t="e">
        <f>VLOOKUP($D133,廠商編輯設定自動代出!$A:$C,2,0)</f>
        <v>#N/A</v>
      </c>
      <c r="F133" s="8" t="e">
        <f>VLOOKUP($D133,廠商編輯設定自動代出!$A:$C,3,0)</f>
        <v>#N/A</v>
      </c>
      <c r="G133" s="51"/>
      <c r="H133" s="2"/>
      <c r="I133" s="2"/>
      <c r="J133" s="49"/>
      <c r="K133" s="48"/>
      <c r="L133" s="6">
        <f t="shared" si="9"/>
        <v>0</v>
      </c>
      <c r="N133" s="6">
        <f t="shared" si="10"/>
        <v>0</v>
      </c>
      <c r="O133" s="95">
        <f t="shared" si="11"/>
        <v>0</v>
      </c>
    </row>
    <row r="134" spans="1:15" x14ac:dyDescent="0.25">
      <c r="A134" s="4">
        <v>133</v>
      </c>
      <c r="E134" s="1" t="e">
        <f>VLOOKUP($D134,廠商編輯設定自動代出!$A:$C,2,0)</f>
        <v>#N/A</v>
      </c>
      <c r="F134" s="8" t="e">
        <f>VLOOKUP($D134,廠商編輯設定自動代出!$A:$C,3,0)</f>
        <v>#N/A</v>
      </c>
      <c r="G134" s="51"/>
      <c r="H134" s="2"/>
      <c r="I134" s="2"/>
      <c r="J134" s="49"/>
      <c r="K134" s="48"/>
      <c r="L134" s="6">
        <f t="shared" si="9"/>
        <v>0</v>
      </c>
      <c r="N134" s="6">
        <f t="shared" si="10"/>
        <v>0</v>
      </c>
      <c r="O134" s="95">
        <f t="shared" si="11"/>
        <v>0</v>
      </c>
    </row>
    <row r="135" spans="1:15" x14ac:dyDescent="0.25">
      <c r="A135" s="4">
        <v>134</v>
      </c>
      <c r="E135" s="1" t="e">
        <f>VLOOKUP($D135,廠商編輯設定自動代出!$A:$C,2,0)</f>
        <v>#N/A</v>
      </c>
      <c r="F135" s="8" t="e">
        <f>VLOOKUP($D135,廠商編輯設定自動代出!$A:$C,3,0)</f>
        <v>#N/A</v>
      </c>
      <c r="G135" s="51"/>
      <c r="H135" s="2"/>
      <c r="I135" s="2"/>
      <c r="J135" s="49"/>
      <c r="K135" s="48"/>
      <c r="L135" s="6">
        <f t="shared" si="9"/>
        <v>0</v>
      </c>
      <c r="N135" s="6">
        <f t="shared" si="10"/>
        <v>0</v>
      </c>
      <c r="O135" s="95">
        <f t="shared" si="11"/>
        <v>0</v>
      </c>
    </row>
    <row r="136" spans="1:15" x14ac:dyDescent="0.25">
      <c r="A136" s="4">
        <v>135</v>
      </c>
      <c r="E136" s="1" t="e">
        <f>VLOOKUP($D136,廠商編輯設定自動代出!$A:$C,2,0)</f>
        <v>#N/A</v>
      </c>
      <c r="F136" s="8" t="e">
        <f>VLOOKUP($D136,廠商編輯設定自動代出!$A:$C,3,0)</f>
        <v>#N/A</v>
      </c>
      <c r="G136" s="51"/>
      <c r="H136" s="2"/>
      <c r="I136" s="2"/>
      <c r="J136" s="49"/>
      <c r="K136" s="48"/>
      <c r="L136" s="6">
        <f t="shared" si="9"/>
        <v>0</v>
      </c>
      <c r="N136" s="6">
        <f t="shared" si="10"/>
        <v>0</v>
      </c>
      <c r="O136" s="95">
        <f t="shared" si="11"/>
        <v>0</v>
      </c>
    </row>
    <row r="137" spans="1:15" x14ac:dyDescent="0.25">
      <c r="A137" s="4">
        <v>136</v>
      </c>
      <c r="E137" s="1" t="e">
        <f>VLOOKUP($D137,廠商編輯設定自動代出!$A:$C,2,0)</f>
        <v>#N/A</v>
      </c>
      <c r="F137" s="8" t="e">
        <f>VLOOKUP($D137,廠商編輯設定自動代出!$A:$C,3,0)</f>
        <v>#N/A</v>
      </c>
      <c r="G137" s="51"/>
      <c r="H137" s="2"/>
      <c r="I137" s="2"/>
      <c r="J137" s="49"/>
      <c r="K137" s="48"/>
      <c r="L137" s="6">
        <f t="shared" si="9"/>
        <v>0</v>
      </c>
      <c r="N137" s="6">
        <f t="shared" si="10"/>
        <v>0</v>
      </c>
      <c r="O137" s="95">
        <f t="shared" si="11"/>
        <v>0</v>
      </c>
    </row>
    <row r="138" spans="1:15" x14ac:dyDescent="0.25">
      <c r="A138" s="4">
        <v>137</v>
      </c>
      <c r="E138" s="1" t="e">
        <f>VLOOKUP($D138,廠商編輯設定自動代出!$A:$C,2,0)</f>
        <v>#N/A</v>
      </c>
      <c r="F138" s="8" t="e">
        <f>VLOOKUP($D138,廠商編輯設定自動代出!$A:$C,3,0)</f>
        <v>#N/A</v>
      </c>
      <c r="G138" s="51"/>
      <c r="H138" s="2"/>
      <c r="I138" s="2"/>
      <c r="J138" s="49"/>
      <c r="K138" s="48"/>
      <c r="L138" s="6">
        <f t="shared" si="9"/>
        <v>0</v>
      </c>
      <c r="N138" s="6">
        <f t="shared" si="10"/>
        <v>0</v>
      </c>
      <c r="O138" s="95">
        <f t="shared" si="11"/>
        <v>0</v>
      </c>
    </row>
    <row r="139" spans="1:15" x14ac:dyDescent="0.25">
      <c r="A139" s="4">
        <v>138</v>
      </c>
      <c r="E139" s="1" t="e">
        <f>VLOOKUP($D139,廠商編輯設定自動代出!$A:$C,2,0)</f>
        <v>#N/A</v>
      </c>
      <c r="F139" s="8" t="e">
        <f>VLOOKUP($D139,廠商編輯設定自動代出!$A:$C,3,0)</f>
        <v>#N/A</v>
      </c>
      <c r="G139" s="51"/>
      <c r="H139" s="2"/>
      <c r="I139" s="2"/>
      <c r="J139" s="49"/>
      <c r="K139" s="48"/>
      <c r="L139" s="6">
        <f t="shared" si="9"/>
        <v>0</v>
      </c>
      <c r="N139" s="6">
        <f t="shared" si="10"/>
        <v>0</v>
      </c>
      <c r="O139" s="95">
        <f t="shared" si="11"/>
        <v>0</v>
      </c>
    </row>
    <row r="140" spans="1:15" x14ac:dyDescent="0.25">
      <c r="A140" s="4">
        <v>139</v>
      </c>
      <c r="E140" s="1" t="e">
        <f>VLOOKUP($D140,廠商編輯設定自動代出!$A:$C,2,0)</f>
        <v>#N/A</v>
      </c>
      <c r="F140" s="8" t="e">
        <f>VLOOKUP($D140,廠商編輯設定自動代出!$A:$C,3,0)</f>
        <v>#N/A</v>
      </c>
      <c r="G140" s="51"/>
      <c r="H140" s="2"/>
      <c r="I140" s="2"/>
      <c r="J140" s="49"/>
      <c r="K140" s="48"/>
      <c r="L140" s="6">
        <f t="shared" si="9"/>
        <v>0</v>
      </c>
      <c r="N140" s="6">
        <f t="shared" si="10"/>
        <v>0</v>
      </c>
      <c r="O140" s="95">
        <f t="shared" si="11"/>
        <v>0</v>
      </c>
    </row>
    <row r="141" spans="1:15" x14ac:dyDescent="0.25">
      <c r="A141" s="4">
        <v>140</v>
      </c>
      <c r="E141" s="1" t="e">
        <f>VLOOKUP($D141,廠商編輯設定自動代出!$A:$C,2,0)</f>
        <v>#N/A</v>
      </c>
      <c r="F141" s="8" t="e">
        <f>VLOOKUP($D141,廠商編輯設定自動代出!$A:$C,3,0)</f>
        <v>#N/A</v>
      </c>
      <c r="G141" s="51"/>
      <c r="H141" s="2"/>
      <c r="I141" s="2"/>
      <c r="J141" s="49"/>
      <c r="K141" s="48"/>
      <c r="L141" s="6">
        <f t="shared" si="9"/>
        <v>0</v>
      </c>
      <c r="N141" s="6">
        <f t="shared" si="10"/>
        <v>0</v>
      </c>
      <c r="O141" s="95">
        <f t="shared" si="11"/>
        <v>0</v>
      </c>
    </row>
    <row r="142" spans="1:15" ht="16.5" customHeight="1" x14ac:dyDescent="0.25">
      <c r="A142" s="4">
        <v>141</v>
      </c>
      <c r="E142" s="1" t="e">
        <f>VLOOKUP($D142,廠商編輯設定自動代出!$A:$C,2,0)</f>
        <v>#N/A</v>
      </c>
      <c r="F142" s="8" t="e">
        <f>VLOOKUP($D142,廠商編輯設定自動代出!$A:$C,3,0)</f>
        <v>#N/A</v>
      </c>
      <c r="G142" s="51"/>
      <c r="H142" s="2"/>
      <c r="I142" s="2"/>
      <c r="J142" s="49"/>
      <c r="K142" s="48"/>
      <c r="L142" s="6">
        <f t="shared" si="9"/>
        <v>0</v>
      </c>
      <c r="N142" s="6">
        <f t="shared" si="10"/>
        <v>0</v>
      </c>
      <c r="O142" s="95">
        <f t="shared" si="11"/>
        <v>0</v>
      </c>
    </row>
    <row r="143" spans="1:15" ht="16.5" customHeight="1" x14ac:dyDescent="0.25">
      <c r="A143" s="4">
        <v>142</v>
      </c>
      <c r="E143" s="1" t="e">
        <f>VLOOKUP($D143,廠商編輯設定自動代出!$A:$C,2,0)</f>
        <v>#N/A</v>
      </c>
      <c r="F143" s="8" t="e">
        <f>VLOOKUP($D143,廠商編輯設定自動代出!$A:$C,3,0)</f>
        <v>#N/A</v>
      </c>
      <c r="G143" s="51"/>
      <c r="H143" s="2"/>
      <c r="I143" s="2"/>
      <c r="J143" s="49"/>
      <c r="K143" s="48"/>
      <c r="L143" s="6">
        <f t="shared" si="9"/>
        <v>0</v>
      </c>
      <c r="N143" s="6">
        <f t="shared" si="10"/>
        <v>0</v>
      </c>
      <c r="O143" s="95">
        <f t="shared" si="11"/>
        <v>0</v>
      </c>
    </row>
    <row r="144" spans="1:15" ht="16.5" customHeight="1" x14ac:dyDescent="0.25">
      <c r="A144" s="4">
        <v>143</v>
      </c>
      <c r="E144" s="1" t="e">
        <f>VLOOKUP($D144,廠商編輯設定自動代出!$A:$C,2,0)</f>
        <v>#N/A</v>
      </c>
      <c r="F144" s="8" t="e">
        <f>VLOOKUP($D144,廠商編輯設定自動代出!$A:$C,3,0)</f>
        <v>#N/A</v>
      </c>
      <c r="G144" s="51"/>
      <c r="H144" s="2"/>
      <c r="I144" s="2"/>
      <c r="J144" s="49"/>
      <c r="K144" s="48"/>
      <c r="L144" s="6">
        <f t="shared" si="9"/>
        <v>0</v>
      </c>
      <c r="N144" s="6">
        <f t="shared" si="10"/>
        <v>0</v>
      </c>
      <c r="O144" s="95">
        <f t="shared" si="11"/>
        <v>0</v>
      </c>
    </row>
    <row r="145" spans="1:15" ht="16.5" customHeight="1" x14ac:dyDescent="0.25">
      <c r="A145" s="4">
        <v>144</v>
      </c>
      <c r="E145" s="1" t="e">
        <f>VLOOKUP($D145,廠商編輯設定自動代出!$A:$C,2,0)</f>
        <v>#N/A</v>
      </c>
      <c r="F145" s="8" t="e">
        <f>VLOOKUP($D145,廠商編輯設定自動代出!$A:$C,3,0)</f>
        <v>#N/A</v>
      </c>
      <c r="G145" s="51"/>
      <c r="H145" s="2"/>
      <c r="I145" s="2"/>
      <c r="J145" s="49"/>
      <c r="K145" s="48"/>
      <c r="L145" s="6">
        <f t="shared" si="9"/>
        <v>0</v>
      </c>
      <c r="N145" s="6">
        <f t="shared" si="10"/>
        <v>0</v>
      </c>
      <c r="O145" s="95">
        <f t="shared" si="11"/>
        <v>0</v>
      </c>
    </row>
    <row r="146" spans="1:15" ht="16.5" customHeight="1" x14ac:dyDescent="0.25">
      <c r="A146" s="4">
        <v>145</v>
      </c>
      <c r="E146" s="1" t="e">
        <f>VLOOKUP($D146,廠商編輯設定自動代出!$A:$C,2,0)</f>
        <v>#N/A</v>
      </c>
      <c r="F146" s="8" t="e">
        <f>VLOOKUP($D146,廠商編輯設定自動代出!$A:$C,3,0)</f>
        <v>#N/A</v>
      </c>
      <c r="G146" s="51"/>
      <c r="H146" s="2"/>
      <c r="I146" s="2"/>
      <c r="J146" s="49"/>
      <c r="K146" s="48"/>
      <c r="L146" s="6">
        <f t="shared" si="9"/>
        <v>0</v>
      </c>
      <c r="N146" s="6">
        <f t="shared" si="10"/>
        <v>0</v>
      </c>
      <c r="O146" s="95">
        <f t="shared" si="11"/>
        <v>0</v>
      </c>
    </row>
    <row r="147" spans="1:15" ht="16.5" customHeight="1" x14ac:dyDescent="0.25">
      <c r="A147" s="4">
        <v>146</v>
      </c>
      <c r="E147" s="1" t="e">
        <f>VLOOKUP($D147,廠商編輯設定自動代出!$A:$C,2,0)</f>
        <v>#N/A</v>
      </c>
      <c r="F147" s="8" t="e">
        <f>VLOOKUP($D147,廠商編輯設定自動代出!$A:$C,3,0)</f>
        <v>#N/A</v>
      </c>
      <c r="G147" s="51"/>
      <c r="H147" s="2"/>
      <c r="I147" s="2"/>
      <c r="J147" s="49"/>
      <c r="K147" s="48"/>
      <c r="L147" s="6">
        <f t="shared" si="9"/>
        <v>0</v>
      </c>
      <c r="N147" s="6">
        <f t="shared" si="10"/>
        <v>0</v>
      </c>
      <c r="O147" s="95">
        <f t="shared" si="11"/>
        <v>0</v>
      </c>
    </row>
    <row r="148" spans="1:15" ht="16.5" customHeight="1" x14ac:dyDescent="0.25">
      <c r="A148" s="4">
        <v>147</v>
      </c>
      <c r="E148" s="1" t="e">
        <f>VLOOKUP($D148,廠商編輯設定自動代出!$A:$C,2,0)</f>
        <v>#N/A</v>
      </c>
      <c r="F148" s="8" t="e">
        <f>VLOOKUP($D148,廠商編輯設定自動代出!$A:$C,3,0)</f>
        <v>#N/A</v>
      </c>
      <c r="G148" s="51"/>
      <c r="H148" s="2"/>
      <c r="I148" s="2"/>
      <c r="J148" s="49"/>
      <c r="K148" s="48"/>
      <c r="L148" s="6">
        <f t="shared" si="9"/>
        <v>0</v>
      </c>
      <c r="N148" s="6">
        <f t="shared" si="10"/>
        <v>0</v>
      </c>
      <c r="O148" s="95">
        <f t="shared" si="11"/>
        <v>0</v>
      </c>
    </row>
    <row r="149" spans="1:15" ht="16.5" customHeight="1" x14ac:dyDescent="0.25">
      <c r="A149" s="4">
        <v>148</v>
      </c>
      <c r="E149" s="1" t="e">
        <f>VLOOKUP($D149,廠商編輯設定自動代出!$A:$C,2,0)</f>
        <v>#N/A</v>
      </c>
      <c r="F149" s="8" t="e">
        <f>VLOOKUP($D149,廠商編輯設定自動代出!$A:$C,3,0)</f>
        <v>#N/A</v>
      </c>
      <c r="G149" s="51"/>
      <c r="H149" s="2"/>
      <c r="I149" s="2"/>
      <c r="J149" s="49"/>
      <c r="K149" s="48"/>
      <c r="L149" s="6">
        <f t="shared" si="9"/>
        <v>0</v>
      </c>
      <c r="N149" s="6">
        <f t="shared" si="10"/>
        <v>0</v>
      </c>
      <c r="O149" s="95">
        <f t="shared" si="11"/>
        <v>0</v>
      </c>
    </row>
    <row r="150" spans="1:15" ht="16.5" customHeight="1" x14ac:dyDescent="0.25">
      <c r="A150" s="4">
        <v>149</v>
      </c>
      <c r="E150" s="1" t="e">
        <f>VLOOKUP($D150,廠商編輯設定自動代出!$A:$C,2,0)</f>
        <v>#N/A</v>
      </c>
      <c r="F150" s="8" t="e">
        <f>VLOOKUP($D150,廠商編輯設定自動代出!$A:$C,3,0)</f>
        <v>#N/A</v>
      </c>
      <c r="G150" s="51"/>
      <c r="H150" s="2"/>
      <c r="I150" s="2"/>
      <c r="J150" s="49"/>
      <c r="K150" s="48"/>
      <c r="L150" s="6">
        <f t="shared" si="9"/>
        <v>0</v>
      </c>
      <c r="N150" s="6">
        <f t="shared" si="10"/>
        <v>0</v>
      </c>
      <c r="O150" s="95">
        <f t="shared" si="11"/>
        <v>0</v>
      </c>
    </row>
    <row r="151" spans="1:15" ht="16.5" customHeight="1" x14ac:dyDescent="0.25">
      <c r="A151" s="4">
        <v>150</v>
      </c>
      <c r="E151" s="1" t="e">
        <f>VLOOKUP($D151,廠商編輯設定自動代出!$A:$C,2,0)</f>
        <v>#N/A</v>
      </c>
      <c r="F151" s="8" t="e">
        <f>VLOOKUP($D151,廠商編輯設定自動代出!$A:$C,3,0)</f>
        <v>#N/A</v>
      </c>
      <c r="G151" s="51"/>
      <c r="H151" s="2"/>
      <c r="I151" s="2"/>
      <c r="J151" s="49"/>
      <c r="K151" s="48"/>
      <c r="L151" s="6">
        <f t="shared" si="9"/>
        <v>0</v>
      </c>
      <c r="N151" s="6">
        <f t="shared" si="10"/>
        <v>0</v>
      </c>
      <c r="O151" s="95">
        <f t="shared" si="11"/>
        <v>0</v>
      </c>
    </row>
    <row r="152" spans="1:15" ht="16.5" customHeight="1" x14ac:dyDescent="0.25">
      <c r="A152" s="4">
        <v>151</v>
      </c>
      <c r="E152" s="1" t="e">
        <f>VLOOKUP($D152,廠商編輯設定自動代出!$A:$C,2,0)</f>
        <v>#N/A</v>
      </c>
      <c r="F152" s="8" t="e">
        <f>VLOOKUP($D152,廠商編輯設定自動代出!$A:$C,3,0)</f>
        <v>#N/A</v>
      </c>
      <c r="G152" s="51"/>
      <c r="H152" s="2"/>
      <c r="I152" s="2"/>
      <c r="J152" s="49"/>
      <c r="K152" s="48"/>
      <c r="L152" s="6">
        <f t="shared" si="9"/>
        <v>0</v>
      </c>
      <c r="N152" s="6">
        <f t="shared" si="10"/>
        <v>0</v>
      </c>
      <c r="O152" s="95">
        <f t="shared" si="11"/>
        <v>0</v>
      </c>
    </row>
    <row r="153" spans="1:15" ht="16.5" customHeight="1" x14ac:dyDescent="0.25">
      <c r="A153" s="4">
        <v>152</v>
      </c>
      <c r="E153" s="1" t="e">
        <f>VLOOKUP($D153,廠商編輯設定自動代出!$A:$C,2,0)</f>
        <v>#N/A</v>
      </c>
      <c r="F153" s="8" t="e">
        <f>VLOOKUP($D153,廠商編輯設定自動代出!$A:$C,3,0)</f>
        <v>#N/A</v>
      </c>
      <c r="G153" s="51"/>
      <c r="H153" s="2"/>
      <c r="I153" s="2"/>
      <c r="J153" s="49"/>
      <c r="K153" s="48"/>
      <c r="L153" s="6">
        <f t="shared" si="9"/>
        <v>0</v>
      </c>
      <c r="N153" s="6">
        <f t="shared" si="10"/>
        <v>0</v>
      </c>
      <c r="O153" s="95">
        <f t="shared" si="11"/>
        <v>0</v>
      </c>
    </row>
    <row r="154" spans="1:15" ht="16.5" customHeight="1" x14ac:dyDescent="0.25">
      <c r="A154" s="4">
        <v>153</v>
      </c>
      <c r="E154" s="1" t="e">
        <f>VLOOKUP($D154,廠商編輯設定自動代出!$A:$C,2,0)</f>
        <v>#N/A</v>
      </c>
      <c r="F154" s="8" t="e">
        <f>VLOOKUP($D154,廠商編輯設定自動代出!$A:$C,3,0)</f>
        <v>#N/A</v>
      </c>
      <c r="G154" s="51"/>
      <c r="H154" s="2"/>
      <c r="I154" s="2"/>
      <c r="J154" s="49"/>
      <c r="K154" s="48"/>
      <c r="L154" s="6">
        <f t="shared" si="9"/>
        <v>0</v>
      </c>
      <c r="N154" s="6">
        <f t="shared" si="10"/>
        <v>0</v>
      </c>
      <c r="O154" s="95">
        <f t="shared" si="11"/>
        <v>0</v>
      </c>
    </row>
    <row r="155" spans="1:15" ht="16.5" customHeight="1" x14ac:dyDescent="0.25">
      <c r="A155" s="4">
        <v>154</v>
      </c>
      <c r="E155" s="1" t="e">
        <f>VLOOKUP($D155,廠商編輯設定自動代出!$A:$C,2,0)</f>
        <v>#N/A</v>
      </c>
      <c r="F155" s="8" t="e">
        <f>VLOOKUP($D155,廠商編輯設定自動代出!$A:$C,3,0)</f>
        <v>#N/A</v>
      </c>
      <c r="G155" s="51"/>
      <c r="H155" s="2"/>
      <c r="I155" s="2"/>
      <c r="J155" s="49"/>
      <c r="K155" s="48"/>
      <c r="L155" s="6">
        <f t="shared" si="9"/>
        <v>0</v>
      </c>
      <c r="N155" s="6">
        <f t="shared" si="10"/>
        <v>0</v>
      </c>
      <c r="O155" s="95">
        <f t="shared" si="11"/>
        <v>0</v>
      </c>
    </row>
    <row r="156" spans="1:15" ht="16.5" customHeight="1" x14ac:dyDescent="0.25">
      <c r="A156" s="4">
        <v>155</v>
      </c>
      <c r="E156" s="1" t="e">
        <f>VLOOKUP($D156,廠商編輯設定自動代出!$A:$C,2,0)</f>
        <v>#N/A</v>
      </c>
      <c r="F156" s="8" t="e">
        <f>VLOOKUP($D156,廠商編輯設定自動代出!$A:$C,3,0)</f>
        <v>#N/A</v>
      </c>
      <c r="G156" s="51"/>
      <c r="H156" s="2"/>
      <c r="I156" s="2"/>
      <c r="J156" s="49"/>
      <c r="K156" s="48"/>
      <c r="L156" s="6">
        <f t="shared" si="9"/>
        <v>0</v>
      </c>
      <c r="N156" s="6">
        <f t="shared" si="10"/>
        <v>0</v>
      </c>
      <c r="O156" s="95">
        <f t="shared" si="11"/>
        <v>0</v>
      </c>
    </row>
    <row r="157" spans="1:15" ht="16.5" customHeight="1" x14ac:dyDescent="0.25">
      <c r="A157" s="4">
        <v>156</v>
      </c>
      <c r="E157" s="1" t="e">
        <f>VLOOKUP($D157,廠商編輯設定自動代出!$A:$C,2,0)</f>
        <v>#N/A</v>
      </c>
      <c r="F157" s="8" t="e">
        <f>VLOOKUP($D157,廠商編輯設定自動代出!$A:$C,3,0)</f>
        <v>#N/A</v>
      </c>
      <c r="G157" s="51"/>
      <c r="H157" s="2"/>
      <c r="I157" s="2"/>
      <c r="J157" s="49"/>
      <c r="K157" s="48"/>
      <c r="L157" s="6">
        <f t="shared" si="9"/>
        <v>0</v>
      </c>
      <c r="N157" s="6">
        <f t="shared" si="10"/>
        <v>0</v>
      </c>
      <c r="O157" s="95">
        <f t="shared" si="11"/>
        <v>0</v>
      </c>
    </row>
    <row r="158" spans="1:15" ht="16.5" customHeight="1" x14ac:dyDescent="0.25">
      <c r="A158" s="4">
        <v>157</v>
      </c>
      <c r="E158" s="1" t="e">
        <f>VLOOKUP($D158,廠商編輯設定自動代出!$A:$C,2,0)</f>
        <v>#N/A</v>
      </c>
      <c r="F158" s="8" t="e">
        <f>VLOOKUP($D158,廠商編輯設定自動代出!$A:$C,3,0)</f>
        <v>#N/A</v>
      </c>
      <c r="G158" s="51"/>
      <c r="H158" s="2"/>
      <c r="I158" s="2"/>
      <c r="J158" s="49"/>
      <c r="K158" s="48"/>
      <c r="L158" s="6">
        <f t="shared" si="9"/>
        <v>0</v>
      </c>
      <c r="N158" s="6">
        <f t="shared" si="10"/>
        <v>0</v>
      </c>
      <c r="O158" s="95">
        <f t="shared" si="11"/>
        <v>0</v>
      </c>
    </row>
    <row r="159" spans="1:15" ht="16.5" customHeight="1" x14ac:dyDescent="0.25">
      <c r="A159" s="4">
        <v>158</v>
      </c>
      <c r="E159" s="1" t="e">
        <f>VLOOKUP($D159,廠商編輯設定自動代出!$A:$C,2,0)</f>
        <v>#N/A</v>
      </c>
      <c r="F159" s="8" t="e">
        <f>VLOOKUP($D159,廠商編輯設定自動代出!$A:$C,3,0)</f>
        <v>#N/A</v>
      </c>
      <c r="G159" s="51"/>
      <c r="H159" s="2"/>
      <c r="I159" s="2"/>
      <c r="J159" s="49"/>
      <c r="K159" s="48"/>
      <c r="L159" s="6">
        <f t="shared" si="9"/>
        <v>0</v>
      </c>
      <c r="N159" s="6">
        <f t="shared" si="10"/>
        <v>0</v>
      </c>
      <c r="O159" s="95">
        <f t="shared" si="11"/>
        <v>0</v>
      </c>
    </row>
    <row r="160" spans="1:15" ht="16.5" customHeight="1" x14ac:dyDescent="0.25">
      <c r="A160" s="4">
        <v>159</v>
      </c>
      <c r="E160" s="1" t="e">
        <f>VLOOKUP($D160,廠商編輯設定自動代出!$A:$C,2,0)</f>
        <v>#N/A</v>
      </c>
      <c r="F160" s="8" t="e">
        <f>VLOOKUP($D160,廠商編輯設定自動代出!$A:$C,3,0)</f>
        <v>#N/A</v>
      </c>
      <c r="G160" s="51"/>
      <c r="H160" s="2"/>
      <c r="I160" s="2"/>
      <c r="J160" s="49"/>
      <c r="K160" s="48"/>
      <c r="L160" s="6">
        <f t="shared" si="9"/>
        <v>0</v>
      </c>
      <c r="N160" s="6">
        <f t="shared" si="10"/>
        <v>0</v>
      </c>
      <c r="O160" s="95">
        <f t="shared" si="11"/>
        <v>0</v>
      </c>
    </row>
    <row r="161" spans="1:15" ht="16.5" customHeight="1" x14ac:dyDescent="0.25">
      <c r="A161" s="4">
        <v>160</v>
      </c>
      <c r="E161" s="1" t="e">
        <f>VLOOKUP($D161,廠商編輯設定自動代出!$A:$C,2,0)</f>
        <v>#N/A</v>
      </c>
      <c r="F161" s="8" t="e">
        <f>VLOOKUP($D161,廠商編輯設定自動代出!$A:$C,3,0)</f>
        <v>#N/A</v>
      </c>
      <c r="G161" s="51"/>
      <c r="H161" s="2"/>
      <c r="I161" s="2"/>
      <c r="J161" s="49"/>
      <c r="K161" s="48"/>
      <c r="L161" s="6">
        <f t="shared" si="9"/>
        <v>0</v>
      </c>
      <c r="N161" s="6">
        <f t="shared" si="10"/>
        <v>0</v>
      </c>
      <c r="O161" s="95">
        <f t="shared" si="11"/>
        <v>0</v>
      </c>
    </row>
    <row r="162" spans="1:15" ht="16.5" customHeight="1" x14ac:dyDescent="0.25">
      <c r="A162" s="4">
        <v>161</v>
      </c>
      <c r="E162" s="1" t="e">
        <f>VLOOKUP($D162,廠商編輯設定自動代出!$A:$C,2,0)</f>
        <v>#N/A</v>
      </c>
      <c r="F162" s="8" t="e">
        <f>VLOOKUP($D162,廠商編輯設定自動代出!$A:$C,3,0)</f>
        <v>#N/A</v>
      </c>
      <c r="G162" s="51"/>
      <c r="H162" s="2"/>
      <c r="I162" s="2"/>
      <c r="J162" s="49"/>
      <c r="K162" s="48"/>
      <c r="L162" s="6">
        <f t="shared" si="9"/>
        <v>0</v>
      </c>
      <c r="N162" s="6">
        <f t="shared" si="10"/>
        <v>0</v>
      </c>
      <c r="O162" s="95">
        <f t="shared" si="11"/>
        <v>0</v>
      </c>
    </row>
    <row r="163" spans="1:15" ht="16.5" customHeight="1" x14ac:dyDescent="0.25">
      <c r="A163" s="4">
        <v>162</v>
      </c>
      <c r="E163" s="1" t="e">
        <f>VLOOKUP($D163,廠商編輯設定自動代出!$A:$C,2,0)</f>
        <v>#N/A</v>
      </c>
      <c r="F163" s="8" t="e">
        <f>VLOOKUP($D163,廠商編輯設定自動代出!$A:$C,3,0)</f>
        <v>#N/A</v>
      </c>
      <c r="G163" s="51"/>
      <c r="H163" s="2"/>
      <c r="I163" s="2"/>
      <c r="J163" s="49"/>
      <c r="K163" s="48"/>
      <c r="L163" s="6">
        <f t="shared" si="9"/>
        <v>0</v>
      </c>
      <c r="N163" s="6">
        <f t="shared" si="10"/>
        <v>0</v>
      </c>
      <c r="O163" s="95">
        <f t="shared" si="11"/>
        <v>0</v>
      </c>
    </row>
    <row r="164" spans="1:15" ht="16.5" customHeight="1" x14ac:dyDescent="0.25">
      <c r="A164" s="4">
        <v>163</v>
      </c>
      <c r="E164" s="1" t="e">
        <f>VLOOKUP($D164,廠商編輯設定自動代出!$A:$C,2,0)</f>
        <v>#N/A</v>
      </c>
      <c r="F164" s="8" t="e">
        <f>VLOOKUP($D164,廠商編輯設定自動代出!$A:$C,3,0)</f>
        <v>#N/A</v>
      </c>
      <c r="G164" s="51"/>
      <c r="H164" s="2"/>
      <c r="I164" s="2"/>
      <c r="J164" s="49"/>
      <c r="K164" s="48"/>
      <c r="L164" s="6">
        <f t="shared" si="9"/>
        <v>0</v>
      </c>
      <c r="N164" s="6">
        <f t="shared" si="10"/>
        <v>0</v>
      </c>
      <c r="O164" s="95">
        <f t="shared" si="11"/>
        <v>0</v>
      </c>
    </row>
    <row r="165" spans="1:15" ht="16.5" customHeight="1" x14ac:dyDescent="0.25">
      <c r="A165" s="4">
        <v>164</v>
      </c>
      <c r="E165" s="1" t="e">
        <f>VLOOKUP($D165,廠商編輯設定自動代出!$A:$C,2,0)</f>
        <v>#N/A</v>
      </c>
      <c r="F165" s="8" t="e">
        <f>VLOOKUP($D165,廠商編輯設定自動代出!$A:$C,3,0)</f>
        <v>#N/A</v>
      </c>
      <c r="G165" s="51"/>
      <c r="H165" s="2"/>
      <c r="I165" s="2"/>
      <c r="J165" s="49"/>
      <c r="K165" s="48"/>
      <c r="L165" s="6">
        <f t="shared" si="9"/>
        <v>0</v>
      </c>
      <c r="N165" s="6">
        <f t="shared" si="10"/>
        <v>0</v>
      </c>
      <c r="O165" s="95">
        <f t="shared" si="11"/>
        <v>0</v>
      </c>
    </row>
    <row r="166" spans="1:15" ht="16.5" customHeight="1" x14ac:dyDescent="0.25">
      <c r="A166" s="4">
        <v>165</v>
      </c>
      <c r="E166" s="1" t="e">
        <f>VLOOKUP($D166,廠商編輯設定自動代出!$A:$C,2,0)</f>
        <v>#N/A</v>
      </c>
      <c r="F166" s="8" t="e">
        <f>VLOOKUP($D166,廠商編輯設定自動代出!$A:$C,3,0)</f>
        <v>#N/A</v>
      </c>
      <c r="G166" s="51"/>
      <c r="H166" s="2"/>
      <c r="I166" s="2"/>
      <c r="J166" s="49"/>
      <c r="K166" s="48"/>
      <c r="L166" s="6">
        <f t="shared" si="9"/>
        <v>0</v>
      </c>
      <c r="N166" s="6">
        <f t="shared" si="10"/>
        <v>0</v>
      </c>
      <c r="O166" s="95">
        <f t="shared" si="11"/>
        <v>0</v>
      </c>
    </row>
    <row r="167" spans="1:15" ht="16.5" customHeight="1" x14ac:dyDescent="0.25">
      <c r="A167" s="4">
        <v>166</v>
      </c>
      <c r="E167" s="1" t="e">
        <f>VLOOKUP($D167,廠商編輯設定自動代出!$A:$C,2,0)</f>
        <v>#N/A</v>
      </c>
      <c r="F167" s="8" t="e">
        <f>VLOOKUP($D167,廠商編輯設定自動代出!$A:$C,3,0)</f>
        <v>#N/A</v>
      </c>
      <c r="G167" s="51"/>
      <c r="H167" s="2"/>
      <c r="I167" s="2"/>
      <c r="J167" s="49"/>
      <c r="K167" s="48"/>
      <c r="L167" s="6">
        <f t="shared" si="9"/>
        <v>0</v>
      </c>
      <c r="N167" s="6">
        <f t="shared" si="10"/>
        <v>0</v>
      </c>
      <c r="O167" s="95">
        <f t="shared" si="11"/>
        <v>0</v>
      </c>
    </row>
    <row r="168" spans="1:15" ht="16.5" customHeight="1" x14ac:dyDescent="0.25">
      <c r="A168" s="4">
        <v>167</v>
      </c>
      <c r="E168" s="1" t="e">
        <f>VLOOKUP($D168,廠商編輯設定自動代出!$A:$C,2,0)</f>
        <v>#N/A</v>
      </c>
      <c r="F168" s="8" t="e">
        <f>VLOOKUP($D168,廠商編輯設定自動代出!$A:$C,3,0)</f>
        <v>#N/A</v>
      </c>
      <c r="G168" s="51"/>
      <c r="H168" s="2"/>
      <c r="I168" s="2"/>
      <c r="J168" s="49"/>
      <c r="K168" s="48"/>
      <c r="L168" s="6">
        <f t="shared" si="9"/>
        <v>0</v>
      </c>
      <c r="N168" s="6">
        <f t="shared" si="10"/>
        <v>0</v>
      </c>
      <c r="O168" s="95">
        <f t="shared" si="11"/>
        <v>0</v>
      </c>
    </row>
    <row r="169" spans="1:15" ht="16.5" customHeight="1" x14ac:dyDescent="0.25">
      <c r="A169" s="4">
        <v>168</v>
      </c>
      <c r="E169" s="1" t="e">
        <f>VLOOKUP($D169,廠商編輯設定自動代出!$A:$C,2,0)</f>
        <v>#N/A</v>
      </c>
      <c r="F169" s="8" t="e">
        <f>VLOOKUP($D169,廠商編輯設定自動代出!$A:$C,3,0)</f>
        <v>#N/A</v>
      </c>
      <c r="G169" s="51"/>
      <c r="H169" s="2"/>
      <c r="I169" s="2"/>
      <c r="J169" s="49"/>
      <c r="K169" s="48"/>
      <c r="L169" s="6">
        <f t="shared" si="9"/>
        <v>0</v>
      </c>
      <c r="N169" s="6">
        <f t="shared" si="10"/>
        <v>0</v>
      </c>
      <c r="O169" s="95">
        <f t="shared" si="11"/>
        <v>0</v>
      </c>
    </row>
    <row r="170" spans="1:15" ht="16.5" customHeight="1" x14ac:dyDescent="0.25">
      <c r="A170" s="4">
        <v>169</v>
      </c>
      <c r="E170" s="1" t="e">
        <f>VLOOKUP($D170,廠商編輯設定自動代出!$A:$C,2,0)</f>
        <v>#N/A</v>
      </c>
      <c r="F170" s="8" t="e">
        <f>VLOOKUP($D170,廠商編輯設定自動代出!$A:$C,3,0)</f>
        <v>#N/A</v>
      </c>
      <c r="G170" s="51"/>
      <c r="H170" s="2"/>
      <c r="I170" s="2"/>
      <c r="J170" s="49"/>
      <c r="K170" s="48"/>
      <c r="L170" s="6">
        <f t="shared" si="9"/>
        <v>0</v>
      </c>
      <c r="N170" s="6">
        <f t="shared" si="10"/>
        <v>0</v>
      </c>
      <c r="O170" s="95">
        <f t="shared" si="11"/>
        <v>0</v>
      </c>
    </row>
    <row r="171" spans="1:15" ht="16.5" customHeight="1" x14ac:dyDescent="0.25">
      <c r="A171" s="4">
        <v>170</v>
      </c>
      <c r="E171" s="1" t="e">
        <f>VLOOKUP($D171,廠商編輯設定自動代出!$A:$C,2,0)</f>
        <v>#N/A</v>
      </c>
      <c r="F171" s="8" t="e">
        <f>VLOOKUP($D171,廠商編輯設定自動代出!$A:$C,3,0)</f>
        <v>#N/A</v>
      </c>
      <c r="G171" s="51"/>
      <c r="H171" s="2"/>
      <c r="I171" s="2"/>
      <c r="J171" s="49"/>
      <c r="K171" s="48"/>
      <c r="L171" s="6">
        <f t="shared" si="9"/>
        <v>0</v>
      </c>
      <c r="N171" s="6">
        <f t="shared" si="10"/>
        <v>0</v>
      </c>
      <c r="O171" s="95">
        <f t="shared" si="11"/>
        <v>0</v>
      </c>
    </row>
    <row r="172" spans="1:15" ht="16.5" customHeight="1" x14ac:dyDescent="0.25">
      <c r="A172" s="4">
        <v>171</v>
      </c>
      <c r="E172" s="1" t="e">
        <f>VLOOKUP($D172,廠商編輯設定自動代出!$A:$C,2,0)</f>
        <v>#N/A</v>
      </c>
      <c r="F172" s="8" t="e">
        <f>VLOOKUP($D172,廠商編輯設定自動代出!$A:$C,3,0)</f>
        <v>#N/A</v>
      </c>
      <c r="G172" s="51"/>
      <c r="H172" s="2"/>
      <c r="I172" s="2"/>
      <c r="J172" s="49"/>
      <c r="K172" s="48"/>
      <c r="L172" s="6">
        <f t="shared" si="9"/>
        <v>0</v>
      </c>
      <c r="N172" s="6">
        <f t="shared" si="10"/>
        <v>0</v>
      </c>
      <c r="O172" s="95">
        <f t="shared" si="11"/>
        <v>0</v>
      </c>
    </row>
    <row r="173" spans="1:15" ht="16.5" customHeight="1" x14ac:dyDescent="0.25">
      <c r="A173" s="4">
        <v>172</v>
      </c>
      <c r="E173" s="1" t="e">
        <f>VLOOKUP($D173,廠商編輯設定自動代出!$A:$C,2,0)</f>
        <v>#N/A</v>
      </c>
      <c r="F173" s="8" t="e">
        <f>VLOOKUP($D173,廠商編輯設定自動代出!$A:$C,3,0)</f>
        <v>#N/A</v>
      </c>
      <c r="G173" s="51"/>
      <c r="H173" s="2"/>
      <c r="I173" s="2"/>
      <c r="J173" s="49"/>
      <c r="K173" s="48"/>
      <c r="L173" s="6">
        <f t="shared" si="9"/>
        <v>0</v>
      </c>
      <c r="N173" s="6">
        <f t="shared" si="10"/>
        <v>0</v>
      </c>
      <c r="O173" s="95">
        <f t="shared" si="11"/>
        <v>0</v>
      </c>
    </row>
    <row r="174" spans="1:15" ht="16.5" customHeight="1" x14ac:dyDescent="0.25">
      <c r="A174" s="4">
        <v>173</v>
      </c>
      <c r="E174" s="1" t="e">
        <f>VLOOKUP($D174,廠商編輯設定自動代出!$A:$C,2,0)</f>
        <v>#N/A</v>
      </c>
      <c r="F174" s="8" t="e">
        <f>VLOOKUP($D174,廠商編輯設定自動代出!$A:$C,3,0)</f>
        <v>#N/A</v>
      </c>
      <c r="G174" s="51"/>
      <c r="H174" s="2"/>
      <c r="I174" s="2"/>
      <c r="J174" s="49"/>
      <c r="K174" s="48"/>
      <c r="L174" s="6">
        <f t="shared" si="9"/>
        <v>0</v>
      </c>
      <c r="N174" s="6">
        <f t="shared" si="10"/>
        <v>0</v>
      </c>
      <c r="O174" s="95">
        <f t="shared" si="11"/>
        <v>0</v>
      </c>
    </row>
    <row r="175" spans="1:15" ht="16.5" customHeight="1" x14ac:dyDescent="0.25">
      <c r="A175" s="4">
        <v>174</v>
      </c>
      <c r="E175" s="1" t="e">
        <f>VLOOKUP($D175,廠商編輯設定自動代出!$A:$C,2,0)</f>
        <v>#N/A</v>
      </c>
      <c r="F175" s="8" t="e">
        <f>VLOOKUP($D175,廠商編輯設定自動代出!$A:$C,3,0)</f>
        <v>#N/A</v>
      </c>
      <c r="G175" s="51"/>
      <c r="H175" s="2"/>
      <c r="I175" s="2"/>
      <c r="J175" s="49"/>
      <c r="K175" s="48"/>
      <c r="L175" s="6">
        <f t="shared" si="9"/>
        <v>0</v>
      </c>
      <c r="N175" s="6">
        <f t="shared" si="10"/>
        <v>0</v>
      </c>
      <c r="O175" s="95">
        <f t="shared" si="11"/>
        <v>0</v>
      </c>
    </row>
    <row r="176" spans="1:15" ht="16.5" customHeight="1" x14ac:dyDescent="0.25">
      <c r="A176" s="4">
        <v>175</v>
      </c>
      <c r="E176" s="1" t="e">
        <f>VLOOKUP($D176,廠商編輯設定自動代出!$A:$C,2,0)</f>
        <v>#N/A</v>
      </c>
      <c r="F176" s="8" t="e">
        <f>VLOOKUP($D176,廠商編輯設定自動代出!$A:$C,3,0)</f>
        <v>#N/A</v>
      </c>
      <c r="G176" s="51"/>
      <c r="H176" s="2"/>
      <c r="I176" s="2"/>
      <c r="J176" s="49"/>
      <c r="K176" s="48"/>
      <c r="L176" s="6">
        <f t="shared" si="9"/>
        <v>0</v>
      </c>
      <c r="N176" s="6">
        <f t="shared" si="10"/>
        <v>0</v>
      </c>
      <c r="O176" s="95">
        <f t="shared" si="11"/>
        <v>0</v>
      </c>
    </row>
    <row r="177" spans="1:15" ht="16.5" customHeight="1" x14ac:dyDescent="0.25">
      <c r="A177" s="4">
        <v>176</v>
      </c>
      <c r="E177" s="1" t="e">
        <f>VLOOKUP($D177,廠商編輯設定自動代出!$A:$C,2,0)</f>
        <v>#N/A</v>
      </c>
      <c r="F177" s="8" t="e">
        <f>VLOOKUP($D177,廠商編輯設定自動代出!$A:$C,3,0)</f>
        <v>#N/A</v>
      </c>
      <c r="G177" s="51"/>
      <c r="H177" s="2"/>
      <c r="I177" s="2"/>
      <c r="J177" s="49"/>
      <c r="K177" s="48"/>
      <c r="L177" s="6">
        <f t="shared" si="9"/>
        <v>0</v>
      </c>
      <c r="N177" s="6">
        <f t="shared" si="10"/>
        <v>0</v>
      </c>
      <c r="O177" s="95">
        <f t="shared" si="11"/>
        <v>0</v>
      </c>
    </row>
    <row r="178" spans="1:15" ht="16.5" customHeight="1" x14ac:dyDescent="0.25">
      <c r="A178" s="4">
        <v>177</v>
      </c>
      <c r="E178" s="1" t="e">
        <f>VLOOKUP($D178,廠商編輯設定自動代出!$A:$C,2,0)</f>
        <v>#N/A</v>
      </c>
      <c r="F178" s="8" t="e">
        <f>VLOOKUP($D178,廠商編輯設定自動代出!$A:$C,3,0)</f>
        <v>#N/A</v>
      </c>
      <c r="G178" s="51"/>
      <c r="H178" s="2"/>
      <c r="I178" s="2"/>
      <c r="J178" s="49"/>
      <c r="K178" s="48"/>
      <c r="L178" s="6">
        <f t="shared" si="9"/>
        <v>0</v>
      </c>
      <c r="N178" s="6">
        <f t="shared" si="10"/>
        <v>0</v>
      </c>
      <c r="O178" s="95">
        <f t="shared" si="11"/>
        <v>0</v>
      </c>
    </row>
    <row r="179" spans="1:15" ht="16.5" customHeight="1" x14ac:dyDescent="0.25">
      <c r="A179" s="4">
        <v>178</v>
      </c>
      <c r="E179" s="1" t="e">
        <f>VLOOKUP($D179,廠商編輯設定自動代出!$A:$C,2,0)</f>
        <v>#N/A</v>
      </c>
      <c r="F179" s="8" t="e">
        <f>VLOOKUP($D179,廠商編輯設定自動代出!$A:$C,3,0)</f>
        <v>#N/A</v>
      </c>
      <c r="G179" s="51"/>
      <c r="H179" s="2"/>
      <c r="I179" s="2"/>
      <c r="J179" s="49"/>
      <c r="K179" s="48"/>
      <c r="L179" s="6">
        <f t="shared" si="9"/>
        <v>0</v>
      </c>
      <c r="N179" s="6">
        <f t="shared" si="10"/>
        <v>0</v>
      </c>
      <c r="O179" s="95">
        <f t="shared" si="11"/>
        <v>0</v>
      </c>
    </row>
    <row r="180" spans="1:15" ht="16.5" customHeight="1" x14ac:dyDescent="0.25">
      <c r="A180" s="4">
        <v>179</v>
      </c>
      <c r="E180" s="1" t="e">
        <f>VLOOKUP($D180,廠商編輯設定自動代出!$A:$C,2,0)</f>
        <v>#N/A</v>
      </c>
      <c r="F180" s="8" t="e">
        <f>VLOOKUP($D180,廠商編輯設定自動代出!$A:$C,3,0)</f>
        <v>#N/A</v>
      </c>
      <c r="G180" s="51"/>
      <c r="H180" s="2"/>
      <c r="I180" s="2"/>
      <c r="J180" s="49"/>
      <c r="K180" s="48"/>
      <c r="L180" s="6">
        <f t="shared" si="9"/>
        <v>0</v>
      </c>
      <c r="N180" s="6">
        <f t="shared" si="10"/>
        <v>0</v>
      </c>
      <c r="O180" s="95">
        <f t="shared" si="11"/>
        <v>0</v>
      </c>
    </row>
    <row r="181" spans="1:15" ht="16.5" customHeight="1" x14ac:dyDescent="0.25">
      <c r="A181" s="4">
        <v>180</v>
      </c>
      <c r="E181" s="1" t="e">
        <f>VLOOKUP($D181,廠商編輯設定自動代出!$A:$C,2,0)</f>
        <v>#N/A</v>
      </c>
      <c r="F181" s="8" t="e">
        <f>VLOOKUP($D181,廠商編輯設定自動代出!$A:$C,3,0)</f>
        <v>#N/A</v>
      </c>
      <c r="G181" s="51"/>
      <c r="H181" s="2"/>
      <c r="I181" s="2"/>
      <c r="J181" s="49"/>
      <c r="K181" s="48"/>
      <c r="L181" s="6">
        <f t="shared" si="9"/>
        <v>0</v>
      </c>
      <c r="N181" s="6">
        <f t="shared" si="10"/>
        <v>0</v>
      </c>
      <c r="O181" s="95">
        <f t="shared" si="11"/>
        <v>0</v>
      </c>
    </row>
    <row r="182" spans="1:15" ht="16.5" customHeight="1" x14ac:dyDescent="0.25">
      <c r="A182" s="4">
        <v>181</v>
      </c>
      <c r="E182" s="1" t="e">
        <f>VLOOKUP($D182,廠商編輯設定自動代出!$A:$C,2,0)</f>
        <v>#N/A</v>
      </c>
      <c r="F182" s="8" t="e">
        <f>VLOOKUP($D182,廠商編輯設定自動代出!$A:$C,3,0)</f>
        <v>#N/A</v>
      </c>
      <c r="G182" s="51"/>
      <c r="H182" s="2"/>
      <c r="I182" s="2"/>
      <c r="J182" s="49"/>
      <c r="K182" s="48"/>
      <c r="L182" s="6">
        <f t="shared" si="9"/>
        <v>0</v>
      </c>
      <c r="N182" s="6">
        <f t="shared" si="10"/>
        <v>0</v>
      </c>
      <c r="O182" s="95">
        <f t="shared" si="11"/>
        <v>0</v>
      </c>
    </row>
    <row r="183" spans="1:15" ht="16.5" customHeight="1" x14ac:dyDescent="0.25">
      <c r="A183" s="4">
        <v>182</v>
      </c>
      <c r="E183" s="1" t="e">
        <f>VLOOKUP($D183,廠商編輯設定自動代出!$A:$C,2,0)</f>
        <v>#N/A</v>
      </c>
      <c r="F183" s="8" t="e">
        <f>VLOOKUP($D183,廠商編輯設定自動代出!$A:$C,3,0)</f>
        <v>#N/A</v>
      </c>
      <c r="G183" s="51"/>
      <c r="H183" s="2"/>
      <c r="I183" s="2"/>
      <c r="J183" s="49"/>
      <c r="K183" s="48"/>
      <c r="L183" s="6">
        <f t="shared" si="9"/>
        <v>0</v>
      </c>
      <c r="N183" s="6">
        <f t="shared" si="10"/>
        <v>0</v>
      </c>
      <c r="O183" s="95">
        <f t="shared" si="11"/>
        <v>0</v>
      </c>
    </row>
    <row r="184" spans="1:15" ht="16.5" customHeight="1" x14ac:dyDescent="0.25">
      <c r="A184" s="4">
        <v>183</v>
      </c>
      <c r="E184" s="1" t="e">
        <f>VLOOKUP($D184,廠商編輯設定自動代出!$A:$C,2,0)</f>
        <v>#N/A</v>
      </c>
      <c r="F184" s="8" t="e">
        <f>VLOOKUP($D184,廠商編輯設定自動代出!$A:$C,3,0)</f>
        <v>#N/A</v>
      </c>
      <c r="G184" s="51"/>
      <c r="H184" s="2"/>
      <c r="I184" s="2"/>
      <c r="J184" s="49"/>
      <c r="K184" s="48"/>
      <c r="L184" s="6">
        <f t="shared" si="9"/>
        <v>0</v>
      </c>
      <c r="N184" s="6">
        <f t="shared" si="10"/>
        <v>0</v>
      </c>
      <c r="O184" s="95">
        <f t="shared" si="11"/>
        <v>0</v>
      </c>
    </row>
    <row r="185" spans="1:15" ht="16.5" customHeight="1" x14ac:dyDescent="0.25">
      <c r="A185" s="4">
        <v>184</v>
      </c>
      <c r="E185" s="1" t="e">
        <f>VLOOKUP($D185,廠商編輯設定自動代出!$A:$C,2,0)</f>
        <v>#N/A</v>
      </c>
      <c r="F185" s="8" t="e">
        <f>VLOOKUP($D185,廠商編輯設定自動代出!$A:$C,3,0)</f>
        <v>#N/A</v>
      </c>
      <c r="G185" s="51"/>
      <c r="H185" s="2"/>
      <c r="I185" s="2"/>
      <c r="J185" s="49"/>
      <c r="K185" s="48"/>
      <c r="L185" s="6">
        <f t="shared" si="9"/>
        <v>0</v>
      </c>
      <c r="N185" s="6">
        <f t="shared" si="10"/>
        <v>0</v>
      </c>
      <c r="O185" s="95">
        <f t="shared" si="11"/>
        <v>0</v>
      </c>
    </row>
    <row r="186" spans="1:15" ht="16.5" customHeight="1" x14ac:dyDescent="0.25">
      <c r="A186" s="4">
        <v>185</v>
      </c>
      <c r="E186" s="1" t="e">
        <f>VLOOKUP($D186,廠商編輯設定自動代出!$A:$C,2,0)</f>
        <v>#N/A</v>
      </c>
      <c r="F186" s="8" t="e">
        <f>VLOOKUP($D186,廠商編輯設定自動代出!$A:$C,3,0)</f>
        <v>#N/A</v>
      </c>
      <c r="G186" s="51"/>
      <c r="H186" s="2"/>
      <c r="I186" s="2"/>
      <c r="J186" s="49"/>
      <c r="K186" s="48"/>
      <c r="L186" s="6">
        <f t="shared" si="9"/>
        <v>0</v>
      </c>
      <c r="N186" s="6">
        <f t="shared" si="10"/>
        <v>0</v>
      </c>
      <c r="O186" s="95">
        <f t="shared" si="11"/>
        <v>0</v>
      </c>
    </row>
    <row r="187" spans="1:15" ht="16.5" customHeight="1" x14ac:dyDescent="0.25">
      <c r="A187" s="4">
        <v>186</v>
      </c>
      <c r="E187" s="1" t="e">
        <f>VLOOKUP($D187,廠商編輯設定自動代出!$A:$C,2,0)</f>
        <v>#N/A</v>
      </c>
      <c r="F187" s="8" t="e">
        <f>VLOOKUP($D187,廠商編輯設定自動代出!$A:$C,3,0)</f>
        <v>#N/A</v>
      </c>
      <c r="G187" s="51"/>
      <c r="H187" s="2"/>
      <c r="I187" s="2"/>
      <c r="J187" s="49"/>
      <c r="K187" s="48"/>
      <c r="L187" s="6">
        <f t="shared" si="9"/>
        <v>0</v>
      </c>
      <c r="N187" s="6">
        <f t="shared" si="10"/>
        <v>0</v>
      </c>
      <c r="O187" s="95">
        <f t="shared" si="11"/>
        <v>0</v>
      </c>
    </row>
    <row r="188" spans="1:15" ht="16.5" customHeight="1" x14ac:dyDescent="0.25">
      <c r="A188" s="4">
        <v>187</v>
      </c>
      <c r="E188" s="1" t="e">
        <f>VLOOKUP($D188,廠商編輯設定自動代出!$A:$C,2,0)</f>
        <v>#N/A</v>
      </c>
      <c r="F188" s="8" t="e">
        <f>VLOOKUP($D188,廠商編輯設定自動代出!$A:$C,3,0)</f>
        <v>#N/A</v>
      </c>
      <c r="G188" s="51"/>
      <c r="H188" s="2"/>
      <c r="I188" s="2"/>
      <c r="J188" s="49"/>
      <c r="K188" s="48"/>
      <c r="L188" s="6">
        <f t="shared" si="9"/>
        <v>0</v>
      </c>
      <c r="N188" s="6">
        <f t="shared" si="10"/>
        <v>0</v>
      </c>
      <c r="O188" s="95">
        <f t="shared" si="11"/>
        <v>0</v>
      </c>
    </row>
    <row r="189" spans="1:15" ht="16.5" customHeight="1" x14ac:dyDescent="0.25">
      <c r="A189" s="4">
        <v>188</v>
      </c>
      <c r="E189" s="1" t="e">
        <f>VLOOKUP($D189,廠商編輯設定自動代出!$A:$C,2,0)</f>
        <v>#N/A</v>
      </c>
      <c r="F189" s="8" t="e">
        <f>VLOOKUP($D189,廠商編輯設定自動代出!$A:$C,3,0)</f>
        <v>#N/A</v>
      </c>
      <c r="G189" s="51"/>
      <c r="H189" s="2"/>
      <c r="I189" s="2"/>
      <c r="J189" s="49"/>
      <c r="K189" s="48"/>
      <c r="L189" s="6">
        <f t="shared" si="9"/>
        <v>0</v>
      </c>
      <c r="N189" s="6">
        <f t="shared" si="10"/>
        <v>0</v>
      </c>
      <c r="O189" s="95">
        <f t="shared" si="11"/>
        <v>0</v>
      </c>
    </row>
    <row r="190" spans="1:15" ht="16.5" customHeight="1" x14ac:dyDescent="0.25">
      <c r="A190" s="4">
        <v>189</v>
      </c>
      <c r="E190" s="1" t="e">
        <f>VLOOKUP($D190,廠商編輯設定自動代出!$A:$C,2,0)</f>
        <v>#N/A</v>
      </c>
      <c r="F190" s="8" t="e">
        <f>VLOOKUP($D190,廠商編輯設定自動代出!$A:$C,3,0)</f>
        <v>#N/A</v>
      </c>
      <c r="G190" s="51"/>
      <c r="H190" s="2"/>
      <c r="I190" s="2"/>
      <c r="J190" s="49"/>
      <c r="K190" s="48"/>
      <c r="L190" s="6">
        <f t="shared" si="9"/>
        <v>0</v>
      </c>
      <c r="N190" s="6">
        <f t="shared" si="10"/>
        <v>0</v>
      </c>
      <c r="O190" s="95">
        <f t="shared" si="11"/>
        <v>0</v>
      </c>
    </row>
    <row r="191" spans="1:15" ht="16.5" customHeight="1" x14ac:dyDescent="0.25">
      <c r="A191" s="4">
        <v>190</v>
      </c>
      <c r="E191" s="1" t="e">
        <f>VLOOKUP($D191,廠商編輯設定自動代出!$A:$C,2,0)</f>
        <v>#N/A</v>
      </c>
      <c r="F191" s="8" t="e">
        <f>VLOOKUP($D191,廠商編輯設定自動代出!$A:$C,3,0)</f>
        <v>#N/A</v>
      </c>
      <c r="G191" s="51"/>
      <c r="H191" s="2"/>
      <c r="I191" s="2"/>
      <c r="J191" s="49"/>
      <c r="K191" s="48"/>
      <c r="L191" s="6">
        <f t="shared" si="9"/>
        <v>0</v>
      </c>
      <c r="N191" s="6">
        <f t="shared" si="10"/>
        <v>0</v>
      </c>
      <c r="O191" s="95">
        <f t="shared" si="11"/>
        <v>0</v>
      </c>
    </row>
    <row r="192" spans="1:15" ht="16.5" customHeight="1" x14ac:dyDescent="0.25">
      <c r="A192" s="4">
        <v>191</v>
      </c>
      <c r="E192" s="1" t="e">
        <f>VLOOKUP($D192,廠商編輯設定自動代出!$A:$C,2,0)</f>
        <v>#N/A</v>
      </c>
      <c r="F192" s="8" t="e">
        <f>VLOOKUP($D192,廠商編輯設定自動代出!$A:$C,3,0)</f>
        <v>#N/A</v>
      </c>
      <c r="G192" s="51"/>
      <c r="H192" s="2"/>
      <c r="I192" s="2"/>
      <c r="J192" s="49"/>
      <c r="K192" s="48"/>
      <c r="L192" s="6">
        <f t="shared" si="9"/>
        <v>0</v>
      </c>
      <c r="N192" s="6">
        <f t="shared" si="10"/>
        <v>0</v>
      </c>
      <c r="O192" s="95">
        <f t="shared" si="11"/>
        <v>0</v>
      </c>
    </row>
    <row r="193" spans="1:21" ht="16.5" customHeight="1" x14ac:dyDescent="0.25">
      <c r="A193" s="4">
        <v>192</v>
      </c>
      <c r="E193" s="1" t="e">
        <f>VLOOKUP($D193,廠商編輯設定自動代出!$A:$C,2,0)</f>
        <v>#N/A</v>
      </c>
      <c r="F193" s="8" t="e">
        <f>VLOOKUP($D193,廠商編輯設定自動代出!$A:$C,3,0)</f>
        <v>#N/A</v>
      </c>
      <c r="G193" s="51"/>
      <c r="H193" s="2"/>
      <c r="I193" s="2"/>
      <c r="J193" s="49"/>
      <c r="K193" s="48"/>
      <c r="L193" s="6">
        <f t="shared" si="9"/>
        <v>0</v>
      </c>
      <c r="N193" s="6">
        <f t="shared" si="10"/>
        <v>0</v>
      </c>
      <c r="O193" s="95">
        <f t="shared" si="11"/>
        <v>0</v>
      </c>
    </row>
    <row r="194" spans="1:21" ht="16.5" customHeight="1" x14ac:dyDescent="0.25">
      <c r="A194" s="4">
        <v>193</v>
      </c>
      <c r="E194" s="1" t="e">
        <f>VLOOKUP($D194,廠商編輯設定自動代出!$A:$C,2,0)</f>
        <v>#N/A</v>
      </c>
      <c r="F194" s="8" t="e">
        <f>VLOOKUP($D194,廠商編輯設定自動代出!$A:$C,3,0)</f>
        <v>#N/A</v>
      </c>
      <c r="G194" s="51"/>
      <c r="H194" s="2"/>
      <c r="I194" s="2"/>
      <c r="J194" s="49"/>
      <c r="K194" s="48"/>
      <c r="L194" s="6">
        <f t="shared" si="9"/>
        <v>0</v>
      </c>
      <c r="N194" s="6">
        <f t="shared" si="10"/>
        <v>0</v>
      </c>
      <c r="O194" s="95">
        <f t="shared" si="11"/>
        <v>0</v>
      </c>
    </row>
    <row r="195" spans="1:21" ht="16.5" customHeight="1" x14ac:dyDescent="0.25">
      <c r="A195" s="4">
        <v>194</v>
      </c>
      <c r="E195" s="1" t="e">
        <f>VLOOKUP($D195,廠商編輯設定自動代出!$A:$C,2,0)</f>
        <v>#N/A</v>
      </c>
      <c r="F195" s="8" t="e">
        <f>VLOOKUP($D195,廠商編輯設定自動代出!$A:$C,3,0)</f>
        <v>#N/A</v>
      </c>
      <c r="G195" s="51"/>
      <c r="H195" s="2"/>
      <c r="I195" s="2"/>
      <c r="J195" s="49"/>
      <c r="K195" s="48"/>
      <c r="L195" s="6">
        <f t="shared" ref="L195:L208" si="12">J195*K195</f>
        <v>0</v>
      </c>
      <c r="N195" s="6">
        <f t="shared" ref="N195:N208" si="13">M195/1.05</f>
        <v>0</v>
      </c>
      <c r="O195" s="95">
        <f t="shared" ref="O195:O208" si="14">N195*0.05</f>
        <v>0</v>
      </c>
    </row>
    <row r="196" spans="1:21" ht="16.5" customHeight="1" x14ac:dyDescent="0.25">
      <c r="A196" s="4">
        <v>195</v>
      </c>
      <c r="E196" s="1" t="e">
        <f>VLOOKUP($D196,廠商編輯設定自動代出!$A:$C,2,0)</f>
        <v>#N/A</v>
      </c>
      <c r="F196" s="8" t="e">
        <f>VLOOKUP($D196,廠商編輯設定自動代出!$A:$C,3,0)</f>
        <v>#N/A</v>
      </c>
      <c r="G196" s="51"/>
      <c r="H196" s="2"/>
      <c r="I196" s="2"/>
      <c r="J196" s="49"/>
      <c r="K196" s="48"/>
      <c r="L196" s="6">
        <f t="shared" si="12"/>
        <v>0</v>
      </c>
      <c r="N196" s="6">
        <f t="shared" si="13"/>
        <v>0</v>
      </c>
      <c r="O196" s="95">
        <f t="shared" si="14"/>
        <v>0</v>
      </c>
    </row>
    <row r="197" spans="1:21" ht="16.5" customHeight="1" x14ac:dyDescent="0.25">
      <c r="A197" s="4">
        <v>196</v>
      </c>
      <c r="E197" s="1" t="e">
        <f>VLOOKUP($D197,廠商編輯設定自動代出!$A:$C,2,0)</f>
        <v>#N/A</v>
      </c>
      <c r="F197" s="8" t="e">
        <f>VLOOKUP($D197,廠商編輯設定自動代出!$A:$C,3,0)</f>
        <v>#N/A</v>
      </c>
      <c r="G197" s="51"/>
      <c r="H197" s="2"/>
      <c r="I197" s="2"/>
      <c r="J197" s="49"/>
      <c r="K197" s="48"/>
      <c r="L197" s="6">
        <f t="shared" si="12"/>
        <v>0</v>
      </c>
      <c r="N197" s="6">
        <f t="shared" si="13"/>
        <v>0</v>
      </c>
      <c r="O197" s="95">
        <f t="shared" si="14"/>
        <v>0</v>
      </c>
    </row>
    <row r="198" spans="1:21" ht="16.5" customHeight="1" x14ac:dyDescent="0.25">
      <c r="A198" s="4">
        <v>197</v>
      </c>
      <c r="E198" s="1" t="e">
        <f>VLOOKUP($D198,廠商編輯設定自動代出!$A:$C,2,0)</f>
        <v>#N/A</v>
      </c>
      <c r="F198" s="8" t="e">
        <f>VLOOKUP($D198,廠商編輯設定自動代出!$A:$C,3,0)</f>
        <v>#N/A</v>
      </c>
      <c r="G198" s="51"/>
      <c r="H198" s="2"/>
      <c r="I198" s="2"/>
      <c r="J198" s="49"/>
      <c r="K198" s="48"/>
      <c r="L198" s="6">
        <f t="shared" si="12"/>
        <v>0</v>
      </c>
      <c r="N198" s="6">
        <f t="shared" si="13"/>
        <v>0</v>
      </c>
      <c r="O198" s="95">
        <f t="shared" si="14"/>
        <v>0</v>
      </c>
    </row>
    <row r="199" spans="1:21" ht="16.5" customHeight="1" x14ac:dyDescent="0.25">
      <c r="A199" s="4">
        <v>198</v>
      </c>
      <c r="E199" s="1" t="e">
        <f>VLOOKUP($D199,廠商編輯設定自動代出!$A:$C,2,0)</f>
        <v>#N/A</v>
      </c>
      <c r="F199" s="8" t="e">
        <f>VLOOKUP($D199,廠商編輯設定自動代出!$A:$C,3,0)</f>
        <v>#N/A</v>
      </c>
      <c r="G199" s="51"/>
      <c r="H199" s="2"/>
      <c r="I199" s="2"/>
      <c r="J199" s="49"/>
      <c r="K199" s="48"/>
      <c r="L199" s="6">
        <f t="shared" si="12"/>
        <v>0</v>
      </c>
      <c r="N199" s="6">
        <f t="shared" si="13"/>
        <v>0</v>
      </c>
      <c r="O199" s="95">
        <f t="shared" si="14"/>
        <v>0</v>
      </c>
    </row>
    <row r="200" spans="1:21" ht="16.5" customHeight="1" x14ac:dyDescent="0.25">
      <c r="A200" s="4">
        <v>199</v>
      </c>
      <c r="E200" s="1" t="e">
        <f>VLOOKUP($D200,廠商編輯設定自動代出!$A:$C,2,0)</f>
        <v>#N/A</v>
      </c>
      <c r="F200" s="8" t="e">
        <f>VLOOKUP($D200,廠商編輯設定自動代出!$A:$C,3,0)</f>
        <v>#N/A</v>
      </c>
      <c r="G200" s="51"/>
      <c r="H200" s="2"/>
      <c r="I200" s="2"/>
      <c r="J200" s="49"/>
      <c r="K200" s="48"/>
      <c r="L200" s="6">
        <f t="shared" si="12"/>
        <v>0</v>
      </c>
      <c r="N200" s="6">
        <f t="shared" ref="N200:N207" si="15">M200/1.05</f>
        <v>0</v>
      </c>
      <c r="O200" s="95">
        <f t="shared" ref="O200:O207" si="16">N200*0.05</f>
        <v>0</v>
      </c>
    </row>
    <row r="201" spans="1:21" ht="16.5" customHeight="1" x14ac:dyDescent="0.25">
      <c r="A201" s="4">
        <v>200</v>
      </c>
      <c r="E201" s="1" t="e">
        <f>VLOOKUP($D201,廠商編輯設定自動代出!$A:$C,2,0)</f>
        <v>#N/A</v>
      </c>
      <c r="F201" s="8" t="e">
        <f>VLOOKUP($D201,廠商編輯設定自動代出!$A:$C,3,0)</f>
        <v>#N/A</v>
      </c>
      <c r="G201" s="51"/>
      <c r="H201" s="2"/>
      <c r="I201" s="2"/>
      <c r="J201" s="49"/>
      <c r="K201" s="48"/>
      <c r="L201" s="6">
        <f t="shared" si="12"/>
        <v>0</v>
      </c>
      <c r="N201" s="6">
        <f t="shared" si="15"/>
        <v>0</v>
      </c>
      <c r="O201" s="95">
        <f t="shared" si="16"/>
        <v>0</v>
      </c>
    </row>
    <row r="202" spans="1:21" ht="16.5" customHeight="1" x14ac:dyDescent="0.25">
      <c r="A202" s="4">
        <v>201</v>
      </c>
      <c r="E202" s="1" t="e">
        <f>VLOOKUP($D202,廠商編輯設定自動代出!$A:$C,2,0)</f>
        <v>#N/A</v>
      </c>
      <c r="F202" s="8" t="e">
        <f>VLOOKUP($D202,廠商編輯設定自動代出!$A:$C,3,0)</f>
        <v>#N/A</v>
      </c>
      <c r="G202" s="51"/>
      <c r="H202" s="2"/>
      <c r="I202" s="2"/>
      <c r="J202" s="49"/>
      <c r="K202" s="48"/>
      <c r="L202" s="6">
        <f t="shared" si="12"/>
        <v>0</v>
      </c>
      <c r="N202" s="6">
        <f t="shared" si="15"/>
        <v>0</v>
      </c>
      <c r="O202" s="95">
        <f t="shared" si="16"/>
        <v>0</v>
      </c>
    </row>
    <row r="203" spans="1:21" x14ac:dyDescent="0.25">
      <c r="A203" s="4">
        <v>202</v>
      </c>
      <c r="E203" s="1" t="e">
        <f>VLOOKUP($D203,廠商編輯設定自動代出!$A:$C,2,0)</f>
        <v>#N/A</v>
      </c>
      <c r="F203" s="8" t="e">
        <f>VLOOKUP($D203,廠商編輯設定自動代出!$A:$C,3,0)</f>
        <v>#N/A</v>
      </c>
      <c r="G203" s="51"/>
      <c r="H203" s="2"/>
      <c r="I203" s="2"/>
      <c r="J203" s="49"/>
      <c r="K203" s="48"/>
      <c r="L203" s="6">
        <f t="shared" si="12"/>
        <v>0</v>
      </c>
      <c r="N203" s="6">
        <f t="shared" si="15"/>
        <v>0</v>
      </c>
      <c r="O203" s="95">
        <f t="shared" si="16"/>
        <v>0</v>
      </c>
    </row>
    <row r="204" spans="1:21" x14ac:dyDescent="0.25">
      <c r="A204" s="4">
        <v>203</v>
      </c>
      <c r="E204" s="1" t="e">
        <f>VLOOKUP($D204,廠商編輯設定自動代出!$A:$C,2,0)</f>
        <v>#N/A</v>
      </c>
      <c r="F204" s="8" t="e">
        <f>VLOOKUP($D204,廠商編輯設定自動代出!$A:$C,3,0)</f>
        <v>#N/A</v>
      </c>
      <c r="G204" s="51"/>
      <c r="H204" s="2"/>
      <c r="I204" s="2"/>
      <c r="J204" s="49"/>
      <c r="K204" s="48"/>
      <c r="L204" s="6">
        <f t="shared" si="12"/>
        <v>0</v>
      </c>
      <c r="N204" s="6">
        <f t="shared" si="15"/>
        <v>0</v>
      </c>
      <c r="O204" s="95">
        <f t="shared" si="16"/>
        <v>0</v>
      </c>
    </row>
    <row r="205" spans="1:21" x14ac:dyDescent="0.25">
      <c r="A205" s="4">
        <v>204</v>
      </c>
      <c r="E205" s="1" t="e">
        <f>VLOOKUP($D205,廠商編輯設定自動代出!$A:$C,2,0)</f>
        <v>#N/A</v>
      </c>
      <c r="F205" s="8" t="e">
        <f>VLOOKUP($D205,廠商編輯設定自動代出!$A:$C,3,0)</f>
        <v>#N/A</v>
      </c>
      <c r="G205" s="51"/>
      <c r="H205" s="2"/>
      <c r="I205" s="2"/>
      <c r="J205" s="49"/>
      <c r="K205" s="48"/>
      <c r="L205" s="6">
        <f t="shared" si="12"/>
        <v>0</v>
      </c>
      <c r="N205" s="6">
        <f t="shared" si="15"/>
        <v>0</v>
      </c>
      <c r="O205" s="95">
        <f t="shared" si="16"/>
        <v>0</v>
      </c>
    </row>
    <row r="206" spans="1:21" x14ac:dyDescent="0.25">
      <c r="A206" s="4">
        <v>205</v>
      </c>
      <c r="E206" s="1" t="e">
        <f>VLOOKUP($D206,廠商編輯設定自動代出!$A:$C,2,0)</f>
        <v>#N/A</v>
      </c>
      <c r="F206" s="8" t="e">
        <f>VLOOKUP($D206,廠商編輯設定自動代出!$A:$C,3,0)</f>
        <v>#N/A</v>
      </c>
      <c r="G206" s="51"/>
      <c r="H206" s="2"/>
      <c r="I206" s="2"/>
      <c r="J206" s="49"/>
      <c r="K206" s="48"/>
      <c r="L206" s="6">
        <f t="shared" si="12"/>
        <v>0</v>
      </c>
      <c r="N206" s="6">
        <f t="shared" si="15"/>
        <v>0</v>
      </c>
      <c r="O206" s="95">
        <f t="shared" si="16"/>
        <v>0</v>
      </c>
    </row>
    <row r="207" spans="1:21" x14ac:dyDescent="0.25">
      <c r="A207" s="4">
        <v>206</v>
      </c>
      <c r="E207" s="1" t="e">
        <f>VLOOKUP($D207,廠商編輯設定自動代出!$A:$C,2,0)</f>
        <v>#N/A</v>
      </c>
      <c r="F207" s="8" t="e">
        <f>VLOOKUP($D207,廠商編輯設定自動代出!$A:$C,3,0)</f>
        <v>#N/A</v>
      </c>
      <c r="G207" s="51"/>
      <c r="H207" s="2"/>
      <c r="I207" s="2"/>
      <c r="J207" s="49"/>
      <c r="K207" s="48"/>
      <c r="L207" s="6">
        <f t="shared" si="12"/>
        <v>0</v>
      </c>
      <c r="N207" s="6">
        <f t="shared" si="15"/>
        <v>0</v>
      </c>
      <c r="O207" s="95">
        <f t="shared" si="16"/>
        <v>0</v>
      </c>
      <c r="U207" s="1"/>
    </row>
    <row r="208" spans="1:21" x14ac:dyDescent="0.25">
      <c r="A208" s="4">
        <v>207</v>
      </c>
      <c r="E208" s="1" t="e">
        <f>VLOOKUP($D208,廠商編輯設定自動代出!$A:$C,2,0)</f>
        <v>#N/A</v>
      </c>
      <c r="F208" s="8" t="e">
        <f>VLOOKUP($D208,廠商編輯設定自動代出!$A:$C,3,0)</f>
        <v>#N/A</v>
      </c>
      <c r="G208" s="51"/>
      <c r="H208" s="2"/>
      <c r="I208" s="2"/>
      <c r="J208" s="49"/>
      <c r="K208" s="48"/>
      <c r="L208" s="6">
        <f t="shared" si="12"/>
        <v>0</v>
      </c>
      <c r="N208" s="6">
        <f t="shared" si="13"/>
        <v>0</v>
      </c>
      <c r="O208" s="95">
        <f t="shared" si="14"/>
        <v>0</v>
      </c>
    </row>
    <row r="209" spans="1:15" x14ac:dyDescent="0.25">
      <c r="A209" s="4">
        <v>208</v>
      </c>
      <c r="E209" s="1" t="e">
        <f>VLOOKUP($D209,廠商編輯設定自動代出!$A:$C,2,0)</f>
        <v>#N/A</v>
      </c>
      <c r="F209" s="8" t="e">
        <f>VLOOKUP($D209,廠商編輯設定自動代出!$A:$C,3,0)</f>
        <v>#N/A</v>
      </c>
      <c r="G209" s="51"/>
      <c r="H209" s="2"/>
      <c r="I209" s="2"/>
      <c r="J209" s="49"/>
      <c r="K209" s="48"/>
      <c r="L209" s="6">
        <f t="shared" ref="L209" si="17">J209*K209</f>
        <v>0</v>
      </c>
      <c r="N209" s="6">
        <f t="shared" ref="N209" si="18">M209/1.05</f>
        <v>0</v>
      </c>
      <c r="O209" s="95">
        <f t="shared" ref="O209" si="19">N209*0.05</f>
        <v>0</v>
      </c>
    </row>
    <row r="210" spans="1:15" x14ac:dyDescent="0.25">
      <c r="J210" s="43"/>
      <c r="K210" s="25"/>
      <c r="L210" s="25"/>
      <c r="M210" s="25">
        <f>SUM(M3:M209)</f>
        <v>495919</v>
      </c>
      <c r="N210" s="25">
        <f>SUM(N3:N209)</f>
        <v>472304.71428571438</v>
      </c>
      <c r="O210" s="96">
        <f>SUM(O3:O209)</f>
        <v>23615.333333333336</v>
      </c>
    </row>
    <row r="216" spans="1:15" x14ac:dyDescent="0.25">
      <c r="H216" s="47"/>
      <c r="I216" s="47"/>
    </row>
    <row r="217" spans="1:15" x14ac:dyDescent="0.25">
      <c r="H217" s="47"/>
      <c r="I217" s="47"/>
    </row>
    <row r="218" spans="1:15" x14ac:dyDescent="0.25">
      <c r="H218" s="47"/>
      <c r="I218" s="47"/>
    </row>
    <row r="219" spans="1:15" x14ac:dyDescent="0.25">
      <c r="H219" s="47"/>
      <c r="I219" s="47"/>
    </row>
    <row r="220" spans="1:15" x14ac:dyDescent="0.25">
      <c r="H220" s="47"/>
      <c r="I220" s="47"/>
    </row>
    <row r="221" spans="1:15" x14ac:dyDescent="0.25">
      <c r="H221" s="47"/>
      <c r="I221" s="47"/>
    </row>
    <row r="222" spans="1:15" x14ac:dyDescent="0.25">
      <c r="H222" s="47"/>
      <c r="I222" s="47"/>
    </row>
    <row r="223" spans="1:15" x14ac:dyDescent="0.25">
      <c r="H223" s="47"/>
      <c r="I223" s="47"/>
    </row>
    <row r="224" spans="1:15" x14ac:dyDescent="0.25">
      <c r="H224" s="47"/>
      <c r="I224" s="47"/>
    </row>
    <row r="225" spans="8:9" x14ac:dyDescent="0.25">
      <c r="H225" s="47"/>
      <c r="I225" s="47"/>
    </row>
    <row r="226" spans="8:9" x14ac:dyDescent="0.25">
      <c r="H226" s="47"/>
      <c r="I226" s="47"/>
    </row>
    <row r="227" spans="8:9" x14ac:dyDescent="0.25">
      <c r="H227" s="47"/>
      <c r="I227" s="47"/>
    </row>
    <row r="228" spans="8:9" x14ac:dyDescent="0.25">
      <c r="H228" s="47"/>
      <c r="I228" s="47"/>
    </row>
    <row r="229" spans="8:9" x14ac:dyDescent="0.25">
      <c r="H229" s="47"/>
      <c r="I229" s="47"/>
    </row>
  </sheetData>
  <autoFilter ref="A2:U210"/>
  <sortState ref="C3:M85">
    <sortCondition ref="E3:E85"/>
  </sortState>
  <dataConsolidate/>
  <phoneticPr fontId="3" type="noConversion"/>
  <conditionalFormatting sqref="G1:G1048576">
    <cfRule type="duplicateValues" dxfId="30" priority="21"/>
    <cfRule type="duplicateValues" dxfId="29" priority="338"/>
  </conditionalFormatting>
  <conditionalFormatting sqref="G1:G1048576">
    <cfRule type="duplicateValues" dxfId="28" priority="318"/>
  </conditionalFormatting>
  <conditionalFormatting sqref="G1:G1048576">
    <cfRule type="duplicateValues" dxfId="27" priority="250"/>
  </conditionalFormatting>
  <conditionalFormatting sqref="G1:G1048576">
    <cfRule type="duplicateValues" dxfId="26" priority="38"/>
  </conditionalFormatting>
  <pageMargins left="0.7" right="0.7" top="0.75" bottom="0.75" header="0.3" footer="0.3"/>
  <pageSetup paperSize="126" scale="10" fitToWidth="0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工作人員.發票格式.KEY法說明!$B$1:$B$7</xm:f>
          </x14:formula1>
          <xm:sqref>Q210:R1048576 R1:T1 S208:T1048576 Q1:Q2 S3:T206 H3:H209</xm:sqref>
        </x14:dataValidation>
        <x14:dataValidation type="list" allowBlank="1" showInputMessage="1" showErrorMessage="1">
          <x14:formula1>
            <xm:f>工作人員.發票格式.KEY法說明!$A$1:$A$7</xm:f>
          </x14:formula1>
          <xm:sqref>Q3:R209</xm:sqref>
        </x14:dataValidation>
        <x14:dataValidation type="list" allowBlank="1" showInputMessage="1" showErrorMessage="1">
          <x14:formula1>
            <xm:f>[2]工作人員.發票格式.KEY法說明!#REF!</xm:f>
          </x14:formula1>
          <xm:sqref>S207:T207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8"/>
  <sheetViews>
    <sheetView topLeftCell="K1" workbookViewId="0">
      <selection activeCell="AA52" sqref="AA52"/>
    </sheetView>
  </sheetViews>
  <sheetFormatPr defaultRowHeight="16.5" x14ac:dyDescent="0.25"/>
  <cols>
    <col min="2" max="2" width="9.75" bestFit="1" customWidth="1"/>
    <col min="3" max="3" width="9.625" bestFit="1" customWidth="1"/>
    <col min="4" max="4" width="15.5" customWidth="1"/>
    <col min="5" max="5" width="14.375" customWidth="1"/>
    <col min="6" max="6" width="13.875" bestFit="1" customWidth="1"/>
    <col min="7" max="7" width="32" bestFit="1" customWidth="1"/>
    <col min="8" max="8" width="16.875" style="7" customWidth="1"/>
    <col min="9" max="9" width="11.375" style="42" customWidth="1"/>
    <col min="10" max="10" width="11.375" style="5" customWidth="1"/>
    <col min="11" max="11" width="11.375" style="5" bestFit="1" customWidth="1"/>
    <col min="12" max="12" width="13" style="29" bestFit="1" customWidth="1"/>
    <col min="13" max="13" width="11.375" style="5" bestFit="1" customWidth="1"/>
    <col min="14" max="14" width="10" style="5" bestFit="1" customWidth="1"/>
    <col min="17" max="17" width="10.75" customWidth="1"/>
    <col min="18" max="18" width="11.25" customWidth="1"/>
    <col min="19" max="19" width="10.375" customWidth="1"/>
    <col min="20" max="20" width="9" style="53"/>
    <col min="22" max="22" width="9" style="1"/>
    <col min="23" max="23" width="11.5" style="4" customWidth="1"/>
    <col min="24" max="24" width="16.125" style="4" customWidth="1"/>
    <col min="25" max="25" width="32.5" style="8" customWidth="1"/>
    <col min="26" max="26" width="13" style="29" bestFit="1" customWidth="1"/>
    <col min="27" max="27" width="9" style="40"/>
    <col min="28" max="28" width="10.625" customWidth="1"/>
  </cols>
  <sheetData>
    <row r="1" spans="1:32" s="14" customFormat="1" ht="20.25" x14ac:dyDescent="0.25">
      <c r="A1" s="9" t="s">
        <v>5</v>
      </c>
      <c r="B1" s="9"/>
      <c r="C1" s="9"/>
      <c r="D1" s="54" t="s">
        <v>2015</v>
      </c>
      <c r="E1" s="10" t="s">
        <v>338</v>
      </c>
      <c r="F1" s="11"/>
      <c r="G1" s="11"/>
      <c r="H1" s="11"/>
      <c r="I1" s="18"/>
      <c r="J1" s="12"/>
      <c r="K1" s="12"/>
      <c r="L1" s="101">
        <f>SUM(L3:L42)</f>
        <v>26215</v>
      </c>
      <c r="M1" s="25">
        <f>SUM(M3:M42)</f>
        <v>24966.666666666668</v>
      </c>
      <c r="N1" s="25">
        <f>SUM(N3:N42)</f>
        <v>1248</v>
      </c>
      <c r="T1" s="31"/>
      <c r="V1" s="9" t="s">
        <v>5</v>
      </c>
      <c r="W1" s="38"/>
      <c r="X1" s="38"/>
      <c r="Y1" s="36"/>
      <c r="Z1" s="26" t="s">
        <v>2015</v>
      </c>
      <c r="AA1" s="56" t="s">
        <v>339</v>
      </c>
    </row>
    <row r="2" spans="1:32" s="19" customFormat="1" x14ac:dyDescent="0.25">
      <c r="A2" s="19" t="s">
        <v>272</v>
      </c>
      <c r="B2" s="19" t="s">
        <v>284</v>
      </c>
      <c r="C2" s="15" t="s">
        <v>273</v>
      </c>
      <c r="D2" s="16" t="s">
        <v>6</v>
      </c>
      <c r="E2" s="32" t="s">
        <v>179</v>
      </c>
      <c r="F2" s="17" t="s">
        <v>0</v>
      </c>
      <c r="G2" s="17" t="s">
        <v>300</v>
      </c>
      <c r="H2" s="17" t="s">
        <v>295</v>
      </c>
      <c r="I2" s="18" t="s">
        <v>296</v>
      </c>
      <c r="J2" s="18" t="s">
        <v>297</v>
      </c>
      <c r="K2" s="18" t="s">
        <v>298</v>
      </c>
      <c r="L2" s="27" t="s">
        <v>3</v>
      </c>
      <c r="M2" s="18" t="s">
        <v>1</v>
      </c>
      <c r="N2" s="18" t="s">
        <v>2</v>
      </c>
      <c r="O2" s="13" t="s">
        <v>4</v>
      </c>
      <c r="P2" s="19" t="s">
        <v>285</v>
      </c>
      <c r="Q2" s="17" t="s">
        <v>1326</v>
      </c>
      <c r="R2" s="17" t="s">
        <v>1329</v>
      </c>
      <c r="S2" s="17" t="s">
        <v>1328</v>
      </c>
      <c r="T2" s="15" t="s">
        <v>299</v>
      </c>
      <c r="V2" s="19" t="s">
        <v>272</v>
      </c>
      <c r="W2" s="19" t="s">
        <v>284</v>
      </c>
      <c r="X2" s="15" t="s">
        <v>273</v>
      </c>
      <c r="Y2" s="17" t="s">
        <v>293</v>
      </c>
      <c r="Z2" s="27" t="s">
        <v>294</v>
      </c>
      <c r="AA2" s="39" t="s">
        <v>285</v>
      </c>
      <c r="AB2" s="19" t="s">
        <v>1337</v>
      </c>
      <c r="AC2" s="19" t="s">
        <v>1338</v>
      </c>
      <c r="AD2" s="19" t="s">
        <v>1339</v>
      </c>
    </row>
    <row r="3" spans="1:32" x14ac:dyDescent="0.25">
      <c r="A3" s="4">
        <v>1</v>
      </c>
      <c r="B3">
        <v>1150504</v>
      </c>
      <c r="C3">
        <v>1150502</v>
      </c>
      <c r="D3" t="s">
        <v>2031</v>
      </c>
      <c r="E3">
        <v>24862822</v>
      </c>
      <c r="F3" t="s">
        <v>2032</v>
      </c>
      <c r="G3" s="2" t="s">
        <v>2033</v>
      </c>
      <c r="H3" s="2" t="s">
        <v>2034</v>
      </c>
      <c r="I3" s="49">
        <v>1</v>
      </c>
      <c r="J3" s="48">
        <v>1243</v>
      </c>
      <c r="K3" s="5">
        <f t="shared" ref="K3:K5" si="0">J3*I3</f>
        <v>1243</v>
      </c>
      <c r="L3" s="29">
        <v>1243</v>
      </c>
      <c r="M3" s="6">
        <f t="shared" ref="M3:M5" si="1">L3/1.05</f>
        <v>1183.8095238095239</v>
      </c>
      <c r="N3" s="5">
        <v>59</v>
      </c>
      <c r="P3" s="40" t="s">
        <v>2021</v>
      </c>
      <c r="Q3" s="40"/>
      <c r="R3" s="40"/>
      <c r="S3" s="40"/>
      <c r="V3" s="4">
        <v>1</v>
      </c>
      <c r="W3" s="4">
        <v>1150504</v>
      </c>
      <c r="X3" s="4">
        <v>1150504</v>
      </c>
      <c r="Y3" s="8" t="s">
        <v>2037</v>
      </c>
      <c r="Z3" s="28">
        <v>8760</v>
      </c>
      <c r="AA3" s="40" t="s">
        <v>2038</v>
      </c>
      <c r="AB3" s="40"/>
      <c r="AC3" s="40"/>
      <c r="AD3" s="40"/>
    </row>
    <row r="4" spans="1:32" x14ac:dyDescent="0.25">
      <c r="A4" s="4">
        <v>2</v>
      </c>
      <c r="B4">
        <v>1150511</v>
      </c>
      <c r="C4">
        <v>1150505</v>
      </c>
      <c r="D4" t="s">
        <v>2091</v>
      </c>
      <c r="E4">
        <v>87230113</v>
      </c>
      <c r="F4" t="s">
        <v>2092</v>
      </c>
      <c r="G4" s="2" t="s">
        <v>2056</v>
      </c>
      <c r="H4" s="2" t="s">
        <v>2093</v>
      </c>
      <c r="I4" s="49">
        <v>1</v>
      </c>
      <c r="J4" s="48">
        <v>1261</v>
      </c>
      <c r="K4" s="5">
        <f t="shared" si="0"/>
        <v>1261</v>
      </c>
      <c r="L4" s="29">
        <v>1239</v>
      </c>
      <c r="M4" s="6">
        <f t="shared" si="1"/>
        <v>1180</v>
      </c>
      <c r="N4" s="5">
        <v>59</v>
      </c>
      <c r="P4" s="40" t="s">
        <v>2021</v>
      </c>
      <c r="Q4" s="40"/>
      <c r="R4" s="40"/>
      <c r="S4" s="40"/>
      <c r="V4" s="4">
        <v>2</v>
      </c>
      <c r="W4" s="4">
        <v>1150505</v>
      </c>
      <c r="X4" s="4">
        <v>1150426</v>
      </c>
      <c r="Y4" s="8" t="s">
        <v>2042</v>
      </c>
      <c r="Z4" s="28">
        <v>12534</v>
      </c>
      <c r="AA4" s="40" t="s">
        <v>2043</v>
      </c>
      <c r="AB4" s="40"/>
      <c r="AC4" s="40"/>
      <c r="AD4" s="40"/>
    </row>
    <row r="5" spans="1:32" x14ac:dyDescent="0.25">
      <c r="A5" s="4">
        <v>3</v>
      </c>
      <c r="B5">
        <v>1150511</v>
      </c>
      <c r="C5">
        <v>1150509</v>
      </c>
      <c r="D5" t="s">
        <v>2094</v>
      </c>
      <c r="E5">
        <v>92329635</v>
      </c>
      <c r="F5" t="s">
        <v>2095</v>
      </c>
      <c r="G5" s="2" t="s">
        <v>2033</v>
      </c>
      <c r="H5" s="2" t="s">
        <v>2093</v>
      </c>
      <c r="I5" s="49">
        <v>1</v>
      </c>
      <c r="J5" s="48">
        <v>3350</v>
      </c>
      <c r="K5" s="5">
        <f t="shared" si="0"/>
        <v>3350</v>
      </c>
      <c r="L5" s="29">
        <v>3350</v>
      </c>
      <c r="M5" s="6">
        <f t="shared" si="1"/>
        <v>3190.4761904761904</v>
      </c>
      <c r="N5" s="5">
        <v>160</v>
      </c>
      <c r="P5" s="40" t="s">
        <v>2021</v>
      </c>
      <c r="Q5" s="40"/>
      <c r="R5" s="40"/>
      <c r="S5" s="40"/>
      <c r="V5" s="4">
        <v>3</v>
      </c>
      <c r="W5" s="4">
        <v>1150505</v>
      </c>
      <c r="X5" s="4">
        <v>1150426</v>
      </c>
      <c r="Y5" s="8" t="s">
        <v>2044</v>
      </c>
      <c r="Z5" s="28">
        <v>1681</v>
      </c>
      <c r="AA5" s="40" t="s">
        <v>2043</v>
      </c>
      <c r="AB5" s="40"/>
      <c r="AC5" s="40"/>
      <c r="AD5" s="40"/>
    </row>
    <row r="6" spans="1:32" x14ac:dyDescent="0.25">
      <c r="A6" s="4">
        <v>4</v>
      </c>
      <c r="B6">
        <v>1150518</v>
      </c>
      <c r="C6">
        <v>1150510</v>
      </c>
      <c r="D6" t="s">
        <v>2131</v>
      </c>
      <c r="E6">
        <v>24879540</v>
      </c>
      <c r="F6" t="s">
        <v>2132</v>
      </c>
      <c r="G6" s="2" t="s">
        <v>2056</v>
      </c>
      <c r="H6" s="2" t="s">
        <v>2093</v>
      </c>
      <c r="I6" s="49">
        <v>1</v>
      </c>
      <c r="J6" s="48">
        <v>7076</v>
      </c>
      <c r="K6" s="5">
        <f t="shared" ref="K6:K10" si="2">J6*I6</f>
        <v>7076</v>
      </c>
      <c r="L6" s="29">
        <v>7430</v>
      </c>
      <c r="M6" s="6">
        <f t="shared" ref="M6:M10" si="3">L6/1.05</f>
        <v>7076.1904761904761</v>
      </c>
      <c r="N6" s="5">
        <v>354</v>
      </c>
      <c r="P6" s="40" t="s">
        <v>2021</v>
      </c>
      <c r="Q6" s="40"/>
      <c r="R6" s="40"/>
      <c r="S6" s="40"/>
      <c r="V6" s="4">
        <v>4</v>
      </c>
      <c r="W6" s="4">
        <v>1150505</v>
      </c>
      <c r="X6" s="4">
        <v>1150407</v>
      </c>
      <c r="Y6" s="8" t="s">
        <v>2045</v>
      </c>
      <c r="Z6" s="28">
        <v>27093</v>
      </c>
      <c r="AA6" s="40" t="s">
        <v>2043</v>
      </c>
      <c r="AB6" s="40"/>
      <c r="AC6" s="40"/>
      <c r="AD6" s="40"/>
    </row>
    <row r="7" spans="1:32" x14ac:dyDescent="0.25">
      <c r="A7" s="4">
        <v>5</v>
      </c>
      <c r="B7">
        <v>1150518</v>
      </c>
      <c r="C7">
        <v>1150517</v>
      </c>
      <c r="D7" t="s">
        <v>2133</v>
      </c>
      <c r="E7">
        <v>60242301</v>
      </c>
      <c r="F7" t="s">
        <v>2134</v>
      </c>
      <c r="G7" s="2" t="s">
        <v>2056</v>
      </c>
      <c r="H7" s="2" t="s">
        <v>2093</v>
      </c>
      <c r="I7" s="49">
        <v>1</v>
      </c>
      <c r="J7" s="48">
        <v>1355</v>
      </c>
      <c r="K7" s="5">
        <f t="shared" si="2"/>
        <v>1355</v>
      </c>
      <c r="L7" s="29">
        <v>1491</v>
      </c>
      <c r="M7" s="6">
        <f t="shared" si="3"/>
        <v>1420</v>
      </c>
      <c r="N7" s="5">
        <v>71</v>
      </c>
      <c r="P7" s="40" t="s">
        <v>2021</v>
      </c>
      <c r="Q7" s="40"/>
      <c r="R7" s="40"/>
      <c r="S7" s="40"/>
      <c r="V7" s="4">
        <v>5</v>
      </c>
      <c r="W7" s="4">
        <v>1150505</v>
      </c>
      <c r="X7" s="4">
        <v>1150427</v>
      </c>
      <c r="Y7" s="8" t="s">
        <v>2046</v>
      </c>
      <c r="Z7" s="28">
        <v>7092</v>
      </c>
      <c r="AA7" s="40" t="s">
        <v>2043</v>
      </c>
      <c r="AB7" s="40"/>
      <c r="AC7" s="40"/>
      <c r="AD7" s="40"/>
    </row>
    <row r="8" spans="1:32" x14ac:dyDescent="0.25">
      <c r="A8" s="4">
        <v>6</v>
      </c>
      <c r="B8">
        <v>1150518</v>
      </c>
      <c r="C8">
        <v>1150511</v>
      </c>
      <c r="D8" t="s">
        <v>2135</v>
      </c>
      <c r="E8">
        <v>94862374</v>
      </c>
      <c r="F8" t="s">
        <v>2136</v>
      </c>
      <c r="G8" s="2" t="s">
        <v>2056</v>
      </c>
      <c r="H8" s="2" t="s">
        <v>2093</v>
      </c>
      <c r="I8" s="49">
        <v>1</v>
      </c>
      <c r="J8" s="48">
        <v>998</v>
      </c>
      <c r="K8" s="5">
        <f t="shared" si="2"/>
        <v>998</v>
      </c>
      <c r="L8" s="29">
        <v>1048</v>
      </c>
      <c r="M8" s="6">
        <f t="shared" si="3"/>
        <v>998.09523809523807</v>
      </c>
      <c r="N8" s="5">
        <v>50</v>
      </c>
      <c r="P8" s="40" t="s">
        <v>2021</v>
      </c>
      <c r="Q8" s="40"/>
      <c r="R8" s="40"/>
      <c r="S8" s="40"/>
      <c r="V8" s="4">
        <v>6</v>
      </c>
      <c r="W8" s="4">
        <v>1150505</v>
      </c>
      <c r="X8" s="4">
        <v>1150508</v>
      </c>
      <c r="Y8" s="8" t="s">
        <v>2047</v>
      </c>
      <c r="Z8" s="28">
        <v>23601</v>
      </c>
      <c r="AA8" s="40" t="s">
        <v>2043</v>
      </c>
      <c r="AB8" s="40"/>
      <c r="AC8" s="40"/>
      <c r="AD8" s="40"/>
    </row>
    <row r="9" spans="1:32" x14ac:dyDescent="0.25">
      <c r="A9" s="4">
        <v>7</v>
      </c>
      <c r="B9">
        <v>1150518</v>
      </c>
      <c r="C9">
        <v>1150515</v>
      </c>
      <c r="D9" t="s">
        <v>2137</v>
      </c>
      <c r="E9">
        <v>96813011</v>
      </c>
      <c r="F9" t="s">
        <v>2138</v>
      </c>
      <c r="G9" s="2" t="s">
        <v>2056</v>
      </c>
      <c r="H9" s="2" t="s">
        <v>2093</v>
      </c>
      <c r="I9" s="49">
        <v>1</v>
      </c>
      <c r="J9" s="48">
        <v>914</v>
      </c>
      <c r="K9" s="5">
        <f t="shared" si="2"/>
        <v>914</v>
      </c>
      <c r="L9" s="29">
        <v>960</v>
      </c>
      <c r="M9" s="6">
        <f t="shared" si="3"/>
        <v>914.28571428571422</v>
      </c>
      <c r="N9" s="5">
        <v>46</v>
      </c>
      <c r="P9" s="40" t="s">
        <v>2021</v>
      </c>
      <c r="Q9" s="40"/>
      <c r="R9" s="40"/>
      <c r="S9" s="40"/>
      <c r="V9" s="4">
        <v>7</v>
      </c>
      <c r="W9" s="4">
        <v>1150505</v>
      </c>
      <c r="X9" s="4">
        <v>1150427</v>
      </c>
      <c r="Y9" s="8" t="s">
        <v>2048</v>
      </c>
      <c r="Z9" s="28">
        <v>681</v>
      </c>
      <c r="AA9" s="40" t="s">
        <v>2043</v>
      </c>
      <c r="AB9" s="40"/>
      <c r="AC9" s="40"/>
      <c r="AD9" s="40"/>
    </row>
    <row r="10" spans="1:32" x14ac:dyDescent="0.25">
      <c r="A10" s="4">
        <v>8</v>
      </c>
      <c r="B10">
        <v>1150522</v>
      </c>
      <c r="C10">
        <v>1150518</v>
      </c>
      <c r="D10" t="s">
        <v>2184</v>
      </c>
      <c r="E10">
        <v>92656237</v>
      </c>
      <c r="F10" t="s">
        <v>2185</v>
      </c>
      <c r="G10" s="2" t="s">
        <v>2056</v>
      </c>
      <c r="H10" s="2" t="s">
        <v>2093</v>
      </c>
      <c r="I10" s="49">
        <v>1</v>
      </c>
      <c r="J10" s="48">
        <v>493</v>
      </c>
      <c r="K10" s="5">
        <f t="shared" si="2"/>
        <v>493</v>
      </c>
      <c r="L10" s="29">
        <v>493</v>
      </c>
      <c r="M10" s="6">
        <f t="shared" si="3"/>
        <v>469.52380952380952</v>
      </c>
      <c r="N10" s="5">
        <v>23</v>
      </c>
      <c r="P10" s="40" t="s">
        <v>2186</v>
      </c>
      <c r="Q10" s="40"/>
      <c r="R10" s="40"/>
      <c r="S10" s="40"/>
      <c r="V10" s="4">
        <v>8</v>
      </c>
      <c r="W10" s="4">
        <v>1150505</v>
      </c>
      <c r="X10" s="4">
        <v>1150430</v>
      </c>
      <c r="Y10" s="8" t="s">
        <v>2049</v>
      </c>
      <c r="Z10" s="28">
        <v>600</v>
      </c>
      <c r="AA10" s="40" t="s">
        <v>2043</v>
      </c>
      <c r="AB10" s="40"/>
      <c r="AC10" s="40"/>
      <c r="AD10" s="40"/>
    </row>
    <row r="11" spans="1:32" x14ac:dyDescent="0.25">
      <c r="A11" s="4">
        <v>9</v>
      </c>
      <c r="B11">
        <v>1150525</v>
      </c>
      <c r="C11">
        <v>1150520</v>
      </c>
      <c r="D11" t="s">
        <v>2198</v>
      </c>
      <c r="E11">
        <v>91023832</v>
      </c>
      <c r="F11" t="s">
        <v>2199</v>
      </c>
      <c r="G11" s="2" t="s">
        <v>2056</v>
      </c>
      <c r="H11" s="2" t="s">
        <v>2093</v>
      </c>
      <c r="I11" s="49">
        <v>1</v>
      </c>
      <c r="J11" s="48">
        <v>3986</v>
      </c>
      <c r="K11" s="5">
        <f t="shared" ref="K11" si="4">J11*I11</f>
        <v>3986</v>
      </c>
      <c r="L11" s="29">
        <v>4185</v>
      </c>
      <c r="M11" s="6">
        <f t="shared" ref="M11" si="5">L11/1.05</f>
        <v>3985.7142857142853</v>
      </c>
      <c r="N11" s="5">
        <v>199</v>
      </c>
      <c r="P11" s="40" t="s">
        <v>2021</v>
      </c>
      <c r="Q11" s="40"/>
      <c r="R11" s="40"/>
      <c r="S11" s="40"/>
      <c r="V11" s="4">
        <v>9</v>
      </c>
      <c r="W11" s="4">
        <v>1150505</v>
      </c>
      <c r="X11" s="4">
        <v>1150504</v>
      </c>
      <c r="Y11" s="8" t="s">
        <v>2050</v>
      </c>
      <c r="Z11" s="28">
        <v>16</v>
      </c>
      <c r="AA11" s="40" t="s">
        <v>2043</v>
      </c>
      <c r="AB11" s="40"/>
      <c r="AC11" s="40"/>
      <c r="AD11" s="40"/>
      <c r="AE11" s="28"/>
      <c r="AF11" s="40"/>
    </row>
    <row r="12" spans="1:32" x14ac:dyDescent="0.25">
      <c r="A12" s="4">
        <v>10</v>
      </c>
      <c r="B12">
        <v>1150529</v>
      </c>
      <c r="C12">
        <v>1150524</v>
      </c>
      <c r="D12" t="s">
        <v>2219</v>
      </c>
      <c r="E12">
        <v>53531132</v>
      </c>
      <c r="F12" t="s">
        <v>2220</v>
      </c>
      <c r="G12" s="2" t="s">
        <v>2056</v>
      </c>
      <c r="H12" s="2" t="s">
        <v>2093</v>
      </c>
      <c r="I12" s="49">
        <v>1</v>
      </c>
      <c r="J12" s="48">
        <v>2462</v>
      </c>
      <c r="K12" s="5">
        <f t="shared" ref="K12:K41" si="6">J12*I12</f>
        <v>2462</v>
      </c>
      <c r="L12" s="29">
        <v>2462</v>
      </c>
      <c r="M12" s="6">
        <f t="shared" ref="M12:M41" si="7">L12/1.05</f>
        <v>2344.7619047619046</v>
      </c>
      <c r="N12" s="5">
        <v>117</v>
      </c>
      <c r="P12" s="40" t="s">
        <v>2186</v>
      </c>
      <c r="Q12" s="40"/>
      <c r="R12" s="40"/>
      <c r="S12" s="40"/>
      <c r="V12" s="4">
        <v>10</v>
      </c>
      <c r="W12" s="4">
        <v>1150505</v>
      </c>
      <c r="X12" s="4">
        <v>1150505</v>
      </c>
      <c r="Y12" s="8" t="s">
        <v>2050</v>
      </c>
      <c r="Z12" s="28">
        <v>8</v>
      </c>
      <c r="AA12" s="40" t="s">
        <v>2043</v>
      </c>
      <c r="AB12" s="40"/>
      <c r="AC12" s="40"/>
      <c r="AD12" s="40"/>
    </row>
    <row r="13" spans="1:32" x14ac:dyDescent="0.25">
      <c r="A13" s="4">
        <v>11</v>
      </c>
      <c r="B13">
        <v>1150603</v>
      </c>
      <c r="C13">
        <v>1150602</v>
      </c>
      <c r="D13" t="s">
        <v>2234</v>
      </c>
      <c r="E13">
        <v>95277809</v>
      </c>
      <c r="F13" t="s">
        <v>2235</v>
      </c>
      <c r="G13" s="2" t="s">
        <v>2056</v>
      </c>
      <c r="H13" s="2" t="s">
        <v>2093</v>
      </c>
      <c r="I13" s="49">
        <v>1</v>
      </c>
      <c r="J13" s="48">
        <v>2204</v>
      </c>
      <c r="K13" s="5">
        <f t="shared" si="6"/>
        <v>2204</v>
      </c>
      <c r="L13" s="29">
        <v>2314</v>
      </c>
      <c r="M13" s="6">
        <f t="shared" si="7"/>
        <v>2203.8095238095239</v>
      </c>
      <c r="N13" s="5">
        <v>110</v>
      </c>
      <c r="P13" s="40" t="s">
        <v>2021</v>
      </c>
      <c r="Q13" s="40"/>
      <c r="R13" s="40"/>
      <c r="S13" s="40"/>
      <c r="V13" s="4">
        <v>11</v>
      </c>
      <c r="W13" s="4">
        <v>1150505</v>
      </c>
      <c r="X13" s="4">
        <v>1150505</v>
      </c>
      <c r="Y13" s="8" t="s">
        <v>2070</v>
      </c>
      <c r="Z13" s="28">
        <v>1368</v>
      </c>
      <c r="AA13" s="40" t="s">
        <v>2043</v>
      </c>
      <c r="AB13" s="40"/>
      <c r="AC13" s="40"/>
      <c r="AD13" s="40"/>
    </row>
    <row r="14" spans="1:32" x14ac:dyDescent="0.25">
      <c r="A14" s="4">
        <v>12</v>
      </c>
      <c r="G14" s="2"/>
      <c r="H14" s="2"/>
      <c r="I14" s="49"/>
      <c r="J14" s="48"/>
      <c r="K14" s="5">
        <f t="shared" si="6"/>
        <v>0</v>
      </c>
      <c r="M14" s="6">
        <f t="shared" si="7"/>
        <v>0</v>
      </c>
      <c r="N14" s="5">
        <f t="shared" ref="N14:N41" si="8">L14-M14</f>
        <v>0</v>
      </c>
      <c r="P14" s="40"/>
      <c r="Q14" s="40"/>
      <c r="R14" s="40"/>
      <c r="S14" s="40"/>
      <c r="V14" s="4">
        <v>12</v>
      </c>
      <c r="W14" s="4">
        <v>1150513</v>
      </c>
      <c r="X14" s="4">
        <v>1150513</v>
      </c>
      <c r="Y14" s="8" t="s">
        <v>2107</v>
      </c>
      <c r="Z14" s="28">
        <v>5000</v>
      </c>
      <c r="AA14" s="40" t="s">
        <v>2043</v>
      </c>
      <c r="AB14" s="40"/>
      <c r="AC14" s="40"/>
      <c r="AD14" s="40"/>
    </row>
    <row r="15" spans="1:32" x14ac:dyDescent="0.25">
      <c r="A15" s="4">
        <v>13</v>
      </c>
      <c r="G15" s="2"/>
      <c r="H15" s="2"/>
      <c r="I15" s="49"/>
      <c r="J15" s="48"/>
      <c r="K15" s="5">
        <f t="shared" si="6"/>
        <v>0</v>
      </c>
      <c r="M15" s="6">
        <f t="shared" si="7"/>
        <v>0</v>
      </c>
      <c r="N15" s="5">
        <f t="shared" si="8"/>
        <v>0</v>
      </c>
      <c r="P15" s="40"/>
      <c r="Q15" s="40"/>
      <c r="R15" s="40"/>
      <c r="S15" s="40"/>
      <c r="V15" s="4">
        <v>13</v>
      </c>
      <c r="W15" s="4">
        <v>1150513</v>
      </c>
      <c r="X15" s="4">
        <v>1150513</v>
      </c>
      <c r="Y15" s="8" t="s">
        <v>2107</v>
      </c>
      <c r="Z15" s="28">
        <v>1600</v>
      </c>
      <c r="AA15" s="40" t="s">
        <v>2043</v>
      </c>
      <c r="AB15" s="40"/>
      <c r="AC15" s="40"/>
      <c r="AD15" s="40"/>
    </row>
    <row r="16" spans="1:32" x14ac:dyDescent="0.25">
      <c r="A16" s="4">
        <v>14</v>
      </c>
      <c r="G16" s="2"/>
      <c r="H16" s="2"/>
      <c r="I16" s="49"/>
      <c r="J16" s="48"/>
      <c r="K16" s="5">
        <f t="shared" si="6"/>
        <v>0</v>
      </c>
      <c r="M16" s="6">
        <f t="shared" si="7"/>
        <v>0</v>
      </c>
      <c r="N16" s="5">
        <f t="shared" si="8"/>
        <v>0</v>
      </c>
      <c r="P16" s="40"/>
      <c r="Q16" s="40"/>
      <c r="R16" s="40"/>
      <c r="S16" s="40"/>
      <c r="V16" s="4">
        <v>14</v>
      </c>
      <c r="W16" s="4">
        <v>1150514</v>
      </c>
      <c r="X16" s="4">
        <v>1150513</v>
      </c>
      <c r="Y16" s="8" t="s">
        <v>2115</v>
      </c>
      <c r="Z16" s="28">
        <v>155</v>
      </c>
      <c r="AA16" s="40" t="s">
        <v>2043</v>
      </c>
      <c r="AB16" s="40"/>
      <c r="AC16" s="40"/>
      <c r="AD16" s="40"/>
    </row>
    <row r="17" spans="1:30" x14ac:dyDescent="0.25">
      <c r="A17" s="4">
        <v>15</v>
      </c>
      <c r="G17" s="2"/>
      <c r="H17" s="2"/>
      <c r="I17" s="49"/>
      <c r="J17" s="48"/>
      <c r="K17" s="5">
        <f t="shared" si="6"/>
        <v>0</v>
      </c>
      <c r="M17" s="6">
        <f t="shared" si="7"/>
        <v>0</v>
      </c>
      <c r="N17" s="5">
        <f t="shared" si="8"/>
        <v>0</v>
      </c>
      <c r="P17" s="40"/>
      <c r="Q17" s="40"/>
      <c r="R17" s="40"/>
      <c r="S17" s="40"/>
      <c r="V17" s="4">
        <v>15</v>
      </c>
      <c r="W17" s="4">
        <v>1150514</v>
      </c>
      <c r="X17" s="4">
        <v>1150513</v>
      </c>
      <c r="Y17" s="8" t="s">
        <v>2116</v>
      </c>
      <c r="Z17" s="28">
        <v>23</v>
      </c>
      <c r="AA17" s="40" t="s">
        <v>2043</v>
      </c>
      <c r="AB17" s="40"/>
      <c r="AC17" s="40"/>
      <c r="AD17" s="40"/>
    </row>
    <row r="18" spans="1:30" x14ac:dyDescent="0.25">
      <c r="A18" s="4">
        <v>16</v>
      </c>
      <c r="G18" s="2"/>
      <c r="H18" s="2"/>
      <c r="I18" s="49"/>
      <c r="J18" s="48"/>
      <c r="K18" s="5">
        <f t="shared" si="6"/>
        <v>0</v>
      </c>
      <c r="M18" s="6">
        <f t="shared" si="7"/>
        <v>0</v>
      </c>
      <c r="N18" s="5">
        <f t="shared" si="8"/>
        <v>0</v>
      </c>
      <c r="P18" s="40"/>
      <c r="Q18" s="40"/>
      <c r="R18" s="40"/>
      <c r="S18" s="40"/>
      <c r="V18" s="4">
        <v>16</v>
      </c>
      <c r="W18" s="4">
        <v>1150516</v>
      </c>
      <c r="X18" s="4">
        <v>1150515</v>
      </c>
      <c r="Y18" s="8" t="s">
        <v>2127</v>
      </c>
      <c r="Z18" s="28">
        <v>450</v>
      </c>
      <c r="AA18" s="40" t="s">
        <v>2021</v>
      </c>
      <c r="AB18" s="40"/>
      <c r="AC18" s="40"/>
      <c r="AD18" s="40"/>
    </row>
    <row r="19" spans="1:30" x14ac:dyDescent="0.25">
      <c r="A19" s="4">
        <v>17</v>
      </c>
      <c r="G19" s="2"/>
      <c r="H19" s="2"/>
      <c r="I19" s="49"/>
      <c r="J19" s="48"/>
      <c r="K19" s="5">
        <f t="shared" si="6"/>
        <v>0</v>
      </c>
      <c r="M19" s="6">
        <f t="shared" si="7"/>
        <v>0</v>
      </c>
      <c r="N19" s="5">
        <f t="shared" si="8"/>
        <v>0</v>
      </c>
      <c r="P19" s="40"/>
      <c r="Q19" s="40"/>
      <c r="R19" s="40"/>
      <c r="S19" s="40"/>
      <c r="V19" s="4">
        <v>17</v>
      </c>
      <c r="W19" s="4">
        <v>1150516</v>
      </c>
      <c r="X19" s="4">
        <v>1150515</v>
      </c>
      <c r="Y19" s="8" t="s">
        <v>2128</v>
      </c>
      <c r="Z19" s="28">
        <v>450</v>
      </c>
      <c r="AA19" s="40" t="s">
        <v>2021</v>
      </c>
      <c r="AB19" s="40"/>
      <c r="AC19" s="40"/>
      <c r="AD19" s="40"/>
    </row>
    <row r="20" spans="1:30" x14ac:dyDescent="0.25">
      <c r="A20" s="4">
        <v>18</v>
      </c>
      <c r="G20" s="2"/>
      <c r="H20" s="2"/>
      <c r="I20" s="49"/>
      <c r="J20" s="48"/>
      <c r="K20" s="5">
        <f t="shared" si="6"/>
        <v>0</v>
      </c>
      <c r="M20" s="6">
        <f t="shared" si="7"/>
        <v>0</v>
      </c>
      <c r="N20" s="5">
        <f t="shared" si="8"/>
        <v>0</v>
      </c>
      <c r="P20" s="40"/>
      <c r="Q20" s="40"/>
      <c r="R20" s="40"/>
      <c r="S20" s="40"/>
      <c r="V20" s="4">
        <v>18</v>
      </c>
      <c r="W20" s="4">
        <v>1150520</v>
      </c>
      <c r="X20" s="4">
        <v>1150519</v>
      </c>
      <c r="Y20" s="8" t="s">
        <v>2050</v>
      </c>
      <c r="Z20" s="28">
        <v>60</v>
      </c>
      <c r="AA20" s="40" t="s">
        <v>2043</v>
      </c>
      <c r="AB20" s="40"/>
      <c r="AC20" s="40"/>
      <c r="AD20" s="40"/>
    </row>
    <row r="21" spans="1:30" x14ac:dyDescent="0.25">
      <c r="A21" s="4">
        <v>19</v>
      </c>
      <c r="G21" s="2"/>
      <c r="H21" s="2"/>
      <c r="I21" s="49"/>
      <c r="J21" s="48"/>
      <c r="K21" s="5">
        <f t="shared" si="6"/>
        <v>0</v>
      </c>
      <c r="M21" s="6">
        <f t="shared" si="7"/>
        <v>0</v>
      </c>
      <c r="N21" s="5">
        <f t="shared" si="8"/>
        <v>0</v>
      </c>
      <c r="P21" s="40"/>
      <c r="Q21" s="40"/>
      <c r="R21" s="40"/>
      <c r="S21" s="40"/>
      <c r="V21" s="4">
        <v>19</v>
      </c>
      <c r="W21" s="4">
        <v>1150523</v>
      </c>
      <c r="X21" s="4">
        <v>1150521</v>
      </c>
      <c r="Y21" s="8" t="s">
        <v>2197</v>
      </c>
      <c r="Z21" s="28">
        <v>1368</v>
      </c>
      <c r="AA21" s="40" t="s">
        <v>2043</v>
      </c>
      <c r="AB21" s="40"/>
      <c r="AC21" s="40"/>
      <c r="AD21" s="40"/>
    </row>
    <row r="22" spans="1:30" x14ac:dyDescent="0.25">
      <c r="A22" s="4">
        <v>20</v>
      </c>
      <c r="G22" s="2"/>
      <c r="H22" s="2"/>
      <c r="I22" s="49"/>
      <c r="J22" s="48"/>
      <c r="K22" s="5">
        <f t="shared" si="6"/>
        <v>0</v>
      </c>
      <c r="M22" s="6">
        <f t="shared" si="7"/>
        <v>0</v>
      </c>
      <c r="N22" s="5">
        <f t="shared" si="8"/>
        <v>0</v>
      </c>
      <c r="P22" s="40"/>
      <c r="Q22" s="40"/>
      <c r="R22" s="40"/>
      <c r="S22" s="40"/>
      <c r="V22" s="4">
        <v>20</v>
      </c>
      <c r="W22" s="4">
        <v>1150527</v>
      </c>
      <c r="X22" s="4">
        <v>1150526</v>
      </c>
      <c r="Y22" s="8" t="s">
        <v>2204</v>
      </c>
      <c r="Z22" s="28">
        <v>263</v>
      </c>
      <c r="AA22" s="40" t="s">
        <v>2043</v>
      </c>
      <c r="AB22" s="40"/>
      <c r="AC22" s="40"/>
      <c r="AD22" s="40"/>
    </row>
    <row r="23" spans="1:30" x14ac:dyDescent="0.25">
      <c r="A23" s="4">
        <v>21</v>
      </c>
      <c r="G23" s="2"/>
      <c r="H23" s="2"/>
      <c r="I23" s="49"/>
      <c r="J23" s="48"/>
      <c r="K23" s="5">
        <f t="shared" si="6"/>
        <v>0</v>
      </c>
      <c r="M23" s="6">
        <f t="shared" si="7"/>
        <v>0</v>
      </c>
      <c r="N23" s="5">
        <f t="shared" si="8"/>
        <v>0</v>
      </c>
      <c r="P23" s="40"/>
      <c r="Q23" s="40"/>
      <c r="R23" s="40"/>
      <c r="S23" s="40"/>
      <c r="V23" s="4">
        <v>21</v>
      </c>
      <c r="W23" s="4">
        <v>1150527</v>
      </c>
      <c r="X23" s="4">
        <v>1150525</v>
      </c>
      <c r="Y23" s="8" t="s">
        <v>2050</v>
      </c>
      <c r="Z23" s="28">
        <v>2800</v>
      </c>
      <c r="AA23" s="40" t="s">
        <v>2043</v>
      </c>
      <c r="AB23" s="40"/>
      <c r="AC23" s="40"/>
      <c r="AD23" s="40"/>
    </row>
    <row r="24" spans="1:30" x14ac:dyDescent="0.25">
      <c r="A24" s="4">
        <v>22</v>
      </c>
      <c r="G24" s="2"/>
      <c r="H24" s="2"/>
      <c r="I24" s="49"/>
      <c r="J24" s="48"/>
      <c r="K24" s="5">
        <f t="shared" si="6"/>
        <v>0</v>
      </c>
      <c r="M24" s="6">
        <f t="shared" si="7"/>
        <v>0</v>
      </c>
      <c r="N24" s="5">
        <f t="shared" si="8"/>
        <v>0</v>
      </c>
      <c r="P24" s="40"/>
      <c r="Q24" s="40"/>
      <c r="R24" s="40"/>
      <c r="S24" s="40"/>
      <c r="V24" s="4">
        <v>22</v>
      </c>
      <c r="W24" s="4">
        <v>1150527</v>
      </c>
      <c r="X24" s="4">
        <v>1150519</v>
      </c>
      <c r="Y24" s="8" t="s">
        <v>2050</v>
      </c>
      <c r="Z24" s="28">
        <v>8</v>
      </c>
      <c r="AA24" s="40" t="s">
        <v>2043</v>
      </c>
      <c r="AB24" s="40"/>
      <c r="AC24" s="40"/>
      <c r="AD24" s="40"/>
    </row>
    <row r="25" spans="1:30" x14ac:dyDescent="0.25">
      <c r="A25" s="4">
        <v>23</v>
      </c>
      <c r="G25" s="2"/>
      <c r="H25" s="2"/>
      <c r="I25" s="49"/>
      <c r="J25" s="48"/>
      <c r="K25" s="5">
        <f t="shared" si="6"/>
        <v>0</v>
      </c>
      <c r="M25" s="6">
        <f t="shared" si="7"/>
        <v>0</v>
      </c>
      <c r="N25" s="5">
        <f t="shared" si="8"/>
        <v>0</v>
      </c>
      <c r="P25" s="40"/>
      <c r="Q25" s="40"/>
      <c r="R25" s="40"/>
      <c r="S25" s="40"/>
      <c r="V25" s="4">
        <v>23</v>
      </c>
      <c r="W25" s="4">
        <v>1150527</v>
      </c>
      <c r="X25" s="4">
        <v>1150521</v>
      </c>
      <c r="Y25" s="8" t="s">
        <v>2050</v>
      </c>
      <c r="Z25" s="28">
        <v>80</v>
      </c>
      <c r="AA25" s="40" t="s">
        <v>2043</v>
      </c>
      <c r="AB25" s="40"/>
      <c r="AC25" s="40"/>
      <c r="AD25" s="40"/>
    </row>
    <row r="26" spans="1:30" x14ac:dyDescent="0.25">
      <c r="A26" s="4">
        <v>24</v>
      </c>
      <c r="G26" s="2"/>
      <c r="H26" s="2"/>
      <c r="I26" s="49"/>
      <c r="J26" s="48"/>
      <c r="K26" s="5">
        <f t="shared" si="6"/>
        <v>0</v>
      </c>
      <c r="M26" s="6">
        <f t="shared" si="7"/>
        <v>0</v>
      </c>
      <c r="N26" s="5">
        <f t="shared" si="8"/>
        <v>0</v>
      </c>
      <c r="P26" s="40"/>
      <c r="Q26" s="40"/>
      <c r="R26" s="40"/>
      <c r="S26" s="40"/>
      <c r="V26" s="4">
        <v>24</v>
      </c>
      <c r="W26" s="4">
        <v>1150527</v>
      </c>
      <c r="Y26" s="8" t="s">
        <v>2205</v>
      </c>
      <c r="Z26" s="28">
        <v>17615</v>
      </c>
      <c r="AA26" s="40" t="s">
        <v>2043</v>
      </c>
      <c r="AB26" s="40"/>
      <c r="AC26" s="40"/>
      <c r="AD26" s="40"/>
    </row>
    <row r="27" spans="1:30" x14ac:dyDescent="0.25">
      <c r="A27" s="4">
        <v>25</v>
      </c>
      <c r="G27" s="2"/>
      <c r="H27" s="2"/>
      <c r="I27" s="49"/>
      <c r="J27" s="48"/>
      <c r="K27" s="5">
        <f t="shared" si="6"/>
        <v>0</v>
      </c>
      <c r="M27" s="6">
        <f t="shared" si="7"/>
        <v>0</v>
      </c>
      <c r="N27" s="5">
        <f t="shared" si="8"/>
        <v>0</v>
      </c>
      <c r="P27" s="40"/>
      <c r="Q27" s="40"/>
      <c r="R27" s="40"/>
      <c r="S27" s="40"/>
      <c r="V27" s="4">
        <v>25</v>
      </c>
      <c r="W27" s="4">
        <v>1150529</v>
      </c>
      <c r="X27" s="4">
        <v>1150529</v>
      </c>
      <c r="Y27" s="8" t="s">
        <v>2216</v>
      </c>
      <c r="Z27" s="28">
        <v>547492</v>
      </c>
      <c r="AA27" s="40" t="s">
        <v>1343</v>
      </c>
      <c r="AB27" s="40"/>
      <c r="AC27" s="40"/>
      <c r="AD27" s="40"/>
    </row>
    <row r="28" spans="1:30" x14ac:dyDescent="0.25">
      <c r="A28" s="4">
        <v>26</v>
      </c>
      <c r="G28" s="2"/>
      <c r="H28" s="2"/>
      <c r="I28" s="49"/>
      <c r="J28" s="48"/>
      <c r="K28" s="5">
        <f t="shared" si="6"/>
        <v>0</v>
      </c>
      <c r="M28" s="6">
        <f t="shared" si="7"/>
        <v>0</v>
      </c>
      <c r="N28" s="5">
        <f t="shared" si="8"/>
        <v>0</v>
      </c>
      <c r="P28" s="40"/>
      <c r="Q28" s="40"/>
      <c r="R28" s="40"/>
      <c r="S28" s="40"/>
      <c r="V28" s="4">
        <v>26</v>
      </c>
      <c r="W28" s="4">
        <v>1150529</v>
      </c>
      <c r="Y28" s="8" t="s">
        <v>2217</v>
      </c>
      <c r="Z28" s="28">
        <v>10620</v>
      </c>
      <c r="AA28" s="40" t="s">
        <v>1343</v>
      </c>
      <c r="AB28" s="40"/>
      <c r="AC28" s="40"/>
      <c r="AD28" s="40"/>
    </row>
    <row r="29" spans="1:30" x14ac:dyDescent="0.25">
      <c r="A29" s="4">
        <v>27</v>
      </c>
      <c r="G29" s="2"/>
      <c r="H29" s="2"/>
      <c r="I29" s="49"/>
      <c r="J29" s="48"/>
      <c r="K29" s="5">
        <f t="shared" si="6"/>
        <v>0</v>
      </c>
      <c r="M29" s="6">
        <f t="shared" si="7"/>
        <v>0</v>
      </c>
      <c r="N29" s="5">
        <f t="shared" si="8"/>
        <v>0</v>
      </c>
      <c r="P29" s="40"/>
      <c r="Q29" s="40"/>
      <c r="R29" s="40"/>
      <c r="S29" s="40"/>
      <c r="V29" s="4">
        <v>27</v>
      </c>
      <c r="W29" s="4">
        <v>1150529</v>
      </c>
      <c r="Y29" s="8" t="s">
        <v>2218</v>
      </c>
      <c r="Z29" s="28">
        <v>20300</v>
      </c>
      <c r="AA29" s="40" t="s">
        <v>1343</v>
      </c>
      <c r="AB29" s="40"/>
      <c r="AC29" s="40"/>
      <c r="AD29" s="40"/>
    </row>
    <row r="30" spans="1:30" x14ac:dyDescent="0.25">
      <c r="A30" s="4">
        <v>28</v>
      </c>
      <c r="G30" s="2"/>
      <c r="H30" s="2"/>
      <c r="I30" s="49"/>
      <c r="J30" s="48"/>
      <c r="K30" s="5">
        <f t="shared" si="6"/>
        <v>0</v>
      </c>
      <c r="M30" s="6">
        <f t="shared" si="7"/>
        <v>0</v>
      </c>
      <c r="N30" s="5">
        <f t="shared" si="8"/>
        <v>0</v>
      </c>
      <c r="P30" s="40"/>
      <c r="Q30" s="40"/>
      <c r="R30" s="40"/>
      <c r="S30" s="40"/>
      <c r="V30" s="4">
        <v>28</v>
      </c>
      <c r="W30" s="4">
        <v>1150530</v>
      </c>
      <c r="X30" s="4">
        <v>1150528</v>
      </c>
      <c r="Y30" s="8" t="s">
        <v>2050</v>
      </c>
      <c r="Z30" s="28">
        <v>2976</v>
      </c>
      <c r="AA30" s="40" t="s">
        <v>1343</v>
      </c>
      <c r="AB30" s="40"/>
      <c r="AC30" s="40"/>
      <c r="AD30" s="40"/>
    </row>
    <row r="31" spans="1:30" x14ac:dyDescent="0.25">
      <c r="A31" s="4">
        <v>29</v>
      </c>
      <c r="G31" s="2"/>
      <c r="H31" s="2"/>
      <c r="I31" s="49"/>
      <c r="J31" s="48"/>
      <c r="K31" s="5">
        <f t="shared" si="6"/>
        <v>0</v>
      </c>
      <c r="M31" s="6">
        <f t="shared" si="7"/>
        <v>0</v>
      </c>
      <c r="N31" s="5">
        <f t="shared" si="8"/>
        <v>0</v>
      </c>
      <c r="P31" s="40"/>
      <c r="Q31" s="40"/>
      <c r="R31" s="40"/>
      <c r="S31" s="40"/>
      <c r="V31" s="4">
        <v>29</v>
      </c>
      <c r="W31" s="4">
        <v>1150530</v>
      </c>
      <c r="X31" s="4">
        <v>1150528</v>
      </c>
      <c r="Y31" s="8" t="s">
        <v>2230</v>
      </c>
      <c r="Z31" s="28">
        <v>2800</v>
      </c>
      <c r="AA31" s="40" t="s">
        <v>1343</v>
      </c>
      <c r="AB31" s="40"/>
      <c r="AC31" s="40"/>
      <c r="AD31" s="40"/>
    </row>
    <row r="32" spans="1:30" x14ac:dyDescent="0.25">
      <c r="A32" s="4">
        <v>30</v>
      </c>
      <c r="G32" s="2"/>
      <c r="H32" s="2"/>
      <c r="I32" s="49"/>
      <c r="J32" s="48"/>
      <c r="K32" s="5">
        <f t="shared" si="6"/>
        <v>0</v>
      </c>
      <c r="M32" s="6">
        <f t="shared" si="7"/>
        <v>0</v>
      </c>
      <c r="N32" s="5">
        <f t="shared" si="8"/>
        <v>0</v>
      </c>
      <c r="P32" s="40"/>
      <c r="Q32" s="40"/>
      <c r="R32" s="40"/>
      <c r="S32" s="40"/>
      <c r="V32" s="4">
        <v>30</v>
      </c>
      <c r="W32" s="4">
        <v>1150530</v>
      </c>
      <c r="X32" s="4">
        <v>1150528</v>
      </c>
      <c r="Y32" s="8" t="s">
        <v>2050</v>
      </c>
      <c r="Z32" s="28">
        <v>16</v>
      </c>
      <c r="AA32" s="40" t="s">
        <v>1343</v>
      </c>
      <c r="AB32" s="40"/>
      <c r="AC32" s="40"/>
      <c r="AD32" s="40"/>
    </row>
    <row r="33" spans="1:30" x14ac:dyDescent="0.25">
      <c r="A33" s="4">
        <v>31</v>
      </c>
      <c r="G33" s="2"/>
      <c r="H33" s="2"/>
      <c r="I33" s="49"/>
      <c r="J33" s="48"/>
      <c r="K33" s="5">
        <f t="shared" si="6"/>
        <v>0</v>
      </c>
      <c r="M33" s="6">
        <f t="shared" si="7"/>
        <v>0</v>
      </c>
      <c r="N33" s="5">
        <f t="shared" si="8"/>
        <v>0</v>
      </c>
      <c r="P33" s="40"/>
      <c r="Q33" s="40"/>
      <c r="R33" s="40"/>
      <c r="S33" s="40"/>
      <c r="V33" s="4">
        <v>31</v>
      </c>
      <c r="W33" s="4">
        <v>1150530</v>
      </c>
      <c r="X33" s="4">
        <v>1150529</v>
      </c>
      <c r="Y33" s="8" t="s">
        <v>2230</v>
      </c>
      <c r="Z33" s="28">
        <v>800</v>
      </c>
      <c r="AA33" s="40" t="s">
        <v>1343</v>
      </c>
      <c r="AB33" s="40"/>
      <c r="AC33" s="40"/>
      <c r="AD33" s="40"/>
    </row>
    <row r="34" spans="1:30" x14ac:dyDescent="0.25">
      <c r="A34" s="4">
        <v>32</v>
      </c>
      <c r="G34" s="2"/>
      <c r="H34" s="2"/>
      <c r="I34" s="49"/>
      <c r="J34" s="48"/>
      <c r="K34" s="5">
        <f t="shared" si="6"/>
        <v>0</v>
      </c>
      <c r="M34" s="6">
        <f t="shared" si="7"/>
        <v>0</v>
      </c>
      <c r="N34" s="5">
        <f t="shared" si="8"/>
        <v>0</v>
      </c>
      <c r="P34" s="40"/>
      <c r="Q34" s="40"/>
      <c r="R34" s="40"/>
      <c r="S34" s="40"/>
      <c r="V34" s="4">
        <v>32</v>
      </c>
      <c r="W34" s="4">
        <v>1150530</v>
      </c>
      <c r="X34" s="4">
        <v>1150529</v>
      </c>
      <c r="Y34" s="8" t="s">
        <v>2231</v>
      </c>
      <c r="Z34" s="28">
        <v>750</v>
      </c>
      <c r="AA34" s="40" t="s">
        <v>1343</v>
      </c>
      <c r="AB34" s="40"/>
      <c r="AC34" s="40"/>
      <c r="AD34" s="40"/>
    </row>
    <row r="35" spans="1:30" x14ac:dyDescent="0.25">
      <c r="A35" s="4">
        <v>33</v>
      </c>
      <c r="G35" s="2"/>
      <c r="H35" s="2"/>
      <c r="I35" s="49"/>
      <c r="J35" s="48"/>
      <c r="K35" s="5">
        <f t="shared" si="6"/>
        <v>0</v>
      </c>
      <c r="M35" s="6">
        <f t="shared" si="7"/>
        <v>0</v>
      </c>
      <c r="N35" s="5">
        <f t="shared" si="8"/>
        <v>0</v>
      </c>
      <c r="P35" s="40"/>
      <c r="Q35" s="40"/>
      <c r="R35" s="40"/>
      <c r="S35" s="40"/>
      <c r="V35" s="4">
        <v>33</v>
      </c>
      <c r="W35" s="4">
        <v>1150530</v>
      </c>
      <c r="Y35" s="8" t="s">
        <v>2232</v>
      </c>
      <c r="Z35" s="28"/>
      <c r="AA35" s="40" t="s">
        <v>1343</v>
      </c>
      <c r="AB35" s="40"/>
      <c r="AC35" s="40"/>
      <c r="AD35" s="40"/>
    </row>
    <row r="36" spans="1:30" x14ac:dyDescent="0.25">
      <c r="A36" s="4">
        <v>34</v>
      </c>
      <c r="G36" s="2"/>
      <c r="H36" s="2"/>
      <c r="I36" s="49"/>
      <c r="J36" s="48"/>
      <c r="K36" s="5">
        <f t="shared" si="6"/>
        <v>0</v>
      </c>
      <c r="M36" s="6">
        <f t="shared" si="7"/>
        <v>0</v>
      </c>
      <c r="N36" s="5">
        <f t="shared" si="8"/>
        <v>0</v>
      </c>
      <c r="P36" s="40"/>
      <c r="Q36" s="40"/>
      <c r="R36" s="40"/>
      <c r="S36" s="40"/>
      <c r="V36" s="4">
        <v>34</v>
      </c>
      <c r="W36" s="4">
        <v>1150530</v>
      </c>
      <c r="X36" s="4">
        <v>1150516</v>
      </c>
      <c r="Y36" s="8" t="s">
        <v>2232</v>
      </c>
      <c r="Z36" s="28">
        <v>990</v>
      </c>
      <c r="AA36" s="40" t="s">
        <v>1343</v>
      </c>
      <c r="AB36" s="40"/>
      <c r="AC36" s="40"/>
      <c r="AD36" s="40"/>
    </row>
    <row r="37" spans="1:30" x14ac:dyDescent="0.25">
      <c r="A37" s="4">
        <v>35</v>
      </c>
      <c r="G37" s="2"/>
      <c r="H37" s="2"/>
      <c r="I37" s="49"/>
      <c r="J37" s="48"/>
      <c r="K37" s="5">
        <f t="shared" si="6"/>
        <v>0</v>
      </c>
      <c r="M37" s="6">
        <f t="shared" si="7"/>
        <v>0</v>
      </c>
      <c r="N37" s="5">
        <f t="shared" si="8"/>
        <v>0</v>
      </c>
      <c r="P37" s="40"/>
      <c r="Q37" s="40"/>
      <c r="R37" s="40"/>
      <c r="S37" s="40"/>
      <c r="V37" s="4">
        <v>35</v>
      </c>
      <c r="W37" s="4">
        <v>1150530</v>
      </c>
      <c r="X37" s="4">
        <v>1150525</v>
      </c>
      <c r="Y37" s="8" t="s">
        <v>2232</v>
      </c>
      <c r="Z37" s="28">
        <v>2850</v>
      </c>
      <c r="AA37" s="40" t="s">
        <v>1343</v>
      </c>
      <c r="AB37" s="40"/>
      <c r="AC37" s="40"/>
      <c r="AD37" s="40"/>
    </row>
    <row r="38" spans="1:30" x14ac:dyDescent="0.25">
      <c r="A38" s="4">
        <v>36</v>
      </c>
      <c r="G38" s="2"/>
      <c r="H38" s="2"/>
      <c r="I38" s="49"/>
      <c r="J38" s="48"/>
      <c r="K38" s="5">
        <f t="shared" si="6"/>
        <v>0</v>
      </c>
      <c r="M38" s="6">
        <f t="shared" si="7"/>
        <v>0</v>
      </c>
      <c r="N38" s="5">
        <f t="shared" si="8"/>
        <v>0</v>
      </c>
      <c r="P38" s="40"/>
      <c r="Q38" s="40"/>
      <c r="R38" s="40"/>
      <c r="S38" s="40"/>
      <c r="V38" s="4">
        <v>36</v>
      </c>
      <c r="W38" s="4">
        <v>1150530</v>
      </c>
      <c r="Y38" s="8" t="s">
        <v>2232</v>
      </c>
      <c r="Z38" s="28"/>
      <c r="AA38" s="40" t="s">
        <v>1343</v>
      </c>
      <c r="AB38" s="40"/>
      <c r="AC38" s="40"/>
      <c r="AD38" s="40"/>
    </row>
    <row r="39" spans="1:30" x14ac:dyDescent="0.25">
      <c r="A39" s="4">
        <v>37</v>
      </c>
      <c r="G39" s="2"/>
      <c r="H39" s="2"/>
      <c r="I39" s="49"/>
      <c r="J39" s="48"/>
      <c r="K39" s="5">
        <f t="shared" si="6"/>
        <v>0</v>
      </c>
      <c r="M39" s="6">
        <f t="shared" si="7"/>
        <v>0</v>
      </c>
      <c r="N39" s="5">
        <f t="shared" si="8"/>
        <v>0</v>
      </c>
      <c r="P39" s="40"/>
      <c r="Q39" s="40"/>
      <c r="R39" s="40"/>
      <c r="S39" s="40"/>
      <c r="V39" s="4">
        <v>37</v>
      </c>
      <c r="W39" s="4">
        <v>1150603</v>
      </c>
      <c r="X39" s="4">
        <v>1150601</v>
      </c>
      <c r="Y39" s="8" t="s">
        <v>2233</v>
      </c>
      <c r="Z39" s="28">
        <v>80</v>
      </c>
      <c r="AA39" s="40" t="s">
        <v>2021</v>
      </c>
      <c r="AB39" s="40"/>
      <c r="AC39" s="40"/>
      <c r="AD39" s="40"/>
    </row>
    <row r="40" spans="1:30" x14ac:dyDescent="0.25">
      <c r="A40" s="4">
        <v>38</v>
      </c>
      <c r="G40" s="2"/>
      <c r="H40" s="2"/>
      <c r="I40" s="49"/>
      <c r="J40" s="48"/>
      <c r="K40" s="5">
        <f t="shared" si="6"/>
        <v>0</v>
      </c>
      <c r="M40" s="6">
        <f t="shared" si="7"/>
        <v>0</v>
      </c>
      <c r="N40" s="5">
        <f t="shared" si="8"/>
        <v>0</v>
      </c>
      <c r="P40" s="40"/>
      <c r="Q40" s="40"/>
      <c r="R40" s="40"/>
      <c r="S40" s="40"/>
      <c r="V40" s="4">
        <v>38</v>
      </c>
      <c r="W40" s="4">
        <v>1150603</v>
      </c>
      <c r="X40" s="4">
        <v>1150601</v>
      </c>
      <c r="Y40" s="8" t="s">
        <v>2232</v>
      </c>
      <c r="Z40" s="28">
        <v>5600</v>
      </c>
      <c r="AA40" s="40" t="s">
        <v>2021</v>
      </c>
      <c r="AB40" s="40"/>
      <c r="AC40" s="40"/>
      <c r="AD40" s="40"/>
    </row>
    <row r="41" spans="1:30" x14ac:dyDescent="0.25">
      <c r="A41" s="4">
        <v>39</v>
      </c>
      <c r="G41" s="2"/>
      <c r="H41" s="2"/>
      <c r="I41" s="49"/>
      <c r="J41" s="48"/>
      <c r="K41" s="5">
        <f t="shared" si="6"/>
        <v>0</v>
      </c>
      <c r="M41" s="6">
        <f t="shared" si="7"/>
        <v>0</v>
      </c>
      <c r="N41" s="5">
        <f t="shared" si="8"/>
        <v>0</v>
      </c>
      <c r="P41" s="40"/>
      <c r="Q41" s="40"/>
      <c r="R41" s="40"/>
      <c r="S41" s="40"/>
      <c r="V41" s="4">
        <v>39</v>
      </c>
      <c r="W41" s="4">
        <v>1150603</v>
      </c>
      <c r="X41" s="4">
        <v>1150603</v>
      </c>
      <c r="Y41" s="8" t="s">
        <v>2050</v>
      </c>
      <c r="Z41" s="28">
        <v>32</v>
      </c>
      <c r="AA41" s="40" t="s">
        <v>1343</v>
      </c>
      <c r="AB41" s="40"/>
      <c r="AC41" s="40"/>
      <c r="AD41" s="40"/>
    </row>
    <row r="42" spans="1:30" x14ac:dyDescent="0.25">
      <c r="A42" s="4">
        <v>40</v>
      </c>
      <c r="G42" s="2"/>
      <c r="H42" s="2"/>
      <c r="I42" s="49"/>
      <c r="J42" s="48"/>
      <c r="K42" s="5">
        <f t="shared" ref="K42" si="9">J42*I42</f>
        <v>0</v>
      </c>
      <c r="M42" s="6">
        <f t="shared" ref="M42" si="10">L42/1.05</f>
        <v>0</v>
      </c>
      <c r="N42" s="5">
        <f t="shared" ref="N42" si="11">L42-M42</f>
        <v>0</v>
      </c>
      <c r="P42" s="40"/>
      <c r="Q42" s="40"/>
      <c r="R42" s="40"/>
      <c r="S42" s="40"/>
      <c r="V42" s="4">
        <v>40</v>
      </c>
      <c r="W42" s="4">
        <v>1150605</v>
      </c>
      <c r="X42" s="4">
        <v>1150520</v>
      </c>
      <c r="Y42" s="8" t="s">
        <v>2329</v>
      </c>
      <c r="Z42" s="28">
        <v>12808</v>
      </c>
      <c r="AA42" s="40" t="s">
        <v>1343</v>
      </c>
      <c r="AB42" s="40"/>
      <c r="AC42" s="40"/>
      <c r="AD42" s="40"/>
    </row>
    <row r="43" spans="1:30" x14ac:dyDescent="0.25">
      <c r="G43" s="2"/>
      <c r="H43" s="2"/>
      <c r="I43" s="49"/>
      <c r="J43" s="48"/>
      <c r="L43" s="101">
        <f>SUM(L3:L42)</f>
        <v>26215</v>
      </c>
      <c r="M43" s="25">
        <f>SUM(M3:M42)</f>
        <v>24966.666666666668</v>
      </c>
      <c r="N43" s="25">
        <f>SUM(N3:N42)</f>
        <v>1248</v>
      </c>
      <c r="P43" s="40"/>
      <c r="Q43" s="40"/>
      <c r="R43" s="40"/>
      <c r="S43" s="40"/>
      <c r="V43" s="4">
        <v>41</v>
      </c>
      <c r="W43" s="4">
        <v>1150605</v>
      </c>
      <c r="Y43" s="8" t="s">
        <v>2335</v>
      </c>
      <c r="Z43" s="28">
        <v>900</v>
      </c>
      <c r="AA43" s="40" t="s">
        <v>1343</v>
      </c>
      <c r="AB43" s="40"/>
      <c r="AC43" s="40"/>
      <c r="AD43" s="40"/>
    </row>
    <row r="44" spans="1:30" x14ac:dyDescent="0.25">
      <c r="G44" s="2"/>
      <c r="H44" s="2"/>
      <c r="I44" s="49"/>
      <c r="J44" s="48"/>
      <c r="V44" s="4">
        <v>42</v>
      </c>
      <c r="W44" s="4">
        <v>1150605</v>
      </c>
      <c r="X44" s="4">
        <v>1150525</v>
      </c>
      <c r="Y44" s="8" t="s">
        <v>2330</v>
      </c>
      <c r="Z44" s="28">
        <v>10650</v>
      </c>
      <c r="AA44" s="40" t="s">
        <v>1343</v>
      </c>
      <c r="AB44" s="40"/>
      <c r="AC44" s="40"/>
      <c r="AD44" s="40"/>
    </row>
    <row r="45" spans="1:30" x14ac:dyDescent="0.25">
      <c r="G45" s="2"/>
      <c r="H45" s="2"/>
      <c r="I45" s="49"/>
      <c r="J45" s="48"/>
      <c r="V45" s="4">
        <v>43</v>
      </c>
      <c r="W45" s="4">
        <v>1150605</v>
      </c>
      <c r="Y45" s="8" t="s">
        <v>2335</v>
      </c>
      <c r="Z45" s="28">
        <v>700</v>
      </c>
      <c r="AA45" s="40" t="s">
        <v>1343</v>
      </c>
      <c r="AB45" s="40"/>
      <c r="AC45" s="40"/>
      <c r="AD45" s="40"/>
    </row>
    <row r="46" spans="1:30" x14ac:dyDescent="0.25">
      <c r="G46" s="2"/>
      <c r="H46" s="2"/>
      <c r="I46" s="49"/>
      <c r="J46" s="48"/>
      <c r="V46" s="4">
        <v>44</v>
      </c>
      <c r="W46" s="4">
        <v>1150605</v>
      </c>
      <c r="X46" s="4">
        <v>1150529</v>
      </c>
      <c r="Y46" s="8" t="s">
        <v>2332</v>
      </c>
      <c r="Z46" s="28">
        <v>9343</v>
      </c>
      <c r="AA46" s="40" t="s">
        <v>1343</v>
      </c>
      <c r="AB46" s="40"/>
      <c r="AC46" s="40"/>
      <c r="AD46" s="40"/>
    </row>
    <row r="47" spans="1:30" x14ac:dyDescent="0.25">
      <c r="H47" s="2"/>
      <c r="I47" s="49"/>
      <c r="J47" s="48"/>
      <c r="V47" s="4">
        <v>45</v>
      </c>
      <c r="W47" s="4">
        <v>1150605</v>
      </c>
      <c r="X47" s="4">
        <v>1150529</v>
      </c>
      <c r="Y47" s="8" t="s">
        <v>2333</v>
      </c>
      <c r="Z47" s="28">
        <v>1000</v>
      </c>
      <c r="AA47" s="40" t="s">
        <v>1343</v>
      </c>
      <c r="AB47" s="40"/>
      <c r="AC47" s="40"/>
      <c r="AD47" s="40"/>
    </row>
    <row r="48" spans="1:30" x14ac:dyDescent="0.25">
      <c r="H48" s="2"/>
      <c r="I48" s="49"/>
      <c r="J48" s="48"/>
      <c r="V48" s="4">
        <v>46</v>
      </c>
      <c r="W48" s="4">
        <v>1150605</v>
      </c>
      <c r="X48" s="4">
        <v>1150529</v>
      </c>
      <c r="Y48" s="8" t="s">
        <v>2334</v>
      </c>
      <c r="Z48" s="28">
        <v>146</v>
      </c>
      <c r="AA48" s="40" t="s">
        <v>1343</v>
      </c>
      <c r="AB48" s="40"/>
      <c r="AC48" s="40"/>
      <c r="AD48" s="40"/>
    </row>
    <row r="49" spans="8:30" x14ac:dyDescent="0.25">
      <c r="H49" s="2"/>
      <c r="I49" s="49"/>
      <c r="J49" s="48"/>
      <c r="V49" s="4">
        <v>47</v>
      </c>
      <c r="W49" s="4">
        <v>1150605</v>
      </c>
      <c r="Y49" s="8" t="s">
        <v>2335</v>
      </c>
      <c r="Z49" s="28">
        <v>100</v>
      </c>
      <c r="AA49" s="40" t="s">
        <v>1343</v>
      </c>
      <c r="AB49" s="40"/>
      <c r="AC49" s="40"/>
      <c r="AD49" s="40"/>
    </row>
    <row r="50" spans="8:30" x14ac:dyDescent="0.25">
      <c r="H50" s="2"/>
      <c r="I50" s="49"/>
      <c r="J50" s="48"/>
      <c r="V50" s="4">
        <v>48</v>
      </c>
      <c r="W50" s="4">
        <v>1150605</v>
      </c>
      <c r="X50" s="4">
        <v>1150601</v>
      </c>
      <c r="Y50" s="8" t="s">
        <v>2336</v>
      </c>
      <c r="Z50" s="28">
        <v>68200</v>
      </c>
      <c r="AA50" s="40" t="s">
        <v>1343</v>
      </c>
      <c r="AB50" s="40"/>
      <c r="AC50" s="40"/>
      <c r="AD50" s="40"/>
    </row>
    <row r="51" spans="8:30" x14ac:dyDescent="0.25">
      <c r="H51" s="2"/>
      <c r="I51" s="49"/>
      <c r="J51" s="48"/>
      <c r="V51" s="4">
        <v>49</v>
      </c>
      <c r="W51" s="4">
        <v>1150609</v>
      </c>
      <c r="X51" s="4">
        <v>1150609</v>
      </c>
      <c r="Y51" s="8" t="s">
        <v>2337</v>
      </c>
      <c r="Z51" s="28">
        <v>600</v>
      </c>
      <c r="AA51" s="40" t="s">
        <v>2021</v>
      </c>
      <c r="AB51" s="40"/>
      <c r="AC51" s="40"/>
      <c r="AD51" s="40"/>
    </row>
    <row r="52" spans="8:30" x14ac:dyDescent="0.25">
      <c r="H52" s="2"/>
      <c r="I52" s="49"/>
      <c r="J52" s="48"/>
      <c r="V52" s="4">
        <v>50</v>
      </c>
      <c r="W52" s="4">
        <v>1150609</v>
      </c>
      <c r="X52" s="4">
        <v>1150609</v>
      </c>
      <c r="Y52" s="8" t="s">
        <v>2340</v>
      </c>
      <c r="Z52" s="28">
        <v>300</v>
      </c>
      <c r="AA52" s="40" t="s">
        <v>2021</v>
      </c>
      <c r="AB52" s="40"/>
      <c r="AC52" s="40"/>
      <c r="AD52" s="40"/>
    </row>
    <row r="53" spans="8:30" x14ac:dyDescent="0.25">
      <c r="H53" s="2"/>
      <c r="I53" s="49"/>
      <c r="J53" s="48"/>
      <c r="V53" s="4">
        <v>51</v>
      </c>
      <c r="Z53" s="28"/>
      <c r="AB53" s="40"/>
      <c r="AC53" s="40"/>
      <c r="AD53" s="40"/>
    </row>
    <row r="54" spans="8:30" x14ac:dyDescent="0.25">
      <c r="H54" s="2"/>
      <c r="I54" s="49"/>
      <c r="J54" s="48"/>
      <c r="V54" s="4">
        <v>52</v>
      </c>
      <c r="Z54" s="28"/>
      <c r="AB54" s="40"/>
      <c r="AC54" s="40"/>
      <c r="AD54" s="40"/>
    </row>
    <row r="55" spans="8:30" x14ac:dyDescent="0.25">
      <c r="H55" s="2"/>
      <c r="I55" s="49"/>
      <c r="J55" s="48"/>
      <c r="V55" s="4">
        <v>53</v>
      </c>
      <c r="Z55" s="28"/>
      <c r="AB55" s="40"/>
      <c r="AC55" s="40"/>
      <c r="AD55" s="40"/>
    </row>
    <row r="56" spans="8:30" x14ac:dyDescent="0.25">
      <c r="H56" s="2"/>
      <c r="I56" s="49"/>
      <c r="J56" s="48"/>
      <c r="V56" s="4">
        <v>54</v>
      </c>
      <c r="Z56" s="28"/>
      <c r="AB56" s="40"/>
      <c r="AC56" s="40"/>
      <c r="AD56" s="40"/>
    </row>
    <row r="57" spans="8:30" x14ac:dyDescent="0.25">
      <c r="H57" s="2"/>
      <c r="I57" s="49"/>
      <c r="J57" s="48"/>
      <c r="V57" s="4">
        <v>55</v>
      </c>
      <c r="Z57" s="28"/>
      <c r="AB57" s="40"/>
      <c r="AC57" s="40"/>
      <c r="AD57" s="40"/>
    </row>
    <row r="58" spans="8:30" x14ac:dyDescent="0.25">
      <c r="H58" s="2"/>
      <c r="I58" s="49"/>
      <c r="J58" s="48"/>
      <c r="V58" s="4">
        <v>56</v>
      </c>
      <c r="Z58" s="28"/>
      <c r="AB58" s="40"/>
      <c r="AC58" s="40"/>
      <c r="AD58" s="40"/>
    </row>
    <row r="59" spans="8:30" x14ac:dyDescent="0.25">
      <c r="H59" s="2"/>
      <c r="I59" s="49"/>
      <c r="J59" s="48"/>
      <c r="V59" s="4">
        <v>57</v>
      </c>
      <c r="Z59" s="28"/>
      <c r="AB59" s="40"/>
      <c r="AC59" s="40"/>
      <c r="AD59" s="40"/>
    </row>
    <row r="60" spans="8:30" x14ac:dyDescent="0.25">
      <c r="H60" s="2"/>
      <c r="I60" s="49"/>
      <c r="J60" s="48"/>
      <c r="V60" s="4">
        <v>58</v>
      </c>
      <c r="Z60" s="28"/>
      <c r="AB60" s="40"/>
      <c r="AC60" s="40"/>
      <c r="AD60" s="40"/>
    </row>
    <row r="61" spans="8:30" x14ac:dyDescent="0.25">
      <c r="H61" s="2"/>
      <c r="I61" s="49"/>
      <c r="J61" s="48"/>
      <c r="V61" s="4">
        <v>59</v>
      </c>
      <c r="Z61" s="28"/>
      <c r="AB61" s="40"/>
      <c r="AC61" s="40"/>
      <c r="AD61" s="40"/>
    </row>
    <row r="62" spans="8:30" x14ac:dyDescent="0.25">
      <c r="H62" s="2"/>
      <c r="I62" s="49"/>
      <c r="J62" s="48"/>
      <c r="V62" s="4">
        <v>60</v>
      </c>
      <c r="Z62" s="28"/>
      <c r="AB62" s="40"/>
      <c r="AC62" s="40"/>
      <c r="AD62" s="40"/>
    </row>
    <row r="63" spans="8:30" x14ac:dyDescent="0.25">
      <c r="H63" s="2"/>
      <c r="I63" s="49"/>
      <c r="J63" s="48"/>
      <c r="V63" s="4">
        <v>61</v>
      </c>
      <c r="Z63" s="28"/>
      <c r="AB63" s="40"/>
      <c r="AC63" s="40"/>
      <c r="AD63" s="40"/>
    </row>
    <row r="64" spans="8:30" x14ac:dyDescent="0.25">
      <c r="H64" s="2"/>
      <c r="I64" s="49"/>
      <c r="J64" s="48"/>
      <c r="V64" s="4">
        <v>62</v>
      </c>
      <c r="Z64" s="28"/>
      <c r="AB64" s="40"/>
      <c r="AC64" s="40"/>
      <c r="AD64" s="40"/>
    </row>
    <row r="65" spans="8:30" x14ac:dyDescent="0.25">
      <c r="H65" s="2"/>
      <c r="I65" s="49"/>
      <c r="J65" s="48"/>
      <c r="V65" s="4">
        <v>63</v>
      </c>
      <c r="Z65" s="28"/>
      <c r="AB65" s="40"/>
      <c r="AC65" s="40"/>
      <c r="AD65" s="40"/>
    </row>
    <row r="66" spans="8:30" x14ac:dyDescent="0.25">
      <c r="H66" s="2"/>
      <c r="I66" s="49"/>
      <c r="J66" s="48"/>
      <c r="V66" s="4">
        <v>64</v>
      </c>
      <c r="Z66" s="28"/>
      <c r="AB66" s="40"/>
      <c r="AC66" s="40"/>
      <c r="AD66" s="40"/>
    </row>
    <row r="67" spans="8:30" x14ac:dyDescent="0.25">
      <c r="H67" s="2"/>
      <c r="I67" s="49"/>
      <c r="J67" s="48"/>
      <c r="V67" s="4">
        <v>65</v>
      </c>
      <c r="Z67" s="28"/>
      <c r="AB67" s="40"/>
      <c r="AC67" s="40"/>
      <c r="AD67" s="40"/>
    </row>
    <row r="68" spans="8:30" x14ac:dyDescent="0.25">
      <c r="H68" s="2"/>
      <c r="I68" s="49"/>
      <c r="J68" s="48"/>
      <c r="V68" s="4">
        <v>66</v>
      </c>
      <c r="Z68" s="28"/>
      <c r="AB68" s="40"/>
      <c r="AC68" s="40"/>
      <c r="AD68" s="40"/>
    </row>
    <row r="69" spans="8:30" x14ac:dyDescent="0.25">
      <c r="H69" s="2"/>
      <c r="I69" s="49"/>
      <c r="J69" s="48"/>
      <c r="V69" s="4">
        <v>67</v>
      </c>
      <c r="Z69" s="28"/>
      <c r="AB69" s="40"/>
      <c r="AC69" s="40"/>
      <c r="AD69" s="40"/>
    </row>
    <row r="70" spans="8:30" x14ac:dyDescent="0.25">
      <c r="H70" s="2"/>
      <c r="I70" s="49"/>
      <c r="J70" s="48"/>
      <c r="V70" s="4">
        <v>68</v>
      </c>
      <c r="Z70" s="28"/>
      <c r="AB70" s="40"/>
      <c r="AC70" s="40"/>
      <c r="AD70" s="40"/>
    </row>
    <row r="71" spans="8:30" x14ac:dyDescent="0.25">
      <c r="H71" s="2"/>
      <c r="I71" s="49"/>
      <c r="J71" s="48"/>
      <c r="V71" s="4">
        <v>69</v>
      </c>
      <c r="Z71" s="28"/>
      <c r="AB71" s="40"/>
      <c r="AC71" s="40"/>
      <c r="AD71" s="40"/>
    </row>
    <row r="72" spans="8:30" x14ac:dyDescent="0.25">
      <c r="H72" s="2"/>
      <c r="I72" s="49"/>
      <c r="J72" s="48"/>
      <c r="V72" s="4">
        <v>70</v>
      </c>
      <c r="Z72" s="28"/>
      <c r="AB72" s="40"/>
      <c r="AC72" s="40"/>
      <c r="AD72" s="40"/>
    </row>
    <row r="73" spans="8:30" x14ac:dyDescent="0.25">
      <c r="H73" s="2"/>
      <c r="I73" s="49"/>
      <c r="J73" s="48"/>
      <c r="V73" s="4">
        <v>71</v>
      </c>
      <c r="Z73" s="28"/>
      <c r="AB73" s="40"/>
      <c r="AC73" s="40"/>
      <c r="AD73" s="40"/>
    </row>
    <row r="74" spans="8:30" x14ac:dyDescent="0.25">
      <c r="H74" s="2"/>
      <c r="I74" s="49"/>
      <c r="J74" s="48"/>
      <c r="V74" s="4">
        <v>72</v>
      </c>
      <c r="Z74" s="28"/>
      <c r="AB74" s="40"/>
      <c r="AC74" s="40"/>
      <c r="AD74" s="40"/>
    </row>
    <row r="75" spans="8:30" x14ac:dyDescent="0.25">
      <c r="H75" s="2"/>
      <c r="I75" s="49"/>
      <c r="J75" s="48"/>
      <c r="V75" s="4">
        <v>73</v>
      </c>
      <c r="Z75" s="28"/>
      <c r="AB75" s="40"/>
      <c r="AC75" s="40"/>
      <c r="AD75" s="40"/>
    </row>
    <row r="76" spans="8:30" x14ac:dyDescent="0.25">
      <c r="H76" s="2"/>
      <c r="I76" s="49"/>
      <c r="J76" s="48"/>
      <c r="V76" s="4">
        <v>74</v>
      </c>
      <c r="Z76" s="28"/>
      <c r="AB76" s="40"/>
      <c r="AC76" s="40"/>
      <c r="AD76" s="40"/>
    </row>
    <row r="77" spans="8:30" x14ac:dyDescent="0.25">
      <c r="H77" s="2"/>
      <c r="I77" s="49"/>
      <c r="J77" s="48"/>
      <c r="V77" s="4">
        <v>75</v>
      </c>
      <c r="Z77" s="28"/>
      <c r="AB77" s="40"/>
      <c r="AC77" s="40"/>
      <c r="AD77" s="40"/>
    </row>
    <row r="78" spans="8:30" x14ac:dyDescent="0.25">
      <c r="H78" s="2"/>
      <c r="I78" s="49"/>
      <c r="J78" s="48"/>
      <c r="V78" s="4">
        <v>76</v>
      </c>
      <c r="Z78" s="28"/>
      <c r="AB78" s="40"/>
      <c r="AC78" s="40"/>
      <c r="AD78" s="40"/>
    </row>
    <row r="79" spans="8:30" x14ac:dyDescent="0.25">
      <c r="H79" s="2"/>
      <c r="I79" s="49"/>
      <c r="J79" s="48"/>
      <c r="V79" s="4">
        <v>77</v>
      </c>
      <c r="Z79" s="28"/>
      <c r="AB79" s="40"/>
      <c r="AC79" s="40"/>
      <c r="AD79" s="40"/>
    </row>
    <row r="80" spans="8:30" x14ac:dyDescent="0.25">
      <c r="H80" s="2"/>
      <c r="I80" s="49"/>
      <c r="J80" s="48"/>
      <c r="V80" s="4">
        <v>78</v>
      </c>
      <c r="Z80" s="28"/>
      <c r="AB80" s="40"/>
      <c r="AC80" s="40"/>
      <c r="AD80" s="40"/>
    </row>
    <row r="81" spans="8:30" x14ac:dyDescent="0.25">
      <c r="H81" s="2"/>
      <c r="I81" s="49"/>
      <c r="J81" s="48"/>
      <c r="V81" s="4">
        <v>79</v>
      </c>
      <c r="Z81" s="28"/>
      <c r="AB81" s="40"/>
      <c r="AC81" s="40"/>
      <c r="AD81" s="40"/>
    </row>
    <row r="82" spans="8:30" x14ac:dyDescent="0.25">
      <c r="H82" s="2"/>
      <c r="I82" s="49"/>
      <c r="J82" s="48"/>
      <c r="V82" s="4">
        <v>80</v>
      </c>
      <c r="Z82" s="28"/>
      <c r="AB82" s="40"/>
      <c r="AC82" s="40"/>
      <c r="AD82" s="40"/>
    </row>
    <row r="83" spans="8:30" x14ac:dyDescent="0.25">
      <c r="H83" s="2"/>
      <c r="I83" s="49"/>
      <c r="J83" s="48"/>
      <c r="V83" s="4">
        <v>81</v>
      </c>
      <c r="Z83" s="28"/>
      <c r="AB83" s="40"/>
      <c r="AC83" s="40"/>
      <c r="AD83" s="40"/>
    </row>
    <row r="84" spans="8:30" x14ac:dyDescent="0.25">
      <c r="H84" s="2"/>
      <c r="I84" s="49"/>
      <c r="J84" s="48"/>
      <c r="V84" s="4">
        <v>82</v>
      </c>
      <c r="Z84" s="28"/>
      <c r="AB84" s="40"/>
      <c r="AC84" s="40"/>
      <c r="AD84" s="40"/>
    </row>
    <row r="85" spans="8:30" x14ac:dyDescent="0.25">
      <c r="H85" s="2"/>
      <c r="I85" s="49"/>
      <c r="J85" s="48"/>
      <c r="V85" s="4">
        <v>83</v>
      </c>
      <c r="Z85" s="28"/>
      <c r="AB85" s="40"/>
      <c r="AC85" s="40"/>
      <c r="AD85" s="40"/>
    </row>
    <row r="86" spans="8:30" x14ac:dyDescent="0.25">
      <c r="H86" s="2"/>
      <c r="I86" s="49"/>
      <c r="J86" s="48"/>
      <c r="V86" s="4">
        <v>84</v>
      </c>
      <c r="Z86" s="28"/>
      <c r="AB86" s="40"/>
      <c r="AC86" s="40"/>
      <c r="AD86" s="40"/>
    </row>
    <row r="87" spans="8:30" x14ac:dyDescent="0.25">
      <c r="H87" s="2"/>
      <c r="I87" s="49"/>
      <c r="J87" s="48"/>
      <c r="V87" s="4">
        <v>85</v>
      </c>
      <c r="Z87" s="28"/>
      <c r="AB87" s="40"/>
      <c r="AC87" s="40"/>
      <c r="AD87" s="40"/>
    </row>
    <row r="88" spans="8:30" x14ac:dyDescent="0.25">
      <c r="H88" s="2"/>
      <c r="I88" s="49"/>
      <c r="J88" s="48"/>
      <c r="V88" s="4">
        <v>86</v>
      </c>
      <c r="Z88" s="28"/>
      <c r="AB88" s="40"/>
      <c r="AC88" s="40"/>
      <c r="AD88" s="40"/>
    </row>
    <row r="89" spans="8:30" x14ac:dyDescent="0.25">
      <c r="H89" s="2"/>
      <c r="I89" s="49"/>
      <c r="J89" s="48"/>
      <c r="V89" s="4">
        <v>87</v>
      </c>
      <c r="Z89" s="28"/>
      <c r="AB89" s="40"/>
      <c r="AC89" s="40"/>
      <c r="AD89" s="40"/>
    </row>
    <row r="90" spans="8:30" x14ac:dyDescent="0.25">
      <c r="H90" s="2"/>
      <c r="I90" s="49"/>
      <c r="J90" s="48"/>
      <c r="V90" s="4">
        <v>88</v>
      </c>
      <c r="Z90" s="28"/>
      <c r="AB90" s="40"/>
      <c r="AC90" s="40"/>
      <c r="AD90" s="40"/>
    </row>
    <row r="91" spans="8:30" x14ac:dyDescent="0.25">
      <c r="H91" s="2"/>
      <c r="I91" s="49"/>
      <c r="J91" s="48"/>
      <c r="V91" s="4">
        <v>89</v>
      </c>
      <c r="Z91" s="28"/>
      <c r="AB91" s="40"/>
      <c r="AC91" s="40"/>
      <c r="AD91" s="40"/>
    </row>
    <row r="92" spans="8:30" x14ac:dyDescent="0.25">
      <c r="H92" s="2"/>
      <c r="I92" s="49"/>
      <c r="J92" s="48"/>
      <c r="V92" s="4">
        <v>90</v>
      </c>
      <c r="Z92" s="28"/>
      <c r="AB92" s="40"/>
      <c r="AC92" s="40"/>
      <c r="AD92" s="40"/>
    </row>
    <row r="93" spans="8:30" x14ac:dyDescent="0.25">
      <c r="H93" s="2"/>
      <c r="I93" s="49"/>
      <c r="J93" s="48"/>
      <c r="V93" s="4">
        <v>91</v>
      </c>
      <c r="Z93" s="28"/>
      <c r="AB93" s="40"/>
      <c r="AC93" s="40"/>
      <c r="AD93" s="40"/>
    </row>
    <row r="94" spans="8:30" x14ac:dyDescent="0.25">
      <c r="H94" s="2"/>
      <c r="I94" s="49"/>
      <c r="J94" s="48"/>
      <c r="V94" s="4">
        <v>92</v>
      </c>
      <c r="Z94" s="28"/>
      <c r="AB94" s="40"/>
      <c r="AC94" s="40"/>
      <c r="AD94" s="40"/>
    </row>
    <row r="95" spans="8:30" x14ac:dyDescent="0.25">
      <c r="H95" s="2"/>
      <c r="I95" s="49"/>
      <c r="J95" s="48"/>
      <c r="V95" s="4">
        <v>93</v>
      </c>
      <c r="Z95" s="28"/>
      <c r="AB95" s="40"/>
      <c r="AC95" s="40"/>
      <c r="AD95" s="40"/>
    </row>
    <row r="96" spans="8:30" x14ac:dyDescent="0.25">
      <c r="H96" s="2"/>
      <c r="I96" s="49"/>
      <c r="J96" s="48"/>
      <c r="V96" s="4">
        <v>94</v>
      </c>
      <c r="Z96" s="28"/>
      <c r="AB96" s="40"/>
      <c r="AC96" s="40"/>
      <c r="AD96" s="40"/>
    </row>
    <row r="97" spans="8:30" x14ac:dyDescent="0.25">
      <c r="H97" s="2"/>
      <c r="I97" s="49"/>
      <c r="J97" s="48"/>
      <c r="V97" s="4">
        <v>95</v>
      </c>
      <c r="Z97" s="28"/>
      <c r="AB97" s="40"/>
      <c r="AC97" s="40"/>
      <c r="AD97" s="40"/>
    </row>
    <row r="98" spans="8:30" x14ac:dyDescent="0.25">
      <c r="H98" s="2"/>
      <c r="I98" s="49"/>
      <c r="J98" s="48"/>
      <c r="V98" s="4">
        <v>96</v>
      </c>
      <c r="Z98" s="28"/>
      <c r="AB98" s="40"/>
      <c r="AC98" s="40"/>
      <c r="AD98" s="40"/>
    </row>
    <row r="99" spans="8:30" x14ac:dyDescent="0.25">
      <c r="H99" s="2"/>
      <c r="I99" s="49"/>
      <c r="J99" s="48"/>
      <c r="V99" s="4">
        <v>97</v>
      </c>
      <c r="Z99" s="28"/>
      <c r="AB99" s="40"/>
      <c r="AC99" s="40"/>
      <c r="AD99" s="40"/>
    </row>
    <row r="100" spans="8:30" x14ac:dyDescent="0.25">
      <c r="H100" s="2"/>
      <c r="I100" s="49"/>
      <c r="J100" s="48"/>
      <c r="V100" s="4">
        <v>98</v>
      </c>
      <c r="Z100" s="28"/>
      <c r="AB100" s="40"/>
      <c r="AC100" s="40"/>
      <c r="AD100" s="40"/>
    </row>
    <row r="101" spans="8:30" x14ac:dyDescent="0.25">
      <c r="H101" s="2"/>
      <c r="I101" s="49"/>
      <c r="J101" s="48"/>
      <c r="V101" s="4">
        <v>99</v>
      </c>
      <c r="W101" s="23"/>
      <c r="X101" s="23"/>
      <c r="Y101" s="37"/>
      <c r="Z101" s="28"/>
      <c r="AB101" s="40"/>
      <c r="AC101" s="40"/>
      <c r="AD101" s="40"/>
    </row>
    <row r="102" spans="8:30" x14ac:dyDescent="0.25">
      <c r="H102" s="2"/>
      <c r="I102" s="49"/>
      <c r="J102" s="48"/>
      <c r="V102" s="23">
        <v>100</v>
      </c>
      <c r="Z102" s="28"/>
      <c r="AB102" s="40"/>
      <c r="AC102" s="40"/>
      <c r="AD102" s="40"/>
    </row>
    <row r="103" spans="8:30" x14ac:dyDescent="0.25">
      <c r="H103" s="2"/>
      <c r="I103" s="49"/>
      <c r="J103" s="48"/>
      <c r="V103" s="4">
        <v>101</v>
      </c>
      <c r="Z103" s="28"/>
      <c r="AB103" s="40"/>
      <c r="AC103" s="40"/>
      <c r="AD103" s="40"/>
    </row>
    <row r="104" spans="8:30" x14ac:dyDescent="0.25">
      <c r="H104" s="2"/>
      <c r="I104" s="49"/>
      <c r="J104" s="48"/>
      <c r="V104" s="4">
        <v>102</v>
      </c>
      <c r="Z104" s="28"/>
      <c r="AB104" s="40"/>
      <c r="AC104" s="40"/>
      <c r="AD104" s="40"/>
    </row>
    <row r="105" spans="8:30" x14ac:dyDescent="0.25">
      <c r="H105" s="2"/>
      <c r="I105" s="49"/>
      <c r="J105" s="48"/>
      <c r="V105" s="4">
        <v>103</v>
      </c>
      <c r="Z105" s="28"/>
      <c r="AB105" s="40"/>
      <c r="AC105" s="40"/>
      <c r="AD105" s="40"/>
    </row>
    <row r="106" spans="8:30" x14ac:dyDescent="0.25">
      <c r="H106" s="2"/>
      <c r="I106" s="49"/>
      <c r="J106" s="48"/>
      <c r="V106" s="4">
        <v>104</v>
      </c>
      <c r="Z106" s="28"/>
      <c r="AB106" s="40"/>
      <c r="AC106" s="40"/>
      <c r="AD106" s="40"/>
    </row>
    <row r="107" spans="8:30" x14ac:dyDescent="0.25">
      <c r="H107" s="2"/>
      <c r="I107" s="49"/>
      <c r="J107" s="48"/>
      <c r="V107" s="4">
        <v>105</v>
      </c>
      <c r="Z107" s="28"/>
      <c r="AB107" s="40"/>
      <c r="AC107" s="40"/>
      <c r="AD107" s="40"/>
    </row>
    <row r="108" spans="8:30" x14ac:dyDescent="0.25">
      <c r="H108" s="2"/>
      <c r="I108" s="49"/>
      <c r="J108" s="48"/>
      <c r="V108" s="4">
        <v>106</v>
      </c>
      <c r="Z108" s="28"/>
      <c r="AB108" s="40"/>
      <c r="AC108" s="40"/>
      <c r="AD108" s="40"/>
    </row>
    <row r="109" spans="8:30" x14ac:dyDescent="0.25">
      <c r="H109" s="2"/>
      <c r="I109" s="49"/>
      <c r="J109" s="48"/>
      <c r="V109" s="4">
        <v>107</v>
      </c>
      <c r="Z109" s="28"/>
      <c r="AB109" s="40"/>
      <c r="AC109" s="40"/>
      <c r="AD109" s="40"/>
    </row>
    <row r="110" spans="8:30" x14ac:dyDescent="0.25">
      <c r="H110" s="2"/>
      <c r="I110" s="49"/>
      <c r="J110" s="48"/>
      <c r="V110" s="4">
        <v>108</v>
      </c>
      <c r="Z110" s="28"/>
      <c r="AB110" s="40"/>
      <c r="AC110" s="40"/>
      <c r="AD110" s="40"/>
    </row>
    <row r="111" spans="8:30" x14ac:dyDescent="0.25">
      <c r="H111" s="2"/>
      <c r="I111" s="49"/>
      <c r="J111" s="48"/>
      <c r="V111" s="4">
        <v>109</v>
      </c>
      <c r="Z111" s="28"/>
      <c r="AB111" s="40"/>
      <c r="AC111" s="40"/>
      <c r="AD111" s="40"/>
    </row>
    <row r="112" spans="8:30" x14ac:dyDescent="0.25">
      <c r="H112" s="2"/>
      <c r="I112" s="49"/>
      <c r="J112" s="48"/>
      <c r="V112" s="4">
        <v>110</v>
      </c>
      <c r="Z112" s="28"/>
      <c r="AB112" s="40"/>
      <c r="AC112" s="40"/>
      <c r="AD112" s="40"/>
    </row>
    <row r="113" spans="8:30" x14ac:dyDescent="0.25">
      <c r="H113" s="2"/>
      <c r="I113" s="49"/>
      <c r="J113" s="48"/>
      <c r="V113" s="4">
        <v>111</v>
      </c>
      <c r="Z113" s="28"/>
      <c r="AB113" s="40"/>
      <c r="AC113" s="40"/>
      <c r="AD113" s="40"/>
    </row>
    <row r="114" spans="8:30" x14ac:dyDescent="0.25">
      <c r="H114" s="2"/>
      <c r="I114" s="49"/>
      <c r="J114" s="48"/>
      <c r="V114" s="4">
        <v>112</v>
      </c>
      <c r="Z114" s="28"/>
      <c r="AB114" s="40"/>
      <c r="AC114" s="40"/>
      <c r="AD114" s="40"/>
    </row>
    <row r="115" spans="8:30" x14ac:dyDescent="0.25">
      <c r="H115" s="2"/>
      <c r="I115" s="49"/>
      <c r="J115" s="48"/>
      <c r="V115" s="4">
        <v>113</v>
      </c>
      <c r="Z115" s="28"/>
      <c r="AB115" s="40"/>
      <c r="AC115" s="40"/>
      <c r="AD115" s="40"/>
    </row>
    <row r="116" spans="8:30" x14ac:dyDescent="0.25">
      <c r="H116" s="2"/>
      <c r="I116" s="49"/>
      <c r="J116" s="48"/>
      <c r="V116" s="4">
        <v>114</v>
      </c>
      <c r="Z116" s="28"/>
      <c r="AB116" s="40"/>
      <c r="AC116" s="40"/>
      <c r="AD116" s="40"/>
    </row>
    <row r="117" spans="8:30" x14ac:dyDescent="0.25">
      <c r="H117" s="2"/>
      <c r="I117" s="49"/>
      <c r="J117" s="48"/>
      <c r="V117" s="4">
        <v>115</v>
      </c>
      <c r="Z117" s="28"/>
      <c r="AB117" s="40"/>
      <c r="AC117" s="40"/>
      <c r="AD117" s="40"/>
    </row>
    <row r="118" spans="8:30" x14ac:dyDescent="0.25">
      <c r="H118" s="2"/>
      <c r="I118" s="49"/>
      <c r="J118" s="48"/>
      <c r="V118" s="4">
        <v>116</v>
      </c>
      <c r="Z118" s="28"/>
      <c r="AB118" s="40"/>
      <c r="AC118" s="40"/>
      <c r="AD118" s="40"/>
    </row>
    <row r="119" spans="8:30" x14ac:dyDescent="0.25">
      <c r="H119" s="2"/>
      <c r="I119" s="49"/>
      <c r="J119" s="48"/>
      <c r="V119" s="4">
        <v>117</v>
      </c>
      <c r="Z119" s="28"/>
      <c r="AB119" s="40"/>
      <c r="AC119" s="40"/>
      <c r="AD119" s="40"/>
    </row>
    <row r="120" spans="8:30" x14ac:dyDescent="0.25">
      <c r="H120" s="2"/>
      <c r="I120" s="49"/>
      <c r="J120" s="48"/>
      <c r="V120" s="4">
        <v>118</v>
      </c>
      <c r="Z120" s="28"/>
      <c r="AB120" s="40"/>
      <c r="AC120" s="40"/>
      <c r="AD120" s="40"/>
    </row>
    <row r="121" spans="8:30" x14ac:dyDescent="0.25">
      <c r="H121" s="2"/>
      <c r="I121" s="49"/>
      <c r="J121" s="48"/>
      <c r="V121" s="4">
        <v>119</v>
      </c>
      <c r="Z121" s="28"/>
    </row>
    <row r="122" spans="8:30" x14ac:dyDescent="0.25">
      <c r="H122" s="2"/>
      <c r="I122" s="49"/>
      <c r="J122" s="48"/>
      <c r="V122" s="4">
        <v>120</v>
      </c>
      <c r="Z122" s="28"/>
    </row>
    <row r="123" spans="8:30" x14ac:dyDescent="0.25">
      <c r="H123" s="2"/>
      <c r="I123" s="49"/>
      <c r="J123" s="48"/>
      <c r="V123" s="4">
        <v>121</v>
      </c>
      <c r="Z123" s="28"/>
    </row>
    <row r="124" spans="8:30" x14ac:dyDescent="0.25">
      <c r="H124" s="2"/>
      <c r="I124" s="49"/>
      <c r="J124" s="48"/>
      <c r="V124" s="4">
        <v>122</v>
      </c>
      <c r="Z124" s="28"/>
    </row>
    <row r="125" spans="8:30" x14ac:dyDescent="0.25">
      <c r="H125" s="2"/>
      <c r="I125" s="49"/>
      <c r="J125" s="48"/>
      <c r="V125" s="4">
        <v>123</v>
      </c>
      <c r="Z125" s="28"/>
    </row>
    <row r="126" spans="8:30" x14ac:dyDescent="0.25">
      <c r="H126" s="2"/>
      <c r="I126" s="49"/>
      <c r="J126" s="48"/>
      <c r="V126" s="4">
        <v>124</v>
      </c>
      <c r="Z126" s="28"/>
    </row>
    <row r="127" spans="8:30" x14ac:dyDescent="0.25">
      <c r="H127" s="2"/>
      <c r="I127" s="49"/>
      <c r="J127" s="48"/>
      <c r="V127" s="4">
        <v>125</v>
      </c>
      <c r="Z127" s="28"/>
    </row>
    <row r="128" spans="8:30" x14ac:dyDescent="0.25">
      <c r="H128" s="2"/>
      <c r="I128" s="49"/>
      <c r="J128" s="48"/>
      <c r="V128" s="4">
        <v>126</v>
      </c>
      <c r="Z128" s="28"/>
    </row>
    <row r="129" spans="8:26" x14ac:dyDescent="0.25">
      <c r="H129" s="2"/>
      <c r="I129" s="49"/>
      <c r="J129" s="48"/>
      <c r="V129" s="4">
        <v>127</v>
      </c>
      <c r="Z129" s="28"/>
    </row>
    <row r="130" spans="8:26" x14ac:dyDescent="0.25">
      <c r="H130" s="2"/>
      <c r="I130" s="49"/>
      <c r="J130" s="48"/>
      <c r="V130" s="4">
        <v>128</v>
      </c>
      <c r="Z130" s="28"/>
    </row>
    <row r="131" spans="8:26" x14ac:dyDescent="0.25">
      <c r="H131" s="2"/>
      <c r="I131" s="49"/>
      <c r="J131" s="48"/>
      <c r="V131" s="4">
        <v>129</v>
      </c>
      <c r="Z131" s="28"/>
    </row>
    <row r="132" spans="8:26" x14ac:dyDescent="0.25">
      <c r="H132" s="2"/>
      <c r="I132" s="49"/>
      <c r="J132" s="48"/>
      <c r="V132" s="4">
        <v>130</v>
      </c>
      <c r="Z132" s="28"/>
    </row>
    <row r="133" spans="8:26" x14ac:dyDescent="0.25">
      <c r="H133" s="2"/>
      <c r="I133" s="49"/>
      <c r="J133" s="48"/>
      <c r="V133" s="4">
        <v>131</v>
      </c>
      <c r="Z133" s="28"/>
    </row>
    <row r="134" spans="8:26" x14ac:dyDescent="0.25">
      <c r="H134" s="2"/>
      <c r="I134" s="49"/>
      <c r="J134" s="48"/>
      <c r="V134" s="4">
        <v>132</v>
      </c>
      <c r="Z134" s="28"/>
    </row>
    <row r="135" spans="8:26" x14ac:dyDescent="0.25">
      <c r="H135" s="2"/>
      <c r="I135" s="49"/>
      <c r="J135" s="48"/>
      <c r="V135" s="4">
        <v>133</v>
      </c>
      <c r="Z135" s="28"/>
    </row>
    <row r="136" spans="8:26" x14ac:dyDescent="0.25">
      <c r="H136" s="2"/>
      <c r="I136" s="49"/>
      <c r="J136" s="48"/>
      <c r="V136" s="4">
        <v>134</v>
      </c>
      <c r="Z136" s="28"/>
    </row>
    <row r="137" spans="8:26" x14ac:dyDescent="0.25">
      <c r="H137" s="2"/>
      <c r="I137" s="49"/>
      <c r="J137" s="48"/>
      <c r="V137" s="4">
        <v>135</v>
      </c>
      <c r="Z137" s="28"/>
    </row>
    <row r="138" spans="8:26" x14ac:dyDescent="0.25">
      <c r="H138" s="2"/>
      <c r="I138" s="49"/>
      <c r="J138" s="48"/>
      <c r="V138" s="4">
        <v>136</v>
      </c>
      <c r="Z138" s="28"/>
    </row>
    <row r="139" spans="8:26" x14ac:dyDescent="0.25">
      <c r="H139" s="2"/>
      <c r="I139" s="49"/>
      <c r="J139" s="48"/>
      <c r="V139" s="4">
        <v>137</v>
      </c>
      <c r="Z139" s="28"/>
    </row>
    <row r="140" spans="8:26" x14ac:dyDescent="0.25">
      <c r="H140" s="2"/>
      <c r="I140" s="49"/>
      <c r="J140" s="48"/>
      <c r="V140" s="4">
        <v>138</v>
      </c>
      <c r="Z140" s="28"/>
    </row>
    <row r="141" spans="8:26" x14ac:dyDescent="0.25">
      <c r="H141" s="2"/>
      <c r="I141" s="49"/>
      <c r="J141" s="48"/>
      <c r="V141" s="4">
        <v>139</v>
      </c>
      <c r="Z141" s="28"/>
    </row>
    <row r="142" spans="8:26" x14ac:dyDescent="0.25">
      <c r="H142" s="2"/>
      <c r="I142" s="49"/>
      <c r="J142" s="48"/>
      <c r="V142" s="4">
        <v>140</v>
      </c>
      <c r="Z142" s="28"/>
    </row>
    <row r="143" spans="8:26" x14ac:dyDescent="0.25">
      <c r="H143" s="2"/>
      <c r="I143" s="49"/>
      <c r="J143" s="48"/>
      <c r="V143" s="4">
        <v>141</v>
      </c>
      <c r="Z143" s="28"/>
    </row>
    <row r="144" spans="8:26" x14ac:dyDescent="0.25">
      <c r="H144" s="2"/>
      <c r="I144" s="49"/>
      <c r="J144" s="48"/>
      <c r="V144" s="4">
        <v>142</v>
      </c>
      <c r="Z144" s="28"/>
    </row>
    <row r="145" spans="8:26" x14ac:dyDescent="0.25">
      <c r="H145" s="2"/>
      <c r="I145" s="49"/>
      <c r="J145" s="48"/>
      <c r="V145" s="4">
        <v>143</v>
      </c>
      <c r="Z145" s="28"/>
    </row>
    <row r="146" spans="8:26" x14ac:dyDescent="0.25">
      <c r="H146" s="2"/>
      <c r="I146" s="49"/>
      <c r="J146" s="48"/>
      <c r="V146" s="4">
        <v>144</v>
      </c>
      <c r="Z146" s="28"/>
    </row>
    <row r="147" spans="8:26" x14ac:dyDescent="0.25">
      <c r="H147" s="2"/>
      <c r="I147" s="49"/>
      <c r="J147" s="48"/>
      <c r="V147" s="4">
        <v>145</v>
      </c>
    </row>
    <row r="148" spans="8:26" x14ac:dyDescent="0.25">
      <c r="H148" s="2"/>
      <c r="I148" s="49"/>
      <c r="J148" s="48"/>
      <c r="Z148" s="25"/>
    </row>
    <row r="149" spans="8:26" x14ac:dyDescent="0.25">
      <c r="H149" s="2"/>
      <c r="I149" s="49"/>
      <c r="J149" s="48"/>
    </row>
    <row r="150" spans="8:26" x14ac:dyDescent="0.25">
      <c r="H150" s="2"/>
      <c r="I150" s="49"/>
      <c r="J150" s="48"/>
    </row>
    <row r="151" spans="8:26" x14ac:dyDescent="0.25">
      <c r="H151" s="2"/>
      <c r="I151" s="49"/>
      <c r="J151" s="48"/>
    </row>
    <row r="152" spans="8:26" x14ac:dyDescent="0.25">
      <c r="H152" s="2"/>
      <c r="I152" s="49"/>
      <c r="J152" s="48"/>
    </row>
    <row r="153" spans="8:26" x14ac:dyDescent="0.25">
      <c r="H153" s="2"/>
      <c r="I153" s="49"/>
      <c r="J153" s="48"/>
    </row>
    <row r="154" spans="8:26" x14ac:dyDescent="0.25">
      <c r="H154" s="2"/>
      <c r="I154" s="49"/>
      <c r="J154" s="48"/>
    </row>
    <row r="155" spans="8:26" x14ac:dyDescent="0.25">
      <c r="H155" s="2"/>
      <c r="I155" s="49"/>
      <c r="J155" s="48"/>
    </row>
    <row r="156" spans="8:26" x14ac:dyDescent="0.25">
      <c r="H156" s="2"/>
      <c r="I156" s="49"/>
      <c r="J156" s="48"/>
    </row>
    <row r="157" spans="8:26" x14ac:dyDescent="0.25">
      <c r="H157" s="2"/>
      <c r="I157" s="49"/>
      <c r="J157" s="48"/>
    </row>
    <row r="158" spans="8:26" x14ac:dyDescent="0.25">
      <c r="H158" s="2"/>
      <c r="I158" s="49"/>
      <c r="J158" s="48"/>
    </row>
    <row r="159" spans="8:26" x14ac:dyDescent="0.25">
      <c r="H159" s="2"/>
      <c r="I159" s="49"/>
      <c r="J159" s="48"/>
    </row>
    <row r="160" spans="8:26" x14ac:dyDescent="0.25">
      <c r="H160" s="2"/>
      <c r="I160" s="49"/>
      <c r="J160" s="48"/>
    </row>
    <row r="161" spans="8:10" x14ac:dyDescent="0.25">
      <c r="H161" s="2"/>
      <c r="I161" s="49"/>
      <c r="J161" s="48"/>
    </row>
    <row r="162" spans="8:10" x14ac:dyDescent="0.25">
      <c r="H162" s="2"/>
      <c r="I162" s="49"/>
      <c r="J162" s="48"/>
    </row>
    <row r="163" spans="8:10" x14ac:dyDescent="0.25">
      <c r="H163" s="2"/>
      <c r="I163" s="49"/>
      <c r="J163" s="48"/>
    </row>
    <row r="164" spans="8:10" x14ac:dyDescent="0.25">
      <c r="H164" s="2"/>
      <c r="I164" s="49"/>
      <c r="J164" s="48"/>
    </row>
    <row r="165" spans="8:10" x14ac:dyDescent="0.25">
      <c r="H165" s="2"/>
      <c r="I165" s="49"/>
      <c r="J165" s="48"/>
    </row>
    <row r="166" spans="8:10" x14ac:dyDescent="0.25">
      <c r="H166" s="2"/>
      <c r="I166" s="49"/>
      <c r="J166" s="48"/>
    </row>
    <row r="167" spans="8:10" x14ac:dyDescent="0.25">
      <c r="H167" s="2"/>
      <c r="I167" s="49"/>
      <c r="J167" s="48"/>
    </row>
    <row r="168" spans="8:10" x14ac:dyDescent="0.25">
      <c r="H168" s="2"/>
      <c r="I168" s="49"/>
      <c r="J168" s="48"/>
    </row>
    <row r="169" spans="8:10" x14ac:dyDescent="0.25">
      <c r="H169" s="2"/>
      <c r="I169" s="49"/>
      <c r="J169" s="48"/>
    </row>
    <row r="170" spans="8:10" x14ac:dyDescent="0.25">
      <c r="H170" s="2"/>
      <c r="I170" s="49"/>
      <c r="J170" s="48"/>
    </row>
    <row r="171" spans="8:10" x14ac:dyDescent="0.25">
      <c r="H171" s="2"/>
      <c r="I171" s="49"/>
      <c r="J171" s="48"/>
    </row>
    <row r="172" spans="8:10" x14ac:dyDescent="0.25">
      <c r="H172" s="2"/>
      <c r="I172" s="49"/>
      <c r="J172" s="48"/>
    </row>
    <row r="173" spans="8:10" x14ac:dyDescent="0.25">
      <c r="H173" s="2"/>
      <c r="I173" s="49"/>
      <c r="J173" s="48"/>
    </row>
    <row r="174" spans="8:10" x14ac:dyDescent="0.25">
      <c r="H174" s="2"/>
      <c r="I174" s="49"/>
      <c r="J174" s="48"/>
    </row>
    <row r="175" spans="8:10" x14ac:dyDescent="0.25">
      <c r="H175" s="2"/>
      <c r="I175" s="49"/>
      <c r="J175" s="48"/>
    </row>
    <row r="176" spans="8:10" x14ac:dyDescent="0.25">
      <c r="H176" s="2"/>
      <c r="I176" s="49"/>
      <c r="J176" s="48"/>
    </row>
    <row r="177" spans="8:10" x14ac:dyDescent="0.25">
      <c r="H177" s="2"/>
      <c r="I177" s="49"/>
      <c r="J177" s="48"/>
    </row>
    <row r="178" spans="8:10" x14ac:dyDescent="0.25">
      <c r="H178" s="2"/>
      <c r="I178" s="49"/>
      <c r="J178" s="48"/>
    </row>
    <row r="179" spans="8:10" x14ac:dyDescent="0.25">
      <c r="H179" s="2"/>
      <c r="I179" s="49"/>
      <c r="J179" s="48"/>
    </row>
    <row r="180" spans="8:10" x14ac:dyDescent="0.25">
      <c r="H180" s="2"/>
      <c r="I180" s="49"/>
      <c r="J180" s="48"/>
    </row>
    <row r="181" spans="8:10" x14ac:dyDescent="0.25">
      <c r="H181" s="2"/>
      <c r="I181" s="49"/>
      <c r="J181" s="48"/>
    </row>
    <row r="182" spans="8:10" x14ac:dyDescent="0.25">
      <c r="H182" s="2"/>
      <c r="I182" s="49"/>
      <c r="J182" s="48"/>
    </row>
    <row r="183" spans="8:10" x14ac:dyDescent="0.25">
      <c r="H183" s="2"/>
      <c r="I183" s="49"/>
      <c r="J183" s="48"/>
    </row>
    <row r="184" spans="8:10" x14ac:dyDescent="0.25">
      <c r="H184" s="2"/>
      <c r="I184" s="49"/>
      <c r="J184" s="48"/>
    </row>
    <row r="185" spans="8:10" x14ac:dyDescent="0.25">
      <c r="H185" s="2"/>
      <c r="I185" s="49"/>
      <c r="J185" s="48"/>
    </row>
    <row r="186" spans="8:10" x14ac:dyDescent="0.25">
      <c r="H186" s="2"/>
      <c r="I186" s="49"/>
      <c r="J186" s="48"/>
    </row>
    <row r="187" spans="8:10" x14ac:dyDescent="0.25">
      <c r="H187" s="2"/>
      <c r="I187" s="49"/>
      <c r="J187" s="48"/>
    </row>
    <row r="188" spans="8:10" x14ac:dyDescent="0.25">
      <c r="H188" s="2"/>
      <c r="I188" s="49"/>
      <c r="J188" s="48"/>
    </row>
    <row r="189" spans="8:10" x14ac:dyDescent="0.25">
      <c r="H189" s="2"/>
      <c r="I189" s="49"/>
      <c r="J189" s="48"/>
    </row>
    <row r="190" spans="8:10" x14ac:dyDescent="0.25">
      <c r="H190" s="2"/>
      <c r="I190" s="49"/>
      <c r="J190" s="48"/>
    </row>
    <row r="191" spans="8:10" x14ac:dyDescent="0.25">
      <c r="H191" s="2"/>
      <c r="I191" s="49"/>
      <c r="J191" s="48"/>
    </row>
    <row r="192" spans="8:10" x14ac:dyDescent="0.25">
      <c r="H192" s="2"/>
      <c r="I192" s="49"/>
      <c r="J192" s="48"/>
    </row>
    <row r="193" spans="8:14" x14ac:dyDescent="0.25">
      <c r="H193" s="2"/>
      <c r="I193" s="49"/>
      <c r="J193" s="48"/>
    </row>
    <row r="194" spans="8:14" x14ac:dyDescent="0.25">
      <c r="H194" s="2"/>
      <c r="I194" s="49"/>
      <c r="J194" s="48"/>
    </row>
    <row r="195" spans="8:14" x14ac:dyDescent="0.25">
      <c r="H195" s="2"/>
      <c r="I195" s="49"/>
      <c r="J195" s="48"/>
    </row>
    <row r="196" spans="8:14" x14ac:dyDescent="0.25">
      <c r="H196" s="2"/>
      <c r="I196" s="49"/>
      <c r="J196" s="48"/>
    </row>
    <row r="197" spans="8:14" x14ac:dyDescent="0.25">
      <c r="H197" s="2"/>
      <c r="I197" s="49"/>
      <c r="J197" s="48"/>
    </row>
    <row r="198" spans="8:14" x14ac:dyDescent="0.25">
      <c r="H198" s="2"/>
      <c r="I198" s="49"/>
      <c r="J198" s="48"/>
    </row>
    <row r="199" spans="8:14" x14ac:dyDescent="0.25">
      <c r="I199" s="43"/>
      <c r="J199" s="25"/>
      <c r="K199" s="25"/>
      <c r="L199" s="25"/>
      <c r="M199" s="25"/>
      <c r="N199" s="25"/>
    </row>
    <row r="205" spans="8:14" x14ac:dyDescent="0.25">
      <c r="H205" s="47"/>
    </row>
    <row r="206" spans="8:14" x14ac:dyDescent="0.25">
      <c r="H206" s="47"/>
    </row>
    <row r="207" spans="8:14" x14ac:dyDescent="0.25">
      <c r="H207" s="47"/>
    </row>
    <row r="208" spans="8:14" x14ac:dyDescent="0.25">
      <c r="H208" s="47"/>
    </row>
    <row r="209" spans="8:8" x14ac:dyDescent="0.25">
      <c r="H209" s="47"/>
    </row>
    <row r="210" spans="8:8" x14ac:dyDescent="0.25">
      <c r="H210" s="47"/>
    </row>
    <row r="211" spans="8:8" x14ac:dyDescent="0.25">
      <c r="H211" s="47"/>
    </row>
    <row r="212" spans="8:8" x14ac:dyDescent="0.25">
      <c r="H212" s="47"/>
    </row>
    <row r="213" spans="8:8" x14ac:dyDescent="0.25">
      <c r="H213" s="47"/>
    </row>
    <row r="214" spans="8:8" x14ac:dyDescent="0.25">
      <c r="H214" s="47"/>
    </row>
    <row r="215" spans="8:8" x14ac:dyDescent="0.25">
      <c r="H215" s="47"/>
    </row>
    <row r="216" spans="8:8" x14ac:dyDescent="0.25">
      <c r="H216" s="47"/>
    </row>
    <row r="217" spans="8:8" x14ac:dyDescent="0.25">
      <c r="H217" s="47"/>
    </row>
    <row r="218" spans="8:8" x14ac:dyDescent="0.25">
      <c r="H218" s="47"/>
    </row>
  </sheetData>
  <autoFilter ref="A2:AD2"/>
  <phoneticPr fontId="3" type="noConversion"/>
  <conditionalFormatting sqref="F1:F2">
    <cfRule type="duplicateValues" dxfId="5" priority="5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工作人員.發票格式.KEY法說明!$A$1:$A$6</xm:f>
          </x14:formula1>
          <xm:sqref>Q1:S1 AA143:AA1048575 P1:P2 AA2</xm:sqref>
        </x14:dataValidation>
        <x14:dataValidation type="list" allowBlank="1" showInputMessage="1" showErrorMessage="1">
          <x14:formula1>
            <xm:f>工作人員.發票格式.KEY法說明!$A$1:$A$3</xm:f>
          </x14:formula1>
          <xm:sqref>AA1048576 AF11 AB3:AD120 P43 Q3:S43 AA142</xm:sqref>
        </x14:dataValidation>
        <x14:dataValidation type="list" allowBlank="1" showInputMessage="1" showErrorMessage="1">
          <x14:formula1>
            <xm:f>工作人員.發票格式.KEY法說明!$B$1:$B$7</xm:f>
          </x14:formula1>
          <xm:sqref>G1 G3:G46</xm:sqref>
        </x14:dataValidation>
        <x14:dataValidation type="list" allowBlank="1" showInputMessage="1" showErrorMessage="1">
          <x14:formula1>
            <xm:f>工作人員.發票格式.KEY法說明!$A$1:$A$13</xm:f>
          </x14:formula1>
          <xm:sqref>P3:P42</xm:sqref>
        </x14:dataValidation>
        <x14:dataValidation type="list" allowBlank="1" showInputMessage="1" showErrorMessage="1">
          <x14:formula1>
            <xm:f>工作人員.發票格式.KEY法說明!$A$1:$A$8</xm:f>
          </x14:formula1>
          <xm:sqref>AA3:AA141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zoomScaleNormal="100" workbookViewId="0">
      <selection activeCell="H8" sqref="H8:L8"/>
    </sheetView>
  </sheetViews>
  <sheetFormatPr defaultRowHeight="16.5" x14ac:dyDescent="0.25"/>
  <cols>
    <col min="1" max="1" width="9" style="1"/>
    <col min="2" max="3" width="11.5" style="4" customWidth="1"/>
    <col min="4" max="4" width="21.75" style="8" customWidth="1"/>
    <col min="5" max="5" width="13" style="29" bestFit="1" customWidth="1"/>
    <col min="6" max="6" width="9" style="40"/>
    <col min="7" max="7" width="2.625" style="41" customWidth="1"/>
    <col min="8" max="8" width="14.375" style="4" customWidth="1"/>
    <col min="9" max="9" width="12.75" style="4" customWidth="1"/>
    <col min="10" max="10" width="33.125" style="8" customWidth="1"/>
    <col min="11" max="11" width="13" style="29" bestFit="1" customWidth="1"/>
    <col min="12" max="12" width="12" style="40" customWidth="1"/>
  </cols>
  <sheetData>
    <row r="1" spans="1:12" ht="20.25" x14ac:dyDescent="0.25">
      <c r="A1" s="9"/>
      <c r="B1" s="38"/>
      <c r="C1" s="38"/>
      <c r="D1" s="36"/>
      <c r="E1" s="26" t="s">
        <v>315</v>
      </c>
      <c r="F1" s="39"/>
      <c r="H1" s="38"/>
      <c r="I1" s="38"/>
      <c r="J1" s="36"/>
      <c r="K1" s="26" t="s">
        <v>314</v>
      </c>
      <c r="L1" s="39"/>
    </row>
    <row r="2" spans="1:12" x14ac:dyDescent="0.25">
      <c r="A2" s="19" t="s">
        <v>272</v>
      </c>
      <c r="B2" s="19" t="s">
        <v>284</v>
      </c>
      <c r="C2" s="19" t="s">
        <v>305</v>
      </c>
      <c r="D2" s="17" t="s">
        <v>293</v>
      </c>
      <c r="E2" s="27" t="s">
        <v>294</v>
      </c>
      <c r="F2" s="39" t="s">
        <v>285</v>
      </c>
      <c r="H2" s="19" t="s">
        <v>301</v>
      </c>
      <c r="I2" s="19" t="s">
        <v>305</v>
      </c>
      <c r="J2" s="17" t="s">
        <v>302</v>
      </c>
      <c r="K2" s="27" t="s">
        <v>303</v>
      </c>
      <c r="L2" s="39" t="s">
        <v>304</v>
      </c>
    </row>
    <row r="3" spans="1:12" x14ac:dyDescent="0.25">
      <c r="A3" s="4">
        <v>1</v>
      </c>
      <c r="E3" s="28"/>
      <c r="H3" s="4">
        <v>1150505</v>
      </c>
      <c r="I3" s="4">
        <v>1150504</v>
      </c>
      <c r="J3" s="8" t="s">
        <v>2052</v>
      </c>
      <c r="K3" s="28">
        <v>250</v>
      </c>
      <c r="L3" t="s">
        <v>2051</v>
      </c>
    </row>
    <row r="4" spans="1:12" x14ac:dyDescent="0.25">
      <c r="A4" s="4">
        <v>2</v>
      </c>
      <c r="E4" s="28"/>
      <c r="H4" s="4">
        <v>1150523</v>
      </c>
      <c r="I4" s="4">
        <v>1150522</v>
      </c>
      <c r="J4" s="8" t="s">
        <v>2189</v>
      </c>
      <c r="K4" s="28">
        <v>150</v>
      </c>
      <c r="L4" t="s">
        <v>2051</v>
      </c>
    </row>
    <row r="5" spans="1:12" x14ac:dyDescent="0.25">
      <c r="A5" s="4">
        <v>3</v>
      </c>
      <c r="E5" s="28"/>
      <c r="H5" s="4">
        <v>1150523</v>
      </c>
      <c r="I5" s="4">
        <v>1150521</v>
      </c>
      <c r="J5" s="8" t="s">
        <v>2190</v>
      </c>
      <c r="K5" s="28">
        <v>220</v>
      </c>
      <c r="L5" t="s">
        <v>2051</v>
      </c>
    </row>
    <row r="6" spans="1:12" x14ac:dyDescent="0.25">
      <c r="A6" s="4">
        <v>4</v>
      </c>
      <c r="E6" s="28"/>
      <c r="H6" s="4">
        <v>1150609</v>
      </c>
      <c r="I6" s="4">
        <v>1150606</v>
      </c>
      <c r="J6" s="8" t="s">
        <v>2338</v>
      </c>
      <c r="K6" s="28">
        <v>200</v>
      </c>
      <c r="L6" s="8" t="s">
        <v>2021</v>
      </c>
    </row>
    <row r="7" spans="1:12" x14ac:dyDescent="0.25">
      <c r="A7" s="4">
        <v>5</v>
      </c>
      <c r="E7" s="28"/>
      <c r="H7" s="4">
        <v>1150609</v>
      </c>
      <c r="I7" s="4">
        <v>1150606</v>
      </c>
      <c r="J7" s="8" t="s">
        <v>2339</v>
      </c>
      <c r="K7" s="28">
        <v>200</v>
      </c>
      <c r="L7" s="8" t="s">
        <v>2021</v>
      </c>
    </row>
    <row r="8" spans="1:12" x14ac:dyDescent="0.25">
      <c r="A8" s="4">
        <v>6</v>
      </c>
      <c r="E8" s="28"/>
      <c r="K8" s="28"/>
      <c r="L8" s="8"/>
    </row>
    <row r="9" spans="1:12" x14ac:dyDescent="0.25">
      <c r="A9" s="4">
        <v>7</v>
      </c>
      <c r="E9" s="28"/>
      <c r="K9" s="28"/>
      <c r="L9" s="8"/>
    </row>
    <row r="10" spans="1:12" x14ac:dyDescent="0.25">
      <c r="A10" s="4">
        <v>8</v>
      </c>
      <c r="E10" s="28"/>
      <c r="K10" s="28"/>
      <c r="L10" s="8"/>
    </row>
    <row r="11" spans="1:12" x14ac:dyDescent="0.25">
      <c r="A11" s="4">
        <v>9</v>
      </c>
      <c r="E11" s="28"/>
      <c r="K11" s="28"/>
      <c r="L11" s="8"/>
    </row>
    <row r="12" spans="1:12" x14ac:dyDescent="0.25">
      <c r="A12" s="4">
        <v>10</v>
      </c>
      <c r="E12" s="28"/>
      <c r="K12" s="28"/>
      <c r="L12" s="8"/>
    </row>
    <row r="13" spans="1:12" x14ac:dyDescent="0.25">
      <c r="A13" s="4">
        <v>11</v>
      </c>
      <c r="E13" s="28"/>
      <c r="K13" s="28"/>
      <c r="L13" s="8"/>
    </row>
    <row r="14" spans="1:12" x14ac:dyDescent="0.25">
      <c r="A14" s="4">
        <v>12</v>
      </c>
      <c r="E14" s="28"/>
      <c r="K14" s="28"/>
      <c r="L14" s="8"/>
    </row>
    <row r="15" spans="1:12" x14ac:dyDescent="0.25">
      <c r="A15" s="4">
        <v>13</v>
      </c>
      <c r="E15" s="28"/>
      <c r="K15" s="28"/>
      <c r="L15" s="8"/>
    </row>
    <row r="16" spans="1:12" x14ac:dyDescent="0.25">
      <c r="A16" s="4">
        <v>14</v>
      </c>
      <c r="E16" s="28"/>
      <c r="K16" s="28"/>
      <c r="L16" s="8"/>
    </row>
    <row r="17" spans="1:12" x14ac:dyDescent="0.25">
      <c r="A17" s="4">
        <v>15</v>
      </c>
      <c r="E17" s="28"/>
      <c r="K17" s="28"/>
      <c r="L17" s="8"/>
    </row>
    <row r="18" spans="1:12" x14ac:dyDescent="0.25">
      <c r="A18" s="4">
        <v>16</v>
      </c>
      <c r="E18" s="28"/>
      <c r="K18" s="28"/>
      <c r="L18" s="8"/>
    </row>
    <row r="19" spans="1:12" x14ac:dyDescent="0.25">
      <c r="A19" s="4">
        <v>17</v>
      </c>
      <c r="E19" s="28"/>
      <c r="K19" s="28"/>
      <c r="L19" s="8"/>
    </row>
    <row r="20" spans="1:12" x14ac:dyDescent="0.25">
      <c r="A20" s="4">
        <v>18</v>
      </c>
      <c r="E20" s="28"/>
      <c r="K20" s="28"/>
      <c r="L20" s="8"/>
    </row>
    <row r="21" spans="1:12" x14ac:dyDescent="0.25">
      <c r="A21" s="4">
        <v>19</v>
      </c>
      <c r="E21" s="28"/>
      <c r="K21" s="28"/>
      <c r="L21" s="8"/>
    </row>
    <row r="22" spans="1:12" x14ac:dyDescent="0.25">
      <c r="A22" s="4">
        <v>20</v>
      </c>
      <c r="E22" s="28"/>
      <c r="K22" s="28"/>
      <c r="L22" s="8"/>
    </row>
    <row r="23" spans="1:12" x14ac:dyDescent="0.25">
      <c r="A23" s="4">
        <v>21</v>
      </c>
      <c r="E23" s="28"/>
      <c r="K23" s="28"/>
      <c r="L23" s="8"/>
    </row>
    <row r="24" spans="1:12" x14ac:dyDescent="0.25">
      <c r="A24" s="4">
        <v>22</v>
      </c>
      <c r="E24" s="28"/>
      <c r="K24" s="28"/>
      <c r="L24" s="8"/>
    </row>
    <row r="25" spans="1:12" x14ac:dyDescent="0.25">
      <c r="A25" s="4">
        <v>23</v>
      </c>
      <c r="E25" s="28"/>
      <c r="K25" s="28"/>
      <c r="L25" s="8"/>
    </row>
    <row r="26" spans="1:12" x14ac:dyDescent="0.25">
      <c r="A26" s="4">
        <v>24</v>
      </c>
      <c r="E26" s="28"/>
      <c r="K26" s="28"/>
      <c r="L26" s="8"/>
    </row>
    <row r="27" spans="1:12" x14ac:dyDescent="0.25">
      <c r="A27" s="4">
        <v>25</v>
      </c>
      <c r="E27" s="28"/>
      <c r="K27" s="28"/>
      <c r="L27" s="8"/>
    </row>
    <row r="28" spans="1:12" x14ac:dyDescent="0.25">
      <c r="A28" s="4">
        <v>26</v>
      </c>
      <c r="E28" s="28"/>
      <c r="K28" s="28"/>
      <c r="L28" s="8"/>
    </row>
    <row r="29" spans="1:12" x14ac:dyDescent="0.25">
      <c r="A29" s="4">
        <v>27</v>
      </c>
      <c r="E29" s="28"/>
      <c r="K29" s="28"/>
      <c r="L29" s="8"/>
    </row>
    <row r="30" spans="1:12" x14ac:dyDescent="0.25">
      <c r="A30" s="4">
        <v>28</v>
      </c>
      <c r="E30" s="28"/>
      <c r="K30" s="28"/>
      <c r="L30" s="8"/>
    </row>
    <row r="31" spans="1:12" x14ac:dyDescent="0.25">
      <c r="A31" s="4">
        <v>29</v>
      </c>
      <c r="E31" s="28"/>
      <c r="K31" s="28"/>
    </row>
    <row r="32" spans="1:12" x14ac:dyDescent="0.25">
      <c r="A32" s="4">
        <v>30</v>
      </c>
      <c r="E32" s="28"/>
      <c r="K32" s="28"/>
    </row>
    <row r="33" spans="1:11" x14ac:dyDescent="0.25">
      <c r="A33" s="4">
        <v>31</v>
      </c>
      <c r="E33" s="28"/>
      <c r="K33" s="28"/>
    </row>
    <row r="34" spans="1:11" x14ac:dyDescent="0.25">
      <c r="A34" s="4">
        <v>32</v>
      </c>
      <c r="E34" s="28"/>
      <c r="K34" s="28"/>
    </row>
    <row r="35" spans="1:11" x14ac:dyDescent="0.25">
      <c r="A35" s="4">
        <v>33</v>
      </c>
      <c r="E35" s="28"/>
      <c r="K35" s="28"/>
    </row>
    <row r="36" spans="1:11" x14ac:dyDescent="0.25">
      <c r="A36" s="4">
        <v>34</v>
      </c>
      <c r="E36" s="28"/>
      <c r="K36" s="28"/>
    </row>
    <row r="37" spans="1:11" x14ac:dyDescent="0.25">
      <c r="A37" s="4">
        <v>35</v>
      </c>
      <c r="E37" s="28"/>
      <c r="K37" s="28"/>
    </row>
    <row r="38" spans="1:11" x14ac:dyDescent="0.25">
      <c r="A38" s="4">
        <v>36</v>
      </c>
      <c r="E38" s="28"/>
      <c r="K38" s="28"/>
    </row>
    <row r="39" spans="1:11" x14ac:dyDescent="0.25">
      <c r="A39" s="4">
        <v>37</v>
      </c>
      <c r="E39" s="28"/>
      <c r="K39" s="28"/>
    </row>
    <row r="40" spans="1:11" x14ac:dyDescent="0.25">
      <c r="A40" s="4">
        <v>38</v>
      </c>
      <c r="E40" s="28"/>
      <c r="K40" s="28"/>
    </row>
    <row r="41" spans="1:11" x14ac:dyDescent="0.25">
      <c r="A41" s="4">
        <v>39</v>
      </c>
      <c r="E41" s="28"/>
      <c r="K41" s="28"/>
    </row>
    <row r="42" spans="1:11" x14ac:dyDescent="0.25">
      <c r="A42" s="4">
        <v>40</v>
      </c>
      <c r="E42" s="28"/>
      <c r="K42" s="28"/>
    </row>
    <row r="43" spans="1:11" x14ac:dyDescent="0.25">
      <c r="A43" s="4">
        <v>41</v>
      </c>
      <c r="E43" s="28"/>
      <c r="K43" s="28"/>
    </row>
    <row r="44" spans="1:11" x14ac:dyDescent="0.25">
      <c r="A44" s="4">
        <v>42</v>
      </c>
      <c r="E44" s="28"/>
      <c r="K44" s="28"/>
    </row>
    <row r="45" spans="1:11" x14ac:dyDescent="0.25">
      <c r="A45" s="4">
        <v>43</v>
      </c>
      <c r="E45" s="28"/>
      <c r="K45" s="28"/>
    </row>
    <row r="46" spans="1:11" x14ac:dyDescent="0.25">
      <c r="A46" s="4">
        <v>44</v>
      </c>
      <c r="E46" s="28"/>
      <c r="K46" s="28"/>
    </row>
    <row r="47" spans="1:11" x14ac:dyDescent="0.25">
      <c r="A47" s="4">
        <v>45</v>
      </c>
      <c r="E47" s="28"/>
      <c r="K47" s="28"/>
    </row>
    <row r="48" spans="1:11" x14ac:dyDescent="0.25">
      <c r="A48" s="4">
        <v>46</v>
      </c>
      <c r="E48" s="28"/>
      <c r="K48" s="28"/>
    </row>
    <row r="49" spans="1:11" x14ac:dyDescent="0.25">
      <c r="A49" s="4">
        <v>47</v>
      </c>
      <c r="E49" s="28"/>
      <c r="K49" s="28"/>
    </row>
    <row r="50" spans="1:11" x14ac:dyDescent="0.25">
      <c r="A50" s="4">
        <v>48</v>
      </c>
      <c r="E50" s="28"/>
      <c r="K50" s="28"/>
    </row>
    <row r="51" spans="1:11" x14ac:dyDescent="0.25">
      <c r="A51" s="4">
        <v>49</v>
      </c>
      <c r="E51" s="28"/>
      <c r="K51" s="28"/>
    </row>
    <row r="52" spans="1:11" x14ac:dyDescent="0.25">
      <c r="A52" s="4">
        <v>50</v>
      </c>
      <c r="E52" s="28"/>
      <c r="K52" s="28"/>
    </row>
    <row r="53" spans="1:11" x14ac:dyDescent="0.25">
      <c r="A53" s="4">
        <v>51</v>
      </c>
      <c r="E53" s="28"/>
      <c r="K53" s="28"/>
    </row>
    <row r="54" spans="1:11" x14ac:dyDescent="0.25">
      <c r="A54" s="4">
        <v>52</v>
      </c>
      <c r="E54" s="28"/>
      <c r="K54" s="28"/>
    </row>
    <row r="55" spans="1:11" x14ac:dyDescent="0.25">
      <c r="A55" s="4">
        <v>53</v>
      </c>
      <c r="E55" s="28"/>
      <c r="K55" s="28"/>
    </row>
    <row r="56" spans="1:11" x14ac:dyDescent="0.25">
      <c r="A56" s="4">
        <v>54</v>
      </c>
      <c r="E56" s="28"/>
      <c r="K56" s="28"/>
    </row>
    <row r="57" spans="1:11" x14ac:dyDescent="0.25">
      <c r="A57" s="4">
        <v>55</v>
      </c>
      <c r="E57" s="28"/>
      <c r="K57" s="28"/>
    </row>
    <row r="58" spans="1:11" x14ac:dyDescent="0.25">
      <c r="A58" s="4">
        <v>56</v>
      </c>
      <c r="E58" s="28"/>
      <c r="K58" s="28"/>
    </row>
    <row r="59" spans="1:11" x14ac:dyDescent="0.25">
      <c r="A59" s="4">
        <v>57</v>
      </c>
      <c r="E59" s="28"/>
      <c r="K59" s="28"/>
    </row>
    <row r="60" spans="1:11" x14ac:dyDescent="0.25">
      <c r="A60" s="4">
        <v>58</v>
      </c>
      <c r="E60" s="28"/>
      <c r="K60" s="28"/>
    </row>
    <row r="61" spans="1:11" x14ac:dyDescent="0.25">
      <c r="A61" s="4">
        <v>59</v>
      </c>
      <c r="E61" s="28"/>
      <c r="K61" s="28"/>
    </row>
    <row r="62" spans="1:11" x14ac:dyDescent="0.25">
      <c r="A62" s="4">
        <v>60</v>
      </c>
      <c r="E62" s="28"/>
      <c r="K62" s="28"/>
    </row>
    <row r="63" spans="1:11" x14ac:dyDescent="0.25">
      <c r="A63" s="4">
        <v>61</v>
      </c>
      <c r="E63" s="28"/>
      <c r="K63" s="28"/>
    </row>
    <row r="64" spans="1:11" x14ac:dyDescent="0.25">
      <c r="A64" s="4">
        <v>62</v>
      </c>
      <c r="E64" s="28"/>
      <c r="K64" s="28"/>
    </row>
    <row r="65" spans="1:11" x14ac:dyDescent="0.25">
      <c r="A65" s="4">
        <v>63</v>
      </c>
      <c r="E65" s="28"/>
      <c r="K65" s="28"/>
    </row>
    <row r="66" spans="1:11" x14ac:dyDescent="0.25">
      <c r="A66" s="4">
        <v>64</v>
      </c>
      <c r="E66" s="28"/>
      <c r="K66" s="28"/>
    </row>
    <row r="67" spans="1:11" x14ac:dyDescent="0.25">
      <c r="A67" s="4">
        <v>65</v>
      </c>
      <c r="E67" s="28"/>
      <c r="K67" s="28"/>
    </row>
    <row r="68" spans="1:11" x14ac:dyDescent="0.25">
      <c r="A68" s="4">
        <v>66</v>
      </c>
      <c r="E68" s="28"/>
      <c r="K68" s="28"/>
    </row>
    <row r="69" spans="1:11" x14ac:dyDescent="0.25">
      <c r="A69" s="4">
        <v>67</v>
      </c>
      <c r="E69" s="28"/>
      <c r="K69" s="28"/>
    </row>
    <row r="70" spans="1:11" x14ac:dyDescent="0.25">
      <c r="A70" s="4">
        <v>68</v>
      </c>
      <c r="E70" s="28"/>
      <c r="K70" s="28"/>
    </row>
    <row r="71" spans="1:11" x14ac:dyDescent="0.25">
      <c r="A71" s="4">
        <v>69</v>
      </c>
      <c r="E71" s="28"/>
      <c r="K71" s="28"/>
    </row>
    <row r="72" spans="1:11" x14ac:dyDescent="0.25">
      <c r="A72" s="4">
        <v>70</v>
      </c>
      <c r="E72" s="28"/>
      <c r="K72" s="28"/>
    </row>
    <row r="73" spans="1:11" x14ac:dyDescent="0.25">
      <c r="A73" s="4">
        <v>71</v>
      </c>
      <c r="E73" s="28"/>
      <c r="K73" s="28"/>
    </row>
    <row r="74" spans="1:11" x14ac:dyDescent="0.25">
      <c r="A74" s="4">
        <v>72</v>
      </c>
      <c r="E74" s="28"/>
      <c r="K74" s="28"/>
    </row>
    <row r="75" spans="1:11" x14ac:dyDescent="0.25">
      <c r="A75" s="4">
        <v>73</v>
      </c>
      <c r="E75" s="28"/>
      <c r="K75" s="28"/>
    </row>
    <row r="76" spans="1:11" x14ac:dyDescent="0.25">
      <c r="A76" s="4">
        <v>74</v>
      </c>
      <c r="E76" s="28"/>
      <c r="K76" s="28"/>
    </row>
    <row r="77" spans="1:11" x14ac:dyDescent="0.25">
      <c r="A77" s="4">
        <v>75</v>
      </c>
      <c r="E77" s="28"/>
      <c r="K77" s="28"/>
    </row>
    <row r="78" spans="1:11" x14ac:dyDescent="0.25">
      <c r="A78" s="4">
        <v>76</v>
      </c>
      <c r="E78" s="28"/>
      <c r="K78" s="28"/>
    </row>
    <row r="79" spans="1:11" x14ac:dyDescent="0.25">
      <c r="A79" s="4">
        <v>77</v>
      </c>
      <c r="E79" s="28"/>
      <c r="K79" s="28"/>
    </row>
    <row r="80" spans="1:11" x14ac:dyDescent="0.25">
      <c r="A80" s="4">
        <v>78</v>
      </c>
      <c r="E80" s="28"/>
      <c r="K80" s="28"/>
    </row>
    <row r="81" spans="1:11" x14ac:dyDescent="0.25">
      <c r="A81" s="4">
        <v>79</v>
      </c>
      <c r="E81" s="28"/>
      <c r="K81" s="28"/>
    </row>
    <row r="82" spans="1:11" x14ac:dyDescent="0.25">
      <c r="A82" s="4">
        <v>80</v>
      </c>
      <c r="E82" s="28"/>
      <c r="K82" s="28"/>
    </row>
    <row r="83" spans="1:11" x14ac:dyDescent="0.25">
      <c r="A83" s="4">
        <v>81</v>
      </c>
      <c r="E83" s="28"/>
      <c r="K83" s="28"/>
    </row>
    <row r="84" spans="1:11" x14ac:dyDescent="0.25">
      <c r="A84" s="4">
        <v>82</v>
      </c>
      <c r="E84" s="28"/>
      <c r="K84" s="28"/>
    </row>
    <row r="85" spans="1:11" x14ac:dyDescent="0.25">
      <c r="A85" s="4">
        <v>83</v>
      </c>
      <c r="E85" s="28"/>
      <c r="K85" s="28"/>
    </row>
    <row r="86" spans="1:11" x14ac:dyDescent="0.25">
      <c r="A86" s="4">
        <v>84</v>
      </c>
      <c r="E86" s="28"/>
      <c r="K86" s="28"/>
    </row>
    <row r="87" spans="1:11" x14ac:dyDescent="0.25">
      <c r="A87" s="4">
        <v>85</v>
      </c>
      <c r="E87" s="28"/>
      <c r="K87" s="28"/>
    </row>
    <row r="88" spans="1:11" x14ac:dyDescent="0.25">
      <c r="A88" s="4">
        <v>86</v>
      </c>
      <c r="E88" s="28"/>
      <c r="K88" s="28"/>
    </row>
    <row r="89" spans="1:11" x14ac:dyDescent="0.25">
      <c r="A89" s="4">
        <v>87</v>
      </c>
      <c r="E89" s="28"/>
      <c r="K89" s="28"/>
    </row>
    <row r="90" spans="1:11" x14ac:dyDescent="0.25">
      <c r="A90" s="4">
        <v>88</v>
      </c>
      <c r="E90" s="28"/>
      <c r="K90" s="28"/>
    </row>
    <row r="91" spans="1:11" x14ac:dyDescent="0.25">
      <c r="A91" s="4">
        <v>89</v>
      </c>
      <c r="E91" s="28"/>
      <c r="K91" s="28"/>
    </row>
    <row r="92" spans="1:11" x14ac:dyDescent="0.25">
      <c r="A92" s="4">
        <v>90</v>
      </c>
      <c r="E92" s="28"/>
      <c r="K92" s="28"/>
    </row>
    <row r="93" spans="1:11" x14ac:dyDescent="0.25">
      <c r="A93" s="4">
        <v>91</v>
      </c>
      <c r="E93" s="28"/>
      <c r="K93" s="28"/>
    </row>
    <row r="94" spans="1:11" x14ac:dyDescent="0.25">
      <c r="A94" s="4">
        <v>92</v>
      </c>
      <c r="E94" s="28"/>
      <c r="K94" s="28"/>
    </row>
    <row r="95" spans="1:11" x14ac:dyDescent="0.25">
      <c r="A95" s="4">
        <v>93</v>
      </c>
      <c r="E95" s="28"/>
      <c r="K95" s="28"/>
    </row>
    <row r="96" spans="1:11" x14ac:dyDescent="0.25">
      <c r="A96" s="4">
        <v>94</v>
      </c>
      <c r="E96" s="28"/>
      <c r="K96" s="28"/>
    </row>
    <row r="97" spans="1:11" x14ac:dyDescent="0.25">
      <c r="A97" s="4">
        <v>95</v>
      </c>
      <c r="E97" s="28"/>
      <c r="K97" s="28"/>
    </row>
    <row r="98" spans="1:11" x14ac:dyDescent="0.25">
      <c r="A98" s="4">
        <v>96</v>
      </c>
      <c r="E98" s="28"/>
      <c r="K98" s="28"/>
    </row>
    <row r="99" spans="1:11" x14ac:dyDescent="0.25">
      <c r="A99" s="4">
        <v>97</v>
      </c>
      <c r="E99" s="28"/>
      <c r="K99" s="28"/>
    </row>
    <row r="100" spans="1:11" x14ac:dyDescent="0.25">
      <c r="A100" s="4">
        <v>98</v>
      </c>
      <c r="E100" s="28"/>
      <c r="K100" s="28"/>
    </row>
    <row r="101" spans="1:11" x14ac:dyDescent="0.25">
      <c r="A101" s="4">
        <v>99</v>
      </c>
      <c r="E101" s="28"/>
      <c r="K101" s="28"/>
    </row>
    <row r="102" spans="1:11" x14ac:dyDescent="0.25">
      <c r="A102" s="23">
        <v>100</v>
      </c>
      <c r="B102" s="23"/>
      <c r="C102" s="23"/>
      <c r="D102" s="37"/>
      <c r="E102" s="28"/>
      <c r="H102" s="23"/>
      <c r="I102" s="23"/>
      <c r="J102" s="37"/>
      <c r="K102" s="28"/>
    </row>
    <row r="103" spans="1:11" x14ac:dyDescent="0.25">
      <c r="A103" s="4">
        <v>101</v>
      </c>
      <c r="E103" s="28"/>
      <c r="K103" s="28"/>
    </row>
    <row r="104" spans="1:11" x14ac:dyDescent="0.25">
      <c r="A104" s="4">
        <v>102</v>
      </c>
      <c r="E104" s="28"/>
      <c r="K104" s="28"/>
    </row>
    <row r="105" spans="1:11" x14ac:dyDescent="0.25">
      <c r="A105" s="4">
        <v>103</v>
      </c>
      <c r="E105" s="28"/>
      <c r="K105" s="28"/>
    </row>
    <row r="106" spans="1:11" x14ac:dyDescent="0.25">
      <c r="A106" s="4">
        <v>104</v>
      </c>
      <c r="E106" s="28"/>
      <c r="K106" s="28"/>
    </row>
    <row r="107" spans="1:11" x14ac:dyDescent="0.25">
      <c r="A107" s="4">
        <v>105</v>
      </c>
      <c r="E107" s="28"/>
      <c r="K107" s="28"/>
    </row>
    <row r="108" spans="1:11" x14ac:dyDescent="0.25">
      <c r="A108" s="4">
        <v>106</v>
      </c>
      <c r="E108" s="28"/>
      <c r="K108" s="28"/>
    </row>
    <row r="109" spans="1:11" x14ac:dyDescent="0.25">
      <c r="A109" s="4">
        <v>107</v>
      </c>
      <c r="E109" s="28"/>
      <c r="K109" s="28"/>
    </row>
    <row r="110" spans="1:11" x14ac:dyDescent="0.25">
      <c r="A110" s="4">
        <v>108</v>
      </c>
      <c r="E110" s="28"/>
      <c r="K110" s="28"/>
    </row>
    <row r="111" spans="1:11" x14ac:dyDescent="0.25">
      <c r="A111" s="4">
        <v>109</v>
      </c>
      <c r="E111" s="28"/>
      <c r="K111" s="28"/>
    </row>
    <row r="112" spans="1:11" x14ac:dyDescent="0.25">
      <c r="A112" s="4">
        <v>110</v>
      </c>
      <c r="E112" s="28"/>
      <c r="K112" s="28"/>
    </row>
    <row r="113" spans="1:11" x14ac:dyDescent="0.25">
      <c r="A113" s="4">
        <v>111</v>
      </c>
      <c r="E113" s="28"/>
      <c r="K113" s="28"/>
    </row>
    <row r="114" spans="1:11" x14ac:dyDescent="0.25">
      <c r="A114" s="4">
        <v>112</v>
      </c>
      <c r="E114" s="28"/>
      <c r="K114" s="28"/>
    </row>
    <row r="115" spans="1:11" x14ac:dyDescent="0.25">
      <c r="A115" s="4">
        <v>113</v>
      </c>
      <c r="E115" s="28"/>
      <c r="K115" s="28"/>
    </row>
    <row r="116" spans="1:11" x14ac:dyDescent="0.25">
      <c r="A116" s="4">
        <v>114</v>
      </c>
      <c r="E116" s="28"/>
      <c r="K116" s="28"/>
    </row>
    <row r="117" spans="1:11" x14ac:dyDescent="0.25">
      <c r="A117" s="4">
        <v>115</v>
      </c>
      <c r="E117" s="28"/>
      <c r="K117" s="28"/>
    </row>
    <row r="118" spans="1:11" x14ac:dyDescent="0.25">
      <c r="A118" s="4">
        <v>116</v>
      </c>
      <c r="E118" s="28"/>
      <c r="K118" s="28"/>
    </row>
    <row r="119" spans="1:11" x14ac:dyDescent="0.25">
      <c r="A119" s="4">
        <v>117</v>
      </c>
      <c r="E119" s="28"/>
      <c r="K119" s="28"/>
    </row>
    <row r="120" spans="1:11" x14ac:dyDescent="0.25">
      <c r="A120" s="4">
        <v>118</v>
      </c>
      <c r="E120" s="28"/>
      <c r="K120" s="28"/>
    </row>
    <row r="121" spans="1:11" x14ac:dyDescent="0.25">
      <c r="A121" s="4">
        <v>119</v>
      </c>
      <c r="E121" s="28"/>
      <c r="K121" s="28"/>
    </row>
    <row r="122" spans="1:11" x14ac:dyDescent="0.25">
      <c r="A122" s="4">
        <v>120</v>
      </c>
      <c r="E122" s="28"/>
      <c r="K122" s="28"/>
    </row>
    <row r="123" spans="1:11" x14ac:dyDescent="0.25">
      <c r="A123" s="4">
        <v>121</v>
      </c>
      <c r="E123" s="28"/>
      <c r="K123" s="28"/>
    </row>
    <row r="124" spans="1:11" x14ac:dyDescent="0.25">
      <c r="A124" s="4">
        <v>122</v>
      </c>
      <c r="E124" s="28"/>
      <c r="K124" s="28"/>
    </row>
    <row r="125" spans="1:11" x14ac:dyDescent="0.25">
      <c r="A125" s="4">
        <v>123</v>
      </c>
      <c r="E125" s="28"/>
      <c r="K125" s="28"/>
    </row>
    <row r="126" spans="1:11" x14ac:dyDescent="0.25">
      <c r="A126" s="4">
        <v>124</v>
      </c>
      <c r="E126" s="28"/>
      <c r="K126" s="28"/>
    </row>
    <row r="127" spans="1:11" x14ac:dyDescent="0.25">
      <c r="A127" s="4">
        <v>125</v>
      </c>
      <c r="E127" s="28"/>
      <c r="K127" s="28"/>
    </row>
    <row r="128" spans="1:11" x14ac:dyDescent="0.25">
      <c r="A128" s="4">
        <v>126</v>
      </c>
      <c r="E128" s="28"/>
      <c r="K128" s="28"/>
    </row>
    <row r="129" spans="1:11" x14ac:dyDescent="0.25">
      <c r="A129" s="4">
        <v>127</v>
      </c>
      <c r="E129" s="28"/>
      <c r="K129" s="28"/>
    </row>
    <row r="130" spans="1:11" x14ac:dyDescent="0.25">
      <c r="A130" s="4">
        <v>128</v>
      </c>
      <c r="E130" s="28"/>
      <c r="K130" s="28"/>
    </row>
    <row r="131" spans="1:11" x14ac:dyDescent="0.25">
      <c r="A131" s="4">
        <v>129</v>
      </c>
      <c r="E131" s="28"/>
      <c r="K131" s="28"/>
    </row>
    <row r="132" spans="1:11" x14ac:dyDescent="0.25">
      <c r="A132" s="4">
        <v>130</v>
      </c>
      <c r="E132" s="28"/>
      <c r="K132" s="28"/>
    </row>
    <row r="133" spans="1:11" x14ac:dyDescent="0.25">
      <c r="A133" s="4">
        <v>131</v>
      </c>
      <c r="E133" s="28"/>
      <c r="K133" s="28"/>
    </row>
    <row r="134" spans="1:11" x14ac:dyDescent="0.25">
      <c r="A134" s="4">
        <v>132</v>
      </c>
      <c r="E134" s="28"/>
      <c r="K134" s="28"/>
    </row>
    <row r="135" spans="1:11" x14ac:dyDescent="0.25">
      <c r="A135" s="4">
        <v>133</v>
      </c>
      <c r="E135" s="28"/>
      <c r="K135" s="28"/>
    </row>
    <row r="136" spans="1:11" x14ac:dyDescent="0.25">
      <c r="A136" s="4">
        <v>134</v>
      </c>
      <c r="E136" s="28"/>
      <c r="K136" s="28"/>
    </row>
    <row r="137" spans="1:11" x14ac:dyDescent="0.25">
      <c r="A137" s="4">
        <v>135</v>
      </c>
      <c r="E137" s="28"/>
      <c r="K137" s="28"/>
    </row>
    <row r="138" spans="1:11" x14ac:dyDescent="0.25">
      <c r="A138" s="4">
        <v>136</v>
      </c>
      <c r="E138" s="28"/>
      <c r="K138" s="28"/>
    </row>
    <row r="139" spans="1:11" x14ac:dyDescent="0.25">
      <c r="A139" s="4">
        <v>137</v>
      </c>
      <c r="E139" s="28"/>
      <c r="K139" s="28"/>
    </row>
    <row r="140" spans="1:11" x14ac:dyDescent="0.25">
      <c r="A140" s="4">
        <v>138</v>
      </c>
      <c r="E140" s="28"/>
      <c r="K140" s="28"/>
    </row>
    <row r="141" spans="1:11" x14ac:dyDescent="0.25">
      <c r="A141" s="4">
        <v>139</v>
      </c>
      <c r="E141" s="28"/>
      <c r="K141" s="28"/>
    </row>
    <row r="142" spans="1:11" x14ac:dyDescent="0.25">
      <c r="A142" s="4">
        <v>140</v>
      </c>
      <c r="E142" s="28"/>
      <c r="K142" s="28"/>
    </row>
    <row r="143" spans="1:11" x14ac:dyDescent="0.25">
      <c r="A143" s="4">
        <v>141</v>
      </c>
      <c r="E143" s="28"/>
      <c r="K143" s="28"/>
    </row>
    <row r="144" spans="1:11" x14ac:dyDescent="0.25">
      <c r="A144" s="4">
        <v>142</v>
      </c>
      <c r="E144" s="28"/>
      <c r="K144" s="28"/>
    </row>
    <row r="145" spans="1:11" x14ac:dyDescent="0.25">
      <c r="A145" s="4">
        <v>143</v>
      </c>
      <c r="E145" s="28"/>
      <c r="K145" s="28"/>
    </row>
    <row r="146" spans="1:11" x14ac:dyDescent="0.25">
      <c r="A146" s="4">
        <v>144</v>
      </c>
      <c r="E146" s="28"/>
      <c r="K146" s="28"/>
    </row>
    <row r="147" spans="1:11" x14ac:dyDescent="0.25">
      <c r="A147" s="4">
        <v>145</v>
      </c>
      <c r="E147" s="28"/>
      <c r="K147" s="28"/>
    </row>
    <row r="149" spans="1:11" x14ac:dyDescent="0.25">
      <c r="E149" s="25"/>
      <c r="K149" s="25"/>
    </row>
  </sheetData>
  <autoFilter ref="A2:L2"/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工作人員.發票格式.KEY法說明!#REF!</xm:f>
          </x14:formula1>
          <xm:sqref>L1:L2</xm:sqref>
        </x14:dataValidation>
        <x14:dataValidation type="list" allowBlank="1" showInputMessage="1" showErrorMessage="1">
          <x14:formula1>
            <xm:f>工作人員.發票格式.KEY法說明!#REF!</xm:f>
          </x14:formula1>
          <xm:sqref>G1:G1048576 F1:F2 F30:F1048576</xm:sqref>
        </x14:dataValidation>
        <x14:dataValidation type="list" allowBlank="1" showInputMessage="1" showErrorMessage="1">
          <x14:formula1>
            <xm:f>工作人員.發票格式.KEY法說明!$A$1:$A$2</xm:f>
          </x14:formula1>
          <xm:sqref>F3:F29 L6:L30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C1:W84"/>
  <sheetViews>
    <sheetView workbookViewId="0">
      <selection activeCell="N30" sqref="N30"/>
    </sheetView>
  </sheetViews>
  <sheetFormatPr defaultRowHeight="15.75" x14ac:dyDescent="0.25"/>
  <cols>
    <col min="1" max="1" width="4.125" style="102" customWidth="1"/>
    <col min="2" max="2" width="4.375" style="102" customWidth="1"/>
    <col min="3" max="3" width="9" style="102"/>
    <col min="4" max="4" width="18.5" style="102" customWidth="1"/>
    <col min="5" max="6" width="13.75" style="102" bestFit="1" customWidth="1"/>
    <col min="7" max="7" width="14.625" style="102" customWidth="1"/>
    <col min="8" max="10" width="9" style="102"/>
    <col min="11" max="11" width="11.375" style="102" customWidth="1"/>
    <col min="12" max="12" width="10.375" style="102" customWidth="1"/>
    <col min="13" max="13" width="7.125" style="102" customWidth="1"/>
    <col min="14" max="14" width="13.875" style="102" bestFit="1" customWidth="1"/>
    <col min="15" max="15" width="14.5" style="102" customWidth="1"/>
    <col min="16" max="16" width="15.75" style="102" customWidth="1"/>
    <col min="17" max="17" width="21" style="102" customWidth="1"/>
    <col min="18" max="18" width="6.625" style="102" customWidth="1"/>
    <col min="19" max="19" width="18" style="102" bestFit="1" customWidth="1"/>
    <col min="20" max="20" width="6.5" style="102" customWidth="1"/>
    <col min="21" max="21" width="18.375" style="102" customWidth="1"/>
    <col min="22" max="16384" width="9" style="102"/>
  </cols>
  <sheetData>
    <row r="1" spans="3:23" s="42" customFormat="1" ht="27.95" customHeight="1" x14ac:dyDescent="0.25">
      <c r="G1" s="42">
        <f>SUM(G3:G47)</f>
        <v>29985</v>
      </c>
      <c r="H1" s="42" t="s">
        <v>1259</v>
      </c>
      <c r="I1" s="42">
        <v>0</v>
      </c>
      <c r="N1" s="126" t="s">
        <v>1300</v>
      </c>
      <c r="O1" s="126"/>
      <c r="P1" s="126"/>
      <c r="Q1" s="126"/>
      <c r="W1" s="115" t="s">
        <v>1301</v>
      </c>
    </row>
    <row r="2" spans="3:23" ht="16.5" x14ac:dyDescent="0.3">
      <c r="C2" s="102" t="s">
        <v>1254</v>
      </c>
      <c r="D2" s="102" t="s">
        <v>0</v>
      </c>
      <c r="E2" s="102" t="s">
        <v>1255</v>
      </c>
      <c r="F2" s="102" t="s">
        <v>1</v>
      </c>
      <c r="G2" s="102" t="s">
        <v>2</v>
      </c>
      <c r="H2" s="102" t="s">
        <v>1330</v>
      </c>
      <c r="I2" s="102" t="s">
        <v>1331</v>
      </c>
      <c r="J2" s="102" t="s">
        <v>1332</v>
      </c>
      <c r="K2" s="102" t="s">
        <v>1256</v>
      </c>
      <c r="N2" s="104" t="s">
        <v>1265</v>
      </c>
      <c r="O2" s="104" t="s">
        <v>1266</v>
      </c>
      <c r="P2" s="104" t="s">
        <v>1267</v>
      </c>
      <c r="Q2" s="112" t="s">
        <v>1298</v>
      </c>
      <c r="R2" s="104"/>
      <c r="S2" s="105" t="s">
        <v>1268</v>
      </c>
      <c r="T2" s="104"/>
      <c r="U2" s="114" t="s">
        <v>1299</v>
      </c>
      <c r="W2" s="102" t="s">
        <v>1302</v>
      </c>
    </row>
    <row r="3" spans="3:23" ht="20.25" x14ac:dyDescent="0.3">
      <c r="C3" s="118" t="s">
        <v>2063</v>
      </c>
      <c r="D3" s="106" t="s">
        <v>2065</v>
      </c>
      <c r="E3" s="102">
        <v>46998</v>
      </c>
      <c r="F3" s="102">
        <f t="shared" ref="F3" si="0">E3/1.05</f>
        <v>44760</v>
      </c>
      <c r="G3" s="108">
        <v>2238</v>
      </c>
      <c r="N3" s="103">
        <f>+銷項!N1+銷項!BD1+銷項!AI1+銷項!BR1</f>
        <v>41108.333333333328</v>
      </c>
      <c r="O3" s="103">
        <f>+'中華全佑27911467-營業稅扣抵'!O1</f>
        <v>23615.333333333336</v>
      </c>
      <c r="P3" s="103">
        <f>+G1+I1</f>
        <v>29985</v>
      </c>
      <c r="Q3" s="113">
        <f>+N3-O3-P3</f>
        <v>-12492.000000000007</v>
      </c>
      <c r="R3" s="103"/>
      <c r="S3" s="107">
        <f>U3*1.05</f>
        <v>-262332.00000000017</v>
      </c>
      <c r="T3" s="103"/>
      <c r="U3" s="107">
        <f>Q3/0.05</f>
        <v>-249840.00000000015</v>
      </c>
    </row>
    <row r="4" spans="3:23" x14ac:dyDescent="0.25">
      <c r="C4" s="122" t="s">
        <v>2063</v>
      </c>
      <c r="D4" s="120" t="s">
        <v>2074</v>
      </c>
      <c r="E4" s="120">
        <v>320512</v>
      </c>
      <c r="F4" s="120">
        <v>305249.52380952379</v>
      </c>
      <c r="G4" s="121">
        <v>15262</v>
      </c>
      <c r="H4" s="120" t="s">
        <v>2075</v>
      </c>
      <c r="K4" s="106"/>
      <c r="W4" s="102" t="s">
        <v>1303</v>
      </c>
    </row>
    <row r="5" spans="3:23" x14ac:dyDescent="0.25">
      <c r="C5" s="118" t="s">
        <v>2063</v>
      </c>
      <c r="D5" s="120" t="s">
        <v>2064</v>
      </c>
      <c r="E5" s="120"/>
      <c r="F5" s="120"/>
      <c r="G5" s="121">
        <v>12485</v>
      </c>
      <c r="H5" s="102" t="s">
        <v>2076</v>
      </c>
      <c r="K5" s="106"/>
      <c r="W5" s="102" t="s">
        <v>1304</v>
      </c>
    </row>
    <row r="6" spans="3:23" x14ac:dyDescent="0.25">
      <c r="C6" s="118"/>
      <c r="D6" s="106"/>
      <c r="G6" s="108"/>
      <c r="H6" s="106"/>
    </row>
    <row r="7" spans="3:23" x14ac:dyDescent="0.25">
      <c r="C7" s="123"/>
      <c r="D7" s="106"/>
      <c r="E7" s="106"/>
      <c r="F7" s="106"/>
      <c r="G7" s="124"/>
    </row>
    <row r="8" spans="3:23" x14ac:dyDescent="0.25">
      <c r="C8" s="118"/>
      <c r="D8" s="106"/>
      <c r="G8" s="108"/>
      <c r="K8" s="106"/>
    </row>
    <row r="9" spans="3:23" x14ac:dyDescent="0.25">
      <c r="C9" s="118"/>
      <c r="D9" s="106"/>
      <c r="G9" s="108"/>
    </row>
    <row r="10" spans="3:23" x14ac:dyDescent="0.25">
      <c r="C10" s="118"/>
      <c r="D10" s="106"/>
      <c r="G10" s="108"/>
    </row>
    <row r="11" spans="3:23" x14ac:dyDescent="0.25">
      <c r="C11" s="118"/>
      <c r="D11" s="106"/>
      <c r="G11" s="108"/>
    </row>
    <row r="12" spans="3:23" x14ac:dyDescent="0.25">
      <c r="E12" s="106"/>
      <c r="G12" s="108"/>
      <c r="L12" s="106"/>
    </row>
    <row r="13" spans="3:23" x14ac:dyDescent="0.25">
      <c r="E13" s="106"/>
      <c r="G13" s="108"/>
    </row>
    <row r="14" spans="3:23" x14ac:dyDescent="0.25">
      <c r="D14" s="106"/>
      <c r="G14" s="108"/>
    </row>
    <row r="15" spans="3:23" x14ac:dyDescent="0.25">
      <c r="D15" s="106"/>
      <c r="G15" s="108"/>
    </row>
    <row r="16" spans="3:23" x14ac:dyDescent="0.25">
      <c r="D16" s="106"/>
      <c r="G16" s="108"/>
    </row>
    <row r="17" spans="3:8" x14ac:dyDescent="0.25">
      <c r="D17" s="106"/>
      <c r="G17" s="108"/>
    </row>
    <row r="18" spans="3:8" x14ac:dyDescent="0.25">
      <c r="D18" s="106"/>
      <c r="G18" s="108"/>
      <c r="H18" s="106"/>
    </row>
    <row r="19" spans="3:8" x14ac:dyDescent="0.25">
      <c r="D19" s="106"/>
      <c r="G19" s="108"/>
    </row>
    <row r="20" spans="3:8" x14ac:dyDescent="0.25">
      <c r="C20" s="118"/>
      <c r="D20" s="106"/>
      <c r="G20" s="108"/>
    </row>
    <row r="21" spans="3:8" x14ac:dyDescent="0.25">
      <c r="C21" s="118"/>
      <c r="D21" s="106"/>
      <c r="G21" s="108"/>
    </row>
    <row r="22" spans="3:8" x14ac:dyDescent="0.25">
      <c r="C22" s="118"/>
      <c r="D22" s="106"/>
      <c r="G22" s="108"/>
    </row>
    <row r="23" spans="3:8" x14ac:dyDescent="0.25">
      <c r="C23" s="118"/>
      <c r="D23" s="106"/>
      <c r="G23" s="108"/>
    </row>
    <row r="24" spans="3:8" x14ac:dyDescent="0.25">
      <c r="C24" s="118"/>
      <c r="D24" s="106"/>
      <c r="G24" s="108"/>
    </row>
    <row r="25" spans="3:8" x14ac:dyDescent="0.25">
      <c r="C25" s="118"/>
      <c r="D25" s="106"/>
      <c r="G25" s="108"/>
    </row>
    <row r="26" spans="3:8" x14ac:dyDescent="0.25">
      <c r="D26" s="106"/>
      <c r="G26" s="108"/>
    </row>
    <row r="27" spans="3:8" x14ac:dyDescent="0.25">
      <c r="G27" s="108"/>
    </row>
    <row r="28" spans="3:8" x14ac:dyDescent="0.25">
      <c r="G28" s="108"/>
    </row>
    <row r="29" spans="3:8" x14ac:dyDescent="0.25">
      <c r="D29" s="106"/>
      <c r="G29" s="108"/>
    </row>
    <row r="30" spans="3:8" x14ac:dyDescent="0.25">
      <c r="G30" s="108"/>
    </row>
    <row r="31" spans="3:8" x14ac:dyDescent="0.25">
      <c r="G31" s="108"/>
    </row>
    <row r="32" spans="3:8" x14ac:dyDescent="0.25">
      <c r="G32" s="108"/>
    </row>
    <row r="33" spans="4:7" x14ac:dyDescent="0.25">
      <c r="G33" s="108"/>
    </row>
    <row r="34" spans="4:7" x14ac:dyDescent="0.25">
      <c r="G34" s="108"/>
    </row>
    <row r="35" spans="4:7" x14ac:dyDescent="0.25">
      <c r="G35" s="108"/>
    </row>
    <row r="36" spans="4:7" x14ac:dyDescent="0.25">
      <c r="G36" s="108"/>
    </row>
    <row r="37" spans="4:7" x14ac:dyDescent="0.25">
      <c r="G37" s="108"/>
    </row>
    <row r="38" spans="4:7" x14ac:dyDescent="0.25">
      <c r="G38" s="108"/>
    </row>
    <row r="39" spans="4:7" x14ac:dyDescent="0.25">
      <c r="G39" s="108"/>
    </row>
    <row r="40" spans="4:7" x14ac:dyDescent="0.25">
      <c r="G40" s="108"/>
    </row>
    <row r="41" spans="4:7" x14ac:dyDescent="0.25">
      <c r="D41" s="109"/>
      <c r="G41" s="108"/>
    </row>
    <row r="42" spans="4:7" x14ac:dyDescent="0.25">
      <c r="D42" s="106"/>
      <c r="G42" s="108"/>
    </row>
    <row r="43" spans="4:7" x14ac:dyDescent="0.25">
      <c r="G43" s="108"/>
    </row>
    <row r="44" spans="4:7" x14ac:dyDescent="0.25">
      <c r="G44" s="108"/>
    </row>
    <row r="45" spans="4:7" x14ac:dyDescent="0.25">
      <c r="G45" s="108"/>
    </row>
    <row r="46" spans="4:7" x14ac:dyDescent="0.25">
      <c r="G46" s="108"/>
    </row>
    <row r="47" spans="4:7" x14ac:dyDescent="0.25">
      <c r="G47" s="108"/>
    </row>
    <row r="48" spans="4:7" x14ac:dyDescent="0.25">
      <c r="G48" s="108"/>
    </row>
    <row r="49" spans="4:7" x14ac:dyDescent="0.25">
      <c r="G49" s="108"/>
    </row>
    <row r="50" spans="4:7" x14ac:dyDescent="0.25">
      <c r="G50" s="108"/>
    </row>
    <row r="51" spans="4:7" x14ac:dyDescent="0.25">
      <c r="G51" s="108"/>
    </row>
    <row r="52" spans="4:7" x14ac:dyDescent="0.25">
      <c r="G52" s="108"/>
    </row>
    <row r="53" spans="4:7" x14ac:dyDescent="0.25">
      <c r="G53" s="108"/>
    </row>
    <row r="54" spans="4:7" x14ac:dyDescent="0.25">
      <c r="D54" s="110"/>
      <c r="G54" s="108"/>
    </row>
    <row r="55" spans="4:7" x14ac:dyDescent="0.25">
      <c r="D55" s="106"/>
      <c r="G55" s="108"/>
    </row>
    <row r="56" spans="4:7" x14ac:dyDescent="0.25">
      <c r="D56" s="106"/>
      <c r="G56" s="108"/>
    </row>
    <row r="57" spans="4:7" x14ac:dyDescent="0.25">
      <c r="D57" s="106"/>
      <c r="G57" s="108"/>
    </row>
    <row r="58" spans="4:7" x14ac:dyDescent="0.25">
      <c r="G58" s="108"/>
    </row>
    <row r="59" spans="4:7" x14ac:dyDescent="0.25">
      <c r="G59" s="108"/>
    </row>
    <row r="60" spans="4:7" x14ac:dyDescent="0.25">
      <c r="G60" s="108"/>
    </row>
    <row r="61" spans="4:7" x14ac:dyDescent="0.25">
      <c r="G61" s="108"/>
    </row>
    <row r="62" spans="4:7" x14ac:dyDescent="0.25">
      <c r="G62" s="108"/>
    </row>
    <row r="63" spans="4:7" x14ac:dyDescent="0.25">
      <c r="G63" s="108"/>
    </row>
    <row r="64" spans="4:7" x14ac:dyDescent="0.25">
      <c r="G64" s="108"/>
    </row>
    <row r="65" spans="4:7" x14ac:dyDescent="0.25">
      <c r="G65" s="108"/>
    </row>
    <row r="66" spans="4:7" x14ac:dyDescent="0.25">
      <c r="G66" s="108"/>
    </row>
    <row r="67" spans="4:7" x14ac:dyDescent="0.25">
      <c r="G67" s="108"/>
    </row>
    <row r="68" spans="4:7" x14ac:dyDescent="0.25">
      <c r="G68" s="108"/>
    </row>
    <row r="69" spans="4:7" x14ac:dyDescent="0.25">
      <c r="G69" s="108"/>
    </row>
    <row r="70" spans="4:7" x14ac:dyDescent="0.25">
      <c r="G70" s="108"/>
    </row>
    <row r="71" spans="4:7" x14ac:dyDescent="0.25">
      <c r="G71" s="108"/>
    </row>
    <row r="72" spans="4:7" x14ac:dyDescent="0.25">
      <c r="G72" s="108"/>
    </row>
    <row r="73" spans="4:7" x14ac:dyDescent="0.25">
      <c r="G73" s="108"/>
    </row>
    <row r="74" spans="4:7" x14ac:dyDescent="0.25">
      <c r="D74" s="106"/>
      <c r="G74" s="108"/>
    </row>
    <row r="75" spans="4:7" x14ac:dyDescent="0.25">
      <c r="G75" s="108"/>
    </row>
    <row r="76" spans="4:7" x14ac:dyDescent="0.25">
      <c r="G76" s="108"/>
    </row>
    <row r="77" spans="4:7" x14ac:dyDescent="0.25">
      <c r="G77" s="108"/>
    </row>
    <row r="78" spans="4:7" x14ac:dyDescent="0.25">
      <c r="G78" s="108"/>
    </row>
    <row r="79" spans="4:7" x14ac:dyDescent="0.25">
      <c r="G79" s="108"/>
    </row>
    <row r="80" spans="4:7" x14ac:dyDescent="0.25">
      <c r="G80" s="108"/>
    </row>
    <row r="81" spans="4:7" x14ac:dyDescent="0.25">
      <c r="G81" s="108"/>
    </row>
    <row r="82" spans="4:7" x14ac:dyDescent="0.25">
      <c r="G82" s="108"/>
    </row>
    <row r="84" spans="4:7" x14ac:dyDescent="0.25">
      <c r="D84" s="111"/>
      <c r="G84" s="108"/>
    </row>
  </sheetData>
  <mergeCells count="1">
    <mergeCell ref="N1:Q1"/>
  </mergeCells>
  <phoneticPr fontId="3" type="noConversion"/>
  <pageMargins left="0.7" right="0.7" top="0.75" bottom="0.75" header="0.3" footer="0.3"/>
  <pageSetup paperSize="9" orientation="portrait" horizontalDpi="180" verticalDpi="18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客戶編輯設定自動代出</vt:lpstr>
      <vt:lpstr>廠商編輯設定自動代出</vt:lpstr>
      <vt:lpstr>工作人員.發票格式.KEY法說明</vt:lpstr>
      <vt:lpstr>銷項</vt:lpstr>
      <vt:lpstr>中華全佑27911467-營業稅扣抵</vt:lpstr>
      <vt:lpstr>中華全佑-費用扣抵</vt:lpstr>
      <vt:lpstr>私人收據</vt:lpstr>
      <vt:lpstr>上期留抵發票明細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2026-06-10T06:16:52Z</dcterms:modified>
</cp:coreProperties>
</file>