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350" yWindow="42120" windowWidth="20640" windowHeight="1155" tabRatio="621" firstSheet="1" autoFilterDateGrouping="1"/>
  </bookViews>
  <sheets>
    <sheet xmlns:r="http://schemas.openxmlformats.org/officeDocument/2006/relationships" name="出貨單˙收據" sheetId="1" state="visible" r:id="rId1"/>
  </sheets>
  <externalReferences>
    <externalReference xmlns:r="http://schemas.openxmlformats.org/officeDocument/2006/relationships" r:id="rId2"/>
  </externalReferences>
  <definedNames>
    <definedName name="工作項目">出貨單!$BX$6:$BY$250</definedName>
    <definedName name="車號編輯">[1]客戶編輯!$AK$6:$AM$2243</definedName>
    <definedName name="車頭">出貨單!$BB$7:$BB$18</definedName>
    <definedName name="板架">出貨單!$BB$22:$BB$36</definedName>
    <definedName name="客戶">[1]客戶編輯!$B$5:$AA$2243</definedName>
    <definedName name="產品編輯">[1]產品編輯!$K$8:$KX$359</definedName>
    <definedName name="產品編輯花紋">[1]產品編輯!$H$212:$FD$1101</definedName>
    <definedName name="測試價">出貨單!$AI$501</definedName>
    <definedName name="進貨明細表">[1]進貨明細表!$AD$6:$AG$10000</definedName>
    <definedName name="廠商">出貨單!$CI$5:$CJ$1500</definedName>
    <definedName name="廠商1">出貨單!$CI$5:$CJ$1500</definedName>
    <definedName name="廠商編輯">[1]廠商編輯!$B$6:$R$1499</definedName>
    <definedName name="轎車">出貨單!$BB$40:$BB$47</definedName>
    <definedName name="_xlnm.Print_Area" localSheetId="0">'出貨單˙收據'!$A$1:$L$27</definedName>
  </definedNames>
  <calcPr calcId="145621" fullCalcOnLoad="1" iterate="1" calcCompleted="0"/>
</workbook>
</file>

<file path=xl/styles.xml><?xml version="1.0" encoding="utf-8"?>
<styleSheet xmlns="http://schemas.openxmlformats.org/spreadsheetml/2006/main">
  <numFmts count="14">
    <numFmt numFmtId="164" formatCode="#,##0_ "/>
    <numFmt numFmtId="165" formatCode="0_);[Red]\(0\)"/>
    <numFmt numFmtId="166" formatCode="#,##0_ ;[Red]\-#,##0\ "/>
    <numFmt numFmtId="167" formatCode="[$-409]h:mm\ AM/PM;@"/>
    <numFmt numFmtId="168" formatCode="[$-409]h:mm:ss\ AM/PM;@"/>
    <numFmt numFmtId="169" formatCode="0_ "/>
    <numFmt numFmtId="170" formatCode="#,##0_);[Red]\(#,##0\)"/>
    <numFmt numFmtId="171" formatCode="yy/mm/dd"/>
    <numFmt numFmtId="172" formatCode="_-* #,##0_-;\-* #,##0_-;_-* &quot;-&quot;??_-;_-@_-"/>
    <numFmt numFmtId="173" formatCode="&quot;$&quot;#,##0_);[Red]\(&quot;$&quot;#,##0\)"/>
    <numFmt numFmtId="174" formatCode="yyyy/m/d\ h:mm;@"/>
    <numFmt numFmtId="175" formatCode="yyyy/m/d;@"/>
    <numFmt numFmtId="176" formatCode="#,##0.0_ ;[Red]\-#,##0.0\ "/>
    <numFmt numFmtId="177" formatCode="m&quot;月&quot;d&quot;日&quot;"/>
  </numFmts>
  <fonts count="65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9"/>
    </font>
    <font>
      <name val="新細明體"/>
      <charset val="136"/>
      <family val="1"/>
      <color indexed="12"/>
      <sz val="12"/>
      <u val="single"/>
    </font>
    <font>
      <name val="新細明體"/>
      <charset val="136"/>
      <family val="1"/>
      <color indexed="9"/>
      <sz val="12"/>
    </font>
    <font>
      <name val="新細明體"/>
      <charset val="136"/>
      <family val="1"/>
      <sz val="12"/>
    </font>
    <font>
      <name val="微軟正黑體"/>
      <charset val="136"/>
      <family val="2"/>
      <b val="1"/>
      <color theme="0"/>
      <sz val="18"/>
    </font>
    <font>
      <name val="微軟正黑體"/>
      <charset val="136"/>
      <family val="2"/>
      <sz val="10"/>
    </font>
    <font>
      <name val="微軟正黑體"/>
      <charset val="136"/>
      <family val="2"/>
      <sz val="9"/>
    </font>
    <font>
      <name val="微軟正黑體"/>
      <charset val="136"/>
      <family val="2"/>
      <sz val="12"/>
    </font>
    <font>
      <name val="微軟正黑體"/>
      <charset val="136"/>
      <family val="2"/>
      <b val="1"/>
      <sz val="10"/>
    </font>
    <font>
      <name val="微軟正黑體"/>
      <charset val="136"/>
      <family val="2"/>
      <color theme="1"/>
      <sz val="9"/>
    </font>
    <font>
      <name val="微軟正黑體"/>
      <charset val="136"/>
      <family val="2"/>
      <color indexed="8"/>
      <sz val="10"/>
    </font>
    <font>
      <name val="微軟正黑體"/>
      <charset val="136"/>
      <family val="2"/>
      <sz val="11"/>
    </font>
    <font>
      <name val="微軟正黑體"/>
      <charset val="136"/>
      <family val="2"/>
      <b val="1"/>
      <sz val="16"/>
    </font>
    <font>
      <name val="微軟正黑體"/>
      <charset val="136"/>
      <family val="2"/>
      <b val="1"/>
      <sz val="11"/>
    </font>
    <font>
      <name val="微軟正黑體"/>
      <charset val="136"/>
      <family val="2"/>
      <color theme="1"/>
      <sz val="8"/>
    </font>
    <font>
      <name val="新細明體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微軟正黑體"/>
      <charset val="136"/>
      <family val="2"/>
      <color theme="1"/>
      <sz val="10"/>
    </font>
    <font>
      <name val="微軟正黑體"/>
      <charset val="136"/>
      <family val="2"/>
      <color theme="1"/>
      <sz val="6.5"/>
    </font>
    <font>
      <name val="微軟正黑體"/>
      <charset val="136"/>
      <family val="2"/>
      <color theme="0"/>
      <sz val="8"/>
    </font>
    <font>
      <name val="新細明體"/>
      <charset val="136"/>
      <family val="1"/>
      <sz val="11"/>
    </font>
    <font>
      <name val="微軟正黑體"/>
      <charset val="136"/>
      <family val="2"/>
      <sz val="11"/>
      <u val="single"/>
    </font>
    <font>
      <name val="微軟正黑體"/>
      <charset val="136"/>
      <family val="2"/>
      <color theme="0"/>
      <sz val="10"/>
    </font>
    <font>
      <name val="微軟正黑體"/>
      <charset val="136"/>
      <family val="2"/>
      <b val="1"/>
      <color rgb="FFFFFF00"/>
      <sz val="12"/>
    </font>
    <font>
      <name val="微軟正黑體"/>
      <charset val="136"/>
      <family val="2"/>
      <b val="1"/>
      <sz val="12"/>
    </font>
    <font>
      <name val="微軟正黑體"/>
      <charset val="136"/>
      <family val="2"/>
      <b val="1"/>
      <color indexed="9"/>
      <sz val="12"/>
    </font>
    <font>
      <name val="微軟正黑體"/>
      <charset val="136"/>
      <family val="2"/>
      <b val="1"/>
      <color theme="0"/>
      <sz val="12"/>
    </font>
    <font>
      <name val="微軟正黑體"/>
      <charset val="136"/>
      <family val="2"/>
      <b val="1"/>
      <color indexed="8"/>
      <sz val="12"/>
    </font>
    <font>
      <name val="微軟正黑體"/>
      <charset val="136"/>
      <family val="2"/>
      <b val="1"/>
      <color indexed="12"/>
      <sz val="12"/>
      <u val="single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indexed="10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indexed="8"/>
      <sz val="12"/>
      <u val="single"/>
    </font>
    <font>
      <name val="微軟正黑體"/>
      <charset val="136"/>
      <family val="2"/>
      <b val="1"/>
      <color rgb="FFFF99FF"/>
      <sz val="12"/>
    </font>
    <font>
      <name val="微軟正黑體"/>
      <charset val="136"/>
      <family val="2"/>
      <b val="1"/>
      <color rgb="FF0000FF"/>
      <sz val="12"/>
    </font>
    <font>
      <name val="微軟正黑體"/>
      <charset val="136"/>
      <family val="2"/>
      <color rgb="FFFF0000"/>
      <sz val="9"/>
    </font>
    <font>
      <name val="微軟正黑體"/>
      <charset val="136"/>
      <family val="2"/>
      <b val="1"/>
      <color theme="0"/>
      <sz val="10"/>
    </font>
    <font>
      <name val="新細明體"/>
      <charset val="136"/>
      <family val="1"/>
      <b val="1"/>
      <color indexed="8"/>
      <sz val="12"/>
    </font>
    <font>
      <name val="微軟正黑體"/>
      <charset val="136"/>
      <family val="2"/>
      <b val="1"/>
      <color theme="1"/>
      <sz val="6.5"/>
    </font>
    <font>
      <name val="新細明體"/>
      <charset val="136"/>
      <family val="1"/>
      <color theme="1"/>
      <sz val="12"/>
      <scheme val="minor"/>
    </font>
    <font>
      <name val="微軟正黑體"/>
      <charset val="136"/>
      <family val="2"/>
      <sz val="14"/>
    </font>
    <font>
      <name val="微軟正黑體"/>
      <charset val="136"/>
      <family val="2"/>
      <sz val="8"/>
    </font>
    <font>
      <name val="微軟正黑體"/>
      <charset val="136"/>
      <family val="2"/>
      <b val="1"/>
      <color theme="1"/>
      <sz val="18"/>
    </font>
    <font>
      <name val="微軟正黑體"/>
      <charset val="136"/>
      <family val="2"/>
      <sz val="6.5"/>
    </font>
    <font>
      <name val="微軟正黑體"/>
      <charset val="136"/>
      <family val="2"/>
      <color indexed="8"/>
      <sz val="12"/>
    </font>
    <font>
      <name val="微軟正黑體"/>
      <charset val="136"/>
      <family val="2"/>
      <sz val="13"/>
    </font>
    <font>
      <name val="微軟正黑體"/>
      <charset val="136"/>
      <family val="2"/>
      <b val="1"/>
      <color theme="9" tint="0.3999755851924192"/>
      <sz val="12"/>
    </font>
    <font>
      <name val="微軟正黑體"/>
      <charset val="136"/>
      <family val="2"/>
      <sz val="15"/>
    </font>
    <font>
      <name val="微軟正黑體"/>
      <charset val="136"/>
      <family val="2"/>
      <b val="1"/>
      <sz val="13"/>
    </font>
    <font>
      <name val="微軟正黑體"/>
      <charset val="136"/>
      <family val="2"/>
      <b val="1"/>
      <sz val="15"/>
    </font>
    <font>
      <name val="微軟正黑體"/>
      <charset val="136"/>
      <family val="2"/>
      <b val="1"/>
      <sz val="14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3"/>
    </font>
    <font>
      <name val="新細明體"/>
      <charset val="136"/>
      <family val="1"/>
      <b val="1"/>
      <sz val="14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color theme="1"/>
      <sz val="11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theme="1"/>
      <sz val="16"/>
    </font>
  </fonts>
  <fills count="2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9"/>
      </left>
      <right/>
      <top/>
      <bottom/>
      <diagonal/>
    </border>
    <border>
      <left/>
      <right/>
      <top/>
      <bottom style="thin">
        <color indexed="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dashed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ashed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dashed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hair">
        <color auto="1"/>
      </left>
      <right/>
      <top style="hair">
        <color auto="1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8">
    <xf numFmtId="0" fontId="9" fillId="0" borderId="0"/>
    <xf numFmtId="0" fontId="9" fillId="0" borderId="0"/>
    <xf numFmtId="0" fontId="7" fillId="0" borderId="0" applyAlignment="1" applyProtection="1">
      <alignment vertical="top"/>
      <protection locked="0" hidden="0"/>
    </xf>
    <xf numFmtId="0" fontId="5" fillId="0" borderId="0" applyAlignment="1">
      <alignment vertical="center"/>
    </xf>
    <xf numFmtId="0" fontId="5" fillId="0" borderId="0" applyAlignment="1">
      <alignment vertical="center"/>
    </xf>
    <xf numFmtId="43" fontId="9" fillId="0" borderId="0" applyAlignment="1">
      <alignment vertical="center"/>
    </xf>
    <xf numFmtId="0" fontId="21" fillId="0" borderId="0"/>
    <xf numFmtId="0" fontId="5" fillId="0" borderId="0" applyAlignment="1">
      <alignment vertical="center"/>
    </xf>
  </cellStyleXfs>
  <cellXfs count="633">
    <xf numFmtId="0" fontId="0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0" fontId="10" fillId="10" borderId="0" applyAlignment="1" pivotButton="0" quotePrefix="0" xfId="0">
      <alignment vertical="center"/>
    </xf>
    <xf numFmtId="0" fontId="13" fillId="0" borderId="0" pivotButton="0" quotePrefix="0" xfId="0"/>
    <xf numFmtId="164" fontId="17" fillId="2" borderId="0" pivotButton="0" quotePrefix="0" xfId="0"/>
    <xf numFmtId="164" fontId="17" fillId="2" borderId="0" applyAlignment="1" pivotButton="0" quotePrefix="0" xfId="0">
      <alignment horizontal="center"/>
    </xf>
    <xf numFmtId="0" fontId="12" fillId="12" borderId="0" applyAlignment="1" pivotButton="0" quotePrefix="0" xfId="0">
      <alignment horizontal="center" vertical="center"/>
    </xf>
    <xf numFmtId="0" fontId="12" fillId="12" borderId="0" pivotButton="0" quotePrefix="0" xfId="0"/>
    <xf numFmtId="0" fontId="22" fillId="12" borderId="0" applyAlignment="1" pivotButton="0" quotePrefix="0" xfId="6">
      <alignment vertical="center"/>
    </xf>
    <xf numFmtId="165" fontId="12" fillId="12" borderId="0" applyAlignment="1" pivotButton="0" quotePrefix="0" xfId="6">
      <alignment horizontal="center" vertical="center"/>
    </xf>
    <xf numFmtId="49" fontId="12" fillId="12" borderId="0" applyAlignment="1" pivotButton="0" quotePrefix="0" xfId="6">
      <alignment horizontal="center" vertical="center"/>
    </xf>
    <xf numFmtId="0" fontId="24" fillId="12" borderId="0" applyAlignment="1" pivotButton="0" quotePrefix="0" xfId="6">
      <alignment vertical="center"/>
    </xf>
    <xf numFmtId="0" fontId="24" fillId="12" borderId="0" applyAlignment="1" pivotButton="0" quotePrefix="0" xfId="6">
      <alignment horizontal="right" vertical="center"/>
    </xf>
    <xf numFmtId="0" fontId="24" fillId="12" borderId="0" applyAlignment="1" pivotButton="0" quotePrefix="0" xfId="6">
      <alignment horizontal="center" vertical="center"/>
    </xf>
    <xf numFmtId="0" fontId="20" fillId="12" borderId="15" applyAlignment="1" pivotButton="0" quotePrefix="0" xfId="6">
      <alignment horizontal="center" vertical="center"/>
    </xf>
    <xf numFmtId="0" fontId="22" fillId="12" borderId="0" applyAlignment="1" pivotButton="0" quotePrefix="0" xfId="6">
      <alignment horizontal="right" vertical="center"/>
    </xf>
    <xf numFmtId="0" fontId="22" fillId="12" borderId="0" applyAlignment="1" pivotButton="0" quotePrefix="0" xfId="6">
      <alignment horizontal="left" vertical="center"/>
    </xf>
    <xf numFmtId="0" fontId="25" fillId="12" borderId="0" applyAlignment="1" pivotButton="0" quotePrefix="0" xfId="6">
      <alignment horizontal="left" vertical="center"/>
    </xf>
    <xf numFmtId="0" fontId="20" fillId="12" borderId="0" applyAlignment="1" pivotButton="0" quotePrefix="0" xfId="6">
      <alignment vertical="center"/>
    </xf>
    <xf numFmtId="165" fontId="12" fillId="12" borderId="0" applyAlignment="1" pivotButton="0" quotePrefix="0" xfId="6">
      <alignment horizontal="right" vertical="center" indent="9"/>
    </xf>
    <xf numFmtId="0" fontId="26" fillId="12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left"/>
    </xf>
    <xf numFmtId="164" fontId="11" fillId="0" borderId="0" pivotButton="0" quotePrefix="0" xfId="0"/>
    <xf numFmtId="164" fontId="11" fillId="0" borderId="0" applyAlignment="1" pivotButton="0" quotePrefix="0" xfId="0">
      <alignment horizontal="center"/>
    </xf>
    <xf numFmtId="164" fontId="14" fillId="0" borderId="0" applyAlignment="1" pivotButton="0" quotePrefix="0" xfId="0">
      <alignment horizontal="centerContinuous" vertical="center"/>
    </xf>
    <xf numFmtId="0" fontId="11" fillId="0" borderId="0" pivotButton="0" quotePrefix="0" xfId="0"/>
    <xf numFmtId="164" fontId="11" fillId="0" borderId="23" pivotButton="0" quotePrefix="0" xfId="0"/>
    <xf numFmtId="164" fontId="11" fillId="0" borderId="22" pivotButton="0" quotePrefix="0" xfId="0"/>
    <xf numFmtId="164" fontId="17" fillId="0" borderId="0" pivotButton="0" quotePrefix="0" xfId="0"/>
    <xf numFmtId="164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Continuous"/>
    </xf>
    <xf numFmtId="164" fontId="18" fillId="0" borderId="0" applyAlignment="1" pivotButton="0" quotePrefix="0" xfId="0">
      <alignment horizontal="centerContinuous" vertical="center"/>
    </xf>
    <xf numFmtId="0" fontId="17" fillId="0" borderId="0" applyAlignment="1" pivotButton="0" quotePrefix="0" xfId="0">
      <alignment horizontal="left"/>
    </xf>
    <xf numFmtId="166" fontId="17" fillId="0" borderId="0" applyAlignment="1" pivotButton="0" quotePrefix="0" xfId="0">
      <alignment horizontal="centerContinuous"/>
    </xf>
    <xf numFmtId="167" fontId="17" fillId="0" borderId="0" applyAlignment="1" pivotButton="0" quotePrefix="0" xfId="0">
      <alignment horizontal="right" vertical="center"/>
    </xf>
    <xf numFmtId="168" fontId="17" fillId="0" borderId="0" applyAlignment="1" pivotButton="0" quotePrefix="0" xfId="0">
      <alignment horizontal="right"/>
    </xf>
    <xf numFmtId="0" fontId="17" fillId="0" borderId="0" pivotButton="0" quotePrefix="0" xfId="0"/>
    <xf numFmtId="166" fontId="17" fillId="0" borderId="0" pivotButton="0" quotePrefix="0" xfId="0"/>
    <xf numFmtId="164" fontId="19" fillId="0" borderId="0" applyAlignment="1" pivotButton="0" quotePrefix="0" xfId="0">
      <alignment horizontal="centerContinuous" vertical="center"/>
    </xf>
    <xf numFmtId="164" fontId="19" fillId="0" borderId="0" applyAlignment="1" pivotButton="0" quotePrefix="0" xfId="0">
      <alignment horizontal="left" vertical="center"/>
    </xf>
    <xf numFmtId="166" fontId="19" fillId="0" borderId="0" applyAlignment="1" pivotButton="0" quotePrefix="0" xfId="0">
      <alignment horizontal="centerContinuous" vertical="center"/>
    </xf>
    <xf numFmtId="167" fontId="19" fillId="0" borderId="0" applyAlignment="1" pivotButton="0" quotePrefix="0" xfId="0">
      <alignment horizontal="right" vertical="center"/>
    </xf>
    <xf numFmtId="164" fontId="17" fillId="0" borderId="0" applyAlignment="1" pivotButton="0" quotePrefix="0" xfId="0">
      <alignment horizontal="left"/>
    </xf>
    <xf numFmtId="166" fontId="19" fillId="0" borderId="4" applyAlignment="1" pivotButton="0" quotePrefix="0" xfId="0">
      <alignment horizontal="right" vertical="center"/>
    </xf>
    <xf numFmtId="167" fontId="28" fillId="0" borderId="0" applyAlignment="1" pivotButton="0" quotePrefix="0" xfId="0">
      <alignment horizontal="right" vertical="center"/>
    </xf>
    <xf numFmtId="166" fontId="17" fillId="0" borderId="0" applyAlignment="1" pivotButton="0" quotePrefix="0" xfId="0">
      <alignment horizontal="right"/>
    </xf>
    <xf numFmtId="166" fontId="19" fillId="0" borderId="4" applyAlignment="1" pivotButton="0" quotePrefix="0" xfId="0">
      <alignment vertical="center"/>
    </xf>
    <xf numFmtId="166" fontId="19" fillId="0" borderId="0" applyAlignment="1" pivotButton="0" quotePrefix="0" xfId="0">
      <alignment horizontal="right" vertical="center"/>
    </xf>
    <xf numFmtId="166" fontId="19" fillId="0" borderId="0" applyAlignment="1" pivotButton="0" quotePrefix="0" xfId="0">
      <alignment vertical="center"/>
    </xf>
    <xf numFmtId="0" fontId="27" fillId="0" borderId="0" pivotButton="0" quotePrefix="0" xfId="0"/>
    <xf numFmtId="164" fontId="17" fillId="20" borderId="0" pivotButton="0" quotePrefix="0" xfId="0"/>
    <xf numFmtId="164" fontId="19" fillId="0" borderId="0" applyAlignment="1" pivotButton="0" quotePrefix="0" xfId="0">
      <alignment horizontal="right" vertical="center"/>
    </xf>
    <xf numFmtId="164" fontId="19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right"/>
    </xf>
    <xf numFmtId="164" fontId="19" fillId="0" borderId="8" applyAlignment="1" pivotButton="0" quotePrefix="0" xfId="0">
      <alignment horizontal="right"/>
    </xf>
    <xf numFmtId="164" fontId="19" fillId="0" borderId="0" pivotButton="0" quotePrefix="0" xfId="0"/>
    <xf numFmtId="0" fontId="1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Continuous"/>
    </xf>
    <xf numFmtId="0" fontId="11" fillId="0" borderId="0" applyAlignment="1" pivotButton="0" quotePrefix="0" xfId="0">
      <alignment horizontal="centerContinuous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right"/>
    </xf>
    <xf numFmtId="166" fontId="11" fillId="0" borderId="0" applyAlignment="1" pivotButton="0" quotePrefix="0" xfId="0">
      <alignment horizontal="right"/>
    </xf>
    <xf numFmtId="166" fontId="11" fillId="0" borderId="0" applyAlignment="1" pivotButton="0" quotePrefix="0" xfId="0">
      <alignment horizontal="center"/>
    </xf>
    <xf numFmtId="166" fontId="11" fillId="0" borderId="0" pivotButton="0" quotePrefix="0" xfId="0"/>
    <xf numFmtId="0" fontId="11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vertical="center"/>
    </xf>
    <xf numFmtId="164" fontId="11" fillId="0" borderId="0" applyAlignment="1" pivotButton="0" quotePrefix="0" xfId="0">
      <alignment horizontal="left"/>
    </xf>
    <xf numFmtId="0" fontId="17" fillId="20" borderId="0" pivotButton="0" quotePrefix="0" xfId="0"/>
    <xf numFmtId="164" fontId="11" fillId="0" borderId="23" applyAlignment="1" pivotButton="0" quotePrefix="0" xfId="0">
      <alignment horizontal="right"/>
    </xf>
    <xf numFmtId="49" fontId="8" fillId="3" borderId="0" pivotButton="0" quotePrefix="0" xfId="0"/>
    <xf numFmtId="0" fontId="30" fillId="17" borderId="24" applyAlignment="1" pivotButton="0" quotePrefix="0" xfId="0">
      <alignment horizontal="center" vertical="center" shrinkToFit="1"/>
    </xf>
    <xf numFmtId="49" fontId="31" fillId="2" borderId="0" applyAlignment="1" pivotButton="0" quotePrefix="0" xfId="0">
      <alignment horizontal="left" vertical="center"/>
    </xf>
    <xf numFmtId="0" fontId="31" fillId="2" borderId="0" applyAlignment="1" pivotButton="0" quotePrefix="0" xfId="0">
      <alignment horizontal="center" vertical="center"/>
    </xf>
    <xf numFmtId="164" fontId="31" fillId="2" borderId="0" applyAlignment="1" pivotButton="0" quotePrefix="0" xfId="0">
      <alignment vertical="center"/>
    </xf>
    <xf numFmtId="0" fontId="32" fillId="0" borderId="12" applyAlignment="1" pivotButton="0" quotePrefix="0" xfId="0">
      <alignment vertical="center"/>
    </xf>
    <xf numFmtId="0" fontId="34" fillId="12" borderId="6" applyAlignment="1" pivotButton="0" quotePrefix="0" xfId="0">
      <alignment vertical="center"/>
    </xf>
    <xf numFmtId="164" fontId="35" fillId="2" borderId="0" applyAlignment="1" pivotButton="0" quotePrefix="0" xfId="2">
      <alignment horizontal="center" vertical="center"/>
    </xf>
    <xf numFmtId="49" fontId="34" fillId="2" borderId="5" applyAlignment="1" pivotButton="0" quotePrefix="0" xfId="0">
      <alignment horizontal="left" vertical="center"/>
    </xf>
    <xf numFmtId="49" fontId="31" fillId="2" borderId="7" applyAlignment="1" pivotButton="0" quotePrefix="0" xfId="0">
      <alignment horizontal="left" vertical="center"/>
    </xf>
    <xf numFmtId="0" fontId="31" fillId="2" borderId="5" applyAlignment="1" pivotButton="0" quotePrefix="0" xfId="0">
      <alignment horizontal="center" vertical="center"/>
    </xf>
    <xf numFmtId="165" fontId="36" fillId="12" borderId="0" applyAlignment="1" pivotButton="0" quotePrefix="0" xfId="0">
      <alignment horizontal="center" vertical="center"/>
    </xf>
    <xf numFmtId="0" fontId="31" fillId="2" borderId="20" applyAlignment="1" pivotButton="0" quotePrefix="0" xfId="0">
      <alignment horizontal="left" vertical="center"/>
    </xf>
    <xf numFmtId="169" fontId="30" fillId="17" borderId="24" applyAlignment="1" pivotButton="0" quotePrefix="0" xfId="0">
      <alignment horizontal="center" vertical="center"/>
    </xf>
    <xf numFmtId="0" fontId="33" fillId="17" borderId="24" applyAlignment="1" pivotButton="0" quotePrefix="0" xfId="0">
      <alignment horizontal="center" vertical="center"/>
    </xf>
    <xf numFmtId="164" fontId="33" fillId="17" borderId="24" applyAlignment="1" pivotButton="0" quotePrefix="0" xfId="0">
      <alignment horizontal="center" vertical="center"/>
    </xf>
    <xf numFmtId="0" fontId="31" fillId="0" borderId="15" applyAlignment="1" pivotButton="0" quotePrefix="0" xfId="0">
      <alignment horizontal="center" vertical="center"/>
    </xf>
    <xf numFmtId="166" fontId="31" fillId="22" borderId="15" applyAlignment="1" pivotButton="0" quotePrefix="0" xfId="0">
      <alignment vertical="center"/>
    </xf>
    <xf numFmtId="0" fontId="31" fillId="9" borderId="15" applyAlignment="1" pivotButton="0" quotePrefix="0" xfId="0">
      <alignment horizontal="center" vertical="center"/>
    </xf>
    <xf numFmtId="169" fontId="33" fillId="10" borderId="15" applyAlignment="1" pivotButton="0" quotePrefix="0" xfId="0">
      <alignment horizontal="right" vertical="center"/>
    </xf>
    <xf numFmtId="165" fontId="31" fillId="9" borderId="15" applyAlignment="1" pivotButton="0" quotePrefix="0" xfId="0">
      <alignment horizontal="right" vertical="center"/>
    </xf>
    <xf numFmtId="49" fontId="36" fillId="17" borderId="0" applyAlignment="1" pivotButton="0" quotePrefix="0" xfId="0">
      <alignment horizontal="right" vertical="center"/>
    </xf>
    <xf numFmtId="165" fontId="31" fillId="2" borderId="0" applyAlignment="1" pivotButton="0" quotePrefix="0" xfId="0">
      <alignment horizontal="center" vertical="center"/>
    </xf>
    <xf numFmtId="49" fontId="34" fillId="2" borderId="0" applyAlignment="1" pivotButton="0" quotePrefix="0" xfId="0">
      <alignment horizontal="left" vertical="center"/>
    </xf>
    <xf numFmtId="0" fontId="31" fillId="2" borderId="0" applyAlignment="1" pivotButton="0" quotePrefix="0" xfId="0">
      <alignment horizontal="left" vertical="center"/>
    </xf>
    <xf numFmtId="170" fontId="31" fillId="2" borderId="0" applyAlignment="1" pivotButton="0" quotePrefix="0" xfId="0">
      <alignment horizontal="right" vertical="center"/>
    </xf>
    <xf numFmtId="169" fontId="31" fillId="2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left" vertical="center"/>
    </xf>
    <xf numFmtId="0" fontId="31" fillId="2" borderId="0" applyAlignment="1" pivotButton="0" quotePrefix="0" xfId="0">
      <alignment vertical="center"/>
    </xf>
    <xf numFmtId="166" fontId="31" fillId="2" borderId="0" applyAlignment="1" pivotButton="0" quotePrefix="0" xfId="0">
      <alignment horizontal="left" vertical="center"/>
    </xf>
    <xf numFmtId="166" fontId="31" fillId="2" borderId="0" applyAlignment="1" pivotButton="0" quotePrefix="0" xfId="0">
      <alignment horizontal="right" vertical="center"/>
    </xf>
    <xf numFmtId="164" fontId="31" fillId="2" borderId="0" applyAlignment="1" pivotButton="0" quotePrefix="0" xfId="0">
      <alignment horizontal="right" vertical="center"/>
    </xf>
    <xf numFmtId="164" fontId="31" fillId="2" borderId="0" applyAlignment="1" pivotButton="0" quotePrefix="0" xfId="0">
      <alignment horizontal="center" vertical="center"/>
    </xf>
    <xf numFmtId="0" fontId="31" fillId="12" borderId="0" applyAlignment="1" pivotButton="0" quotePrefix="0" xfId="0">
      <alignment vertical="center"/>
    </xf>
    <xf numFmtId="165" fontId="31" fillId="2" borderId="0" applyAlignment="1" pivotButton="0" quotePrefix="0" xfId="0">
      <alignment vertical="center"/>
    </xf>
    <xf numFmtId="166" fontId="31" fillId="2" borderId="0" applyAlignment="1" pivotButton="0" quotePrefix="0" xfId="0">
      <alignment horizontal="center" vertical="center"/>
    </xf>
    <xf numFmtId="166" fontId="31" fillId="2" borderId="0" applyAlignment="1" pivotButton="0" quotePrefix="0" xfId="0">
      <alignment vertical="center"/>
    </xf>
    <xf numFmtId="0" fontId="31" fillId="12" borderId="0" applyAlignment="1" pivotButton="0" quotePrefix="0" xfId="0">
      <alignment horizontal="center" vertical="center"/>
    </xf>
    <xf numFmtId="165" fontId="36" fillId="2" borderId="0" applyAlignment="1" pivotButton="0" quotePrefix="0" xfId="0">
      <alignment horizontal="center" vertical="center"/>
    </xf>
    <xf numFmtId="165" fontId="31" fillId="2" borderId="0" applyAlignment="1" pivotButton="0" quotePrefix="0" xfId="0">
      <alignment horizontal="right" vertical="center"/>
    </xf>
    <xf numFmtId="169" fontId="31" fillId="12" borderId="6" applyAlignment="1" pivotButton="0" quotePrefix="0" xfId="0">
      <alignment vertical="center"/>
    </xf>
    <xf numFmtId="165" fontId="36" fillId="12" borderId="2" applyAlignment="1" pivotButton="0" quotePrefix="0" xfId="0">
      <alignment horizontal="center" vertical="center"/>
    </xf>
    <xf numFmtId="169" fontId="31" fillId="0" borderId="0" applyAlignment="1" pivotButton="0" quotePrefix="0" xfId="0">
      <alignment horizontal="left" vertical="center"/>
    </xf>
    <xf numFmtId="0" fontId="35" fillId="2" borderId="0" applyAlignment="1" pivotButton="0" quotePrefix="0" xfId="2">
      <alignment horizontal="center" vertical="center"/>
    </xf>
    <xf numFmtId="164" fontId="31" fillId="2" borderId="0" applyAlignment="1" pivotButton="0" quotePrefix="0" xfId="0">
      <alignment horizontal="left" vertical="center"/>
    </xf>
    <xf numFmtId="49" fontId="32" fillId="2" borderId="10" applyAlignment="1" pivotButton="0" quotePrefix="0" xfId="0">
      <alignment horizontal="center" vertical="center"/>
    </xf>
    <xf numFmtId="165" fontId="32" fillId="2" borderId="19" applyAlignment="1" pivotButton="0" quotePrefix="0" xfId="0">
      <alignment horizontal="center" vertical="center"/>
    </xf>
    <xf numFmtId="165" fontId="32" fillId="2" borderId="3" applyAlignment="1" pivotButton="0" quotePrefix="0" xfId="0">
      <alignment horizontal="center" vertical="center"/>
    </xf>
    <xf numFmtId="0" fontId="39" fillId="2" borderId="0" applyAlignment="1" pivotButton="0" quotePrefix="0" xfId="2">
      <alignment horizontal="center" vertical="center"/>
    </xf>
    <xf numFmtId="0" fontId="39" fillId="2" borderId="0" applyAlignment="1" pivotButton="0" quotePrefix="0" xfId="2">
      <alignment horizontal="left" vertical="center"/>
    </xf>
    <xf numFmtId="166" fontId="33" fillId="12" borderId="0" applyAlignment="1" pivotButton="0" quotePrefix="0" xfId="0">
      <alignment horizontal="left" vertical="center"/>
    </xf>
    <xf numFmtId="0" fontId="38" fillId="9" borderId="0" applyAlignment="1" pivotButton="0" quotePrefix="0" xfId="3">
      <alignment vertical="center"/>
    </xf>
    <xf numFmtId="0" fontId="38" fillId="9" borderId="0" applyAlignment="1" pivotButton="0" quotePrefix="0" xfId="3">
      <alignment horizontal="center" vertical="center"/>
    </xf>
    <xf numFmtId="0" fontId="38" fillId="9" borderId="0" applyAlignment="1" pivotButton="0" quotePrefix="0" xfId="3">
      <alignment horizontal="left" vertical="center"/>
    </xf>
    <xf numFmtId="49" fontId="36" fillId="17" borderId="25" applyAlignment="1" pivotButton="0" quotePrefix="0" xfId="0">
      <alignment horizontal="center" vertical="center"/>
    </xf>
    <xf numFmtId="49" fontId="33" fillId="17" borderId="24" applyAlignment="1" pivotButton="0" quotePrefix="0" xfId="0">
      <alignment horizontal="center" vertical="center"/>
    </xf>
    <xf numFmtId="165" fontId="33" fillId="17" borderId="24" applyAlignment="1" pivotButton="0" quotePrefix="0" xfId="0">
      <alignment horizontal="center" vertical="center"/>
    </xf>
    <xf numFmtId="165" fontId="33" fillId="10" borderId="24" applyAlignment="1" pivotButton="0" quotePrefix="0" xfId="0">
      <alignment horizontal="center" vertical="center"/>
    </xf>
    <xf numFmtId="0" fontId="33" fillId="10" borderId="24" applyAlignment="1" pivotButton="0" quotePrefix="0" xfId="0">
      <alignment horizontal="center" vertical="center"/>
    </xf>
    <xf numFmtId="164" fontId="33" fillId="17" borderId="24" applyAlignment="1" pivotButton="0" quotePrefix="0" xfId="0">
      <alignment horizontal="center" vertical="center" wrapText="1"/>
    </xf>
    <xf numFmtId="169" fontId="33" fillId="19" borderId="24" applyAlignment="1" pivotButton="0" quotePrefix="0" xfId="0">
      <alignment horizontal="center" vertical="center"/>
    </xf>
    <xf numFmtId="0" fontId="33" fillId="19" borderId="24" applyAlignment="1" pivotButton="0" quotePrefix="0" xfId="0">
      <alignment horizontal="center" vertical="center"/>
    </xf>
    <xf numFmtId="169" fontId="33" fillId="10" borderId="24" applyAlignment="1" pivotButton="0" quotePrefix="0" xfId="0">
      <alignment horizontal="center" vertical="center"/>
    </xf>
    <xf numFmtId="166" fontId="40" fillId="17" borderId="24" applyAlignment="1" pivotButton="0" quotePrefix="0" xfId="0">
      <alignment horizontal="center" vertical="center"/>
    </xf>
    <xf numFmtId="0" fontId="40" fillId="17" borderId="24" applyAlignment="1" pivotButton="0" quotePrefix="0" xfId="0">
      <alignment horizontal="center" vertical="center"/>
    </xf>
    <xf numFmtId="166" fontId="33" fillId="17" borderId="24" applyAlignment="1" pivotButton="0" quotePrefix="0" xfId="0">
      <alignment horizontal="center" vertical="center"/>
    </xf>
    <xf numFmtId="0" fontId="33" fillId="17" borderId="24" applyAlignment="1" pivotButton="0" quotePrefix="0" xfId="0">
      <alignment horizontal="center" vertical="center" wrapText="1"/>
    </xf>
    <xf numFmtId="10" fontId="33" fillId="10" borderId="24" applyAlignment="1" pivotButton="0" quotePrefix="0" xfId="0">
      <alignment horizontal="center" vertical="center"/>
    </xf>
    <xf numFmtId="0" fontId="37" fillId="10" borderId="24" applyAlignment="1" pivotButton="0" quotePrefix="0" xfId="1">
      <alignment horizontal="center" vertical="center"/>
    </xf>
    <xf numFmtId="0" fontId="37" fillId="13" borderId="24" applyAlignment="1" pivotButton="0" quotePrefix="0" xfId="1">
      <alignment horizontal="center" vertical="center"/>
    </xf>
    <xf numFmtId="0" fontId="37" fillId="10" borderId="26" applyAlignment="1" pivotButton="0" quotePrefix="0" xfId="1">
      <alignment horizontal="center" vertical="center"/>
    </xf>
    <xf numFmtId="0" fontId="37" fillId="10" borderId="18" applyAlignment="1" pivotButton="0" quotePrefix="0" xfId="1">
      <alignment horizontal="center" vertical="center"/>
    </xf>
    <xf numFmtId="0" fontId="38" fillId="2" borderId="18" applyAlignment="1" pivotButton="0" quotePrefix="0" xfId="0">
      <alignment horizontal="center" vertical="center"/>
    </xf>
    <xf numFmtId="0" fontId="32" fillId="3" borderId="18" applyAlignment="1" pivotButton="0" quotePrefix="0" xfId="0">
      <alignment horizontal="center" vertical="center"/>
    </xf>
    <xf numFmtId="0" fontId="37" fillId="4" borderId="18" applyAlignment="1" pivotButton="0" quotePrefix="0" xfId="0">
      <alignment horizontal="center" vertical="center"/>
    </xf>
    <xf numFmtId="171" fontId="32" fillId="3" borderId="18" applyAlignment="1" pivotButton="0" quotePrefix="0" xfId="0">
      <alignment horizontal="center"/>
    </xf>
    <xf numFmtId="0" fontId="32" fillId="3" borderId="18" applyAlignment="1" pivotButton="0" quotePrefix="0" xfId="0">
      <alignment horizontal="center"/>
    </xf>
    <xf numFmtId="166" fontId="32" fillId="3" borderId="18" applyAlignment="1" pivotButton="0" quotePrefix="0" xfId="0">
      <alignment horizontal="center"/>
    </xf>
    <xf numFmtId="0" fontId="38" fillId="9" borderId="18" applyAlignment="1" pivotButton="0" quotePrefix="0" xfId="0">
      <alignment horizontal="center"/>
    </xf>
    <xf numFmtId="0" fontId="36" fillId="2" borderId="18" applyAlignment="1" pivotButton="0" quotePrefix="0" xfId="0">
      <alignment horizontal="center" vertical="center"/>
    </xf>
    <xf numFmtId="0" fontId="31" fillId="2" borderId="18" applyAlignment="1" pivotButton="0" quotePrefix="0" xfId="0">
      <alignment horizontal="center" vertical="center"/>
    </xf>
    <xf numFmtId="165" fontId="33" fillId="10" borderId="18" applyAlignment="1" pivotButton="0" quotePrefix="0" xfId="0">
      <alignment horizontal="center" vertical="center"/>
    </xf>
    <xf numFmtId="0" fontId="32" fillId="3" borderId="18" applyAlignment="1" pivotButton="0" quotePrefix="0" xfId="1">
      <alignment horizontal="center" vertical="center"/>
    </xf>
    <xf numFmtId="0" fontId="34" fillId="2" borderId="18" applyAlignment="1" pivotButton="0" quotePrefix="0" xfId="0">
      <alignment horizontal="center" vertical="center"/>
    </xf>
    <xf numFmtId="0" fontId="34" fillId="0" borderId="15" applyAlignment="1" pivotButton="0" quotePrefix="0" xfId="0">
      <alignment horizontal="center" vertical="center"/>
    </xf>
    <xf numFmtId="0" fontId="38" fillId="14" borderId="18" applyAlignment="1" pivotButton="0" quotePrefix="0" xfId="3">
      <alignment horizontal="center" vertical="center"/>
    </xf>
    <xf numFmtId="0" fontId="31" fillId="9" borderId="18" applyAlignment="1" pivotButton="0" quotePrefix="0" xfId="0">
      <alignment horizontal="center" vertical="center"/>
    </xf>
    <xf numFmtId="165" fontId="38" fillId="16" borderId="18" applyAlignment="1" pivotButton="0" quotePrefix="0" xfId="0">
      <alignment horizontal="center" vertical="center"/>
    </xf>
    <xf numFmtId="165" fontId="31" fillId="9" borderId="18" applyAlignment="1" pivotButton="0" quotePrefix="0" xfId="0">
      <alignment horizontal="center" vertical="center"/>
    </xf>
    <xf numFmtId="165" fontId="31" fillId="15" borderId="18" applyAlignment="1" pivotButton="0" quotePrefix="0" xfId="0">
      <alignment horizontal="center" vertical="center"/>
    </xf>
    <xf numFmtId="0" fontId="31" fillId="3" borderId="18" applyAlignment="1" pivotButton="0" quotePrefix="0" xfId="0">
      <alignment horizontal="center" vertical="center"/>
    </xf>
    <xf numFmtId="49" fontId="36" fillId="17" borderId="21" applyAlignment="1" pivotButton="0" quotePrefix="0" xfId="0">
      <alignment horizontal="right" vertical="center"/>
    </xf>
    <xf numFmtId="49" fontId="31" fillId="0" borderId="15" applyAlignment="1" pivotButton="0" quotePrefix="0" xfId="0">
      <alignment horizontal="left" vertical="center"/>
    </xf>
    <xf numFmtId="0" fontId="31" fillId="18" borderId="15" applyAlignment="1" pivotButton="0" quotePrefix="0" xfId="0">
      <alignment horizontal="center" vertical="center"/>
    </xf>
    <xf numFmtId="0" fontId="31" fillId="18" borderId="15" applyAlignment="1" pivotButton="0" quotePrefix="0" xfId="0">
      <alignment horizontal="left" vertical="center"/>
    </xf>
    <xf numFmtId="165" fontId="36" fillId="0" borderId="15" applyAlignment="1" pivotButton="0" quotePrefix="0" xfId="0">
      <alignment horizontal="center" vertical="center"/>
    </xf>
    <xf numFmtId="0" fontId="31" fillId="0" borderId="15" applyAlignment="1" pivotButton="0" quotePrefix="0" xfId="0">
      <alignment horizontal="left" vertical="center"/>
    </xf>
    <xf numFmtId="0" fontId="31" fillId="0" borderId="21" applyAlignment="1" pivotButton="0" quotePrefix="0" xfId="0">
      <alignment horizontal="left" vertical="center"/>
    </xf>
    <xf numFmtId="164" fontId="38" fillId="0" borderId="15" applyAlignment="1" pivotButton="0" quotePrefix="0" xfId="0">
      <alignment vertical="center"/>
    </xf>
    <xf numFmtId="170" fontId="31" fillId="0" borderId="15" applyAlignment="1" pivotButton="0" quotePrefix="0" xfId="0">
      <alignment horizontal="right" vertical="center"/>
    </xf>
    <xf numFmtId="169" fontId="31" fillId="0" borderId="15" applyAlignment="1" pivotButton="0" quotePrefix="0" xfId="0">
      <alignment horizontal="center" vertical="center"/>
    </xf>
    <xf numFmtId="0" fontId="31" fillId="18" borderId="15" applyAlignment="1" pivotButton="0" quotePrefix="0" xfId="0">
      <alignment vertical="center"/>
    </xf>
    <xf numFmtId="0" fontId="34" fillId="0" borderId="15" applyAlignment="1" pivotButton="0" quotePrefix="0" xfId="0">
      <alignment horizontal="left" vertical="center"/>
    </xf>
    <xf numFmtId="0" fontId="31" fillId="0" borderId="15" applyAlignment="1" pivotButton="0" quotePrefix="0" xfId="0">
      <alignment vertical="center"/>
    </xf>
    <xf numFmtId="166" fontId="31" fillId="21" borderId="15" applyAlignment="1" pivotButton="0" quotePrefix="0" xfId="0">
      <alignment horizontal="right" vertical="center"/>
    </xf>
    <xf numFmtId="172" fontId="38" fillId="21" borderId="15" applyAlignment="1" pivotButton="0" quotePrefix="0" xfId="5">
      <alignment vertical="center"/>
    </xf>
    <xf numFmtId="166" fontId="31" fillId="0" borderId="15" applyAlignment="1" pivotButton="0" quotePrefix="0" xfId="0">
      <alignment horizontal="right" vertical="center"/>
    </xf>
    <xf numFmtId="166" fontId="31" fillId="18" borderId="21" applyAlignment="1" pivotButton="0" quotePrefix="0" xfId="0">
      <alignment horizontal="right" vertical="center"/>
    </xf>
    <xf numFmtId="164" fontId="31" fillId="0" borderId="15" applyAlignment="1" pivotButton="0" quotePrefix="0" xfId="0">
      <alignment horizontal="right" vertical="center"/>
    </xf>
    <xf numFmtId="164" fontId="31" fillId="18" borderId="15" applyAlignment="1" pivotButton="0" quotePrefix="0" xfId="0">
      <alignment horizontal="center" vertical="center"/>
    </xf>
    <xf numFmtId="166" fontId="31" fillId="18" borderId="15" applyAlignment="1" pivotButton="0" quotePrefix="0" xfId="0">
      <alignment horizontal="right" vertical="center"/>
    </xf>
    <xf numFmtId="0" fontId="31" fillId="18" borderId="21" applyAlignment="1" pivotButton="0" quotePrefix="0" xfId="0">
      <alignment horizontal="left" vertical="center"/>
    </xf>
    <xf numFmtId="0" fontId="32" fillId="3" borderId="21" applyAlignment="1" pivotButton="0" quotePrefix="0" xfId="1">
      <alignment horizontal="center" vertical="center"/>
    </xf>
    <xf numFmtId="0" fontId="32" fillId="3" borderId="21" applyAlignment="1" pivotButton="0" quotePrefix="0" xfId="1">
      <alignment vertical="center"/>
    </xf>
    <xf numFmtId="0" fontId="38" fillId="12" borderId="21" applyAlignment="1" pivotButton="0" quotePrefix="0" xfId="0">
      <alignment vertical="center"/>
    </xf>
    <xf numFmtId="165" fontId="32" fillId="3" borderId="21" applyAlignment="1" pivotButton="0" quotePrefix="0" xfId="0">
      <alignment horizontal="center" vertical="center"/>
    </xf>
    <xf numFmtId="0" fontId="32" fillId="3" borderId="21" applyAlignment="1" pivotButton="0" quotePrefix="0" xfId="0">
      <alignment vertical="center"/>
    </xf>
    <xf numFmtId="0" fontId="31" fillId="2" borderId="21" applyAlignment="1" pivotButton="0" quotePrefix="0" xfId="0">
      <alignment horizontal="left" vertical="center"/>
    </xf>
    <xf numFmtId="171" fontId="32" fillId="3" borderId="21" applyAlignment="1" pivotButton="0" quotePrefix="0" xfId="0">
      <alignment horizontal="center"/>
    </xf>
    <xf numFmtId="165" fontId="32" fillId="3" borderId="21" applyAlignment="1" pivotButton="0" quotePrefix="0" xfId="0">
      <alignment horizontal="center"/>
    </xf>
    <xf numFmtId="171" fontId="32" fillId="3" borderId="21" applyAlignment="1" pivotButton="0" quotePrefix="0" xfId="0">
      <alignment horizontal="left"/>
    </xf>
    <xf numFmtId="49" fontId="32" fillId="3" borderId="21" pivotButton="0" quotePrefix="0" xfId="0"/>
    <xf numFmtId="166" fontId="32" fillId="3" borderId="21" applyAlignment="1" pivotButton="0" quotePrefix="0" xfId="0">
      <alignment horizontal="center"/>
    </xf>
    <xf numFmtId="164" fontId="32" fillId="3" borderId="21" applyAlignment="1" pivotButton="0" quotePrefix="0" xfId="0">
      <alignment horizontal="right" vertical="center"/>
    </xf>
    <xf numFmtId="166" fontId="32" fillId="3" borderId="21" applyAlignment="1" pivotButton="0" quotePrefix="0" xfId="0">
      <alignment horizontal="right" vertical="center"/>
    </xf>
    <xf numFmtId="10" fontId="32" fillId="3" borderId="21" applyAlignment="1" pivotButton="0" quotePrefix="0" xfId="0">
      <alignment horizontal="right" vertical="center"/>
    </xf>
    <xf numFmtId="0" fontId="31" fillId="2" borderId="21" applyAlignment="1" pivotButton="0" quotePrefix="0" xfId="0">
      <alignment vertical="center"/>
    </xf>
    <xf numFmtId="0" fontId="32" fillId="3" borderId="21" applyAlignment="1" pivotButton="0" quotePrefix="0" xfId="0">
      <alignment horizontal="center" vertical="center"/>
    </xf>
    <xf numFmtId="0" fontId="34" fillId="4" borderId="21" applyAlignment="1" pivotButton="0" quotePrefix="0" xfId="0">
      <alignment vertical="center"/>
    </xf>
    <xf numFmtId="49" fontId="34" fillId="4" borderId="21" applyAlignment="1" pivotButton="0" quotePrefix="0" xfId="0">
      <alignment vertical="center"/>
    </xf>
    <xf numFmtId="0" fontId="31" fillId="9" borderId="21" applyAlignment="1" pivotButton="0" quotePrefix="0" xfId="0">
      <alignment horizontal="center" vertical="center"/>
    </xf>
    <xf numFmtId="0" fontId="34" fillId="4" borderId="21" applyAlignment="1" pivotButton="0" quotePrefix="0" xfId="1">
      <alignment vertical="center"/>
    </xf>
    <xf numFmtId="0" fontId="38" fillId="12" borderId="21" applyAlignment="1" pivotButton="0" quotePrefix="0" xfId="3">
      <alignment vertical="center"/>
    </xf>
    <xf numFmtId="0" fontId="36" fillId="12" borderId="21" applyAlignment="1" pivotButton="0" quotePrefix="0" xfId="3">
      <alignment horizontal="center" vertical="center"/>
    </xf>
    <xf numFmtId="0" fontId="38" fillId="12" borderId="21" applyAlignment="1" pivotButton="0" quotePrefix="0" xfId="3">
      <alignment horizontal="left" vertical="center"/>
    </xf>
    <xf numFmtId="165" fontId="36" fillId="2" borderId="21" applyAlignment="1" pivotButton="0" quotePrefix="0" xfId="0">
      <alignment horizontal="center" vertical="center"/>
    </xf>
    <xf numFmtId="165" fontId="31" fillId="2" borderId="21" applyAlignment="1" pivotButton="0" quotePrefix="0" xfId="0">
      <alignment horizontal="center" vertical="center"/>
    </xf>
    <xf numFmtId="169" fontId="31" fillId="2" borderId="21" applyAlignment="1" pivotButton="0" quotePrefix="0" xfId="0">
      <alignment horizontal="right" vertical="center"/>
    </xf>
    <xf numFmtId="49" fontId="36" fillId="17" borderId="15" applyAlignment="1" pivotButton="0" quotePrefix="0" xfId="0">
      <alignment horizontal="right" vertical="center"/>
    </xf>
    <xf numFmtId="10" fontId="33" fillId="10" borderId="15" applyAlignment="1" pivotButton="0" quotePrefix="0" xfId="0">
      <alignment horizontal="left" vertical="center"/>
    </xf>
    <xf numFmtId="0" fontId="32" fillId="3" borderId="15" applyAlignment="1" pivotButton="0" quotePrefix="0" xfId="1">
      <alignment horizontal="center" vertical="center"/>
    </xf>
    <xf numFmtId="0" fontId="34" fillId="4" borderId="15" applyAlignment="1" pivotButton="0" quotePrefix="0" xfId="1">
      <alignment vertical="center"/>
    </xf>
    <xf numFmtId="165" fontId="31" fillId="18" borderId="15" applyAlignment="1" pivotButton="0" quotePrefix="0" xfId="0">
      <alignment horizontal="center" vertical="center"/>
    </xf>
    <xf numFmtId="0" fontId="38" fillId="12" borderId="15" applyAlignment="1" pivotButton="0" quotePrefix="0" xfId="0">
      <alignment vertical="center"/>
    </xf>
    <xf numFmtId="165" fontId="32" fillId="3" borderId="15" applyAlignment="1" pivotButton="0" quotePrefix="0" xfId="0">
      <alignment horizontal="center" vertical="center"/>
    </xf>
    <xf numFmtId="0" fontId="32" fillId="3" borderId="15" applyAlignment="1" pivotButton="0" quotePrefix="0" xfId="0">
      <alignment vertical="center"/>
    </xf>
    <xf numFmtId="0" fontId="31" fillId="2" borderId="15" applyAlignment="1" pivotButton="0" quotePrefix="0" xfId="0">
      <alignment horizontal="left" vertical="center"/>
    </xf>
    <xf numFmtId="171" fontId="32" fillId="3" borderId="15" applyAlignment="1" pivotButton="0" quotePrefix="0" xfId="0">
      <alignment horizontal="center"/>
    </xf>
    <xf numFmtId="165" fontId="32" fillId="3" borderId="15" applyAlignment="1" pivotButton="0" quotePrefix="0" xfId="0">
      <alignment horizontal="center"/>
    </xf>
    <xf numFmtId="171" fontId="32" fillId="3" borderId="15" applyAlignment="1" pivotButton="0" quotePrefix="0" xfId="0">
      <alignment horizontal="left"/>
    </xf>
    <xf numFmtId="49" fontId="32" fillId="3" borderId="15" pivotButton="0" quotePrefix="0" xfId="0"/>
    <xf numFmtId="166" fontId="32" fillId="3" borderId="15" applyAlignment="1" pivotButton="0" quotePrefix="0" xfId="0">
      <alignment horizontal="center"/>
    </xf>
    <xf numFmtId="164" fontId="32" fillId="3" borderId="15" applyAlignment="1" pivotButton="0" quotePrefix="0" xfId="0">
      <alignment horizontal="right" vertical="center"/>
    </xf>
    <xf numFmtId="166" fontId="32" fillId="3" borderId="15" applyAlignment="1" pivotButton="0" quotePrefix="0" xfId="0">
      <alignment horizontal="right" vertical="center"/>
    </xf>
    <xf numFmtId="10" fontId="32" fillId="3" borderId="15" applyAlignment="1" pivotButton="0" quotePrefix="0" xfId="0">
      <alignment horizontal="right" vertical="center"/>
    </xf>
    <xf numFmtId="0" fontId="31" fillId="2" borderId="15" applyAlignment="1" pivotButton="0" quotePrefix="0" xfId="0">
      <alignment vertical="center"/>
    </xf>
    <xf numFmtId="0" fontId="32" fillId="3" borderId="15" applyAlignment="1" pivotButton="0" quotePrefix="0" xfId="0">
      <alignment horizontal="center" vertical="center"/>
    </xf>
    <xf numFmtId="0" fontId="34" fillId="4" borderId="15" applyAlignment="1" pivotButton="0" quotePrefix="0" xfId="0">
      <alignment vertical="center"/>
    </xf>
    <xf numFmtId="49" fontId="34" fillId="4" borderId="15" applyAlignment="1" pivotButton="0" quotePrefix="0" xfId="0">
      <alignment vertical="center"/>
    </xf>
    <xf numFmtId="0" fontId="38" fillId="12" borderId="15" applyAlignment="1" pivotButton="0" quotePrefix="0" xfId="3">
      <alignment vertical="center"/>
    </xf>
    <xf numFmtId="0" fontId="36" fillId="12" borderId="15" applyAlignment="1" pivotButton="0" quotePrefix="0" xfId="3">
      <alignment horizontal="center" vertical="center"/>
    </xf>
    <xf numFmtId="0" fontId="38" fillId="12" borderId="15" applyAlignment="1" pivotButton="0" quotePrefix="0" xfId="3">
      <alignment horizontal="left" vertical="center"/>
    </xf>
    <xf numFmtId="165" fontId="36" fillId="2" borderId="15" applyAlignment="1" pivotButton="0" quotePrefix="0" xfId="0">
      <alignment horizontal="center" vertical="center"/>
    </xf>
    <xf numFmtId="165" fontId="31" fillId="2" borderId="15" applyAlignment="1" pivotButton="0" quotePrefix="0" xfId="0">
      <alignment horizontal="center" vertical="center"/>
    </xf>
    <xf numFmtId="169" fontId="31" fillId="2" borderId="15" applyAlignment="1" pivotButton="0" quotePrefix="0" xfId="0">
      <alignment horizontal="right" vertical="center"/>
    </xf>
    <xf numFmtId="49" fontId="31" fillId="0" borderId="15" applyAlignment="1" pivotButton="0" quotePrefix="0" xfId="0">
      <alignment horizontal="center" vertical="center"/>
    </xf>
    <xf numFmtId="49" fontId="34" fillId="0" borderId="15" applyAlignment="1" pivotButton="0" quotePrefix="0" xfId="0">
      <alignment horizontal="left" vertical="center"/>
    </xf>
    <xf numFmtId="0" fontId="34" fillId="9" borderId="15" applyAlignment="1" pivotButton="0" quotePrefix="0" xfId="1">
      <alignment vertical="center"/>
    </xf>
    <xf numFmtId="0" fontId="34" fillId="0" borderId="15" applyAlignment="1" pivotButton="0" quotePrefix="0" xfId="1">
      <alignment vertical="center"/>
    </xf>
    <xf numFmtId="0" fontId="31" fillId="12" borderId="15" applyAlignment="1" pivotButton="0" quotePrefix="0" xfId="0">
      <alignment vertical="center"/>
    </xf>
    <xf numFmtId="0" fontId="32" fillId="12" borderId="15" applyAlignment="1" pivotButton="0" quotePrefix="0" xfId="0">
      <alignment vertical="center"/>
    </xf>
    <xf numFmtId="0" fontId="32" fillId="3" borderId="15" applyAlignment="1" pivotButton="0" quotePrefix="0" xfId="1">
      <alignment vertical="center"/>
    </xf>
    <xf numFmtId="0" fontId="31" fillId="10" borderId="15" applyAlignment="1" pivotButton="0" quotePrefix="0" xfId="0">
      <alignment vertical="center"/>
    </xf>
    <xf numFmtId="0" fontId="34" fillId="4" borderId="15" applyAlignment="1" pivotButton="0" quotePrefix="0" xfId="1">
      <alignment horizontal="left" vertical="center"/>
    </xf>
    <xf numFmtId="0" fontId="41" fillId="12" borderId="15" applyAlignment="1" pivotButton="0" quotePrefix="0" xfId="3">
      <alignment horizontal="center" vertical="center"/>
    </xf>
    <xf numFmtId="0" fontId="32" fillId="12" borderId="15" applyAlignment="1" pivotButton="0" quotePrefix="0" xfId="1">
      <alignment horizontal="center" vertical="center"/>
    </xf>
    <xf numFmtId="0" fontId="34" fillId="12" borderId="15" applyAlignment="1" pivotButton="0" quotePrefix="0" xfId="0">
      <alignment vertical="center"/>
    </xf>
    <xf numFmtId="165" fontId="32" fillId="12" borderId="15" applyAlignment="1" pivotButton="0" quotePrefix="0" xfId="0">
      <alignment horizontal="center" vertical="center"/>
    </xf>
    <xf numFmtId="0" fontId="31" fillId="12" borderId="15" applyAlignment="1" pivotButton="0" quotePrefix="0" xfId="0">
      <alignment horizontal="left" vertical="center"/>
    </xf>
    <xf numFmtId="171" fontId="32" fillId="12" borderId="15" applyAlignment="1" pivotButton="0" quotePrefix="0" xfId="0">
      <alignment horizontal="center"/>
    </xf>
    <xf numFmtId="165" fontId="32" fillId="12" borderId="15" applyAlignment="1" pivotButton="0" quotePrefix="0" xfId="0">
      <alignment horizontal="center"/>
    </xf>
    <xf numFmtId="171" fontId="32" fillId="12" borderId="15" applyAlignment="1" pivotButton="0" quotePrefix="0" xfId="0">
      <alignment horizontal="left"/>
    </xf>
    <xf numFmtId="49" fontId="32" fillId="12" borderId="15" pivotButton="0" quotePrefix="0" xfId="0"/>
    <xf numFmtId="166" fontId="32" fillId="12" borderId="15" applyAlignment="1" pivotButton="0" quotePrefix="0" xfId="0">
      <alignment horizontal="center"/>
    </xf>
    <xf numFmtId="164" fontId="32" fillId="12" borderId="15" applyAlignment="1" pivotButton="0" quotePrefix="0" xfId="0">
      <alignment horizontal="right" vertical="center"/>
    </xf>
    <xf numFmtId="166" fontId="32" fillId="12" borderId="15" applyAlignment="1" pivotButton="0" quotePrefix="0" xfId="0">
      <alignment horizontal="right" vertical="center"/>
    </xf>
    <xf numFmtId="10" fontId="32" fillId="12" borderId="15" applyAlignment="1" pivotButton="0" quotePrefix="0" xfId="0">
      <alignment horizontal="right" vertical="center"/>
    </xf>
    <xf numFmtId="49" fontId="34" fillId="12" borderId="15" applyAlignment="1" pivotButton="0" quotePrefix="0" xfId="0">
      <alignment vertical="center"/>
    </xf>
    <xf numFmtId="0" fontId="31" fillId="12" borderId="15" applyAlignment="1" pivotButton="0" quotePrefix="0" xfId="0">
      <alignment horizontal="center" vertical="center"/>
    </xf>
    <xf numFmtId="165" fontId="36" fillId="12" borderId="15" applyAlignment="1" pivotButton="0" quotePrefix="0" xfId="0">
      <alignment horizontal="center" vertical="center"/>
    </xf>
    <xf numFmtId="165" fontId="31" fillId="12" borderId="15" applyAlignment="1" pivotButton="0" quotePrefix="0" xfId="0">
      <alignment horizontal="center" vertical="center"/>
    </xf>
    <xf numFmtId="169" fontId="31" fillId="12" borderId="15" applyAlignment="1" pivotButton="0" quotePrefix="0" xfId="0">
      <alignment horizontal="right" vertical="center"/>
    </xf>
    <xf numFmtId="0" fontId="32" fillId="12" borderId="15" applyAlignment="1" pivotButton="0" quotePrefix="0" xfId="0">
      <alignment horizontal="center" vertical="center"/>
    </xf>
    <xf numFmtId="165" fontId="32" fillId="0" borderId="15" applyAlignment="1" pivotButton="0" quotePrefix="0" xfId="0">
      <alignment horizontal="center" vertical="center"/>
    </xf>
    <xf numFmtId="0" fontId="32" fillId="0" borderId="15" applyAlignment="1" pivotButton="0" quotePrefix="0" xfId="0">
      <alignment vertical="center"/>
    </xf>
    <xf numFmtId="171" fontId="32" fillId="10" borderId="15" applyAlignment="1" pivotButton="0" quotePrefix="0" xfId="0">
      <alignment horizontal="center"/>
    </xf>
    <xf numFmtId="165" fontId="32" fillId="10" borderId="15" applyAlignment="1" pivotButton="0" quotePrefix="0" xfId="0">
      <alignment horizontal="center"/>
    </xf>
    <xf numFmtId="171" fontId="32" fillId="10" borderId="15" applyAlignment="1" pivotButton="0" quotePrefix="0" xfId="0">
      <alignment horizontal="left"/>
    </xf>
    <xf numFmtId="166" fontId="32" fillId="10" borderId="15" applyAlignment="1" pivotButton="0" quotePrefix="0" xfId="0">
      <alignment horizontal="center"/>
    </xf>
    <xf numFmtId="164" fontId="32" fillId="10" borderId="15" applyAlignment="1" pivotButton="0" quotePrefix="0" xfId="0">
      <alignment horizontal="right" vertical="center"/>
    </xf>
    <xf numFmtId="0" fontId="34" fillId="0" borderId="15" applyAlignment="1" pivotButton="0" quotePrefix="0" xfId="0">
      <alignment vertical="center"/>
    </xf>
    <xf numFmtId="165" fontId="31" fillId="0" borderId="15" applyAlignment="1" pivotButton="0" quotePrefix="0" xfId="0">
      <alignment horizontal="center" vertical="center"/>
    </xf>
    <xf numFmtId="169" fontId="31" fillId="0" borderId="15" applyAlignment="1" pivotButton="0" quotePrefix="0" xfId="0">
      <alignment horizontal="right" vertical="center"/>
    </xf>
    <xf numFmtId="0" fontId="31" fillId="2" borderId="15" applyAlignment="1" pivotButton="0" quotePrefix="0" xfId="0">
      <alignment horizontal="center" vertical="center"/>
    </xf>
    <xf numFmtId="49" fontId="31" fillId="2" borderId="0" applyAlignment="1" pivotButton="0" quotePrefix="0" xfId="0">
      <alignment horizontal="center" vertical="center"/>
    </xf>
    <xf numFmtId="10" fontId="33" fillId="10" borderId="0" applyAlignment="1" pivotButton="0" quotePrefix="0" xfId="0">
      <alignment horizontal="right" vertical="center"/>
    </xf>
    <xf numFmtId="0" fontId="31" fillId="10" borderId="0" applyAlignment="1" pivotButton="0" quotePrefix="0" xfId="0">
      <alignment vertical="center"/>
    </xf>
    <xf numFmtId="0" fontId="31" fillId="16" borderId="24" applyAlignment="1" pivotButton="0" quotePrefix="0" xfId="0">
      <alignment horizontal="center" vertical="center"/>
    </xf>
    <xf numFmtId="10" fontId="31" fillId="12" borderId="0" applyAlignment="1" pivotButton="0" quotePrefix="0" xfId="0">
      <alignment horizontal="right" vertical="center"/>
    </xf>
    <xf numFmtId="164" fontId="43" fillId="17" borderId="24" applyAlignment="1" pivotButton="0" quotePrefix="0" xfId="0">
      <alignment horizontal="center" vertical="center" wrapText="1"/>
    </xf>
    <xf numFmtId="0" fontId="43" fillId="17" borderId="24" applyAlignment="1" pivotButton="0" quotePrefix="0" xfId="0">
      <alignment horizontal="center" vertical="center"/>
    </xf>
    <xf numFmtId="165" fontId="33" fillId="17" borderId="24" applyAlignment="1" pivotButton="0" quotePrefix="0" xfId="0">
      <alignment horizontal="left" vertical="center"/>
    </xf>
    <xf numFmtId="0" fontId="44" fillId="4" borderId="15" applyAlignment="1" pivotButton="0" quotePrefix="0" xfId="1">
      <alignment vertical="center"/>
    </xf>
    <xf numFmtId="0" fontId="11" fillId="9" borderId="15" applyAlignment="1" pivotButton="0" quotePrefix="0" xfId="0">
      <alignment horizontal="right" vertical="center"/>
    </xf>
    <xf numFmtId="0" fontId="38" fillId="14" borderId="18" applyAlignment="1" pivotButton="0" quotePrefix="0" xfId="3">
      <alignment horizontal="left" vertical="center"/>
    </xf>
    <xf numFmtId="0" fontId="24" fillId="12" borderId="21" applyAlignment="1" pivotButton="0" quotePrefix="0" xfId="3">
      <alignment vertical="center"/>
    </xf>
    <xf numFmtId="0" fontId="24" fillId="12" borderId="15" applyAlignment="1" pivotButton="0" quotePrefix="0" xfId="3">
      <alignment vertical="center"/>
    </xf>
    <xf numFmtId="0" fontId="38" fillId="12" borderId="0" applyAlignment="1" pivotButton="0" quotePrefix="0" xfId="6">
      <alignment vertical="center"/>
    </xf>
    <xf numFmtId="0" fontId="25" fillId="12" borderId="0" applyAlignment="1" pivotButton="0" quotePrefix="0" xfId="6">
      <alignment vertical="center"/>
    </xf>
    <xf numFmtId="0" fontId="45" fillId="12" borderId="0" applyAlignment="1" pivotButton="0" quotePrefix="0" xfId="6">
      <alignment horizontal="left" vertical="center"/>
    </xf>
    <xf numFmtId="49" fontId="15" fillId="12" borderId="0" applyAlignment="1" pivotButton="0" quotePrefix="0" xfId="6">
      <alignment horizontal="right" vertical="center" indent="9"/>
    </xf>
    <xf numFmtId="0" fontId="15" fillId="12" borderId="0" applyAlignment="1" pivotButton="0" quotePrefix="0" xfId="6">
      <alignment horizontal="right" vertical="center" indent="9"/>
    </xf>
    <xf numFmtId="164" fontId="22" fillId="12" borderId="0" applyAlignment="1" pivotButton="0" quotePrefix="0" xfId="6">
      <alignment horizontal="right" vertical="center" indent="9"/>
    </xf>
    <xf numFmtId="170" fontId="46" fillId="2" borderId="0" applyAlignment="1" pivotButton="0" quotePrefix="0" xfId="0">
      <alignment horizontal="right" vertical="center"/>
    </xf>
    <xf numFmtId="0" fontId="22" fillId="12" borderId="29" applyAlignment="1" pivotButton="0" quotePrefix="0" xfId="6">
      <alignment vertical="center"/>
    </xf>
    <xf numFmtId="0" fontId="31" fillId="9" borderId="15" applyAlignment="1" pivotButton="0" quotePrefix="0" xfId="0">
      <alignment vertical="center"/>
    </xf>
    <xf numFmtId="0" fontId="13" fillId="12" borderId="9" applyAlignment="1" pivotButton="0" quotePrefix="0" xfId="6">
      <alignment vertical="center"/>
    </xf>
    <xf numFmtId="0" fontId="48" fillId="12" borderId="15" applyAlignment="1" pivotButton="0" quotePrefix="0" xfId="6">
      <alignment horizontal="center" vertical="center"/>
    </xf>
    <xf numFmtId="49" fontId="13" fillId="12" borderId="15" applyAlignment="1" pivotButton="0" quotePrefix="0" xfId="6">
      <alignment horizontal="left" vertical="center"/>
    </xf>
    <xf numFmtId="0" fontId="13" fillId="12" borderId="15" applyAlignment="1" pivotButton="0" quotePrefix="0" xfId="6">
      <alignment vertical="center"/>
    </xf>
    <xf numFmtId="0" fontId="17" fillId="12" borderId="15" applyAlignment="1" pivotButton="0" quotePrefix="0" xfId="6">
      <alignment horizontal="center" vertical="center"/>
    </xf>
    <xf numFmtId="0" fontId="13" fillId="12" borderId="15" applyAlignment="1" pivotButton="0" quotePrefix="0" xfId="6">
      <alignment horizontal="center" vertical="center"/>
    </xf>
    <xf numFmtId="166" fontId="11" fillId="12" borderId="17" applyAlignment="1" pivotButton="0" quotePrefix="0" xfId="5">
      <alignment vertical="center"/>
    </xf>
    <xf numFmtId="0" fontId="24" fillId="12" borderId="0" applyAlignment="1" pivotButton="0" quotePrefix="0" xfId="6">
      <alignment horizontal="left" vertical="center"/>
    </xf>
    <xf numFmtId="173" fontId="24" fillId="12" borderId="0" applyAlignment="1" pivotButton="0" quotePrefix="0" xfId="6">
      <alignment horizontal="left" vertical="center"/>
    </xf>
    <xf numFmtId="0" fontId="13" fillId="12" borderId="32" applyAlignment="1" pivotButton="0" quotePrefix="0" xfId="6">
      <alignment vertical="center"/>
    </xf>
    <xf numFmtId="0" fontId="17" fillId="12" borderId="32" applyAlignment="1" pivotButton="0" quotePrefix="0" xfId="6">
      <alignment horizontal="right" vertical="center"/>
    </xf>
    <xf numFmtId="172" fontId="13" fillId="12" borderId="32" applyAlignment="1" pivotButton="0" quotePrefix="0" xfId="6">
      <alignment vertical="center"/>
    </xf>
    <xf numFmtId="0" fontId="42" fillId="12" borderId="32" applyAlignment="1" pivotButton="0" quotePrefix="0" xfId="6">
      <alignment horizontal="center" vertical="center"/>
    </xf>
    <xf numFmtId="0" fontId="31" fillId="12" borderId="32" applyAlignment="1" pivotButton="0" quotePrefix="0" xfId="6">
      <alignment horizontal="right" vertical="center"/>
    </xf>
    <xf numFmtId="0" fontId="13" fillId="12" borderId="21" applyAlignment="1" pivotButton="0" quotePrefix="0" xfId="6">
      <alignment horizontal="center" vertical="center"/>
    </xf>
    <xf numFmtId="0" fontId="48" fillId="12" borderId="21" applyAlignment="1" pivotButton="0" quotePrefix="0" xfId="6">
      <alignment horizontal="center" vertical="center"/>
    </xf>
    <xf numFmtId="49" fontId="13" fillId="12" borderId="21" applyAlignment="1" pivotButton="0" quotePrefix="0" xfId="6">
      <alignment horizontal="left" vertical="center"/>
    </xf>
    <xf numFmtId="0" fontId="13" fillId="12" borderId="34" applyAlignment="1" pivotButton="0" quotePrefix="0" xfId="6">
      <alignment horizontal="center" vertical="center"/>
    </xf>
    <xf numFmtId="0" fontId="48" fillId="12" borderId="34" applyAlignment="1" pivotButton="0" quotePrefix="0" xfId="6">
      <alignment horizontal="center" vertical="center"/>
    </xf>
    <xf numFmtId="49" fontId="13" fillId="12" borderId="34" applyAlignment="1" pivotButton="0" quotePrefix="0" xfId="6">
      <alignment horizontal="left" vertical="center"/>
    </xf>
    <xf numFmtId="0" fontId="24" fillId="12" borderId="15" applyAlignment="1" pivotButton="0" quotePrefix="0" xfId="6">
      <alignment horizontal="center" vertical="center"/>
    </xf>
    <xf numFmtId="0" fontId="13" fillId="12" borderId="16" applyAlignment="1" pivotButton="0" quotePrefix="0" xfId="6">
      <alignment vertical="center"/>
    </xf>
    <xf numFmtId="0" fontId="13" fillId="12" borderId="17" applyAlignment="1" pivotButton="0" quotePrefix="0" xfId="6">
      <alignment vertical="center"/>
    </xf>
    <xf numFmtId="0" fontId="13" fillId="12" borderId="15" applyAlignment="1" pivotButton="0" quotePrefix="0" xfId="6">
      <alignment horizontal="center" vertical="center" shrinkToFit="1"/>
    </xf>
    <xf numFmtId="173" fontId="22" fillId="12" borderId="0" applyAlignment="1" pivotButton="0" quotePrefix="0" xfId="6">
      <alignment horizontal="left" vertical="center"/>
    </xf>
    <xf numFmtId="174" fontId="11" fillId="12" borderId="0" applyAlignment="1" pivotButton="0" quotePrefix="0" xfId="6">
      <alignment horizontal="left" vertical="center"/>
    </xf>
    <xf numFmtId="0" fontId="24" fillId="12" borderId="0" applyAlignment="1" pivotButton="0" quotePrefix="0" xfId="6">
      <alignment horizontal="left" vertical="center" indent="1"/>
    </xf>
    <xf numFmtId="0" fontId="24" fillId="12" borderId="35" applyAlignment="1" pivotButton="0" quotePrefix="0" xfId="6">
      <alignment horizontal="center" vertical="center"/>
    </xf>
    <xf numFmtId="0" fontId="47" fillId="12" borderId="9" applyAlignment="1" pivotButton="0" quotePrefix="0" xfId="6">
      <alignment vertical="center"/>
    </xf>
    <xf numFmtId="0" fontId="17" fillId="12" borderId="9" applyAlignment="1" pivotButton="0" quotePrefix="0" xfId="6">
      <alignment horizontal="right" vertical="center"/>
    </xf>
    <xf numFmtId="172" fontId="13" fillId="12" borderId="9" applyAlignment="1" pivotButton="0" quotePrefix="0" xfId="6">
      <alignment vertical="center"/>
    </xf>
    <xf numFmtId="0" fontId="42" fillId="12" borderId="9" applyAlignment="1" pivotButton="0" quotePrefix="0" xfId="6">
      <alignment horizontal="center" vertical="center"/>
    </xf>
    <xf numFmtId="0" fontId="31" fillId="12" borderId="9" applyAlignment="1" pivotButton="0" quotePrefix="0" xfId="6">
      <alignment horizontal="right" vertical="center"/>
    </xf>
    <xf numFmtId="3" fontId="47" fillId="12" borderId="9" applyAlignment="1" pivotButton="0" quotePrefix="0" xfId="5">
      <alignment vertical="center" shrinkToFit="1"/>
    </xf>
    <xf numFmtId="164" fontId="22" fillId="12" borderId="0" applyAlignment="1" pivotButton="0" quotePrefix="0" xfId="6">
      <alignment horizontal="right" vertical="center"/>
    </xf>
    <xf numFmtId="0" fontId="12" fillId="12" borderId="9" pivotButton="0" quotePrefix="0" xfId="0"/>
    <xf numFmtId="0" fontId="12" fillId="12" borderId="17" pivotButton="0" quotePrefix="0" xfId="0"/>
    <xf numFmtId="0" fontId="47" fillId="12" borderId="16" applyAlignment="1" pivotButton="0" quotePrefix="0" xfId="6">
      <alignment vertical="center"/>
    </xf>
    <xf numFmtId="165" fontId="12" fillId="12" borderId="0" applyAlignment="1" pivotButton="0" quotePrefix="0" xfId="6">
      <alignment horizontal="right" vertical="center"/>
    </xf>
    <xf numFmtId="165" fontId="12" fillId="12" borderId="0" applyAlignment="1" pivotButton="0" quotePrefix="0" xfId="6">
      <alignment horizontal="left" vertical="center"/>
    </xf>
    <xf numFmtId="166" fontId="11" fillId="12" borderId="33" applyAlignment="1" pivotButton="0" quotePrefix="0" xfId="5">
      <alignment vertical="center"/>
    </xf>
    <xf numFmtId="0" fontId="38" fillId="12" borderId="0" applyAlignment="1" pivotButton="0" quotePrefix="0" xfId="0">
      <alignment horizontal="left" vertical="center"/>
    </xf>
    <xf numFmtId="49" fontId="31" fillId="0" borderId="15" applyAlignment="1" pivotButton="0" quotePrefix="0" xfId="0">
      <alignment horizontal="left" vertical="center" shrinkToFit="1"/>
    </xf>
    <xf numFmtId="49" fontId="31" fillId="2" borderId="0" applyAlignment="1" pivotButton="0" quotePrefix="0" xfId="0">
      <alignment horizontal="left" vertical="center" shrinkToFit="1"/>
    </xf>
    <xf numFmtId="49" fontId="33" fillId="17" borderId="24" applyAlignment="1" pivotButton="0" quotePrefix="0" xfId="0">
      <alignment horizontal="center" vertical="center" shrinkToFit="1"/>
    </xf>
    <xf numFmtId="0" fontId="13" fillId="12" borderId="0" applyAlignment="1" pivotButton="0" quotePrefix="0" xfId="6">
      <alignment vertical="center"/>
    </xf>
    <xf numFmtId="0" fontId="13" fillId="12" borderId="0" applyAlignment="1" pivotButton="0" quotePrefix="0" xfId="6">
      <alignment horizontal="right" vertical="center"/>
    </xf>
    <xf numFmtId="0" fontId="13" fillId="12" borderId="0" applyAlignment="1" pivotButton="0" quotePrefix="0" xfId="6">
      <alignment horizontal="left" vertical="center"/>
    </xf>
    <xf numFmtId="0" fontId="11" fillId="12" borderId="0" applyAlignment="1" pivotButton="0" quotePrefix="0" xfId="6">
      <alignment vertical="center"/>
    </xf>
    <xf numFmtId="0" fontId="50" fillId="12" borderId="0" applyAlignment="1" pivotButton="0" quotePrefix="0" xfId="6">
      <alignment horizontal="left" vertical="center"/>
    </xf>
    <xf numFmtId="0" fontId="11" fillId="12" borderId="0" applyAlignment="1" pivotButton="0" quotePrefix="0" xfId="6">
      <alignment horizontal="right" vertical="center"/>
    </xf>
    <xf numFmtId="0" fontId="11" fillId="12" borderId="0" applyAlignment="1" pivotButton="0" quotePrefix="0" xfId="6">
      <alignment horizontal="left" vertical="center"/>
    </xf>
    <xf numFmtId="49" fontId="31" fillId="18" borderId="15" applyAlignment="1" pivotButton="0" quotePrefix="0" xfId="0">
      <alignment horizontal="center" vertical="center"/>
    </xf>
    <xf numFmtId="0" fontId="20" fillId="12" borderId="35" applyAlignment="1" pivotButton="0" quotePrefix="0" xfId="6">
      <alignment horizontal="center" vertical="center"/>
    </xf>
    <xf numFmtId="0" fontId="12" fillId="12" borderId="15" applyAlignment="1" pivotButton="0" quotePrefix="0" xfId="6">
      <alignment horizontal="center" vertical="center"/>
    </xf>
    <xf numFmtId="0" fontId="52" fillId="12" borderId="15" applyAlignment="1" pivotButton="0" quotePrefix="0" xfId="6">
      <alignment horizontal="center" vertical="center"/>
    </xf>
    <xf numFmtId="0" fontId="52" fillId="12" borderId="15" applyAlignment="1" pivotButton="0" quotePrefix="0" xfId="6">
      <alignment horizontal="center" vertical="center" shrinkToFit="1"/>
    </xf>
    <xf numFmtId="164" fontId="52" fillId="12" borderId="15" applyAlignment="1" pivotButton="0" quotePrefix="0" xfId="5">
      <alignment horizontal="center" vertical="center"/>
    </xf>
    <xf numFmtId="164" fontId="13" fillId="12" borderId="15" applyAlignment="1" pivotButton="0" quotePrefix="0" xfId="5">
      <alignment horizontal="center" vertical="center"/>
    </xf>
    <xf numFmtId="0" fontId="47" fillId="12" borderId="15" applyAlignment="1" pivotButton="0" quotePrefix="0" xfId="6">
      <alignment horizontal="center" vertical="center"/>
    </xf>
    <xf numFmtId="0" fontId="47" fillId="12" borderId="15" applyAlignment="1" pivotButton="0" quotePrefix="0" xfId="6">
      <alignment horizontal="center" vertical="center" shrinkToFit="1"/>
    </xf>
    <xf numFmtId="0" fontId="12" fillId="12" borderId="16" applyAlignment="1" pivotButton="0" quotePrefix="0" xfId="6">
      <alignment horizontal="center" vertical="center"/>
    </xf>
    <xf numFmtId="49" fontId="51" fillId="0" borderId="15" applyAlignment="1" pivotButton="0" quotePrefix="0" xfId="0">
      <alignment vertical="top"/>
    </xf>
    <xf numFmtId="0" fontId="52" fillId="12" borderId="17" applyAlignment="1" pivotButton="0" quotePrefix="0" xfId="6">
      <alignment horizontal="center" vertical="center"/>
    </xf>
    <xf numFmtId="0" fontId="53" fillId="17" borderId="24" applyAlignment="1" pivotButton="0" quotePrefix="0" xfId="0">
      <alignment horizontal="center" vertical="center"/>
    </xf>
    <xf numFmtId="0" fontId="35" fillId="2" borderId="0" applyAlignment="1" pivotButton="0" quotePrefix="0" xfId="2">
      <alignment horizontal="left" vertical="center"/>
    </xf>
    <xf numFmtId="0" fontId="33" fillId="17" borderId="24" applyAlignment="1" pivotButton="0" quotePrefix="0" xfId="0">
      <alignment horizontal="left" vertical="center"/>
    </xf>
    <xf numFmtId="164" fontId="13" fillId="12" borderId="15" applyAlignment="1" pivotButton="0" quotePrefix="0" xfId="5">
      <alignment horizontal="right" vertical="center" shrinkToFit="1"/>
    </xf>
    <xf numFmtId="164" fontId="13" fillId="12" borderId="15" applyAlignment="1" pivotButton="0" quotePrefix="0" xfId="5">
      <alignment horizontal="right" vertical="center"/>
    </xf>
    <xf numFmtId="172" fontId="13" fillId="12" borderId="15" applyAlignment="1" pivotButton="0" quotePrefix="0" xfId="5">
      <alignment horizontal="right" vertical="center"/>
    </xf>
    <xf numFmtId="172" fontId="13" fillId="12" borderId="34" applyAlignment="1" pivotButton="0" quotePrefix="0" xfId="5">
      <alignment horizontal="right" vertical="center"/>
    </xf>
    <xf numFmtId="172" fontId="13" fillId="12" borderId="21" applyAlignment="1" pivotButton="0" quotePrefix="0" xfId="5">
      <alignment horizontal="right" vertical="center"/>
    </xf>
    <xf numFmtId="0" fontId="24" fillId="12" borderId="16" applyAlignment="1" pivotButton="0" quotePrefix="0" xfId="6">
      <alignment vertical="center"/>
    </xf>
    <xf numFmtId="0" fontId="24" fillId="12" borderId="17" applyAlignment="1" pivotButton="0" quotePrefix="0" xfId="6">
      <alignment vertical="center"/>
    </xf>
    <xf numFmtId="49" fontId="33" fillId="10" borderId="24" applyAlignment="1" pivotButton="0" quotePrefix="0" xfId="0">
      <alignment horizontal="center" vertical="center"/>
    </xf>
    <xf numFmtId="0" fontId="24" fillId="12" borderId="9" applyAlignment="1" pivotButton="0" quotePrefix="0" xfId="6">
      <alignment horizontal="center" vertical="center"/>
    </xf>
    <xf numFmtId="0" fontId="24" fillId="12" borderId="16" applyAlignment="1" pivotButton="0" quotePrefix="0" xfId="6">
      <alignment horizontal="right" vertical="center"/>
    </xf>
    <xf numFmtId="0" fontId="31" fillId="12" borderId="9" applyAlignment="1" pivotButton="0" quotePrefix="0" xfId="6">
      <alignment vertical="top"/>
    </xf>
    <xf numFmtId="0" fontId="31" fillId="12" borderId="16" applyAlignment="1" pivotButton="0" quotePrefix="0" xfId="6">
      <alignment vertical="center"/>
    </xf>
    <xf numFmtId="0" fontId="31" fillId="12" borderId="17" applyAlignment="1" pivotButton="0" quotePrefix="0" xfId="6">
      <alignment vertical="center"/>
    </xf>
    <xf numFmtId="0" fontId="31" fillId="12" borderId="15" applyAlignment="1" pivotButton="0" quotePrefix="0" xfId="6">
      <alignment vertical="top"/>
    </xf>
    <xf numFmtId="0" fontId="55" fillId="12" borderId="17" applyAlignment="1" pivotButton="0" quotePrefix="0" xfId="6">
      <alignment vertical="center"/>
    </xf>
    <xf numFmtId="0" fontId="55" fillId="12" borderId="16" applyAlignment="1" pivotButton="0" quotePrefix="0" xfId="6">
      <alignment vertical="center"/>
    </xf>
    <xf numFmtId="164" fontId="31" fillId="12" borderId="15" applyAlignment="1" pivotButton="0" quotePrefix="0" xfId="5">
      <alignment horizontal="right" vertical="center" shrinkToFit="1"/>
    </xf>
    <xf numFmtId="0" fontId="31" fillId="12" borderId="15" applyAlignment="1" pivotButton="0" quotePrefix="0" xfId="6">
      <alignment vertical="center"/>
    </xf>
    <xf numFmtId="172" fontId="31" fillId="12" borderId="15" applyAlignment="1" pivotButton="0" quotePrefix="0" xfId="5">
      <alignment horizontal="right" vertical="center" shrinkToFit="1"/>
    </xf>
    <xf numFmtId="172" fontId="31" fillId="12" borderId="34" applyAlignment="1" pivotButton="0" quotePrefix="0" xfId="5">
      <alignment horizontal="right" vertical="center" shrinkToFit="1"/>
    </xf>
    <xf numFmtId="172" fontId="31" fillId="12" borderId="21" applyAlignment="1" pivotButton="0" quotePrefix="0" xfId="5">
      <alignment horizontal="right" vertical="center" shrinkToFit="1"/>
    </xf>
    <xf numFmtId="0" fontId="31" fillId="12" borderId="34" applyAlignment="1" pivotButton="0" quotePrefix="0" xfId="6">
      <alignment vertical="center"/>
    </xf>
    <xf numFmtId="0" fontId="31" fillId="12" borderId="30" applyAlignment="1" pivotButton="0" quotePrefix="0" xfId="6">
      <alignment vertical="center"/>
    </xf>
    <xf numFmtId="0" fontId="31" fillId="12" borderId="36" applyAlignment="1" pivotButton="0" quotePrefix="0" xfId="6">
      <alignment vertical="center"/>
    </xf>
    <xf numFmtId="0" fontId="31" fillId="12" borderId="21" applyAlignment="1" pivotButton="0" quotePrefix="0" xfId="6">
      <alignment vertical="center"/>
    </xf>
    <xf numFmtId="172" fontId="31" fillId="12" borderId="15" applyAlignment="1" pivotButton="0" quotePrefix="0" xfId="5">
      <alignment horizontal="right" vertical="center"/>
    </xf>
    <xf numFmtId="172" fontId="31" fillId="12" borderId="34" applyAlignment="1" pivotButton="0" quotePrefix="0" xfId="5">
      <alignment horizontal="right" vertical="center"/>
    </xf>
    <xf numFmtId="172" fontId="31" fillId="12" borderId="21" applyAlignment="1" pivotButton="0" quotePrefix="0" xfId="5">
      <alignment horizontal="right" vertical="center"/>
    </xf>
    <xf numFmtId="3" fontId="57" fillId="12" borderId="33" applyAlignment="1" pivotButton="0" quotePrefix="0" xfId="5">
      <alignment vertical="center" shrinkToFit="1"/>
    </xf>
    <xf numFmtId="3" fontId="57" fillId="12" borderId="33" applyAlignment="1" pivotButton="0" quotePrefix="0" xfId="5">
      <alignment vertical="center"/>
    </xf>
    <xf numFmtId="164" fontId="31" fillId="12" borderId="15" applyAlignment="1" pivotButton="0" quotePrefix="0" xfId="5">
      <alignment horizontal="center" vertical="center" shrinkToFit="1"/>
    </xf>
    <xf numFmtId="164" fontId="55" fillId="12" borderId="15" applyAlignment="1" pivotButton="0" quotePrefix="0" xfId="5">
      <alignment horizontal="center" vertical="center" shrinkToFit="1"/>
    </xf>
    <xf numFmtId="0" fontId="58" fillId="0" borderId="17" applyAlignment="1" pivotButton="0" quotePrefix="0" xfId="0">
      <alignment vertical="top"/>
    </xf>
    <xf numFmtId="0" fontId="59" fillId="0" borderId="15" applyAlignment="1" pivotButton="0" quotePrefix="0" xfId="0">
      <alignment vertical="top"/>
    </xf>
    <xf numFmtId="0" fontId="55" fillId="12" borderId="15" applyAlignment="1" pivotButton="0" quotePrefix="0" xfId="6">
      <alignment vertical="top"/>
    </xf>
    <xf numFmtId="0" fontId="60" fillId="0" borderId="15" applyAlignment="1" pivotButton="0" quotePrefix="0" xfId="0">
      <alignment vertical="top"/>
    </xf>
    <xf numFmtId="0" fontId="58" fillId="0" borderId="15" applyAlignment="1" pivotButton="0" quotePrefix="0" xfId="0">
      <alignment vertical="top"/>
    </xf>
    <xf numFmtId="0" fontId="49" fillId="12" borderId="0" applyAlignment="1" pivotButton="0" quotePrefix="0" xfId="6">
      <alignment vertical="center"/>
    </xf>
    <xf numFmtId="0" fontId="31" fillId="12" borderId="15" applyAlignment="1" pivotButton="0" quotePrefix="0" xfId="6">
      <alignment horizontal="center" vertical="center" shrinkToFit="1"/>
    </xf>
    <xf numFmtId="0" fontId="31" fillId="12" borderId="17" applyAlignment="1" pivotButton="0" quotePrefix="0" xfId="6">
      <alignment horizontal="center" vertical="center" shrinkToFit="1"/>
    </xf>
    <xf numFmtId="0" fontId="31" fillId="12" borderId="34" applyAlignment="1" pivotButton="0" quotePrefix="0" xfId="6">
      <alignment horizontal="center" vertical="center" shrinkToFit="1"/>
    </xf>
    <xf numFmtId="0" fontId="61" fillId="23" borderId="9" applyAlignment="1" pivotButton="0" quotePrefix="0" xfId="0">
      <alignment horizontal="center" vertical="center"/>
    </xf>
    <xf numFmtId="0" fontId="61" fillId="23" borderId="32" applyAlignment="1" pivotButton="0" quotePrefix="0" xfId="0">
      <alignment horizontal="center" vertical="center"/>
    </xf>
    <xf numFmtId="175" fontId="11" fillId="12" borderId="0" applyAlignment="1" pivotButton="0" quotePrefix="0" xfId="6">
      <alignment horizontal="left" vertical="center"/>
    </xf>
    <xf numFmtId="0" fontId="61" fillId="23" borderId="9" applyAlignment="1" pivotButton="0" quotePrefix="1" xfId="0">
      <alignment horizontal="center" vertical="center"/>
    </xf>
    <xf numFmtId="49" fontId="13" fillId="0" borderId="15" applyAlignment="1" pivotButton="0" quotePrefix="0" xfId="0">
      <alignment vertical="top"/>
    </xf>
    <xf numFmtId="173" fontId="11" fillId="12" borderId="0" applyAlignment="1" pivotButton="0" quotePrefix="0" xfId="6">
      <alignment horizontal="left" vertical="center"/>
    </xf>
    <xf numFmtId="0" fontId="13" fillId="12" borderId="0" applyAlignment="1" pivotButton="0" quotePrefix="0" xfId="6">
      <alignment horizontal="center" vertical="center"/>
    </xf>
    <xf numFmtId="0" fontId="54" fillId="12" borderId="0" applyAlignment="1" pivotButton="0" quotePrefix="0" xfId="6">
      <alignment horizontal="left" vertical="center"/>
    </xf>
    <xf numFmtId="164" fontId="13" fillId="0" borderId="0" applyAlignment="1" pivotButton="0" quotePrefix="0" xfId="0">
      <alignment horizontal="right" vertical="center"/>
    </xf>
    <xf numFmtId="0" fontId="11" fillId="12" borderId="0" pivotButton="0" quotePrefix="0" xfId="0"/>
    <xf numFmtId="49" fontId="13" fillId="12" borderId="0" applyAlignment="1" pivotButton="0" quotePrefix="0" xfId="6">
      <alignment horizontal="left" vertical="center"/>
    </xf>
    <xf numFmtId="0" fontId="12" fillId="12" borderId="15" pivotButton="0" quotePrefix="0" xfId="0"/>
    <xf numFmtId="0" fontId="13" fillId="12" borderId="15" applyAlignment="1" pivotButton="0" quotePrefix="0" xfId="0">
      <alignment horizontal="center" vertical="center"/>
    </xf>
    <xf numFmtId="49" fontId="11" fillId="12" borderId="0" applyAlignment="1" pivotButton="0" quotePrefix="0" xfId="6">
      <alignment horizontal="left" vertical="center"/>
    </xf>
    <xf numFmtId="0" fontId="12" fillId="12" borderId="0" applyAlignment="1" pivotButton="0" quotePrefix="0" xfId="6">
      <alignment vertical="center"/>
    </xf>
    <xf numFmtId="0" fontId="12" fillId="12" borderId="0" applyAlignment="1" pivotButton="0" quotePrefix="0" xfId="6">
      <alignment horizontal="right" vertical="center"/>
    </xf>
    <xf numFmtId="0" fontId="12" fillId="12" borderId="0" applyAlignment="1" pivotButton="0" quotePrefix="0" xfId="6">
      <alignment horizontal="left" vertical="center"/>
    </xf>
    <xf numFmtId="0" fontId="12" fillId="12" borderId="0" applyAlignment="1" pivotButton="0" quotePrefix="0" xfId="6">
      <alignment horizontal="center" vertical="center"/>
    </xf>
    <xf numFmtId="164" fontId="12" fillId="0" borderId="0" applyAlignment="1" pivotButton="0" quotePrefix="0" xfId="0">
      <alignment horizontal="right" vertical="center"/>
    </xf>
    <xf numFmtId="0" fontId="11" fillId="12" borderId="15" applyAlignment="1" pivotButton="0" quotePrefix="0" xfId="0">
      <alignment horizontal="center" vertical="center"/>
    </xf>
    <xf numFmtId="165" fontId="47" fillId="12" borderId="0" applyAlignment="1" pivotButton="0" quotePrefix="0" xfId="6">
      <alignment horizontal="center" vertical="center"/>
    </xf>
    <xf numFmtId="165" fontId="47" fillId="12" borderId="0" applyAlignment="1" pivotButton="0" quotePrefix="0" xfId="6">
      <alignment horizontal="right" vertical="center" indent="9"/>
    </xf>
    <xf numFmtId="49" fontId="63" fillId="12" borderId="0" applyAlignment="1" pivotButton="0" quotePrefix="0" xfId="6">
      <alignment horizontal="right" vertical="center" indent="9"/>
    </xf>
    <xf numFmtId="0" fontId="63" fillId="12" borderId="0" applyAlignment="1" pivotButton="0" quotePrefix="0" xfId="6">
      <alignment vertical="center"/>
    </xf>
    <xf numFmtId="165" fontId="47" fillId="12" borderId="0" applyAlignment="1" pivotButton="0" quotePrefix="0" xfId="6">
      <alignment horizontal="right" vertical="center"/>
    </xf>
    <xf numFmtId="165" fontId="57" fillId="12" borderId="0" applyAlignment="1" pivotButton="0" quotePrefix="0" xfId="6">
      <alignment horizontal="left" vertical="center"/>
    </xf>
    <xf numFmtId="0" fontId="63" fillId="12" borderId="0" applyAlignment="1" pivotButton="0" quotePrefix="0" xfId="6">
      <alignment horizontal="left" vertical="center"/>
    </xf>
    <xf numFmtId="0" fontId="47" fillId="12" borderId="0" pivotButton="0" quotePrefix="0" xfId="0"/>
    <xf numFmtId="0" fontId="64" fillId="12" borderId="0" applyAlignment="1" pivotButton="0" quotePrefix="0" xfId="6">
      <alignment vertical="center"/>
    </xf>
    <xf numFmtId="0" fontId="63" fillId="12" borderId="0" applyAlignment="1" pivotButton="0" quotePrefix="0" xfId="6">
      <alignment horizontal="right" vertical="center"/>
    </xf>
    <xf numFmtId="0" fontId="19" fillId="12" borderId="39" applyAlignment="1" pivotButton="0" quotePrefix="0" xfId="0">
      <alignment vertical="center"/>
    </xf>
    <xf numFmtId="0" fontId="19" fillId="12" borderId="32" applyAlignment="1" pivotButton="0" quotePrefix="0" xfId="0">
      <alignment vertical="center"/>
    </xf>
    <xf numFmtId="0" fontId="64" fillId="12" borderId="0" applyAlignment="1" pivotButton="0" quotePrefix="0" xfId="6">
      <alignment horizontal="left" vertical="center"/>
    </xf>
    <xf numFmtId="0" fontId="13" fillId="12" borderId="9" applyAlignment="1" pivotButton="0" quotePrefix="0" xfId="0">
      <alignment horizontal="center" vertical="center"/>
    </xf>
    <xf numFmtId="0" fontId="13" fillId="12" borderId="17" applyAlignment="1" pivotButton="0" quotePrefix="0" xfId="0">
      <alignment horizontal="center" vertical="center"/>
    </xf>
    <xf numFmtId="0" fontId="13" fillId="12" borderId="15" applyAlignment="1" pivotButton="0" quotePrefix="0" xfId="0">
      <alignment vertical="center"/>
    </xf>
    <xf numFmtId="0" fontId="12" fillId="12" borderId="39" applyAlignment="1" pivotButton="0" quotePrefix="0" xfId="0">
      <alignment vertical="center"/>
    </xf>
    <xf numFmtId="0" fontId="12" fillId="12" borderId="32" applyAlignment="1" pivotButton="0" quotePrefix="0" xfId="0">
      <alignment vertical="center"/>
    </xf>
    <xf numFmtId="0" fontId="13" fillId="12" borderId="16" applyAlignment="1" pivotButton="0" quotePrefix="0" xfId="0">
      <alignment horizontal="left" vertical="center"/>
    </xf>
    <xf numFmtId="0" fontId="11" fillId="12" borderId="15" applyAlignment="1" pivotButton="0" quotePrefix="0" xfId="0">
      <alignment horizontal="center" vertical="center" wrapText="1"/>
    </xf>
    <xf numFmtId="0" fontId="13" fillId="12" borderId="15" applyAlignment="1" pivotButton="0" quotePrefix="0" xfId="0">
      <alignment horizontal="left" vertical="center"/>
    </xf>
    <xf numFmtId="0" fontId="31" fillId="12" borderId="37" applyAlignment="1" pivotButton="0" quotePrefix="0" xfId="6">
      <alignment vertical="center"/>
    </xf>
    <xf numFmtId="0" fontId="19" fillId="12" borderId="37" applyAlignment="1" pivotButton="0" quotePrefix="0" xfId="6">
      <alignment vertical="center"/>
    </xf>
    <xf numFmtId="0" fontId="33" fillId="10" borderId="15" applyAlignment="1" pivotButton="0" quotePrefix="0" xfId="1">
      <alignment horizontal="center" vertical="center"/>
    </xf>
    <xf numFmtId="0" fontId="34" fillId="12" borderId="15" applyAlignment="1" pivotButton="0" quotePrefix="0" xfId="1">
      <alignment vertical="center"/>
    </xf>
    <xf numFmtId="0" fontId="31" fillId="12" borderId="15" applyAlignment="1" pivotButton="0" quotePrefix="0" xfId="1">
      <alignment horizontal="center" vertical="center"/>
    </xf>
    <xf numFmtId="0" fontId="31" fillId="12" borderId="15" applyAlignment="1" pivotButton="0" quotePrefix="0" xfId="1">
      <alignment vertical="center"/>
    </xf>
    <xf numFmtId="49" fontId="31" fillId="0" borderId="15" applyAlignment="1" pivotButton="0" quotePrefix="0" xfId="0">
      <alignment horizontal="left" vertical="center" wrapText="1"/>
    </xf>
    <xf numFmtId="166" fontId="31" fillId="0" borderId="15" applyAlignment="1" pivotButton="0" quotePrefix="0" xfId="0">
      <alignment horizontal="left" vertical="center"/>
    </xf>
    <xf numFmtId="176" fontId="38" fillId="21" borderId="15" applyAlignment="1" pivotButton="0" quotePrefix="0" xfId="5">
      <alignment vertical="center"/>
    </xf>
    <xf numFmtId="49" fontId="34" fillId="9" borderId="15" applyAlignment="1" pivotButton="0" quotePrefix="0" xfId="0">
      <alignment horizontal="left" vertical="center"/>
    </xf>
    <xf numFmtId="166" fontId="11" fillId="0" borderId="33" applyAlignment="1" pivotButton="0" quotePrefix="0" xfId="5">
      <alignment vertical="center"/>
    </xf>
    <xf numFmtId="49" fontId="34" fillId="12" borderId="15" applyAlignment="1" pivotButton="0" quotePrefix="0" xfId="0">
      <alignment horizontal="left" vertical="center"/>
    </xf>
    <xf numFmtId="0" fontId="12" fillId="12" borderId="0" applyAlignment="1" pivotButton="0" quotePrefix="0" xfId="0">
      <alignment wrapText="1"/>
    </xf>
    <xf numFmtId="177" fontId="31" fillId="0" borderId="15" applyAlignment="1" pivotButton="0" quotePrefix="0" xfId="0">
      <alignment horizontal="left" vertical="center"/>
    </xf>
    <xf numFmtId="0" fontId="13" fillId="12" borderId="17" applyAlignment="1" pivotButton="0" quotePrefix="0" xfId="6">
      <alignment horizontal="center" vertical="center"/>
    </xf>
    <xf numFmtId="0" fontId="20" fillId="12" borderId="9" applyAlignment="1" pivotButton="0" quotePrefix="0" xfId="6">
      <alignment horizontal="center" vertical="center"/>
    </xf>
    <xf numFmtId="0" fontId="14" fillId="12" borderId="17" applyAlignment="1" pivotButton="0" quotePrefix="0" xfId="6">
      <alignment vertical="center"/>
    </xf>
    <xf numFmtId="0" fontId="14" fillId="12" borderId="0" applyAlignment="1" pivotButton="0" quotePrefix="0" xfId="6">
      <alignment vertical="center"/>
    </xf>
    <xf numFmtId="0" fontId="14" fillId="12" borderId="33" applyAlignment="1" pivotButton="0" quotePrefix="0" xfId="6">
      <alignment vertical="center"/>
    </xf>
    <xf numFmtId="49" fontId="31" fillId="0" borderId="15" applyAlignment="1" pivotButton="0" quotePrefix="0" xfId="0">
      <alignment horizontal="right" vertical="center"/>
    </xf>
    <xf numFmtId="164" fontId="17" fillId="0" borderId="46" applyAlignment="1" pivotButton="0" quotePrefix="0" xfId="0">
      <alignment horizontal="center"/>
    </xf>
    <xf numFmtId="164" fontId="17" fillId="0" borderId="46" pivotButton="0" quotePrefix="0" xfId="0"/>
    <xf numFmtId="164" fontId="17" fillId="0" borderId="40" applyAlignment="1" pivotButton="0" quotePrefix="0" xfId="0">
      <alignment horizontal="left"/>
    </xf>
    <xf numFmtId="164" fontId="17" fillId="0" borderId="41" applyAlignment="1" pivotButton="0" quotePrefix="0" xfId="0">
      <alignment horizontal="left"/>
    </xf>
    <xf numFmtId="164" fontId="17" fillId="0" borderId="42" pivotButton="0" quotePrefix="0" xfId="0"/>
    <xf numFmtId="164" fontId="17" fillId="0" borderId="40" pivotButton="0" quotePrefix="0" xfId="0"/>
    <xf numFmtId="164" fontId="17" fillId="0" borderId="42" applyAlignment="1" pivotButton="0" quotePrefix="0" xfId="0">
      <alignment horizontal="right"/>
    </xf>
    <xf numFmtId="164" fontId="17" fillId="0" borderId="43" pivotButton="0" quotePrefix="0" xfId="0"/>
    <xf numFmtId="164" fontId="17" fillId="0" borderId="22" pivotButton="0" quotePrefix="0" xfId="0"/>
    <xf numFmtId="164" fontId="17" fillId="0" borderId="23" pivotButton="0" quotePrefix="0" xfId="0"/>
    <xf numFmtId="166" fontId="17" fillId="0" borderId="44" pivotButton="0" quotePrefix="0" xfId="0"/>
    <xf numFmtId="166" fontId="17" fillId="0" borderId="45" pivotButton="0" quotePrefix="0" xfId="0"/>
    <xf numFmtId="0" fontId="11" fillId="0" borderId="46" pivotButton="0" quotePrefix="0" xfId="0"/>
    <xf numFmtId="0" fontId="11" fillId="0" borderId="40" pivotButton="0" quotePrefix="0" xfId="0"/>
    <xf numFmtId="0" fontId="11" fillId="0" borderId="41" pivotButton="0" quotePrefix="0" xfId="0"/>
    <xf numFmtId="166" fontId="11" fillId="0" borderId="42" pivotButton="0" quotePrefix="0" xfId="0"/>
    <xf numFmtId="0" fontId="16" fillId="0" borderId="40" applyAlignment="1" pivotButton="0" quotePrefix="0" xfId="0">
      <alignment horizontal="center"/>
    </xf>
    <xf numFmtId="0" fontId="11" fillId="0" borderId="40" applyAlignment="1" pivotButton="0" quotePrefix="0" xfId="0">
      <alignment horizontal="left"/>
    </xf>
    <xf numFmtId="166" fontId="11" fillId="0" borderId="40" applyAlignment="1" pivotButton="0" quotePrefix="0" xfId="0">
      <alignment horizontal="left"/>
    </xf>
    <xf numFmtId="0" fontId="11" fillId="0" borderId="42" pivotButton="0" quotePrefix="0" xfId="0"/>
    <xf numFmtId="0" fontId="11" fillId="0" borderId="43" pivotButton="0" quotePrefix="0" xfId="0"/>
    <xf numFmtId="0" fontId="11" fillId="0" borderId="22" pivotButton="0" quotePrefix="0" xfId="0"/>
    <xf numFmtId="166" fontId="11" fillId="0" borderId="23" pivotButton="0" quotePrefix="0" xfId="0"/>
    <xf numFmtId="166" fontId="11" fillId="0" borderId="44" pivotButton="0" quotePrefix="0" xfId="0"/>
    <xf numFmtId="166" fontId="11" fillId="0" borderId="45" pivotButton="0" quotePrefix="0" xfId="0"/>
    <xf numFmtId="166" fontId="11" fillId="0" borderId="46" pivotButton="0" quotePrefix="0" xfId="0"/>
    <xf numFmtId="164" fontId="11" fillId="0" borderId="40" applyAlignment="1" pivotButton="0" quotePrefix="0" xfId="0">
      <alignment horizontal="left"/>
    </xf>
    <xf numFmtId="164" fontId="11" fillId="0" borderId="41" applyAlignment="1" pivotButton="0" quotePrefix="0" xfId="0">
      <alignment horizontal="left"/>
    </xf>
    <xf numFmtId="164" fontId="11" fillId="0" borderId="40" pivotButton="0" quotePrefix="0" xfId="0"/>
    <xf numFmtId="164" fontId="11" fillId="0" borderId="47" pivotButton="0" quotePrefix="0" xfId="0"/>
    <xf numFmtId="164" fontId="11" fillId="0" borderId="40" applyAlignment="1" pivotButton="0" quotePrefix="0" xfId="0">
      <alignment horizontal="center"/>
    </xf>
    <xf numFmtId="164" fontId="11" fillId="0" borderId="48" pivotButton="0" quotePrefix="0" xfId="0"/>
    <xf numFmtId="164" fontId="11" fillId="0" borderId="41" pivotButton="0" quotePrefix="0" xfId="0"/>
    <xf numFmtId="164" fontId="11" fillId="0" borderId="43" pivotButton="0" quotePrefix="0" xfId="0"/>
    <xf numFmtId="164" fontId="11" fillId="0" borderId="49" pivotButton="0" quotePrefix="0" xfId="0"/>
    <xf numFmtId="164" fontId="11" fillId="0" borderId="44" pivotButton="0" quotePrefix="0" xfId="0"/>
    <xf numFmtId="164" fontId="11" fillId="0" borderId="45" pivotButton="0" quotePrefix="0" xfId="0"/>
    <xf numFmtId="164" fontId="11" fillId="0" borderId="50" pivotButton="0" quotePrefix="0" xfId="0"/>
    <xf numFmtId="164" fontId="11" fillId="0" borderId="46" applyAlignment="1" pivotButton="0" quotePrefix="0" xfId="0">
      <alignment horizontal="center"/>
    </xf>
    <xf numFmtId="164" fontId="11" fillId="0" borderId="46" pivotButton="0" quotePrefix="0" xfId="0"/>
    <xf numFmtId="164" fontId="11" fillId="0" borderId="43" applyAlignment="1" pivotButton="0" quotePrefix="0" xfId="0">
      <alignment horizontal="left"/>
    </xf>
    <xf numFmtId="164" fontId="11" fillId="0" borderId="51" pivotButton="0" quotePrefix="0" xfId="0"/>
    <xf numFmtId="164" fontId="11" fillId="0" borderId="42" applyAlignment="1" pivotButton="0" quotePrefix="0" xfId="0">
      <alignment horizontal="right"/>
    </xf>
    <xf numFmtId="164" fontId="11" fillId="0" borderId="52" pivotButton="0" quotePrefix="0" xfId="0"/>
    <xf numFmtId="164" fontId="11" fillId="0" borderId="42" pivotButton="0" quotePrefix="0" xfId="0"/>
    <xf numFmtId="164" fontId="11" fillId="0" borderId="44" applyAlignment="1" pivotButton="0" quotePrefix="0" xfId="0">
      <alignment horizontal="right"/>
    </xf>
    <xf numFmtId="0" fontId="56" fillId="12" borderId="16" applyAlignment="1" pivotButton="0" quotePrefix="0" xfId="6">
      <alignment horizontal="left" vertical="center" wrapText="1"/>
    </xf>
    <xf numFmtId="0" fontId="56" fillId="12" borderId="9" applyAlignment="1" pivotButton="0" quotePrefix="0" xfId="6">
      <alignment horizontal="left" vertical="center" wrapText="1"/>
    </xf>
    <xf numFmtId="0" fontId="17" fillId="12" borderId="9" applyAlignment="1" pivotButton="0" quotePrefix="0" xfId="6">
      <alignment horizontal="center" vertical="center" wrapText="1"/>
    </xf>
    <xf numFmtId="0" fontId="54" fillId="12" borderId="16" applyAlignment="1" pivotButton="0" quotePrefix="0" xfId="6">
      <alignment horizontal="left" vertical="center" wrapText="1"/>
    </xf>
    <xf numFmtId="0" fontId="54" fillId="12" borderId="9" applyAlignment="1" pivotButton="0" quotePrefix="0" xfId="6">
      <alignment horizontal="left" vertical="center" wrapText="1"/>
    </xf>
    <xf numFmtId="0" fontId="38" fillId="12" borderId="0" applyAlignment="1" pivotButton="0" quotePrefix="0" xfId="6">
      <alignment horizontal="left" vertical="center"/>
    </xf>
    <xf numFmtId="0" fontId="36" fillId="12" borderId="0" applyAlignment="1" pivotButton="0" quotePrefix="0" xfId="6">
      <alignment horizontal="left" vertical="center"/>
    </xf>
    <xf numFmtId="0" fontId="36" fillId="12" borderId="0" applyAlignment="1" pivotButton="0" quotePrefix="0" xfId="6">
      <alignment horizontal="center" vertical="center"/>
    </xf>
    <xf numFmtId="0" fontId="31" fillId="12" borderId="0" applyAlignment="1" pivotButton="0" quotePrefix="0" xfId="6">
      <alignment horizontal="left" vertical="center" shrinkToFit="1"/>
    </xf>
    <xf numFmtId="174" fontId="14" fillId="12" borderId="0" applyAlignment="1" pivotButton="0" quotePrefix="0" xfId="6">
      <alignment horizontal="left" vertical="center"/>
    </xf>
    <xf numFmtId="0" fontId="24" fillId="12" borderId="16" applyAlignment="1" pivotButton="0" quotePrefix="0" xfId="6">
      <alignment horizontal="center" vertical="center"/>
    </xf>
    <xf numFmtId="0" fontId="24" fillId="12" borderId="17" applyAlignment="1" pivotButton="0" quotePrefix="0" xfId="6">
      <alignment horizontal="center" vertical="center"/>
    </xf>
    <xf numFmtId="0" fontId="11" fillId="12" borderId="16" applyAlignment="1" pivotButton="0" quotePrefix="0" xfId="6">
      <alignment horizontal="right" vertical="center"/>
    </xf>
    <xf numFmtId="0" fontId="11" fillId="12" borderId="9" applyAlignment="1" pivotButton="0" quotePrefix="0" xfId="6">
      <alignment horizontal="right" vertical="center"/>
    </xf>
    <xf numFmtId="0" fontId="24" fillId="12" borderId="15" applyAlignment="1" pivotButton="0" quotePrefix="0" xfId="6">
      <alignment horizontal="center" vertical="center"/>
    </xf>
    <xf numFmtId="0" fontId="24" fillId="12" borderId="0" applyAlignment="1" pivotButton="0" quotePrefix="0" xfId="6">
      <alignment horizontal="left" vertical="center" indent="1"/>
    </xf>
    <xf numFmtId="173" fontId="62" fillId="12" borderId="0" applyAlignment="1" pivotButton="0" quotePrefix="0" xfId="6">
      <alignment horizontal="left" vertical="center"/>
    </xf>
    <xf numFmtId="0" fontId="24" fillId="12" borderId="32" applyAlignment="1" pivotButton="0" quotePrefix="0" xfId="6">
      <alignment horizontal="left" vertical="center"/>
    </xf>
    <xf numFmtId="0" fontId="24" fillId="12" borderId="0" applyAlignment="1" pivotButton="0" quotePrefix="0" xfId="6">
      <alignment horizontal="left" vertical="center"/>
    </xf>
    <xf numFmtId="0" fontId="22" fillId="12" borderId="0" applyAlignment="1" pivotButton="0" quotePrefix="0" xfId="6">
      <alignment horizontal="left" vertical="center"/>
    </xf>
    <xf numFmtId="0" fontId="55" fillId="12" borderId="0" applyAlignment="1" pivotButton="0" quotePrefix="0" xfId="6">
      <alignment horizontal="left" vertical="center" shrinkToFit="1"/>
    </xf>
    <xf numFmtId="174" fontId="11" fillId="12" borderId="0" applyAlignment="1" pivotButton="0" quotePrefix="0" xfId="6">
      <alignment horizontal="left" vertical="center"/>
    </xf>
    <xf numFmtId="0" fontId="31" fillId="12" borderId="0" applyAlignment="1" pivotButton="0" quotePrefix="0" xfId="6">
      <alignment horizontal="left" vertical="center"/>
    </xf>
    <xf numFmtId="0" fontId="24" fillId="12" borderId="9" applyAlignment="1" pivotButton="0" quotePrefix="0" xfId="6">
      <alignment horizontal="center" vertical="center"/>
    </xf>
    <xf numFmtId="0" fontId="11" fillId="12" borderId="32" applyAlignment="1" pivotButton="0" quotePrefix="0" xfId="6">
      <alignment horizontal="right" vertical="center"/>
    </xf>
    <xf numFmtId="173" fontId="22" fillId="12" borderId="32" applyAlignment="1" pivotButton="0" quotePrefix="0" xfId="6">
      <alignment horizontal="left" vertical="center"/>
    </xf>
    <xf numFmtId="0" fontId="13" fillId="12" borderId="0" applyAlignment="1" pivotButton="0" quotePrefix="0" xfId="6">
      <alignment horizontal="left" vertical="center"/>
    </xf>
    <xf numFmtId="173" fontId="17" fillId="12" borderId="32" applyAlignment="1" pivotButton="0" quotePrefix="0" xfId="6">
      <alignment horizontal="left"/>
    </xf>
    <xf numFmtId="0" fontId="24" fillId="12" borderId="37" applyAlignment="1" pivotButton="0" quotePrefix="0" xfId="6">
      <alignment horizontal="center" vertical="center"/>
    </xf>
    <xf numFmtId="0" fontId="24" fillId="12" borderId="38" applyAlignment="1" pivotButton="0" quotePrefix="0" xfId="6">
      <alignment horizontal="center" vertical="center"/>
    </xf>
    <xf numFmtId="0" fontId="11" fillId="12" borderId="0" applyAlignment="1" pivotButton="0" quotePrefix="0" xfId="6">
      <alignment horizontal="left" vertical="center"/>
    </xf>
    <xf numFmtId="0" fontId="11" fillId="12" borderId="0" applyAlignment="1" pivotButton="0" quotePrefix="0" xfId="6">
      <alignment horizontal="left" vertical="center" indent="1"/>
    </xf>
    <xf numFmtId="0" fontId="11" fillId="12" borderId="16" applyAlignment="1" pivotButton="0" quotePrefix="0" xfId="6">
      <alignment horizontal="center" vertical="center" shrinkToFit="1"/>
    </xf>
    <xf numFmtId="0" fontId="11" fillId="12" borderId="17" applyAlignment="1" pivotButton="0" quotePrefix="0" xfId="6">
      <alignment horizontal="center" vertical="center" shrinkToFit="1"/>
    </xf>
    <xf numFmtId="0" fontId="31" fillId="12" borderId="37" applyAlignment="1" pivotButton="0" quotePrefix="0" xfId="0">
      <alignment horizontal="left" vertical="center"/>
    </xf>
    <xf numFmtId="0" fontId="31" fillId="12" borderId="39" applyAlignment="1" pivotButton="0" quotePrefix="0" xfId="0">
      <alignment horizontal="left" vertical="center"/>
    </xf>
    <xf numFmtId="0" fontId="31" fillId="12" borderId="31" applyAlignment="1" pivotButton="0" quotePrefix="0" xfId="0">
      <alignment horizontal="left" vertical="center"/>
    </xf>
    <xf numFmtId="0" fontId="31" fillId="12" borderId="32" applyAlignment="1" pivotButton="0" quotePrefix="0" xfId="0">
      <alignment horizontal="left" vertical="center"/>
    </xf>
    <xf numFmtId="0" fontId="31" fillId="12" borderId="39" applyAlignment="1" pivotButton="0" quotePrefix="0" xfId="0">
      <alignment horizontal="center" vertical="center"/>
    </xf>
    <xf numFmtId="0" fontId="31" fillId="12" borderId="32" applyAlignment="1" pivotButton="0" quotePrefix="0" xfId="0">
      <alignment horizontal="center" vertical="center"/>
    </xf>
    <xf numFmtId="0" fontId="13" fillId="12" borderId="37" applyAlignment="1" pivotButton="0" quotePrefix="0" xfId="0">
      <alignment horizontal="center" vertical="center"/>
    </xf>
    <xf numFmtId="0" fontId="13" fillId="12" borderId="31" applyAlignment="1" pivotButton="0" quotePrefix="0" xfId="0">
      <alignment horizontal="center" vertical="center"/>
    </xf>
    <xf numFmtId="0" fontId="18" fillId="12" borderId="38" applyAlignment="1" pivotButton="0" quotePrefix="0" xfId="0">
      <alignment horizontal="center" vertical="center"/>
    </xf>
    <xf numFmtId="0" fontId="18" fillId="12" borderId="33" applyAlignment="1" pivotButton="0" quotePrefix="0" xfId="0">
      <alignment horizontal="center" vertical="center"/>
    </xf>
    <xf numFmtId="174" fontId="13" fillId="12" borderId="0" applyAlignment="1" pivotButton="0" quotePrefix="0" xfId="6">
      <alignment horizontal="left" vertical="center"/>
    </xf>
    <xf numFmtId="0" fontId="34" fillId="11" borderId="12" applyAlignment="1" pivotButton="0" quotePrefix="0" xfId="0">
      <alignment horizontal="center" vertical="center"/>
    </xf>
    <xf numFmtId="0" fontId="34" fillId="11" borderId="13" applyAlignment="1" pivotButton="0" quotePrefix="0" xfId="0">
      <alignment horizontal="center" vertical="center"/>
    </xf>
    <xf numFmtId="49" fontId="32" fillId="6" borderId="1" applyAlignment="1" pivotButton="0" quotePrefix="0" xfId="0">
      <alignment horizontal="center" vertical="center"/>
    </xf>
    <xf numFmtId="49" fontId="32" fillId="6" borderId="2" applyAlignment="1" pivotButton="0" quotePrefix="0" xfId="0">
      <alignment horizontal="center" vertical="center"/>
    </xf>
    <xf numFmtId="49" fontId="32" fillId="5" borderId="1" applyAlignment="1" pivotButton="0" quotePrefix="0" xfId="0">
      <alignment horizontal="center" vertical="center"/>
    </xf>
    <xf numFmtId="49" fontId="32" fillId="5" borderId="2" applyAlignment="1" pivotButton="0" quotePrefix="0" xfId="0">
      <alignment horizontal="center" vertical="center"/>
    </xf>
    <xf numFmtId="49" fontId="31" fillId="11" borderId="11" applyAlignment="1" pivotButton="0" quotePrefix="0" xfId="0">
      <alignment horizontal="center" vertical="center"/>
    </xf>
    <xf numFmtId="0" fontId="33" fillId="8" borderId="12" applyAlignment="1" pivotButton="0" quotePrefix="0" xfId="0">
      <alignment horizontal="center" vertical="center"/>
    </xf>
    <xf numFmtId="0" fontId="33" fillId="8" borderId="14" applyAlignment="1" pivotButton="0" quotePrefix="0" xfId="0">
      <alignment horizontal="center" vertical="center"/>
    </xf>
    <xf numFmtId="0" fontId="33" fillId="8" borderId="13" applyAlignment="1" pivotButton="0" quotePrefix="0" xfId="0">
      <alignment horizontal="center" vertical="center"/>
    </xf>
    <xf numFmtId="0" fontId="32" fillId="8" borderId="12" applyAlignment="1" pivotButton="0" quotePrefix="0" xfId="0">
      <alignment horizontal="center" vertical="center"/>
    </xf>
    <xf numFmtId="0" fontId="32" fillId="8" borderId="14" applyAlignment="1" pivotButton="0" quotePrefix="0" xfId="0">
      <alignment horizontal="center" vertical="center"/>
    </xf>
    <xf numFmtId="0" fontId="32" fillId="8" borderId="13" applyAlignment="1" pivotButton="0" quotePrefix="0" xfId="0">
      <alignment horizontal="center" vertical="center"/>
    </xf>
    <xf numFmtId="0" fontId="34" fillId="7" borderId="27" applyAlignment="1" pivotButton="0" quotePrefix="0" xfId="0">
      <alignment horizontal="center" vertical="center"/>
    </xf>
    <xf numFmtId="0" fontId="34" fillId="7" borderId="28" applyAlignment="1" pivotButton="0" quotePrefix="0" xfId="0">
      <alignment horizontal="center" vertical="center"/>
    </xf>
    <xf numFmtId="0" fontId="1" fillId="3" borderId="0" pivotButton="0" quotePrefix="0" xfId="0"/>
    <xf numFmtId="165" fontId="12" fillId="12" borderId="0" applyAlignment="1" pivotButton="0" quotePrefix="0" xfId="6">
      <alignment horizontal="center" vertical="center"/>
    </xf>
    <xf numFmtId="165" fontId="12" fillId="12" borderId="0" applyAlignment="1" pivotButton="0" quotePrefix="0" xfId="6">
      <alignment horizontal="right" vertical="center" indent="9"/>
    </xf>
    <xf numFmtId="164" fontId="22" fillId="12" borderId="0" applyAlignment="1" pivotButton="0" quotePrefix="0" xfId="6">
      <alignment horizontal="right" vertical="center" indent="9"/>
    </xf>
    <xf numFmtId="174" fontId="14" fillId="12" borderId="0" applyAlignment="1" pivotButton="0" quotePrefix="0" xfId="6">
      <alignment horizontal="left" vertical="center"/>
    </xf>
    <xf numFmtId="174" fontId="11" fillId="12" borderId="0" applyAlignment="1" pivotButton="0" quotePrefix="0" xfId="6">
      <alignment horizontal="left" vertical="center"/>
    </xf>
    <xf numFmtId="173" fontId="17" fillId="12" borderId="32" applyAlignment="1" pivotButton="0" quotePrefix="0" xfId="6">
      <alignment horizontal="left"/>
    </xf>
    <xf numFmtId="0" fontId="0" fillId="0" borderId="32" pivotButton="0" quotePrefix="0" xfId="0"/>
    <xf numFmtId="173" fontId="11" fillId="12" borderId="0" applyAlignment="1" pivotButton="0" quotePrefix="0" xfId="6">
      <alignment horizontal="left" vertical="center"/>
    </xf>
    <xf numFmtId="173" fontId="62" fillId="12" borderId="0" applyAlignment="1" pivotButton="0" quotePrefix="0" xfId="6">
      <alignment horizontal="left" vertical="center"/>
    </xf>
    <xf numFmtId="173" fontId="24" fillId="12" borderId="0" applyAlignment="1" pivotButton="0" quotePrefix="0" xfId="6">
      <alignment horizontal="left" vertical="center"/>
    </xf>
    <xf numFmtId="0" fontId="0" fillId="0" borderId="38" pivotButton="0" quotePrefix="0" xfId="0"/>
    <xf numFmtId="0" fontId="0" fillId="0" borderId="17" pivotButton="0" quotePrefix="0" xfId="0"/>
    <xf numFmtId="164" fontId="13" fillId="12" borderId="15" applyAlignment="1" pivotButton="0" quotePrefix="0" xfId="5">
      <alignment horizontal="right" vertical="center" shrinkToFit="1"/>
    </xf>
    <xf numFmtId="164" fontId="31" fillId="12" borderId="15" applyAlignment="1" pivotButton="0" quotePrefix="0" xfId="5">
      <alignment horizontal="right" vertical="center" shrinkToFit="1"/>
    </xf>
    <xf numFmtId="172" fontId="13" fillId="12" borderId="15" applyAlignment="1" pivotButton="0" quotePrefix="0" xfId="5">
      <alignment horizontal="right" vertical="center"/>
    </xf>
    <xf numFmtId="172" fontId="31" fillId="12" borderId="15" applyAlignment="1" pivotButton="0" quotePrefix="0" xfId="5">
      <alignment horizontal="right" vertical="center" shrinkToFit="1"/>
    </xf>
    <xf numFmtId="172" fontId="13" fillId="12" borderId="34" applyAlignment="1" pivotButton="0" quotePrefix="0" xfId="5">
      <alignment horizontal="right" vertical="center"/>
    </xf>
    <xf numFmtId="172" fontId="31" fillId="12" borderId="34" applyAlignment="1" pivotButton="0" quotePrefix="0" xfId="5">
      <alignment horizontal="right" vertical="center" shrinkToFit="1"/>
    </xf>
    <xf numFmtId="172" fontId="13" fillId="12" borderId="21" applyAlignment="1" pivotButton="0" quotePrefix="0" xfId="5">
      <alignment horizontal="right" vertical="center"/>
    </xf>
    <xf numFmtId="172" fontId="31" fillId="12" borderId="21" applyAlignment="1" pivotButton="0" quotePrefix="0" xfId="5">
      <alignment horizontal="right" vertical="center" shrinkToFit="1"/>
    </xf>
    <xf numFmtId="0" fontId="0" fillId="0" borderId="57" pivotButton="0" quotePrefix="0" xfId="0"/>
    <xf numFmtId="166" fontId="11" fillId="12" borderId="33" applyAlignment="1" pivotButton="0" quotePrefix="0" xfId="5">
      <alignment vertical="center"/>
    </xf>
    <xf numFmtId="166" fontId="11" fillId="12" borderId="17" applyAlignment="1" pivotButton="0" quotePrefix="0" xfId="5">
      <alignment vertical="center"/>
    </xf>
    <xf numFmtId="0" fontId="0" fillId="0" borderId="9" pivotButton="0" quotePrefix="0" xfId="0"/>
    <xf numFmtId="172" fontId="13" fillId="12" borderId="32" applyAlignment="1" pivotButton="0" quotePrefix="0" xfId="6">
      <alignment vertical="center"/>
    </xf>
    <xf numFmtId="164" fontId="13" fillId="12" borderId="15" applyAlignment="1" pivotButton="0" quotePrefix="0" xfId="5">
      <alignment horizontal="right" vertical="center"/>
    </xf>
    <xf numFmtId="172" fontId="31" fillId="12" borderId="15" applyAlignment="1" pivotButton="0" quotePrefix="0" xfId="5">
      <alignment horizontal="right" vertical="center"/>
    </xf>
    <xf numFmtId="172" fontId="31" fillId="12" borderId="34" applyAlignment="1" pivotButton="0" quotePrefix="0" xfId="5">
      <alignment horizontal="right" vertical="center"/>
    </xf>
    <xf numFmtId="172" fontId="31" fillId="12" borderId="21" applyAlignment="1" pivotButton="0" quotePrefix="0" xfId="5">
      <alignment horizontal="right" vertical="center"/>
    </xf>
    <xf numFmtId="166" fontId="11" fillId="0" borderId="33" applyAlignment="1" pivotButton="0" quotePrefix="0" xfId="5">
      <alignment vertical="center"/>
    </xf>
    <xf numFmtId="164" fontId="22" fillId="12" borderId="0" applyAlignment="1" pivotButton="0" quotePrefix="0" xfId="6">
      <alignment horizontal="right" vertical="center"/>
    </xf>
    <xf numFmtId="165" fontId="47" fillId="12" borderId="0" applyAlignment="1" pivotButton="0" quotePrefix="0" xfId="6">
      <alignment horizontal="center" vertical="center"/>
    </xf>
    <xf numFmtId="165" fontId="47" fillId="12" borderId="0" applyAlignment="1" pivotButton="0" quotePrefix="0" xfId="6">
      <alignment horizontal="right" vertical="center" indent="9"/>
    </xf>
    <xf numFmtId="165" fontId="12" fillId="12" borderId="0" applyAlignment="1" pivotButton="0" quotePrefix="0" xfId="6">
      <alignment horizontal="right" vertical="center"/>
    </xf>
    <xf numFmtId="165" fontId="12" fillId="12" borderId="0" applyAlignment="1" pivotButton="0" quotePrefix="0" xfId="6">
      <alignment horizontal="left" vertical="center"/>
    </xf>
    <xf numFmtId="165" fontId="47" fillId="12" borderId="0" applyAlignment="1" pivotButton="0" quotePrefix="0" xfId="6">
      <alignment horizontal="right" vertical="center"/>
    </xf>
    <xf numFmtId="165" fontId="57" fillId="12" borderId="0" applyAlignment="1" pivotButton="0" quotePrefix="0" xfId="6">
      <alignment horizontal="left" vertical="center"/>
    </xf>
    <xf numFmtId="175" fontId="11" fillId="12" borderId="0" applyAlignment="1" pivotButton="0" quotePrefix="0" xfId="6">
      <alignment horizontal="left" vertical="center"/>
    </xf>
    <xf numFmtId="174" fontId="13" fillId="12" borderId="0" applyAlignment="1" pivotButton="0" quotePrefix="0" xfId="6">
      <alignment horizontal="left" vertical="center"/>
    </xf>
    <xf numFmtId="173" fontId="22" fillId="12" borderId="32" applyAlignment="1" pivotButton="0" quotePrefix="0" xfId="6">
      <alignment horizontal="left" vertical="center"/>
    </xf>
    <xf numFmtId="173" fontId="22" fillId="12" borderId="0" applyAlignment="1" pivotButton="0" quotePrefix="0" xfId="6">
      <alignment horizontal="left" vertical="center"/>
    </xf>
    <xf numFmtId="0" fontId="24" fillId="12" borderId="61" applyAlignment="1" pivotButton="0" quotePrefix="0" xfId="6">
      <alignment horizontal="center" vertical="center"/>
    </xf>
    <xf numFmtId="0" fontId="0" fillId="0" borderId="61" pivotButton="0" quotePrefix="0" xfId="0"/>
    <xf numFmtId="164" fontId="13" fillId="12" borderId="15" applyAlignment="1" pivotButton="0" quotePrefix="0" xfId="5">
      <alignment horizontal="center" vertical="center"/>
    </xf>
    <xf numFmtId="164" fontId="31" fillId="12" borderId="15" applyAlignment="1" pivotButton="0" quotePrefix="0" xfId="5">
      <alignment horizontal="center" vertical="center" shrinkToFit="1"/>
    </xf>
    <xf numFmtId="0" fontId="11" fillId="12" borderId="15" applyAlignment="1" pivotButton="0" quotePrefix="0" xfId="6">
      <alignment horizontal="center" vertical="center" shrinkToFit="1"/>
    </xf>
    <xf numFmtId="164" fontId="52" fillId="12" borderId="15" applyAlignment="1" pivotButton="0" quotePrefix="0" xfId="5">
      <alignment horizontal="center" vertical="center"/>
    </xf>
    <xf numFmtId="164" fontId="55" fillId="12" borderId="15" applyAlignment="1" pivotButton="0" quotePrefix="0" xfId="5">
      <alignment horizontal="center" vertical="center" shrinkToFit="1"/>
    </xf>
    <xf numFmtId="0" fontId="31" fillId="12" borderId="53" applyAlignment="1" pivotButton="0" quotePrefix="0" xfId="0">
      <alignment horizontal="left" vertical="center"/>
    </xf>
    <xf numFmtId="0" fontId="0" fillId="0" borderId="54" pivotButton="0" quotePrefix="0" xfId="0"/>
    <xf numFmtId="0" fontId="31" fillId="12" borderId="9" applyAlignment="1" pivotButton="0" quotePrefix="0" xfId="0">
      <alignment horizontal="center" vertical="center"/>
    </xf>
    <xf numFmtId="0" fontId="0" fillId="0" borderId="39" pivotButton="0" quotePrefix="0" xfId="0"/>
    <xf numFmtId="0" fontId="13" fillId="12" borderId="53" applyAlignment="1" pivotButton="0" quotePrefix="0" xfId="0">
      <alignment horizontal="center" vertical="center"/>
    </xf>
    <xf numFmtId="0" fontId="18" fillId="12" borderId="58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60" pivotButton="0" quotePrefix="0" xfId="0"/>
    <xf numFmtId="164" fontId="13" fillId="0" borderId="0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 vertical="center"/>
    </xf>
    <xf numFmtId="172" fontId="13" fillId="12" borderId="9" applyAlignment="1" pivotButton="0" quotePrefix="0" xfId="6">
      <alignment vertical="center"/>
    </xf>
  </cellXfs>
  <cellStyles count="8">
    <cellStyle name="一般" xfId="0" builtinId="0"/>
    <cellStyle name="一般_09-1017 出貨單" xfId="1"/>
    <cellStyle name="超連結" xfId="2" builtinId="8"/>
    <cellStyle name="一般 3" xfId="3"/>
    <cellStyle name="一般 3 2" xfId="4"/>
    <cellStyle name="千分位" xfId="5" builtinId="3"/>
    <cellStyle name="一般 2" xfId="6"/>
    <cellStyle name="一般 3 3" xfId="7"/>
  </cellStyles>
  <dxfs count="583"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numFmt numFmtId="179" formatCode="#,##0_ ;[Red]\-#,##0\ "/>
    </dxf>
    <dxf>
      <numFmt numFmtId="179" formatCode="#,##0_ ;[Red]\-#,##0\ "/>
    </dxf>
    <dxf>
      <numFmt numFmtId="179" formatCode="#,##0_ ;[Red]\-#,##0\ "/>
    </dxf>
    <dxf>
      <numFmt numFmtId="179" formatCode="#,##0_ ;[Red]\-#,##0\ "/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8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ont>
        <color auto="1"/>
      </font>
    </dxf>
    <dxf>
      <alignment horizontal="left"/>
    </dxf>
    <dxf>
      <alignment horizontal="left"/>
    </dxf>
    <dxf>
      <alignment horizontal="left"/>
    </dxf>
    <dxf>
      <font>
        <name val="Arial Rounded MT Bold"/>
      </font>
    </dxf>
    <dxf>
      <font>
        <sz val="10"/>
      </font>
    </dxf>
    <dxf>
      <numFmt numFmtId="179" formatCode="#,##0_ ;[Red]\-#,##0\ "/>
    </dxf>
    <dxf>
      <numFmt numFmtId="179" formatCode="#,##0_ ;[Red]\-#,##0\ "/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3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alignment horizontal="left"/>
    </dxf>
    <dxf>
      <fill>
        <patternFill patternType="solid">
          <bgColor indexed="13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alignment horizontal="left"/>
    </dxf>
    <dxf>
      <fill>
        <patternFill patternType="solid">
          <bgColor indexed="8"/>
        </patternFill>
      </fill>
    </dxf>
    <dxf>
      <fill>
        <patternFill patternType="solid">
          <bgColor indexed="8"/>
        </patternFill>
      </fill>
    </dxf>
    <dxf>
      <alignment horizontal="center"/>
    </dxf>
    <dxf>
      <fill>
        <patternFill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>
          <bgColor indexed="22"/>
        </patternFill>
      </fill>
    </dxf>
    <dxf>
      <font>
        <color indexed="8"/>
      </font>
    </dxf>
    <dxf>
      <fill>
        <patternFill>
          <bgColor indexed="22"/>
        </patternFill>
      </fill>
    </dxf>
    <dxf>
      <font>
        <color indexed="8"/>
      </font>
    </dxf>
    <dxf>
      <alignment horizontal="left"/>
    </dxf>
    <dxf>
      <font>
        <name val="Arial"/>
      </font>
    </dxf>
    <dxf>
      <alignment horizontal="left"/>
    </dxf>
    <dxf>
      <font>
        <name val="微軟正黑體"/>
      </font>
    </dxf>
    <dxf>
      <fill>
        <patternFill patternType="solid">
          <bgColor rgb="FFFFFF00"/>
        </patternFill>
      </fill>
    </dxf>
    <dxf>
      <fill>
        <patternFill>
          <bgColor theme="0" tint="-0.249977111117893"/>
        </patternFill>
      </fill>
    </dxf>
    <dxf>
      <fill>
        <patternFill>
          <bgColor auto="1"/>
        </patternFill>
      </fill>
    </dxf>
    <dxf>
      <font>
        <color theme="0"/>
      </font>
    </dxf>
    <dxf>
      <fill>
        <patternFill patternType="solid">
          <bgColor indexed="9"/>
        </patternFill>
      </fill>
    </dxf>
    <dxf>
      <numFmt numFmtId="178" formatCode="#,##0_ "/>
    </dxf>
    <dxf>
      <alignment horizontal="center"/>
    </dxf>
    <dxf>
      <alignment horizontal="center"/>
    </dxf>
    <dxf>
      <alignment horizontal="center"/>
    </dxf>
    <dxf>
      <alignment horizontal="left"/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alignment horizontal="right"/>
    </dxf>
    <dxf>
      <font>
        <sz val="10"/>
      </font>
    </dxf>
    <dxf>
      <font/>
    </dxf>
    <dxf>
      <font>
        <name val="微軟正黑體"/>
      </font>
    </dxf>
    <dxf>
      <fill>
        <patternFill>
          <bgColor auto="1"/>
        </patternFill>
      </fill>
    </dxf>
    <dxf>
      <fill>
        <patternFill patternType="solid">
          <bgColor indexed="9"/>
        </patternFill>
      </fill>
    </dxf>
    <dxf>
      <numFmt numFmtId="178" formatCode="#,##0_ "/>
    </dxf>
    <dxf>
      <alignment horizontal="center"/>
    </dxf>
    <dxf>
      <alignment horizontal="center"/>
    </dxf>
    <dxf>
      <alignment horizontal="center"/>
    </dxf>
    <dxf>
      <alignment horizontal="left"/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alignment horizontal="right"/>
    </dxf>
    <dxf>
      <font>
        <sz val="10"/>
      </font>
    </dxf>
    <dxf>
      <font>
        <name val="微軟正黑體"/>
      </font>
    </dxf>
    <dxf>
      <fill>
        <patternFill>
          <bgColor auto="1"/>
        </patternFill>
      </fill>
    </dxf>
    <dxf>
      <numFmt numFmtId="178" formatCode="#,##0_ "/>
    </dxf>
    <dxf>
      <alignment horizontal="left"/>
    </dxf>
    <dxf>
      <fill>
        <patternFill patternType="solid">
          <bgColor indexed="9"/>
        </patternFill>
      </fill>
    </dxf>
    <dxf>
      <alignment horizontal="center"/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alignment horizontal="left"/>
    </dxf>
    <dxf>
      <font>
        <sz val="10"/>
      </font>
    </dxf>
    <dxf>
      <font>
        <name val="微軟正黑體"/>
      </font>
    </dxf>
    <dxf>
      <fill>
        <patternFill>
          <bgColor auto="1"/>
        </patternFill>
      </fill>
    </dxf>
    <dxf>
      <fill>
        <patternFill patternType="solid">
          <bgColor indexed="9"/>
        </patternFill>
      </fill>
    </dxf>
    <dxf>
      <numFmt numFmtId="178" formatCode="#,##0_ "/>
    </dxf>
    <dxf>
      <font>
        <sz val="11"/>
      </font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alignment horizontal="right"/>
    </dxf>
    <dxf>
      <numFmt numFmtId="179" formatCode="#,##0_ ;[Red]\-#,##0\ "/>
    </dxf>
    <dxf>
      <numFmt numFmtId="179" formatCode="#,##0_ ;[Red]\-#,##0\ "/>
    </dxf>
    <dxf>
      <alignment horizontal="left"/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alignment horizontal="left"/>
    </dxf>
    <dxf>
      <font>
        <name val="Arial"/>
      </font>
    </dxf>
    <dxf>
      <alignment horizontal="left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ont>
        <name val="微軟正黑體"/>
      </font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ont>
        <sz val="11"/>
      </font>
    </dxf>
    <dxf>
      <fill>
        <patternFill>
          <bgColor auto="1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twoCellAnchor editAs="oneCell">
    <from>
      <col>8</col>
      <colOff>9526</colOff>
      <row>21</row>
      <rowOff>0</rowOff>
    </from>
    <to>
      <col>9</col>
      <colOff>504826</colOff>
      <row>26</row>
      <rowOff>190500</rowOff>
    </to>
    <pic>
      <nvPicPr>
        <cNvPr id="28" name="圖片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6877051" y="4305300"/>
          <a:ext cx="838200" cy="1000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180975</colOff>
      <row>20</row>
      <rowOff>19050</rowOff>
    </from>
    <to>
      <col>11</col>
      <colOff>104775</colOff>
      <row>26</row>
      <rowOff>190500</rowOff>
    </to>
    <pic>
      <nvPicPr>
        <cNvPr id="36" name="圖片 3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7667625" y="4248150"/>
          <a:ext cx="714375" cy="1057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542924</colOff>
      <row>20</row>
      <rowOff>66674</rowOff>
    </from>
    <to>
      <col>7</col>
      <colOff>561975</colOff>
      <row>26</row>
      <rowOff>180974</rowOff>
    </to>
    <pic>
      <nvPicPr>
        <cNvPr id="37" name="圖片 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419724" y="4295774"/>
          <a:ext cx="1047751" cy="1000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22</col>
      <colOff>105838</colOff>
      <row>19</row>
      <rowOff>359836</rowOff>
    </from>
    <ext cx="838200" cy="1000125"/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926988" y="4226986"/>
          <a:ext cx="838200" cy="1000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24</col>
      <colOff>127004</colOff>
      <row>19</row>
      <rowOff>294220</rowOff>
    </from>
    <ext cx="714375" cy="1057275"/>
    <pic>
      <nvPicPr>
        <cNvPr id="11" name="圖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7986379" y="4161370"/>
          <a:ext cx="714375" cy="1057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</col>
      <colOff>451921</colOff>
      <row>19</row>
      <rowOff>361952</rowOff>
    </from>
    <ext cx="1047751" cy="1000125"/>
    <pic>
      <nvPicPr>
        <cNvPr id="12" name="圖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701446" y="4229102"/>
          <a:ext cx="1047751" cy="1000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22</col>
      <colOff>124898</colOff>
      <row>46</row>
      <rowOff>359840</rowOff>
    </from>
    <ext cx="838200" cy="1000125"/>
    <pic>
      <nvPicPr>
        <cNvPr id="13" name="圖片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46048" y="9970565"/>
          <a:ext cx="838200" cy="1000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24</col>
      <colOff>146054</colOff>
      <row>46</row>
      <rowOff>294220</rowOff>
    </from>
    <ext cx="714375" cy="1057275"/>
    <pic>
      <nvPicPr>
        <cNvPr id="14" name="圖片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8005429" y="9904945"/>
          <a:ext cx="714375" cy="1057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</col>
      <colOff>469913</colOff>
      <row>46</row>
      <rowOff>361952</rowOff>
    </from>
    <ext cx="1047751" cy="1000125"/>
    <pic>
      <nvPicPr>
        <cNvPr id="15" name="圖片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6176638" y="9963152"/>
          <a:ext cx="1047751" cy="1000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21</col>
      <colOff>686873</colOff>
      <row>78</row>
      <rowOff>359840</rowOff>
    </from>
    <ext cx="838200" cy="1000125"/>
    <pic>
      <nvPicPr>
        <cNvPr id="22" name="圖片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6765073" y="9884840"/>
          <a:ext cx="838200" cy="1000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23</col>
      <colOff>698504</colOff>
      <row>78</row>
      <rowOff>294220</rowOff>
    </from>
    <ext cx="714375" cy="1057275"/>
    <pic>
      <nvPicPr>
        <cNvPr id="23" name="圖片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7824454" y="16458145"/>
          <a:ext cx="714375" cy="10572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</col>
      <colOff>288938</colOff>
      <row>78</row>
      <rowOff>361952</rowOff>
    </from>
    <ext cx="1047751" cy="1000125"/>
    <pic>
      <nvPicPr>
        <cNvPr id="24" name="圖片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538463" y="9886952"/>
          <a:ext cx="1047751" cy="1000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&#26371;&#35336;&#24115;&#21209;&#31995;&#32113;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廠商"/>
      <sheetName val="客戶"/>
      <sheetName val="廠發"/>
      <sheetName val="客發"/>
      <sheetName val="應付"/>
      <sheetName val="翻修"/>
      <sheetName val="Sheet1"/>
      <sheetName val="翻修胎彙整"/>
      <sheetName val="翻修胎"/>
      <sheetName val="客戶發票"/>
      <sheetName val="廠商發票"/>
      <sheetName val="廠商貨款總表"/>
      <sheetName val="介面"/>
      <sheetName val="客戶貨款總表"/>
      <sheetName val="庫存表"/>
      <sheetName val="進貨明細表"/>
      <sheetName val="庫存明細表"/>
      <sheetName val="廠商編輯"/>
      <sheetName val="客戶編輯"/>
      <sheetName val="產品編輯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AD6" t="str">
            <v>078-昇達普利司通-275/70R22.5*R294舊廠</v>
          </cell>
          <cell r="AE6" t="str">
            <v>078-昇達</v>
          </cell>
          <cell r="AF6">
            <v>9</v>
          </cell>
          <cell r="AG6">
            <v>9200</v>
          </cell>
        </row>
        <row r="7">
          <cell r="AD7" t="str">
            <v>078-昇達普利司通-295/80R22.5*R150舊廠</v>
          </cell>
          <cell r="AE7" t="str">
            <v>078-昇達</v>
          </cell>
          <cell r="AF7">
            <v>27</v>
          </cell>
          <cell r="AG7">
            <v>9044</v>
          </cell>
        </row>
        <row r="8">
          <cell r="AD8" t="str">
            <v>078-昇達普利司通-315/80R22.5*M729舊廠</v>
          </cell>
          <cell r="AE8" t="str">
            <v>078-昇達</v>
          </cell>
          <cell r="AF8">
            <v>15</v>
          </cell>
          <cell r="AG8">
            <v>10700</v>
          </cell>
        </row>
        <row r="9">
          <cell r="AD9" t="str">
            <v>078-昇達普利司通-315/80R22.5*R150舊廠</v>
          </cell>
          <cell r="AE9" t="str">
            <v>078-昇達</v>
          </cell>
          <cell r="AF9">
            <v>15</v>
          </cell>
          <cell r="AG9">
            <v>10202</v>
          </cell>
        </row>
        <row r="10">
          <cell r="AD10" t="str">
            <v>078-昇達普利司通-385/65R22.5*R168舊廠</v>
          </cell>
          <cell r="AE10" t="str">
            <v>078-昇達</v>
          </cell>
          <cell r="AF10">
            <v>9</v>
          </cell>
          <cell r="AG10">
            <v>12500</v>
          </cell>
        </row>
        <row r="11">
          <cell r="AD11" t="str">
            <v>160-普利司通(公司)-大胎普利司通-12R22.5*M729倉庫</v>
          </cell>
          <cell r="AE11" t="str">
            <v>160-普利司通(公司)-大胎</v>
          </cell>
          <cell r="AF11">
            <v>10</v>
          </cell>
          <cell r="AG11">
            <v>11866</v>
          </cell>
        </row>
        <row r="12">
          <cell r="AD12" t="str">
            <v>160-普利司通(公司)-大胎普利司通-12R22.5*M729舊廠</v>
          </cell>
          <cell r="AE12" t="str">
            <v>160-普利司通(公司)-大胎</v>
          </cell>
          <cell r="AF12">
            <v>9</v>
          </cell>
          <cell r="AG12">
            <v>11866</v>
          </cell>
        </row>
        <row r="13">
          <cell r="AD13" t="str">
            <v>160-普利司通(公司)-大胎普利司通-275/70R22.5*R162舊廠</v>
          </cell>
          <cell r="AE13" t="str">
            <v>160-普利司通(公司)-大胎</v>
          </cell>
          <cell r="AF13">
            <v>3</v>
          </cell>
          <cell r="AG13">
            <v>10880</v>
          </cell>
        </row>
        <row r="14">
          <cell r="AD14" t="str">
            <v>160-普利司通(公司)-大胎普利司通-285/70R19.5*R184倉庫</v>
          </cell>
          <cell r="AE14" t="str">
            <v>160-普利司通(公司)-大胎</v>
          </cell>
          <cell r="AF14">
            <v>11</v>
          </cell>
          <cell r="AG14">
            <v>10205</v>
          </cell>
        </row>
        <row r="15">
          <cell r="AD15" t="str">
            <v>160-普利司通(公司)-大胎普利司通-295/80R22.5*R150舊廠</v>
          </cell>
          <cell r="AE15" t="str">
            <v>160-普利司通(公司)-大胎</v>
          </cell>
          <cell r="AF15">
            <v>8</v>
          </cell>
          <cell r="AG15">
            <v>12082</v>
          </cell>
        </row>
        <row r="16">
          <cell r="AD16" t="str">
            <v>160-普利司通(公司)-大胎普利司通-295/80R22.5*R294舊廠</v>
          </cell>
          <cell r="AE16" t="str">
            <v>160-普利司通(公司)-大胎</v>
          </cell>
          <cell r="AF16">
            <v>16</v>
          </cell>
          <cell r="AG16">
            <v>10111</v>
          </cell>
        </row>
        <row r="17">
          <cell r="AD17" t="str">
            <v>160-普利司通(公司)-大胎普利司通-315/80R22.5*G515舊廠</v>
          </cell>
          <cell r="AE17" t="str">
            <v>160-普利司通(公司)-大胎</v>
          </cell>
          <cell r="AF17">
            <v>8</v>
          </cell>
          <cell r="AG17">
            <v>12185</v>
          </cell>
        </row>
        <row r="18">
          <cell r="AD18" t="str">
            <v>160-普利司通(公司)-大胎普利司通-315/80R22.5*R294舊廠</v>
          </cell>
          <cell r="AE18" t="str">
            <v>160-普利司通(公司)-大胎</v>
          </cell>
          <cell r="AF18">
            <v>8</v>
          </cell>
          <cell r="AG18">
            <v>10996</v>
          </cell>
        </row>
        <row r="19">
          <cell r="AD19" t="str">
            <v>005-米其林(公司)-大胎米其林-12R22.5*X Multi Z舊廠</v>
          </cell>
          <cell r="AE19" t="str">
            <v>005-米其林(公司)-大胎</v>
          </cell>
          <cell r="AF19">
            <v>4</v>
          </cell>
          <cell r="AG19">
            <v>12347</v>
          </cell>
        </row>
        <row r="20">
          <cell r="AD20" t="str">
            <v>005-米其林(公司)-大胎米其林-275/70R22.5*X Multi Z舊廠</v>
          </cell>
          <cell r="AE20" t="str">
            <v>005-米其林(公司)-大胎</v>
          </cell>
          <cell r="AF20">
            <v>7</v>
          </cell>
          <cell r="AG20">
            <v>11742</v>
          </cell>
        </row>
        <row r="21">
          <cell r="AD21" t="str">
            <v>005-米其林(公司)-大胎米其林-295/80R22.5*X Coach Z倉庫</v>
          </cell>
          <cell r="AE21" t="str">
            <v>005-米其林(公司)-大胎</v>
          </cell>
          <cell r="AF21">
            <v>50</v>
          </cell>
          <cell r="AG21">
            <v>12062</v>
          </cell>
        </row>
        <row r="22">
          <cell r="AD22" t="str">
            <v>005-米其林(公司)-大胎米其林-295/80R22.5*X Coach Z舊廠</v>
          </cell>
          <cell r="AE22" t="str">
            <v>005-米其林(公司)-大胎</v>
          </cell>
          <cell r="AF22">
            <v>12</v>
          </cell>
          <cell r="AG22">
            <v>12062</v>
          </cell>
        </row>
        <row r="23">
          <cell r="AD23" t="str">
            <v>005-米其林(公司)-大胎米其林-295/80R22.5*X Multi Z舊廠</v>
          </cell>
          <cell r="AE23" t="str">
            <v>005-米其林(公司)-大胎</v>
          </cell>
          <cell r="AF23">
            <v>15</v>
          </cell>
          <cell r="AG23">
            <v>12440</v>
          </cell>
        </row>
        <row r="24">
          <cell r="AD24" t="str">
            <v>005-米其林(公司)-大胎米其林-315/80R22.5*X Multi HD Z舊廠</v>
          </cell>
          <cell r="AE24" t="str">
            <v>005-米其林(公司)-大胎</v>
          </cell>
          <cell r="AF24">
            <v>1</v>
          </cell>
          <cell r="AG24">
            <v>15294</v>
          </cell>
        </row>
        <row r="25">
          <cell r="AD25" t="str">
            <v>005-米其林(公司)-大胎米其林-315/80R22.5*X Multi Z倉庫</v>
          </cell>
          <cell r="AE25" t="str">
            <v>005-米其林(公司)-大胎</v>
          </cell>
          <cell r="AF25">
            <v>50</v>
          </cell>
          <cell r="AG25">
            <v>14163</v>
          </cell>
        </row>
        <row r="26">
          <cell r="AD26" t="str">
            <v>005-米其林(公司)-大胎米其林-315/80R22.5*X Multi Z舊廠</v>
          </cell>
          <cell r="AE26" t="str">
            <v>005-米其林(公司)-大胎</v>
          </cell>
          <cell r="AF26">
            <v>44</v>
          </cell>
          <cell r="AG26">
            <v>14163</v>
          </cell>
        </row>
        <row r="27">
          <cell r="AD27" t="str">
            <v>005-米其林(公司)-大胎米其林-315/80R22.5*X MultiWay 3D XZE倉庫</v>
          </cell>
          <cell r="AE27" t="str">
            <v>005-米其林(公司)-大胎</v>
          </cell>
          <cell r="AF27">
            <v>40</v>
          </cell>
          <cell r="AG27">
            <v>15107</v>
          </cell>
        </row>
        <row r="28">
          <cell r="AD28" t="str">
            <v>005-米其林(公司)-大胎米其林-315/80R22.5*X MultiWay 3D XZE舊廠</v>
          </cell>
          <cell r="AE28" t="str">
            <v>005-米其林(公司)-大胎</v>
          </cell>
          <cell r="AF28">
            <v>47</v>
          </cell>
          <cell r="AG28">
            <v>15107</v>
          </cell>
        </row>
        <row r="29">
          <cell r="AD29" t="str">
            <v>005-米其林(公司)-大胎米其林-315/80R22.5*XDE2+舊廠</v>
          </cell>
          <cell r="AE29" t="str">
            <v>005-米其林(公司)-大胎</v>
          </cell>
          <cell r="AF29">
            <v>13</v>
          </cell>
          <cell r="AG29">
            <v>14831</v>
          </cell>
        </row>
        <row r="30">
          <cell r="AD30" t="str">
            <v>005-米其林(公司)-大胎米其林-385/65R22.5*X Multi HD 倉庫</v>
          </cell>
          <cell r="AE30" t="str">
            <v>005-米其林(公司)-大胎</v>
          </cell>
          <cell r="AF30">
            <v>25</v>
          </cell>
          <cell r="AG30">
            <v>17876</v>
          </cell>
        </row>
        <row r="31">
          <cell r="AD31" t="str">
            <v>005-米其林(公司)-大胎米其林-385/65R22.5*X Multi HD 舊廠</v>
          </cell>
          <cell r="AE31" t="str">
            <v>005-米其林(公司)-大胎</v>
          </cell>
          <cell r="AF31">
            <v>4</v>
          </cell>
          <cell r="AG31">
            <v>17876</v>
          </cell>
        </row>
        <row r="32">
          <cell r="AD32" t="str">
            <v>001-中華全佑昆侖-315/80R22.5*KT870(麻將花)舊廠</v>
          </cell>
          <cell r="AE32" t="str">
            <v>001-中華全佑</v>
          </cell>
          <cell r="AF32">
            <v>3</v>
          </cell>
          <cell r="AG32">
            <v>5776</v>
          </cell>
        </row>
        <row r="33">
          <cell r="AD33" t="str">
            <v>062-好運昆崙-12R22.5*KT860(粗花)倉庫</v>
          </cell>
          <cell r="AE33" t="str">
            <v>062-好運</v>
          </cell>
          <cell r="AF33">
            <v>20</v>
          </cell>
          <cell r="AG33">
            <v>7200</v>
          </cell>
        </row>
        <row r="34">
          <cell r="AD34" t="str">
            <v>062-好運昆崙-12R22.5*KT860(粗花)舊廠</v>
          </cell>
          <cell r="AE34" t="str">
            <v>062-好運</v>
          </cell>
          <cell r="AF34">
            <v>9</v>
          </cell>
          <cell r="AG34">
            <v>7200</v>
          </cell>
        </row>
        <row r="35">
          <cell r="AD35" t="str">
            <v>062-好運昆崙-315/80R22.5*KT850(粗花)倉庫</v>
          </cell>
          <cell r="AE35" t="str">
            <v>062-好運</v>
          </cell>
          <cell r="AF35">
            <v>37</v>
          </cell>
          <cell r="AG35">
            <v>7000</v>
          </cell>
        </row>
        <row r="36">
          <cell r="AD36" t="str">
            <v>062-好運昆崙-315/80R22.5*KT850(粗花)舊廠</v>
          </cell>
          <cell r="AE36" t="str">
            <v>062-好運</v>
          </cell>
          <cell r="AF36">
            <v>4</v>
          </cell>
          <cell r="AG36">
            <v>7000</v>
          </cell>
        </row>
        <row r="37">
          <cell r="AD37" t="str">
            <v>062-好運昆崙-385/65R22.5*KT186倉庫</v>
          </cell>
          <cell r="AE37" t="str">
            <v>062-好運</v>
          </cell>
          <cell r="AF37">
            <v>8</v>
          </cell>
          <cell r="AG37">
            <v>6639</v>
          </cell>
        </row>
        <row r="38">
          <cell r="AD38" t="str">
            <v>062-好運昆崙-385/65R22.5*KT186舊廠</v>
          </cell>
          <cell r="AE38" t="str">
            <v>062-好運</v>
          </cell>
          <cell r="AF38">
            <v>2</v>
          </cell>
          <cell r="AG38">
            <v>6639</v>
          </cell>
        </row>
        <row r="39">
          <cell r="AD39" t="str">
            <v>244-昆侖輪胎有限公司昆侖-11R22.5*KT866(直花)倉庫</v>
          </cell>
          <cell r="AE39" t="str">
            <v>244-昆侖輪胎有限公司</v>
          </cell>
          <cell r="AF39">
            <v>8</v>
          </cell>
          <cell r="AG39">
            <v>4294</v>
          </cell>
        </row>
        <row r="40">
          <cell r="AD40" t="str">
            <v>244-昆侖輪胎有限公司昆侖-11R22.5*KT866(直花)舊廠</v>
          </cell>
          <cell r="AE40" t="str">
            <v>244-昆侖輪胎有限公司</v>
          </cell>
          <cell r="AF40">
            <v>2</v>
          </cell>
          <cell r="AG40">
            <v>4294</v>
          </cell>
        </row>
        <row r="41">
          <cell r="AD41" t="str">
            <v>244-昆侖輪胎有限公司昆侖-12R22.5*KT168(直花)倉庫</v>
          </cell>
          <cell r="AE41" t="str">
            <v>244-昆侖輪胎有限公司</v>
          </cell>
          <cell r="AF41">
            <v>10</v>
          </cell>
          <cell r="AG41">
            <v>4913</v>
          </cell>
        </row>
        <row r="42">
          <cell r="AD42" t="str">
            <v>244-昆侖輪胎有限公司昆侖-12R22.5*KT168(直花)舊廠</v>
          </cell>
          <cell r="AE42" t="str">
            <v>244-昆侖輪胎有限公司</v>
          </cell>
          <cell r="AF42">
            <v>6</v>
          </cell>
          <cell r="AG42">
            <v>4913</v>
          </cell>
        </row>
        <row r="43">
          <cell r="AD43" t="str">
            <v>244-昆侖輪胎有限公司昆侖-12R22.5*KT871(直花)倉庫</v>
          </cell>
          <cell r="AE43" t="str">
            <v>244-昆侖輪胎有限公司</v>
          </cell>
          <cell r="AF43">
            <v>210</v>
          </cell>
          <cell r="AG43">
            <v>4874</v>
          </cell>
        </row>
        <row r="44">
          <cell r="AD44" t="str">
            <v>244-昆侖輪胎有限公司昆侖-12R22.5*KT871(直花)舊廠</v>
          </cell>
          <cell r="AE44" t="str">
            <v>244-昆侖輪胎有限公司</v>
          </cell>
          <cell r="AF44">
            <v>64</v>
          </cell>
          <cell r="AG44">
            <v>4874</v>
          </cell>
        </row>
        <row r="45">
          <cell r="AD45" t="str">
            <v>244-昆侖輪胎有限公司昆侖-295/80R22.5*KT852(直花.加強)舊廠</v>
          </cell>
          <cell r="AE45" t="str">
            <v>244-昆侖輪胎有限公司</v>
          </cell>
          <cell r="AF45">
            <v>56</v>
          </cell>
          <cell r="AG45">
            <v>4505</v>
          </cell>
        </row>
        <row r="46">
          <cell r="AD46" t="str">
            <v>244-昆侖輪胎有限公司昆侖-295/80R22.5*KT855(人字花)舊廠</v>
          </cell>
          <cell r="AE46" t="str">
            <v>244-昆侖輪胎有限公司</v>
          </cell>
          <cell r="AF46">
            <v>20</v>
          </cell>
          <cell r="AG46">
            <v>4636</v>
          </cell>
        </row>
        <row r="47">
          <cell r="AD47" t="str">
            <v>244-昆侖輪胎有限公司昆侖-295/80R22.5*KT866(直花)倉庫</v>
          </cell>
          <cell r="AE47" t="str">
            <v>244-昆侖輪胎有限公司</v>
          </cell>
          <cell r="AF47">
            <v>40</v>
          </cell>
          <cell r="AG47">
            <v>4152</v>
          </cell>
        </row>
        <row r="48">
          <cell r="AD48" t="str">
            <v>244-昆侖輪胎有限公司昆侖-295/80R22.5*KT866(直花)舊廠</v>
          </cell>
          <cell r="AE48" t="str">
            <v>244-昆侖輪胎有限公司</v>
          </cell>
          <cell r="AF48">
            <v>34</v>
          </cell>
          <cell r="AG48">
            <v>4152</v>
          </cell>
        </row>
        <row r="49">
          <cell r="AD49" t="str">
            <v>244-昆侖輪胎有限公司昆侖-295/80R22.5*KT869(直花)倉庫</v>
          </cell>
          <cell r="AE49" t="str">
            <v>244-昆侖輪胎有限公司</v>
          </cell>
          <cell r="AF49">
            <v>50</v>
          </cell>
          <cell r="AG49">
            <v>4666</v>
          </cell>
        </row>
        <row r="50">
          <cell r="AD50" t="str">
            <v>244-昆侖輪胎有限公司昆侖-295/80R22.5*KT869(直花)舊廠</v>
          </cell>
          <cell r="AE50" t="str">
            <v>244-昆侖輪胎有限公司</v>
          </cell>
          <cell r="AF50">
            <v>28</v>
          </cell>
          <cell r="AG50">
            <v>4666</v>
          </cell>
        </row>
        <row r="51">
          <cell r="AD51" t="str">
            <v>244-昆侖輪胎有限公司昆侖-295/80R22.5*KT870(豆腐花)倉庫</v>
          </cell>
          <cell r="AE51" t="str">
            <v>244-昆侖輪胎有限公司</v>
          </cell>
          <cell r="AF51">
            <v>10</v>
          </cell>
          <cell r="AG51">
            <v>4748</v>
          </cell>
        </row>
        <row r="52">
          <cell r="AD52" t="str">
            <v>244-昆侖輪胎有限公司昆侖-295/80R22.5*KT870(豆腐花)舊廠</v>
          </cell>
          <cell r="AE52" t="str">
            <v>244-昆侖輪胎有限公司</v>
          </cell>
          <cell r="AF52">
            <v>10</v>
          </cell>
          <cell r="AG52">
            <v>4748</v>
          </cell>
        </row>
        <row r="53">
          <cell r="AD53" t="str">
            <v>244-昆侖輪胎有限公司昆侖-315/80R22.5*KT855(人字花)倉庫</v>
          </cell>
          <cell r="AE53" t="str">
            <v>244-昆侖輪胎有限公司</v>
          </cell>
          <cell r="AF53">
            <v>118</v>
          </cell>
          <cell r="AG53">
            <v>5369</v>
          </cell>
        </row>
        <row r="54">
          <cell r="AD54" t="str">
            <v>244-昆侖輪胎有限公司昆侖-315/80R22.5*KT855(人字花)舊廠</v>
          </cell>
          <cell r="AE54" t="str">
            <v>244-昆侖輪胎有限公司</v>
          </cell>
          <cell r="AF54">
            <v>64</v>
          </cell>
          <cell r="AG54">
            <v>5369</v>
          </cell>
        </row>
        <row r="55">
          <cell r="AD55" t="str">
            <v>244-昆侖輪胎有限公司昆侖-315/80R22.5*KT858(直花)倉庫</v>
          </cell>
          <cell r="AE55" t="str">
            <v>244-昆侖輪胎有限公司</v>
          </cell>
          <cell r="AF55">
            <v>140</v>
          </cell>
          <cell r="AG55">
            <v>5436</v>
          </cell>
        </row>
        <row r="56">
          <cell r="AD56" t="str">
            <v>244-昆侖輪胎有限公司昆侖-315/80R22.5*KT858(直花)舊廠</v>
          </cell>
          <cell r="AE56" t="str">
            <v>244-昆侖輪胎有限公司</v>
          </cell>
          <cell r="AF56">
            <v>17</v>
          </cell>
          <cell r="AG56">
            <v>5436</v>
          </cell>
        </row>
        <row r="57">
          <cell r="AD57" t="str">
            <v>244-昆侖輪胎有限公司昆侖-315/80R22.5*KT870(麻將花)倉庫</v>
          </cell>
          <cell r="AE57" t="str">
            <v>244-昆侖輪胎有限公司</v>
          </cell>
          <cell r="AF57">
            <v>70</v>
          </cell>
          <cell r="AG57">
            <v>5718</v>
          </cell>
        </row>
        <row r="58">
          <cell r="AD58" t="str">
            <v>244-昆侖輪胎有限公司昆侖-315/80R22.5*KT870(麻將花)舊廠</v>
          </cell>
          <cell r="AE58" t="str">
            <v>244-昆侖輪胎有限公司</v>
          </cell>
          <cell r="AF58">
            <v>102</v>
          </cell>
          <cell r="AG58">
            <v>5718</v>
          </cell>
        </row>
        <row r="59">
          <cell r="AD59" t="str">
            <v>244-昆侖輪胎有限公司昆侖-385/65R22.5*KT186倉庫</v>
          </cell>
          <cell r="AE59" t="str">
            <v>244-昆侖輪胎有限公司</v>
          </cell>
          <cell r="AF59">
            <v>70</v>
          </cell>
          <cell r="AG59">
            <v>5273</v>
          </cell>
        </row>
        <row r="60">
          <cell r="AD60" t="str">
            <v>244-昆侖輪胎有限公司昆侖-工程胎23.5-25*KT619舊廠</v>
          </cell>
          <cell r="AE60" t="str">
            <v>244-昆侖輪胎有限公司</v>
          </cell>
          <cell r="AF60">
            <v>1</v>
          </cell>
          <cell r="AG60">
            <v>26837</v>
          </cell>
        </row>
        <row r="61">
          <cell r="AD61" t="str">
            <v>164-登祿普(公司)-大胎FK-1000R20*RI150舊廠</v>
          </cell>
          <cell r="AE61" t="str">
            <v>164-登祿普(公司)-大胎</v>
          </cell>
          <cell r="AF61">
            <v>4</v>
          </cell>
          <cell r="AG61">
            <v>6800</v>
          </cell>
        </row>
        <row r="62">
          <cell r="AD62" t="str">
            <v>164-登祿普(公司)-大胎FK-12R22.5*BI867舊廠</v>
          </cell>
          <cell r="AE62" t="str">
            <v>164-登祿普(公司)-大胎</v>
          </cell>
          <cell r="AF62">
            <v>6</v>
          </cell>
          <cell r="AG62">
            <v>7500</v>
          </cell>
        </row>
        <row r="63">
          <cell r="AD63" t="str">
            <v>164-登祿普(公司)-大胎FK-265/70R19.5*RI151舊廠</v>
          </cell>
          <cell r="AE63" t="str">
            <v>164-登祿普(公司)-大胎</v>
          </cell>
          <cell r="AF63">
            <v>8</v>
          </cell>
          <cell r="AG63">
            <v>6500</v>
          </cell>
        </row>
        <row r="64">
          <cell r="AD64" t="str">
            <v>164-登祿普(公司)-大胎FK-295/80R22.5*RI151舊廠</v>
          </cell>
          <cell r="AE64" t="str">
            <v>164-登祿普(公司)-大胎</v>
          </cell>
          <cell r="AF64">
            <v>1</v>
          </cell>
          <cell r="AG64">
            <v>8595</v>
          </cell>
        </row>
        <row r="65">
          <cell r="AD65" t="str">
            <v>164-登祿普(公司)-大胎登祿普-12R22.5*SP320S舊廠</v>
          </cell>
          <cell r="AE65" t="str">
            <v>164-登祿普(公司)-大胎</v>
          </cell>
          <cell r="AF65">
            <v>2</v>
          </cell>
          <cell r="AG65">
            <v>7092</v>
          </cell>
        </row>
        <row r="66">
          <cell r="AD66" t="str">
            <v>164-登祿普(公司)-大胎登祿普-12R22.5*SP835舊廠</v>
          </cell>
          <cell r="AE66" t="str">
            <v>164-登祿普(公司)-大胎</v>
          </cell>
          <cell r="AF66">
            <v>4</v>
          </cell>
          <cell r="AG66">
            <v>8138</v>
          </cell>
        </row>
        <row r="67">
          <cell r="AD67" t="str">
            <v>164-登祿普(公司)-大胎登祿普-275/70R22.5*SP176(廠商-寄庫未出-帳已結)</v>
          </cell>
          <cell r="AE67" t="str">
            <v>164-登祿普(公司)-大胎</v>
          </cell>
          <cell r="AF67">
            <v>1</v>
          </cell>
          <cell r="AG67">
            <v>6669</v>
          </cell>
        </row>
        <row r="68">
          <cell r="AD68" t="str">
            <v>164-登祿普(公司)-大胎登祿普-295/80R22.5*SP320S舊廠</v>
          </cell>
          <cell r="AE68" t="str">
            <v>164-登祿普(公司)-大胎</v>
          </cell>
          <cell r="AF68">
            <v>33</v>
          </cell>
          <cell r="AG68">
            <v>7301</v>
          </cell>
        </row>
        <row r="69">
          <cell r="AD69" t="str">
            <v>164-登祿普(公司)-大胎登祿普-295/80R22.5*SP835舊廠</v>
          </cell>
          <cell r="AE69" t="str">
            <v>164-登祿普(公司)-大胎</v>
          </cell>
          <cell r="AF69">
            <v>7</v>
          </cell>
          <cell r="AG69">
            <v>8316</v>
          </cell>
        </row>
        <row r="70">
          <cell r="AD70" t="str">
            <v>164-登祿普(公司)-大胎登祿普-315/80R22.5*SP320S舊廠</v>
          </cell>
          <cell r="AE70" t="str">
            <v>164-登祿普(公司)-大胎</v>
          </cell>
          <cell r="AF70">
            <v>9</v>
          </cell>
          <cell r="AG70">
            <v>8067</v>
          </cell>
        </row>
        <row r="71">
          <cell r="AD71" t="str">
            <v>164-登祿普(公司)-大胎登祿普-315/80R22.5*SP571舊廠</v>
          </cell>
          <cell r="AE71" t="str">
            <v>164-登祿普(公司)-大胎</v>
          </cell>
          <cell r="AF71">
            <v>57</v>
          </cell>
          <cell r="AG71">
            <v>8054</v>
          </cell>
        </row>
        <row r="72">
          <cell r="AD72" t="str">
            <v>164-登祿普(公司)-大胎登祿普-315/80R22.5*SP581舊廠</v>
          </cell>
          <cell r="AE72" t="str">
            <v>164-登祿普(公司)-大胎</v>
          </cell>
          <cell r="AF72">
            <v>1</v>
          </cell>
          <cell r="AG72">
            <v>10850</v>
          </cell>
        </row>
        <row r="73">
          <cell r="AD73" t="str">
            <v>164-登祿普(公司)-大胎登祿普-315/80R22.5*SP835舊廠</v>
          </cell>
          <cell r="AE73" t="str">
            <v>164-登祿普(公司)-大胎</v>
          </cell>
          <cell r="AF73">
            <v>11</v>
          </cell>
          <cell r="AG73">
            <v>8536</v>
          </cell>
        </row>
        <row r="74">
          <cell r="AD74" t="str">
            <v>164-登祿普(公司)-大胎登祿普-315/80R22.5*SP925倉庫</v>
          </cell>
          <cell r="AE74" t="str">
            <v>164-登祿普(公司)-大胎</v>
          </cell>
          <cell r="AF74">
            <v>40</v>
          </cell>
          <cell r="AG74">
            <v>8921</v>
          </cell>
        </row>
        <row r="75">
          <cell r="AD75" t="str">
            <v>164-登祿普(公司)-大胎登祿普-315/80R22.5*SP925舊廠</v>
          </cell>
          <cell r="AE75" t="str">
            <v>164-登祿普(公司)-大胎</v>
          </cell>
          <cell r="AF75">
            <v>23</v>
          </cell>
          <cell r="AG75">
            <v>8921</v>
          </cell>
        </row>
        <row r="76">
          <cell r="AD76" t="str">
            <v>164-登祿普(公司)-大胎登祿普-385/65R22.5*SP320(廠商-寄庫未出-帳已結)</v>
          </cell>
          <cell r="AE76" t="str">
            <v>164-登祿普(公司)-大胎</v>
          </cell>
          <cell r="AF76">
            <v>1</v>
          </cell>
          <cell r="AG76">
            <v>9826</v>
          </cell>
        </row>
        <row r="77">
          <cell r="AD77" t="str">
            <v>164-登祿普(公司)-大胎登祿普-385/65R22.5*SP320舊廠</v>
          </cell>
          <cell r="AE77" t="str">
            <v>164-登祿普(公司)-大胎</v>
          </cell>
          <cell r="AF77">
            <v>4</v>
          </cell>
          <cell r="AG77">
            <v>9826</v>
          </cell>
        </row>
        <row r="78">
          <cell r="AD78" t="str">
            <v>167-瑪吉斯-大胎瑪吉斯-295/80R22.5*UR279舊廠</v>
          </cell>
          <cell r="AE78" t="str">
            <v>167-瑪吉斯-大胎</v>
          </cell>
          <cell r="AF78">
            <v>2</v>
          </cell>
          <cell r="AG78">
            <v>9000</v>
          </cell>
        </row>
        <row r="79">
          <cell r="AD79" t="str">
            <v>167-瑪吉斯-大胎瑪吉斯-315/80R22.5*UM816舊廠</v>
          </cell>
          <cell r="AE79" t="str">
            <v>167-瑪吉斯-大胎</v>
          </cell>
          <cell r="AF79">
            <v>4</v>
          </cell>
          <cell r="AG79">
            <v>10100</v>
          </cell>
        </row>
        <row r="80">
          <cell r="AD80" t="str">
            <v>019-立城工程胎 BKT-16.9-24*TR459舊廠</v>
          </cell>
          <cell r="AE80" t="str">
            <v>019-立城</v>
          </cell>
          <cell r="AF80">
            <v>1</v>
          </cell>
          <cell r="AG80">
            <v>17500</v>
          </cell>
        </row>
        <row r="81">
          <cell r="AD81" t="str">
            <v>033-台一&gt;實心胎實心胎-500-8舊廠</v>
          </cell>
          <cell r="AE81" t="str">
            <v>033-台一&gt;實心胎</v>
          </cell>
          <cell r="AF81">
            <v>1</v>
          </cell>
          <cell r="AG81">
            <v>2100</v>
          </cell>
        </row>
        <row r="82">
          <cell r="AD82" t="str">
            <v>033-台一&gt;實心胎實心胎-700-12舊廠</v>
          </cell>
          <cell r="AE82" t="str">
            <v>033-台一&gt;實心胎</v>
          </cell>
          <cell r="AF82">
            <v>2</v>
          </cell>
          <cell r="AG82">
            <v>4400</v>
          </cell>
        </row>
        <row r="83">
          <cell r="AD83" t="str">
            <v>037-飛達飛達-315/80R22.5*ASR69舊廠</v>
          </cell>
          <cell r="AE83" t="str">
            <v>037-飛達</v>
          </cell>
          <cell r="AF83">
            <v>1</v>
          </cell>
          <cell r="AG83">
            <v>10640</v>
          </cell>
        </row>
        <row r="84">
          <cell r="AD84" t="str">
            <v>199-青島聯合泰爾輪胎CARLEO-315/80R22.5*CD33(粗花)舊廠</v>
          </cell>
          <cell r="AE84" t="str">
            <v>199-青島聯合泰爾輪胎</v>
          </cell>
          <cell r="AF84">
            <v>78</v>
          </cell>
          <cell r="AG84">
            <v>4550</v>
          </cell>
        </row>
        <row r="85">
          <cell r="AD85" t="str">
            <v>199-青島聯合泰爾輪胎CARLEO-315/80R22.5*C-MAX168(直花)舊廠</v>
          </cell>
          <cell r="AE85" t="str">
            <v>199-青島聯合泰爾輪胎</v>
          </cell>
          <cell r="AF85">
            <v>8</v>
          </cell>
          <cell r="AG85">
            <v>4238</v>
          </cell>
        </row>
        <row r="86">
          <cell r="AD86" t="str">
            <v>199-青島聯合泰爾輪胎CARLEO-315/80R22.5*C-MAX187(人字花)舊廠</v>
          </cell>
          <cell r="AE86" t="str">
            <v>199-青島聯合泰爾輪胎</v>
          </cell>
          <cell r="AF86">
            <v>29</v>
          </cell>
          <cell r="AG86">
            <v>4726</v>
          </cell>
        </row>
        <row r="87">
          <cell r="AD87" t="str">
            <v>199-青島聯合泰爾輪胎CARLEO-315/80R22.5*C-MAX188(麻將花)舊廠</v>
          </cell>
          <cell r="AE87" t="str">
            <v>199-青島聯合泰爾輪胎</v>
          </cell>
          <cell r="AF87">
            <v>31</v>
          </cell>
          <cell r="AG87">
            <v>4657</v>
          </cell>
        </row>
        <row r="88">
          <cell r="AD88" t="str">
            <v>199-青島聯合泰爾輪胎TEEREX-315/80R22.5*TDM89(豆腐花)舊廠</v>
          </cell>
          <cell r="AE88" t="str">
            <v>199-青島聯合泰爾輪胎</v>
          </cell>
          <cell r="AF88">
            <v>16</v>
          </cell>
          <cell r="AG88">
            <v>5735</v>
          </cell>
        </row>
        <row r="89">
          <cell r="AD89" t="str">
            <v>290-青島米多奇橡膠科技有限公司MITTO-295/8022.5*NL118G(閃電直花)舊廠</v>
          </cell>
          <cell r="AE89" t="str">
            <v>290-青島米多奇橡膠科技有限公司</v>
          </cell>
          <cell r="AF89">
            <v>3</v>
          </cell>
          <cell r="AG89">
            <v>3416</v>
          </cell>
        </row>
        <row r="90">
          <cell r="AD90" t="str">
            <v>290-青島米多奇橡膠科技有限公司MITTO-295/8022.5*NL505(直花)舊廠</v>
          </cell>
          <cell r="AE90" t="str">
            <v>290-青島米多奇橡膠科技有限公司</v>
          </cell>
          <cell r="AF90">
            <v>75</v>
          </cell>
          <cell r="AG90">
            <v>3220</v>
          </cell>
        </row>
        <row r="91">
          <cell r="AD91" t="str">
            <v>290-青島米多奇橡膠科技有限公司MITTO-315/8022.5*NL118G(閃電直花)舊廠</v>
          </cell>
          <cell r="AE91" t="str">
            <v>290-青島米多奇橡膠科技有限公司</v>
          </cell>
          <cell r="AF91">
            <v>47</v>
          </cell>
          <cell r="AG91">
            <v>3703</v>
          </cell>
        </row>
        <row r="92">
          <cell r="AD92" t="str">
            <v>290-青島米多奇橡膠科技有限公司MITTO-315/8022.5*NL676G(直花)舊廠</v>
          </cell>
          <cell r="AE92" t="str">
            <v>290-青島米多奇橡膠科技有限公司</v>
          </cell>
          <cell r="AF92">
            <v>56</v>
          </cell>
          <cell r="AG92">
            <v>3703</v>
          </cell>
        </row>
        <row r="93">
          <cell r="AD93" t="str">
            <v>312-SKYPOWER(優盛輪胎)BLACKGEM-315/80R22.5*BGA35(閃電直花)舊廠</v>
          </cell>
          <cell r="AE93" t="str">
            <v>312-SKYPOWER(優盛輪胎)</v>
          </cell>
          <cell r="AF93">
            <v>13</v>
          </cell>
          <cell r="AG93">
            <v>3631</v>
          </cell>
        </row>
        <row r="94">
          <cell r="AD94" t="str">
            <v>312-SKYPOWER(優盛輪胎)DOVROAD-315/80R22.5*DD652(麻將花)舊廠</v>
          </cell>
          <cell r="AE94" t="str">
            <v>312-SKYPOWER(優盛輪胎)</v>
          </cell>
          <cell r="AF94">
            <v>44</v>
          </cell>
          <cell r="AG94">
            <v>4021</v>
          </cell>
        </row>
        <row r="95">
          <cell r="AD95" t="str">
            <v>312-SKYPOWER(優盛輪胎)DOVROAD-315/80R22.5*DD662(人字花)舊廠</v>
          </cell>
          <cell r="AE95" t="str">
            <v>312-SKYPOWER(優盛輪胎)</v>
          </cell>
          <cell r="AF95">
            <v>28</v>
          </cell>
          <cell r="AG95">
            <v>4048</v>
          </cell>
        </row>
        <row r="96">
          <cell r="AD96" t="str">
            <v>312-SKYPOWER(優盛輪胎)DOVROAD-315/80R22.5*DF122(直花)舊廠</v>
          </cell>
          <cell r="AE96" t="str">
            <v>312-SKYPOWER(優盛輪胎)</v>
          </cell>
          <cell r="AF96">
            <v>42</v>
          </cell>
          <cell r="AG96">
            <v>3634</v>
          </cell>
        </row>
        <row r="97">
          <cell r="AD97" t="str">
            <v>006-米其林(公司)-中胎米其林-195/75R16*Agilis舊廠</v>
          </cell>
          <cell r="AE97" t="str">
            <v>006-米其林(公司)-中胎</v>
          </cell>
          <cell r="AF97">
            <v>15</v>
          </cell>
          <cell r="AG97">
            <v>2937</v>
          </cell>
        </row>
        <row r="98">
          <cell r="AD98" t="str">
            <v>006-米其林(公司)-中胎米其林-205/75R17.5*X Multi Z舊廠</v>
          </cell>
          <cell r="AE98" t="str">
            <v>006-米其林(公司)-中胎</v>
          </cell>
          <cell r="AF98">
            <v>14</v>
          </cell>
          <cell r="AG98">
            <v>6087</v>
          </cell>
        </row>
        <row r="99">
          <cell r="AD99" t="str">
            <v>006-米其林(公司)-中胎米其林-215/75R17.5*X Multi Z舊廠</v>
          </cell>
          <cell r="AE99" t="str">
            <v>006-米其林(公司)-中胎</v>
          </cell>
          <cell r="AF99">
            <v>28</v>
          </cell>
          <cell r="AG99">
            <v>5911</v>
          </cell>
        </row>
        <row r="100">
          <cell r="AD100" t="str">
            <v>006-米其林(公司)-中胎米其林-235/75R17.5*X Multi Z舊廠</v>
          </cell>
          <cell r="AE100" t="str">
            <v>006-米其林(公司)-中胎</v>
          </cell>
          <cell r="AF100">
            <v>6</v>
          </cell>
          <cell r="AG100">
            <v>7139</v>
          </cell>
        </row>
        <row r="101">
          <cell r="AD101" t="str">
            <v>006-米其林(公司)-中胎米其林-750R16*Agilis舊廠</v>
          </cell>
          <cell r="AE101" t="str">
            <v>006-米其林(公司)-中胎</v>
          </cell>
          <cell r="AF101">
            <v>6</v>
          </cell>
          <cell r="AG101">
            <v>5057</v>
          </cell>
        </row>
        <row r="102">
          <cell r="AD102" t="str">
            <v>006-米其林(公司)-中胎米其林-825R16*Agilis舊廠</v>
          </cell>
          <cell r="AE102" t="str">
            <v>006-米其林(公司)-中胎</v>
          </cell>
          <cell r="AF102">
            <v>13</v>
          </cell>
          <cell r="AG102">
            <v>5500</v>
          </cell>
        </row>
        <row r="103">
          <cell r="AD103" t="str">
            <v>006-米其林(公司)-中胎米其林-9.5R17.5*X Multi Z舊廠</v>
          </cell>
          <cell r="AE103" t="str">
            <v>006-米其林(公司)-中胎</v>
          </cell>
          <cell r="AF103">
            <v>31</v>
          </cell>
          <cell r="AG103">
            <v>7023</v>
          </cell>
        </row>
        <row r="104">
          <cell r="AD104" t="str">
            <v>006-米其林(公司)-中胎米其林-9.5R17.5*XTE2舊廠</v>
          </cell>
          <cell r="AE104" t="str">
            <v>006-米其林(公司)-中胎</v>
          </cell>
          <cell r="AF104">
            <v>17</v>
          </cell>
          <cell r="AG104">
            <v>8250</v>
          </cell>
        </row>
        <row r="105">
          <cell r="AD105" t="str">
            <v>078-昇達WEST LAKE-8.25R20*CR950舊廠</v>
          </cell>
          <cell r="AE105" t="str">
            <v>078-昇達</v>
          </cell>
          <cell r="AF105">
            <v>2</v>
          </cell>
          <cell r="AG105">
            <v>4951</v>
          </cell>
        </row>
        <row r="106">
          <cell r="AD106" t="str">
            <v>078-昇達威獅-195/75R16*SC328舊廠</v>
          </cell>
          <cell r="AE106" t="str">
            <v>078-昇達</v>
          </cell>
          <cell r="AF106">
            <v>2</v>
          </cell>
          <cell r="AG106">
            <v>1800</v>
          </cell>
        </row>
        <row r="107">
          <cell r="AD107" t="str">
            <v>161-普利司通(公司)-中胎普利司通-195/75R16C*R212舊廠</v>
          </cell>
          <cell r="AE107" t="str">
            <v>161-普利司通(公司)-中胎</v>
          </cell>
          <cell r="AF107">
            <v>18</v>
          </cell>
          <cell r="AG107">
            <v>2516</v>
          </cell>
        </row>
        <row r="108">
          <cell r="AD108" t="str">
            <v>161-普利司通(公司)-中胎普利司通-195/85R16C*R202舊廠</v>
          </cell>
          <cell r="AE108" t="str">
            <v>161-普利司通(公司)-中胎</v>
          </cell>
          <cell r="AF108">
            <v>2</v>
          </cell>
          <cell r="AG108">
            <v>3740</v>
          </cell>
        </row>
        <row r="109">
          <cell r="AD109" t="str">
            <v>161-普利司通(公司)-中胎普利司通-205/75R16C*R205舊廠</v>
          </cell>
          <cell r="AE109" t="str">
            <v>161-普利司通(公司)-中胎</v>
          </cell>
          <cell r="AF109">
            <v>2</v>
          </cell>
          <cell r="AG109">
            <v>3938</v>
          </cell>
        </row>
        <row r="110">
          <cell r="AD110" t="str">
            <v>161-普利司通(公司)-中胎普利司通-205/75R17.5*R294舊廠</v>
          </cell>
          <cell r="AE110" t="str">
            <v>161-普利司通(公司)-中胎</v>
          </cell>
          <cell r="AF110">
            <v>12</v>
          </cell>
          <cell r="AG110">
            <v>5648</v>
          </cell>
        </row>
        <row r="111">
          <cell r="AD111" t="str">
            <v>161-普利司通(公司)-中胎普利司通-215/75R17.5*R294舊廠</v>
          </cell>
          <cell r="AE111" t="str">
            <v>161-普利司通(公司)-中胎</v>
          </cell>
          <cell r="AF111">
            <v>11</v>
          </cell>
          <cell r="AG111">
            <v>5891</v>
          </cell>
        </row>
        <row r="112">
          <cell r="AD112" t="str">
            <v>161-普利司通(公司)-中胎普利司通-225/75R17.5*R294舊廠</v>
          </cell>
          <cell r="AE112" t="str">
            <v>161-普利司通(公司)-中胎</v>
          </cell>
          <cell r="AF112">
            <v>9</v>
          </cell>
          <cell r="AG112">
            <v>6030</v>
          </cell>
        </row>
        <row r="113">
          <cell r="AD113" t="str">
            <v>161-普利司通(公司)-中胎普利司通-225/90R17.5*M810舊廠</v>
          </cell>
          <cell r="AE113" t="str">
            <v>161-普利司通(公司)-中胎</v>
          </cell>
          <cell r="AF113">
            <v>44</v>
          </cell>
          <cell r="AG113">
            <v>4922</v>
          </cell>
        </row>
        <row r="114">
          <cell r="AD114" t="str">
            <v>161-普利司通(公司)-中胎普利司通-225/90R17.5*R225舊廠</v>
          </cell>
          <cell r="AE114" t="str">
            <v>161-普利司通(公司)-中胎</v>
          </cell>
          <cell r="AF114">
            <v>13</v>
          </cell>
          <cell r="AG114">
            <v>4747</v>
          </cell>
        </row>
        <row r="115">
          <cell r="AD115" t="str">
            <v>161-普利司通(公司)-中胎普利司通-235/75R17.5*R294舊廠</v>
          </cell>
          <cell r="AE115" t="str">
            <v>161-普利司通(公司)-中胎</v>
          </cell>
          <cell r="AF115">
            <v>16</v>
          </cell>
          <cell r="AG115">
            <v>6164</v>
          </cell>
        </row>
        <row r="116">
          <cell r="AD116" t="str">
            <v>161-普利司通(公司)-中胎普利司通-245/70R17.5*R168舊廠</v>
          </cell>
          <cell r="AE116" t="str">
            <v>161-普利司通(公司)-中胎</v>
          </cell>
          <cell r="AF116">
            <v>2</v>
          </cell>
          <cell r="AG116">
            <v>6481</v>
          </cell>
        </row>
        <row r="117">
          <cell r="AD117" t="str">
            <v>161-普利司通(公司)-中胎普利司通-700R15*R200舊廠</v>
          </cell>
          <cell r="AE117" t="str">
            <v>161-普利司通(公司)-中胎</v>
          </cell>
          <cell r="AF117">
            <v>8</v>
          </cell>
          <cell r="AG117">
            <v>2826</v>
          </cell>
        </row>
        <row r="118">
          <cell r="AD118" t="str">
            <v>161-普利司通(公司)-中胎普利司通-700R16*R200舊廠</v>
          </cell>
          <cell r="AE118" t="str">
            <v>161-普利司通(公司)-中胎</v>
          </cell>
          <cell r="AF118">
            <v>10</v>
          </cell>
          <cell r="AG118">
            <v>2922</v>
          </cell>
        </row>
        <row r="119">
          <cell r="AD119" t="str">
            <v>161-普利司通(公司)-中胎普利司通-750R16*R225舊廠</v>
          </cell>
          <cell r="AE119" t="str">
            <v>161-普利司通(公司)-中胎</v>
          </cell>
          <cell r="AF119">
            <v>6</v>
          </cell>
          <cell r="AG119">
            <v>5034</v>
          </cell>
        </row>
        <row r="120">
          <cell r="AD120" t="str">
            <v>161-普利司通(公司)-中胎普利司通-825R16*R225舊廠</v>
          </cell>
          <cell r="AE120" t="str">
            <v>161-普利司通(公司)-中胎</v>
          </cell>
          <cell r="AF120">
            <v>7</v>
          </cell>
          <cell r="AG120">
            <v>5620</v>
          </cell>
        </row>
        <row r="121">
          <cell r="AD121" t="str">
            <v>161-普利司通(公司)-中胎普利司通-9.5R17.5*R294舊廠</v>
          </cell>
          <cell r="AE121" t="str">
            <v>161-普利司通(公司)-中胎</v>
          </cell>
          <cell r="AF121">
            <v>40</v>
          </cell>
          <cell r="AG121">
            <v>6186</v>
          </cell>
        </row>
        <row r="122">
          <cell r="AD122" t="str">
            <v>165-登祿普(公司)-中胎登祿普-195/75R16C*VAN01舊廠</v>
          </cell>
          <cell r="AE122" t="str">
            <v>165-登祿普(公司)-中胎</v>
          </cell>
          <cell r="AF122">
            <v>9</v>
          </cell>
          <cell r="AG122">
            <v>1983</v>
          </cell>
        </row>
        <row r="123">
          <cell r="AD123" t="str">
            <v>165-登祿普(公司)-中胎登祿普-215/75R17.5*SP320舊廠</v>
          </cell>
          <cell r="AE123" t="str">
            <v>165-登祿普(公司)-中胎</v>
          </cell>
          <cell r="AF123">
            <v>11</v>
          </cell>
          <cell r="AG123">
            <v>3471</v>
          </cell>
        </row>
        <row r="124">
          <cell r="AD124" t="str">
            <v>165-登祿普(公司)-中胎登祿普-225/90R17.5*SP122舊廠</v>
          </cell>
          <cell r="AE124" t="str">
            <v>165-登祿普(公司)-中胎</v>
          </cell>
          <cell r="AF124">
            <v>5</v>
          </cell>
          <cell r="AG124">
            <v>3908</v>
          </cell>
        </row>
        <row r="125">
          <cell r="AD125" t="str">
            <v>165-登祿普(公司)-中胎登祿普-235/75R17.5*SP320舊廠</v>
          </cell>
          <cell r="AE125" t="str">
            <v>165-登祿普(公司)-中胎</v>
          </cell>
          <cell r="AF125">
            <v>14</v>
          </cell>
          <cell r="AG125">
            <v>4051</v>
          </cell>
        </row>
        <row r="126">
          <cell r="AD126" t="str">
            <v>165-登祿普(公司)-中胎登祿普-700R16*SP185舊廠</v>
          </cell>
          <cell r="AE126" t="str">
            <v>165-登祿普(公司)-中胎</v>
          </cell>
          <cell r="AF126">
            <v>6</v>
          </cell>
          <cell r="AG126">
            <v>2430</v>
          </cell>
        </row>
        <row r="127">
          <cell r="AD127" t="str">
            <v>165-登祿普(公司)-中胎登祿普-750R16*SP122舊廠</v>
          </cell>
          <cell r="AE127" t="str">
            <v>165-登祿普(公司)-中胎</v>
          </cell>
          <cell r="AF127">
            <v>1</v>
          </cell>
          <cell r="AG127">
            <v>3408</v>
          </cell>
        </row>
        <row r="128">
          <cell r="AD128" t="str">
            <v>165-登祿普(公司)-中胎登祿普-825R16*SP122舊廠</v>
          </cell>
          <cell r="AE128" t="str">
            <v>165-登祿普(公司)-中胎</v>
          </cell>
          <cell r="AF128">
            <v>9</v>
          </cell>
          <cell r="AG128">
            <v>3840</v>
          </cell>
        </row>
        <row r="129">
          <cell r="AD129" t="str">
            <v>168-瑪吉斯-中胎瑪吉斯-195/75R16C*UE168舊廠</v>
          </cell>
          <cell r="AE129" t="str">
            <v>168-瑪吉斯-中胎</v>
          </cell>
          <cell r="AF129">
            <v>11</v>
          </cell>
          <cell r="AG129">
            <v>2221</v>
          </cell>
        </row>
        <row r="130">
          <cell r="AD130" t="str">
            <v>168-瑪吉斯-中胎瑪吉斯-215/75R17.5*UR275舊廠</v>
          </cell>
          <cell r="AE130" t="str">
            <v>168-瑪吉斯-中胎</v>
          </cell>
          <cell r="AF130">
            <v>4</v>
          </cell>
          <cell r="AG130">
            <v>4800</v>
          </cell>
        </row>
        <row r="131">
          <cell r="AD131" t="str">
            <v>168-瑪吉斯-中胎瑪吉斯-550-13*C846舊廠</v>
          </cell>
          <cell r="AE131" t="str">
            <v>168-瑪吉斯-中胎</v>
          </cell>
          <cell r="AF131">
            <v>2</v>
          </cell>
          <cell r="AG131">
            <v>2200</v>
          </cell>
        </row>
        <row r="132">
          <cell r="AD132" t="str">
            <v>168-瑪吉斯-中胎瑪吉斯-600-14*C846舊廠</v>
          </cell>
          <cell r="AE132" t="str">
            <v>168-瑪吉斯-中胎</v>
          </cell>
          <cell r="AF132">
            <v>2</v>
          </cell>
          <cell r="AG132">
            <v>2750</v>
          </cell>
        </row>
        <row r="133">
          <cell r="AD133" t="str">
            <v>168-瑪吉斯-中胎瑪吉斯-650R16*UE101(廠商-寄庫未出-帳已結)</v>
          </cell>
          <cell r="AE133" t="str">
            <v>168-瑪吉斯-中胎</v>
          </cell>
          <cell r="AF133">
            <v>5</v>
          </cell>
          <cell r="AG133">
            <v>2850</v>
          </cell>
        </row>
        <row r="134">
          <cell r="AD134" t="str">
            <v>168-瑪吉斯-中胎瑪吉斯-700-16*C846舊廠</v>
          </cell>
          <cell r="AE134" t="str">
            <v>168-瑪吉斯-中胎</v>
          </cell>
          <cell r="AF134">
            <v>2</v>
          </cell>
          <cell r="AG134">
            <v>3120</v>
          </cell>
        </row>
        <row r="135">
          <cell r="AD135" t="str">
            <v>168-瑪吉斯-中胎瑪吉斯-700R16*UE102(廠商-寄庫未出-帳已結)</v>
          </cell>
          <cell r="AE135" t="str">
            <v>168-瑪吉斯-中胎</v>
          </cell>
          <cell r="AF135">
            <v>45</v>
          </cell>
          <cell r="AG135">
            <v>3300</v>
          </cell>
        </row>
        <row r="136">
          <cell r="AD136" t="str">
            <v>168-瑪吉斯-中胎瑪吉斯-700R16*UE102舊廠</v>
          </cell>
          <cell r="AE136" t="str">
            <v>168-瑪吉斯-中胎</v>
          </cell>
          <cell r="AF136">
            <v>8</v>
          </cell>
          <cell r="AG136">
            <v>3300</v>
          </cell>
        </row>
        <row r="137">
          <cell r="AD137" t="str">
            <v>168-瑪吉斯-中胎瑪吉斯-825-16*C846舊廠</v>
          </cell>
          <cell r="AE137" t="str">
            <v>168-瑪吉斯-中胎</v>
          </cell>
          <cell r="AF137">
            <v>2</v>
          </cell>
          <cell r="AG137">
            <v>4680</v>
          </cell>
        </row>
        <row r="138">
          <cell r="AD138" t="str">
            <v>168-瑪吉斯-中胎瑪吉斯-825R16*UR275(廠商-寄庫未出-帳已結)</v>
          </cell>
          <cell r="AE138" t="str">
            <v>168-瑪吉斯-中胎</v>
          </cell>
          <cell r="AF138">
            <v>3</v>
          </cell>
          <cell r="AG138">
            <v>5200</v>
          </cell>
        </row>
        <row r="139">
          <cell r="AD139" t="str">
            <v>168-瑪吉斯-中胎瑪吉斯-825R16*UR275舊廠</v>
          </cell>
          <cell r="AE139" t="str">
            <v>168-瑪吉斯-中胎</v>
          </cell>
          <cell r="AF139">
            <v>2</v>
          </cell>
          <cell r="AG139">
            <v>5200</v>
          </cell>
        </row>
        <row r="140">
          <cell r="AD140" t="str">
            <v>168-瑪吉斯-中胎瑪吉斯-9.5R17.5*UR275(廠商-寄庫未出-帳已結)</v>
          </cell>
          <cell r="AE140" t="str">
            <v>168-瑪吉斯-中胎</v>
          </cell>
          <cell r="AF140">
            <v>6</v>
          </cell>
          <cell r="AG140">
            <v>5818</v>
          </cell>
        </row>
        <row r="141">
          <cell r="AD141" t="str">
            <v>168-瑪吉斯-中胎瑪吉斯-9.5R17.5*UR275舊廠</v>
          </cell>
          <cell r="AE141" t="str">
            <v>168-瑪吉斯-中胎</v>
          </cell>
          <cell r="AF141">
            <v>4</v>
          </cell>
          <cell r="AG141">
            <v>5818</v>
          </cell>
        </row>
        <row r="142">
          <cell r="AD142" t="str">
            <v>192-阿毅輪胎LEAO-195/85R16*AAL812舊廠</v>
          </cell>
          <cell r="AE142" t="str">
            <v>192-阿毅輪胎</v>
          </cell>
          <cell r="AF142">
            <v>26</v>
          </cell>
          <cell r="AG142">
            <v>2289</v>
          </cell>
        </row>
        <row r="143">
          <cell r="AD143" t="str">
            <v>192-阿毅輪胎LEAO-215/75R17.5*AFL866舊廠</v>
          </cell>
          <cell r="AE143" t="str">
            <v>192-阿毅輪胎</v>
          </cell>
          <cell r="AF143">
            <v>2</v>
          </cell>
          <cell r="AG143">
            <v>3226</v>
          </cell>
        </row>
        <row r="144">
          <cell r="AD144" t="str">
            <v>192-阿毅輪胎LEAO-700R16*AAR959舊廠</v>
          </cell>
          <cell r="AE144" t="str">
            <v>192-阿毅輪胎</v>
          </cell>
          <cell r="AF144">
            <v>8</v>
          </cell>
          <cell r="AG144">
            <v>3156</v>
          </cell>
        </row>
        <row r="145">
          <cell r="AD145" t="str">
            <v>192-阿毅輪胎LEAO-750R16*LD09舊廠</v>
          </cell>
          <cell r="AE145" t="str">
            <v>192-阿毅輪胎</v>
          </cell>
          <cell r="AF145">
            <v>8</v>
          </cell>
          <cell r="AG145">
            <v>3540</v>
          </cell>
        </row>
        <row r="146">
          <cell r="AD146" t="str">
            <v>192-阿毅輪胎LEAO-825R16*LD09舊廠</v>
          </cell>
          <cell r="AE146" t="str">
            <v>192-阿毅輪胎</v>
          </cell>
          <cell r="AF146">
            <v>4</v>
          </cell>
          <cell r="AG146">
            <v>4436</v>
          </cell>
        </row>
        <row r="147">
          <cell r="AD147" t="str">
            <v>192-阿毅輪胎LEAO-9.5R17.5*D960舊廠</v>
          </cell>
          <cell r="AE147" t="str">
            <v>192-阿毅輪胎</v>
          </cell>
          <cell r="AF147">
            <v>7</v>
          </cell>
          <cell r="AG147">
            <v>3919</v>
          </cell>
        </row>
        <row r="148">
          <cell r="AD148" t="str">
            <v>192-阿毅輪胎LEAO-9.5R17.5*LF26舊廠</v>
          </cell>
          <cell r="AE148" t="str">
            <v>192-阿毅輪胎</v>
          </cell>
          <cell r="AF148">
            <v>10</v>
          </cell>
          <cell r="AG148">
            <v>3514</v>
          </cell>
        </row>
        <row r="149">
          <cell r="AD149" t="str">
            <v>001-中華全佑內胎-900-20舊廠</v>
          </cell>
          <cell r="AE149" t="str">
            <v>001-中華全佑</v>
          </cell>
          <cell r="AF149">
            <v>2</v>
          </cell>
          <cell r="AG149">
            <v>0</v>
          </cell>
        </row>
        <row r="150">
          <cell r="AD150" t="str">
            <v>017-萬全鋼圈- CSR*22.5 (廠商-寄庫未出-帳已結)</v>
          </cell>
          <cell r="AE150" t="str">
            <v>017-萬全</v>
          </cell>
          <cell r="AF150">
            <v>73</v>
          </cell>
          <cell r="AG150">
            <v>1500</v>
          </cell>
        </row>
        <row r="151">
          <cell r="AD151" t="str">
            <v>017-萬全鋼圈-CSR*6.00*17.5日規6孔舊廠</v>
          </cell>
          <cell r="AE151" t="str">
            <v>017-萬全</v>
          </cell>
          <cell r="AF151">
            <v>12</v>
          </cell>
          <cell r="AG151">
            <v>1500</v>
          </cell>
        </row>
        <row r="152">
          <cell r="AD152" t="str">
            <v>017-萬全鋼圈-CSR*6.75*17.5日規6孔舊廠</v>
          </cell>
          <cell r="AE152" t="str">
            <v>017-萬全</v>
          </cell>
          <cell r="AF152">
            <v>1</v>
          </cell>
          <cell r="AG152">
            <v>2000</v>
          </cell>
        </row>
        <row r="153">
          <cell r="AD153" t="str">
            <v>017-萬全鋼圈-CSR*8.25*22.5日規8孔舊廠</v>
          </cell>
          <cell r="AE153" t="str">
            <v>017-萬全</v>
          </cell>
          <cell r="AF153">
            <v>2</v>
          </cell>
          <cell r="AG153">
            <v>1500</v>
          </cell>
        </row>
        <row r="154">
          <cell r="AD154" t="str">
            <v>017-萬全鋼圈-CSR*9.00*22.5日規8孔舊廠</v>
          </cell>
          <cell r="AE154" t="str">
            <v>017-萬全</v>
          </cell>
          <cell r="AF154">
            <v>7</v>
          </cell>
          <cell r="AG154">
            <v>1500</v>
          </cell>
        </row>
        <row r="155">
          <cell r="AD155" t="str">
            <v>017-萬全鋼圈-CSR*9.00*22.5歐規10孔舊廠</v>
          </cell>
          <cell r="AE155" t="str">
            <v>017-萬全</v>
          </cell>
          <cell r="AF155">
            <v>6</v>
          </cell>
          <cell r="AG155">
            <v>1500</v>
          </cell>
        </row>
        <row r="156">
          <cell r="AD156" t="str">
            <v>017-萬全鋼圈-CSR*一路發14"無內胎舊廠</v>
          </cell>
          <cell r="AE156" t="str">
            <v>017-萬全</v>
          </cell>
          <cell r="AF156">
            <v>2</v>
          </cell>
          <cell r="AG156">
            <v>1800</v>
          </cell>
        </row>
        <row r="157">
          <cell r="AD157" t="str">
            <v>017-萬全鋼圈-FCT16*5.5 5H/203外拋舊廠</v>
          </cell>
          <cell r="AE157" t="str">
            <v>017-萬全</v>
          </cell>
          <cell r="AF157">
            <v>2</v>
          </cell>
          <cell r="AG157">
            <v>4250</v>
          </cell>
        </row>
        <row r="158">
          <cell r="AD158" t="str">
            <v>017-萬全鋼圈-HL1*385R前輪歐規 11.75舊廠</v>
          </cell>
          <cell r="AE158" t="str">
            <v>017-萬全</v>
          </cell>
          <cell r="AF158">
            <v>2</v>
          </cell>
          <cell r="AG158">
            <v>4580</v>
          </cell>
        </row>
        <row r="159">
          <cell r="AD159" t="str">
            <v>017-萬全鋼圈-HL1*385R後輪歐規 11.75舊廠</v>
          </cell>
          <cell r="AE159" t="str">
            <v>017-萬全</v>
          </cell>
          <cell r="AF159">
            <v>2</v>
          </cell>
          <cell r="AG159">
            <v>4580</v>
          </cell>
        </row>
        <row r="160">
          <cell r="AD160" t="str">
            <v>017-萬全鋼圈-HL1*9.00*22.5日規8孔舊廠</v>
          </cell>
          <cell r="AE160" t="str">
            <v>017-萬全</v>
          </cell>
          <cell r="AF160">
            <v>1</v>
          </cell>
          <cell r="AG160">
            <v>3480</v>
          </cell>
        </row>
        <row r="161">
          <cell r="AD161" t="str">
            <v>017-萬全鋼圈-HL3*9.00*22.5歐規10孔防爆舊廠</v>
          </cell>
          <cell r="AE161" t="str">
            <v>017-萬全</v>
          </cell>
          <cell r="AF161">
            <v>5</v>
          </cell>
          <cell r="AG161">
            <v>2900</v>
          </cell>
        </row>
        <row r="162">
          <cell r="AD162" t="str">
            <v>017-萬全鋼圈-KPZ/9.00*22.5歐規10孔*賓士防暴舊廠</v>
          </cell>
          <cell r="AE162" t="str">
            <v>017-萬全</v>
          </cell>
          <cell r="AF162">
            <v>-9</v>
          </cell>
          <cell r="AG162">
            <v>2500</v>
          </cell>
        </row>
        <row r="163">
          <cell r="AD163" t="str">
            <v>017-萬全鋼圈-中古鋼圈*12.9-24*12孔舊廠</v>
          </cell>
          <cell r="AE163" t="str">
            <v>017-萬全</v>
          </cell>
          <cell r="AF163">
            <v>1</v>
          </cell>
          <cell r="AG163">
            <v>7800</v>
          </cell>
        </row>
        <row r="164">
          <cell r="AD164" t="str">
            <v>017-萬全鋼圈-堅達*6.00*17.5 5孔(前輪降低)舊廠</v>
          </cell>
          <cell r="AE164" t="str">
            <v>017-萬全</v>
          </cell>
          <cell r="AF164">
            <v>1</v>
          </cell>
          <cell r="AG164">
            <v>1920</v>
          </cell>
        </row>
        <row r="165">
          <cell r="AD165" t="str">
            <v>017-萬全鋼圈-豐田*700*16 "146" 5孔舊廠</v>
          </cell>
          <cell r="AE165" t="str">
            <v>017-萬全</v>
          </cell>
          <cell r="AF165">
            <v>1</v>
          </cell>
          <cell r="AG165">
            <v>2000</v>
          </cell>
        </row>
        <row r="166">
          <cell r="AD166" t="str">
            <v>019-立城O型環舊廠</v>
          </cell>
          <cell r="AE166" t="str">
            <v>019-立城</v>
          </cell>
          <cell r="AF166">
            <v>5</v>
          </cell>
          <cell r="AG166">
            <v>500</v>
          </cell>
        </row>
        <row r="167">
          <cell r="AD167" t="str">
            <v>032-弘新&gt;銀王OB-1000-20舊廠</v>
          </cell>
          <cell r="AE167" t="str">
            <v>032-弘新&gt;銀王</v>
          </cell>
          <cell r="AF167">
            <v>9</v>
          </cell>
          <cell r="AG167">
            <v>168</v>
          </cell>
        </row>
        <row r="168">
          <cell r="AD168" t="str">
            <v>032-弘新&gt;銀王OB-15舊廠</v>
          </cell>
          <cell r="AE168" t="str">
            <v>032-弘新&gt;銀王</v>
          </cell>
          <cell r="AF168">
            <v>9</v>
          </cell>
          <cell r="AG168">
            <v>110</v>
          </cell>
        </row>
        <row r="169">
          <cell r="AD169" t="str">
            <v>032-弘新&gt;銀王OB-16舊廠</v>
          </cell>
          <cell r="AE169" t="str">
            <v>032-弘新&gt;銀王</v>
          </cell>
          <cell r="AF169">
            <v>16</v>
          </cell>
          <cell r="AG169">
            <v>115</v>
          </cell>
        </row>
        <row r="170">
          <cell r="AD170" t="str">
            <v>038-亞獵士鋼圈-_C006_61_22.5舊廠</v>
          </cell>
          <cell r="AE170" t="str">
            <v>038-亞獵士</v>
          </cell>
          <cell r="AF170">
            <v>2</v>
          </cell>
          <cell r="AG170">
            <v>7350</v>
          </cell>
        </row>
        <row r="171">
          <cell r="AD171" t="str">
            <v>078-昇達OB-825R20舊廠</v>
          </cell>
          <cell r="AE171" t="str">
            <v>078-昇達</v>
          </cell>
          <cell r="AF171">
            <v>2</v>
          </cell>
          <cell r="AG171">
            <v>137</v>
          </cell>
        </row>
        <row r="172">
          <cell r="AD172" t="str">
            <v>078-昇達內胎-825R20舊廠</v>
          </cell>
          <cell r="AE172" t="str">
            <v>078-昇達</v>
          </cell>
          <cell r="AF172">
            <v>2</v>
          </cell>
          <cell r="AG172">
            <v>413</v>
          </cell>
        </row>
        <row r="173">
          <cell r="AD173" t="str">
            <v>139-章化輪胎&gt;桃園廠鋼圈-TOPY*9.00*22.5歐規10孔舊廠</v>
          </cell>
          <cell r="AE173" t="str">
            <v>139-章化輪胎&gt;桃園廠</v>
          </cell>
          <cell r="AF173">
            <v>13</v>
          </cell>
          <cell r="AG173">
            <v>1400</v>
          </cell>
        </row>
        <row r="174">
          <cell r="AD174" t="str">
            <v>145-京展鋼圈-卡車鍛造圈*9.00*22.5歐規10孔舊廠</v>
          </cell>
          <cell r="AE174" t="str">
            <v>145-京展</v>
          </cell>
          <cell r="AF174">
            <v>4</v>
          </cell>
          <cell r="AG174">
            <v>4746</v>
          </cell>
        </row>
        <row r="175">
          <cell r="AD175" t="str">
            <v>170-正新-內胎.OBOB-9舊廠</v>
          </cell>
          <cell r="AE175" t="str">
            <v>170-正新-內胎.OB</v>
          </cell>
          <cell r="AF175">
            <v>5</v>
          </cell>
          <cell r="AG175">
            <v>120</v>
          </cell>
        </row>
        <row r="176">
          <cell r="AD176" t="str">
            <v>170-正新-內胎.OB內胎-1000-20舊廠</v>
          </cell>
          <cell r="AE176" t="str">
            <v>170-正新-內胎.OB</v>
          </cell>
          <cell r="AF176">
            <v>4</v>
          </cell>
          <cell r="AG176">
            <v>720</v>
          </cell>
        </row>
        <row r="177">
          <cell r="AD177" t="str">
            <v>170-正新-內胎.OB內胎-700-12舊廠</v>
          </cell>
          <cell r="AE177" t="str">
            <v>170-正新-內胎.OB</v>
          </cell>
          <cell r="AF177">
            <v>3</v>
          </cell>
          <cell r="AG177">
            <v>370</v>
          </cell>
        </row>
        <row r="178">
          <cell r="AD178" t="str">
            <v>170-正新-內胎.OB內胎-700-15舊廠</v>
          </cell>
          <cell r="AE178" t="str">
            <v>170-正新-內胎.OB</v>
          </cell>
          <cell r="AF178">
            <v>10</v>
          </cell>
          <cell r="AG178">
            <v>360</v>
          </cell>
        </row>
        <row r="179">
          <cell r="AD179" t="str">
            <v>170-正新-內胎.OB內胎-700-16舊廠</v>
          </cell>
          <cell r="AE179" t="str">
            <v>170-正新-內胎.OB</v>
          </cell>
          <cell r="AF179">
            <v>12</v>
          </cell>
          <cell r="AG179">
            <v>380</v>
          </cell>
        </row>
        <row r="180">
          <cell r="AD180" t="str">
            <v>170-正新-內胎.OB內胎-750-16 舊廠</v>
          </cell>
          <cell r="AE180" t="str">
            <v>170-正新-內胎.OB</v>
          </cell>
          <cell r="AF180">
            <v>6</v>
          </cell>
          <cell r="AG180">
            <v>460</v>
          </cell>
        </row>
        <row r="181">
          <cell r="AD181" t="str">
            <v>018-金宇&gt;精輪&gt;聯碩翻修胎-1000-20*101舊廠</v>
          </cell>
          <cell r="AE181" t="str">
            <v>018-金宇&gt;精輪&gt;聯碩</v>
          </cell>
          <cell r="AF181">
            <v>1</v>
          </cell>
          <cell r="AG181">
            <v>3007</v>
          </cell>
        </row>
        <row r="182">
          <cell r="AD182" t="str">
            <v>018-金宇&gt;精輪&gt;聯碩翻修胎-12R*(粗花-加厚)舊廠</v>
          </cell>
          <cell r="AE182" t="str">
            <v>018-金宇&gt;精輪&gt;聯碩</v>
          </cell>
          <cell r="AF182">
            <v>3</v>
          </cell>
          <cell r="AG182">
            <v>3450</v>
          </cell>
        </row>
        <row r="183">
          <cell r="AD183" t="str">
            <v>078-昇達翻修胎-1100-20*(高溫UL)舊廠</v>
          </cell>
          <cell r="AE183" t="str">
            <v>078-昇達</v>
          </cell>
          <cell r="AF183">
            <v>5</v>
          </cell>
          <cell r="AG183">
            <v>2813</v>
          </cell>
        </row>
        <row r="184">
          <cell r="AD184" t="str">
            <v>078-昇達翻修胎-225/75R17.5*(粗花-加厚)舊廠</v>
          </cell>
          <cell r="AE184" t="str">
            <v>078-昇達</v>
          </cell>
          <cell r="AF184">
            <v>2</v>
          </cell>
          <cell r="AG184">
            <v>2280</v>
          </cell>
        </row>
        <row r="185">
          <cell r="AD185" t="str">
            <v>078-昇達翻修胎-295R*(直花-正冷)舊廠</v>
          </cell>
          <cell r="AE185" t="str">
            <v>078-昇達</v>
          </cell>
          <cell r="AF185">
            <v>65</v>
          </cell>
          <cell r="AG185">
            <v>2716</v>
          </cell>
        </row>
        <row r="186">
          <cell r="AD186" t="str">
            <v>078-昇達翻修胎-295R*(粗花-加厚)舊廠</v>
          </cell>
          <cell r="AE186" t="str">
            <v>078-昇達</v>
          </cell>
          <cell r="AF186">
            <v>2</v>
          </cell>
          <cell r="AG186">
            <v>3298</v>
          </cell>
        </row>
        <row r="187">
          <cell r="AD187" t="str">
            <v>078-昇達翻修胎-315*(高溫DA)舊廠</v>
          </cell>
          <cell r="AE187" t="str">
            <v>078-昇達</v>
          </cell>
          <cell r="AF187">
            <v>5</v>
          </cell>
          <cell r="AG187">
            <v>3395</v>
          </cell>
        </row>
        <row r="188">
          <cell r="AD188" t="str">
            <v>078-昇達翻修胎-315*(高溫ZY2)舊廠</v>
          </cell>
          <cell r="AE188" t="str">
            <v>078-昇達</v>
          </cell>
          <cell r="AF188">
            <v>8</v>
          </cell>
          <cell r="AG188">
            <v>3395</v>
          </cell>
        </row>
        <row r="189">
          <cell r="AD189" t="str">
            <v>078-昇達翻修胎-315R*(直花-正冷)舊廠</v>
          </cell>
          <cell r="AE189" t="str">
            <v>078-昇達</v>
          </cell>
          <cell r="AF189">
            <v>4</v>
          </cell>
          <cell r="AG189">
            <v>3201</v>
          </cell>
        </row>
        <row r="190">
          <cell r="AD190" t="str">
            <v>078-昇達翻修胎-315R*(粗花-加厚)舊廠</v>
          </cell>
          <cell r="AE190" t="str">
            <v>078-昇達</v>
          </cell>
          <cell r="AF190">
            <v>54</v>
          </cell>
          <cell r="AG190">
            <v>3589</v>
          </cell>
        </row>
        <row r="191">
          <cell r="AD191" t="str">
            <v>078-昇達翻修胎-315R*DY3舊廠</v>
          </cell>
          <cell r="AE191" t="str">
            <v>078-昇達</v>
          </cell>
          <cell r="AF191">
            <v>6</v>
          </cell>
          <cell r="AG191">
            <v>3589</v>
          </cell>
        </row>
        <row r="192">
          <cell r="AD192" t="str">
            <v>078-昇達翻修胎-315R*燒部分舊廠</v>
          </cell>
          <cell r="AE192" t="str">
            <v>078-昇達</v>
          </cell>
          <cell r="AF192">
            <v>5</v>
          </cell>
          <cell r="AG192">
            <v>1164</v>
          </cell>
        </row>
        <row r="193">
          <cell r="AD193" t="str">
            <v>078-昇達翻修胎-750R16*LL(鋼絲)舊廠</v>
          </cell>
          <cell r="AE193" t="str">
            <v>078-昇達</v>
          </cell>
          <cell r="AF193">
            <v>5</v>
          </cell>
          <cell r="AG193">
            <v>1989</v>
          </cell>
        </row>
        <row r="194">
          <cell r="AD194" t="str">
            <v>078-昇達翻修胎-825R16*LL舊廠</v>
          </cell>
          <cell r="AE194" t="str">
            <v>078-昇達</v>
          </cell>
          <cell r="AF194">
            <v>2</v>
          </cell>
          <cell r="AG194">
            <v>2280</v>
          </cell>
        </row>
        <row r="195">
          <cell r="AD195" t="str">
            <v>143-玉山輪胎翻修胎-315R*(直花-正冷)舊廠</v>
          </cell>
          <cell r="AE195" t="str">
            <v>143-玉山輪胎</v>
          </cell>
          <cell r="AF195">
            <v>35</v>
          </cell>
          <cell r="AG195">
            <v>3731</v>
          </cell>
        </row>
        <row r="196">
          <cell r="AD196" t="str">
            <v>001-中華全佑16"氣門嘴舊廠</v>
          </cell>
          <cell r="AE196" t="str">
            <v>001-中華全佑</v>
          </cell>
          <cell r="AF196">
            <v>13</v>
          </cell>
          <cell r="AG196">
            <v>30</v>
          </cell>
        </row>
        <row r="197">
          <cell r="AD197" t="str">
            <v>001-中華全佑17.5"氣門嘴舊廠</v>
          </cell>
          <cell r="AE197" t="str">
            <v>001-中華全佑</v>
          </cell>
          <cell r="AF197">
            <v>10</v>
          </cell>
          <cell r="AG197">
            <v>30</v>
          </cell>
        </row>
        <row r="198">
          <cell r="AD198" t="str">
            <v>001-中華全佑22.5"氣門嘴舊廠</v>
          </cell>
          <cell r="AE198" t="str">
            <v>001-中華全佑</v>
          </cell>
          <cell r="AF198">
            <v>360</v>
          </cell>
          <cell r="AG198">
            <v>17</v>
          </cell>
        </row>
        <row r="199">
          <cell r="AD199" t="str">
            <v>001-中華全佑8分氣動板手舊廠</v>
          </cell>
          <cell r="AE199" t="str">
            <v>001-中華全佑</v>
          </cell>
          <cell r="AF199">
            <v>2</v>
          </cell>
          <cell r="AG199">
            <v>9528</v>
          </cell>
        </row>
        <row r="200">
          <cell r="AD200" t="str">
            <v>001-中華全佑ARIVO獅王-80T千斤頂舊廠</v>
          </cell>
          <cell r="AE200" t="str">
            <v>001-中華全佑</v>
          </cell>
          <cell r="AF200">
            <v>4</v>
          </cell>
          <cell r="AG200">
            <v>13606</v>
          </cell>
        </row>
        <row r="201">
          <cell r="AD201" t="str">
            <v>001-中華全佑千斤頂風管舊廠</v>
          </cell>
          <cell r="AE201" t="str">
            <v>001-中華全佑</v>
          </cell>
          <cell r="AF201">
            <v>1</v>
          </cell>
          <cell r="AG201">
            <v>0</v>
          </cell>
        </row>
        <row r="202">
          <cell r="AD202" t="str">
            <v>001-中華全佑大車洩氣工具舊廠</v>
          </cell>
          <cell r="AE202" t="str">
            <v>001-中華全佑</v>
          </cell>
          <cell r="AF202">
            <v>2</v>
          </cell>
          <cell r="AG202">
            <v>0</v>
          </cell>
        </row>
        <row r="203">
          <cell r="AD203" t="str">
            <v>001-中華全佑手套(特殊)舊廠</v>
          </cell>
          <cell r="AE203" t="str">
            <v>001-中華全佑</v>
          </cell>
          <cell r="AF203">
            <v>8</v>
          </cell>
          <cell r="AG203">
            <v>0</v>
          </cell>
        </row>
        <row r="204">
          <cell r="AD204" t="str">
            <v>001-中華全佑防爆氣門嘴舊廠</v>
          </cell>
          <cell r="AE204" t="str">
            <v>001-中華全佑</v>
          </cell>
          <cell r="AF204">
            <v>27</v>
          </cell>
          <cell r="AG204">
            <v>30</v>
          </cell>
        </row>
        <row r="205">
          <cell r="AD205" t="str">
            <v>001-中華全佑固定鉗舊廠</v>
          </cell>
          <cell r="AE205" t="str">
            <v>001-中華全佑</v>
          </cell>
          <cell r="AF205">
            <v>3</v>
          </cell>
          <cell r="AG205">
            <v>0</v>
          </cell>
        </row>
        <row r="206">
          <cell r="AD206" t="str">
            <v>001-中華全佑拆氣門嘴芯工具-(長)舊廠</v>
          </cell>
          <cell r="AE206" t="str">
            <v>001-中華全佑</v>
          </cell>
          <cell r="AF206">
            <v>79</v>
          </cell>
          <cell r="AG206">
            <v>13</v>
          </cell>
        </row>
        <row r="207">
          <cell r="AD207" t="str">
            <v>001-中華全佑拆氣門嘴芯工具-鐵舊廠</v>
          </cell>
          <cell r="AE207" t="str">
            <v>001-中華全佑</v>
          </cell>
          <cell r="AF207">
            <v>51</v>
          </cell>
          <cell r="AG207">
            <v>0</v>
          </cell>
        </row>
        <row r="208">
          <cell r="AD208" t="str">
            <v>001-中華全佑板桿舊廠</v>
          </cell>
          <cell r="AE208" t="str">
            <v>001-中華全佑</v>
          </cell>
          <cell r="AF208">
            <v>2</v>
          </cell>
          <cell r="AG208">
            <v>0</v>
          </cell>
        </row>
        <row r="209">
          <cell r="AD209" t="str">
            <v>001-中華全佑套筒/黑*17舊廠</v>
          </cell>
          <cell r="AE209" t="str">
            <v>001-中華全佑</v>
          </cell>
          <cell r="AF209">
            <v>3</v>
          </cell>
          <cell r="AG209">
            <v>0</v>
          </cell>
        </row>
        <row r="210">
          <cell r="AD210" t="str">
            <v>001-中華全佑套筒/黑*19舊廠</v>
          </cell>
          <cell r="AE210" t="str">
            <v>001-中華全佑</v>
          </cell>
          <cell r="AF210">
            <v>5</v>
          </cell>
          <cell r="AG210">
            <v>0</v>
          </cell>
        </row>
        <row r="211">
          <cell r="AD211" t="str">
            <v>001-中華全佑套筒/黑*21舊廠</v>
          </cell>
          <cell r="AE211" t="str">
            <v>001-中華全佑</v>
          </cell>
          <cell r="AF211">
            <v>8</v>
          </cell>
          <cell r="AG211">
            <v>0</v>
          </cell>
        </row>
        <row r="212">
          <cell r="AD212" t="str">
            <v>001-中華全佑套筒/銀*16舊廠</v>
          </cell>
          <cell r="AE212" t="str">
            <v>001-中華全佑</v>
          </cell>
          <cell r="AF212">
            <v>1</v>
          </cell>
          <cell r="AG212">
            <v>0</v>
          </cell>
        </row>
        <row r="213">
          <cell r="AD213" t="str">
            <v>001-中華全佑套筒-17舊廠</v>
          </cell>
          <cell r="AE213" t="str">
            <v>001-中華全佑</v>
          </cell>
          <cell r="AF213">
            <v>4</v>
          </cell>
          <cell r="AG213">
            <v>180</v>
          </cell>
        </row>
        <row r="214">
          <cell r="AD214" t="str">
            <v>001-中華全佑套筒-21舊廠</v>
          </cell>
          <cell r="AE214" t="str">
            <v>001-中華全佑</v>
          </cell>
          <cell r="AF214">
            <v>4</v>
          </cell>
          <cell r="AG214">
            <v>0</v>
          </cell>
        </row>
        <row r="215">
          <cell r="AD215" t="str">
            <v>001-中華全佑套筒-27舊廠</v>
          </cell>
          <cell r="AE215" t="str">
            <v>001-中華全佑</v>
          </cell>
          <cell r="AF215">
            <v>1</v>
          </cell>
          <cell r="AG215">
            <v>0</v>
          </cell>
        </row>
        <row r="216">
          <cell r="AD216" t="str">
            <v>001-中華全佑套筒-30舊廠</v>
          </cell>
          <cell r="AE216" t="str">
            <v>001-中華全佑</v>
          </cell>
          <cell r="AF216">
            <v>1</v>
          </cell>
          <cell r="AG216">
            <v>0</v>
          </cell>
        </row>
        <row r="217">
          <cell r="AD217" t="str">
            <v>001-中華全佑套筒-35舊廠</v>
          </cell>
          <cell r="AE217" t="str">
            <v>001-中華全佑</v>
          </cell>
          <cell r="AF217">
            <v>2</v>
          </cell>
          <cell r="AG217">
            <v>0</v>
          </cell>
        </row>
        <row r="218">
          <cell r="AD218" t="str">
            <v>001-中華全佑套筒-36舊廠</v>
          </cell>
          <cell r="AE218" t="str">
            <v>001-中華全佑</v>
          </cell>
          <cell r="AF218">
            <v>1</v>
          </cell>
          <cell r="AG218">
            <v>0</v>
          </cell>
        </row>
        <row r="219">
          <cell r="AD219" t="str">
            <v>001-中華全佑氣門芯子舊廠</v>
          </cell>
          <cell r="AE219" t="str">
            <v>001-中華全佑</v>
          </cell>
          <cell r="AF219">
            <v>3</v>
          </cell>
          <cell r="AG219">
            <v>300</v>
          </cell>
        </row>
        <row r="220">
          <cell r="AD220" t="str">
            <v>001-中華全佑氣動板手芯-大舊廠</v>
          </cell>
          <cell r="AE220" t="str">
            <v>001-中華全佑</v>
          </cell>
          <cell r="AF220">
            <v>2</v>
          </cell>
          <cell r="AG220">
            <v>0</v>
          </cell>
        </row>
        <row r="221">
          <cell r="AD221" t="str">
            <v>001-中華全佑斜口鉗舊廠</v>
          </cell>
          <cell r="AE221" t="str">
            <v>001-中華全佑</v>
          </cell>
          <cell r="AF221">
            <v>3</v>
          </cell>
          <cell r="AG221">
            <v>0</v>
          </cell>
        </row>
        <row r="222">
          <cell r="AD222" t="str">
            <v>001-中華全佑梅開板手舊廠</v>
          </cell>
          <cell r="AE222" t="str">
            <v>001-中華全佑</v>
          </cell>
          <cell r="AF222">
            <v>2</v>
          </cell>
          <cell r="AG222">
            <v>0</v>
          </cell>
        </row>
        <row r="223">
          <cell r="AD223" t="str">
            <v>001-中華全佑補胎壓輪(大)舊廠</v>
          </cell>
          <cell r="AE223" t="str">
            <v>001-中華全佑</v>
          </cell>
          <cell r="AF223">
            <v>2</v>
          </cell>
          <cell r="AG223">
            <v>85</v>
          </cell>
        </row>
        <row r="224">
          <cell r="AD224" t="str">
            <v>001-中華全佑鉛塊槌舊廠</v>
          </cell>
          <cell r="AE224" t="str">
            <v>001-中華全佑</v>
          </cell>
          <cell r="AF224">
            <v>3</v>
          </cell>
          <cell r="AG224">
            <v>0</v>
          </cell>
        </row>
        <row r="225">
          <cell r="AD225" t="str">
            <v>001-中華全佑輪胎蠟刷*長舊廠</v>
          </cell>
          <cell r="AE225" t="str">
            <v>001-中華全佑</v>
          </cell>
          <cell r="AF225">
            <v>45</v>
          </cell>
          <cell r="AG225">
            <v>65</v>
          </cell>
        </row>
        <row r="226">
          <cell r="AD226" t="str">
            <v>001-中華全佑磨胎器舊廠</v>
          </cell>
          <cell r="AE226" t="str">
            <v>001-中華全佑</v>
          </cell>
          <cell r="AF226">
            <v>4</v>
          </cell>
          <cell r="AG226">
            <v>0</v>
          </cell>
        </row>
        <row r="227">
          <cell r="AD227" t="str">
            <v>001-中華全佑螺絲起子舊廠</v>
          </cell>
          <cell r="AE227" t="str">
            <v>001-中華全佑</v>
          </cell>
          <cell r="AF227">
            <v>12</v>
          </cell>
          <cell r="AG227">
            <v>0</v>
          </cell>
        </row>
        <row r="228">
          <cell r="AD228" t="str">
            <v>001-中華全佑翹胎棒舊廠</v>
          </cell>
          <cell r="AE228" t="str">
            <v>001-中華全佑</v>
          </cell>
          <cell r="AF228">
            <v>1</v>
          </cell>
          <cell r="AG228">
            <v>750</v>
          </cell>
        </row>
        <row r="229">
          <cell r="AD229" t="str">
            <v>001-中華全佑灌風接頭舊廠</v>
          </cell>
          <cell r="AE229" t="str">
            <v>001-中華全佑</v>
          </cell>
          <cell r="AF229">
            <v>16</v>
          </cell>
          <cell r="AG229">
            <v>0</v>
          </cell>
        </row>
        <row r="230">
          <cell r="AD230" t="str">
            <v>017-萬全氣嘴  TR-415 10*16.5用舊廠</v>
          </cell>
          <cell r="AE230" t="str">
            <v>017-萬全</v>
          </cell>
          <cell r="AF230">
            <v>2</v>
          </cell>
          <cell r="AG230">
            <v>50</v>
          </cell>
        </row>
        <row r="231">
          <cell r="AD231" t="str">
            <v>017-萬全墊片-歐規10孔*3mm(薄)舊廠</v>
          </cell>
          <cell r="AE231" t="str">
            <v>017-萬全</v>
          </cell>
          <cell r="AF231">
            <v>2</v>
          </cell>
          <cell r="AG231">
            <v>400</v>
          </cell>
        </row>
        <row r="232">
          <cell r="AD232" t="str">
            <v>017-萬全螺帽 M22*1.5 F-L舊廠</v>
          </cell>
          <cell r="AE232" t="str">
            <v>017-萬全</v>
          </cell>
          <cell r="AF232">
            <v>10</v>
          </cell>
          <cell r="AG232">
            <v>120</v>
          </cell>
        </row>
        <row r="233">
          <cell r="AD233" t="str">
            <v>017-萬全螺帽 M22*1.5 F-R舊廠</v>
          </cell>
          <cell r="AE233" t="str">
            <v>017-萬全</v>
          </cell>
          <cell r="AF233">
            <v>20</v>
          </cell>
          <cell r="AG233">
            <v>120</v>
          </cell>
        </row>
        <row r="234">
          <cell r="AD234" t="str">
            <v>020-大城刻溝刀舊廠</v>
          </cell>
          <cell r="AE234" t="str">
            <v>020-大城</v>
          </cell>
          <cell r="AF234">
            <v>1</v>
          </cell>
          <cell r="AG234">
            <v>0</v>
          </cell>
        </row>
        <row r="235">
          <cell r="AD235" t="str">
            <v>020-大城補胎壓輪(小)舊廠</v>
          </cell>
          <cell r="AE235" t="str">
            <v>020-大城</v>
          </cell>
          <cell r="AF235">
            <v>1</v>
          </cell>
          <cell r="AG235">
            <v>300</v>
          </cell>
        </row>
        <row r="236">
          <cell r="AD236" t="str">
            <v>021-歐峰牛腿襯套舊廠</v>
          </cell>
          <cell r="AE236" t="str">
            <v>021-歐峰</v>
          </cell>
          <cell r="AF236">
            <v>18</v>
          </cell>
          <cell r="AG236">
            <v>350</v>
          </cell>
        </row>
        <row r="237">
          <cell r="AD237" t="str">
            <v>021-歐峰橫拉桿球頭-右牙-M30*1.5舊廠</v>
          </cell>
          <cell r="AE237" t="str">
            <v>021-歐峰</v>
          </cell>
          <cell r="AF237">
            <v>1</v>
          </cell>
          <cell r="AG237">
            <v>1250</v>
          </cell>
        </row>
        <row r="238">
          <cell r="AD238" t="str">
            <v>025-光聯ISUZU ELF 一路發 2007-機油濾清器 紙舊廠</v>
          </cell>
          <cell r="AE238" t="str">
            <v>025-光聯</v>
          </cell>
          <cell r="AF238">
            <v>1</v>
          </cell>
          <cell r="AG238">
            <v>230</v>
          </cell>
        </row>
        <row r="239">
          <cell r="AD239" t="str">
            <v>025-光聯MI 堅達 3.5T 96-機油濾清器 重舊廠</v>
          </cell>
          <cell r="AE239" t="str">
            <v>025-光聯</v>
          </cell>
          <cell r="AF239">
            <v>2</v>
          </cell>
          <cell r="AG239">
            <v>200</v>
          </cell>
        </row>
        <row r="240">
          <cell r="AD240" t="str">
            <v>030-秀和螺絲38*28*19*L／顆舊廠</v>
          </cell>
          <cell r="AE240" t="str">
            <v>030-秀和</v>
          </cell>
          <cell r="AF240">
            <v>55</v>
          </cell>
          <cell r="AG240">
            <v>60</v>
          </cell>
        </row>
        <row r="241">
          <cell r="AD241" t="str">
            <v>030-秀和螺絲38*28*19*R／顆舊廠</v>
          </cell>
          <cell r="AE241" t="str">
            <v>030-秀和</v>
          </cell>
          <cell r="AF241">
            <v>107</v>
          </cell>
          <cell r="AG241">
            <v>60</v>
          </cell>
        </row>
        <row r="242">
          <cell r="AD242" t="str">
            <v>030-秀和螺絲41*30*21*L／顆舊廠</v>
          </cell>
          <cell r="AE242" t="str">
            <v>030-秀和</v>
          </cell>
          <cell r="AF242">
            <v>168</v>
          </cell>
          <cell r="AG242">
            <v>60</v>
          </cell>
        </row>
        <row r="243">
          <cell r="AD243" t="str">
            <v>030-秀和螺絲41*30*21*R／顆舊廠</v>
          </cell>
          <cell r="AE243" t="str">
            <v>030-秀和</v>
          </cell>
          <cell r="AF243">
            <v>128</v>
          </cell>
          <cell r="AG243">
            <v>60</v>
          </cell>
        </row>
        <row r="244">
          <cell r="AD244" t="str">
            <v>034-天綸定位夾具舊廠</v>
          </cell>
          <cell r="AE244" t="str">
            <v>034-天綸</v>
          </cell>
          <cell r="AF244">
            <v>2</v>
          </cell>
          <cell r="AG244">
            <v>0</v>
          </cell>
        </row>
        <row r="245">
          <cell r="AD245" t="str">
            <v>034-天綸高週波加熱器&gt;電容舊廠</v>
          </cell>
          <cell r="AE245" t="str">
            <v>034-天綸</v>
          </cell>
          <cell r="AF245">
            <v>1</v>
          </cell>
          <cell r="AG245">
            <v>3800</v>
          </cell>
        </row>
        <row r="246">
          <cell r="AD246" t="str">
            <v>036-祥崴五金3/8內牙母側(日本)&gt;快速接頭舊廠</v>
          </cell>
          <cell r="AE246" t="str">
            <v>036-祥崴五金</v>
          </cell>
          <cell r="AF246">
            <v>1</v>
          </cell>
          <cell r="AG246">
            <v>199</v>
          </cell>
        </row>
        <row r="247">
          <cell r="AD247" t="str">
            <v>036-祥崴五金灌風軟管開關1舊廠</v>
          </cell>
          <cell r="AE247" t="str">
            <v>036-祥崴五金</v>
          </cell>
          <cell r="AF247">
            <v>2</v>
          </cell>
          <cell r="AG247">
            <v>60</v>
          </cell>
        </row>
        <row r="248">
          <cell r="AD248" t="str">
            <v>036-祥崴五金灌風軟管開關2舊廠</v>
          </cell>
          <cell r="AE248" t="str">
            <v>036-祥崴五金</v>
          </cell>
          <cell r="AF248">
            <v>4</v>
          </cell>
          <cell r="AG248">
            <v>60</v>
          </cell>
        </row>
        <row r="249">
          <cell r="AD249" t="str">
            <v>038-亞獵士輪胎螺絲導正套筒舊廠</v>
          </cell>
          <cell r="AE249" t="str">
            <v>038-亞獵士</v>
          </cell>
          <cell r="AF249">
            <v>6</v>
          </cell>
          <cell r="AG249">
            <v>263</v>
          </cell>
        </row>
        <row r="250">
          <cell r="AD250" t="str">
            <v>038-亞獵士鋼圈-卡車螺帽FR_14mm舊廠</v>
          </cell>
          <cell r="AE250" t="str">
            <v>038-亞獵士</v>
          </cell>
          <cell r="AF250">
            <v>11</v>
          </cell>
          <cell r="AG250">
            <v>158</v>
          </cell>
        </row>
        <row r="251">
          <cell r="AD251" t="str">
            <v>038-亞獵士鋼圈-卡車螺帽RR_38mm舊廠</v>
          </cell>
          <cell r="AE251" t="str">
            <v>038-亞獵士</v>
          </cell>
          <cell r="AF251">
            <v>4</v>
          </cell>
          <cell r="AG251">
            <v>189</v>
          </cell>
        </row>
        <row r="252">
          <cell r="AD252" t="str">
            <v>038-亞獵士鋼圈-卡車螺帽RR_55mm舊廠</v>
          </cell>
          <cell r="AE252" t="str">
            <v>038-亞獵士</v>
          </cell>
          <cell r="AF252">
            <v>10</v>
          </cell>
          <cell r="AG252">
            <v>158</v>
          </cell>
        </row>
        <row r="253">
          <cell r="AD253" t="str">
            <v>040-信利行拆氣門嘴芯工具-短舊廠</v>
          </cell>
          <cell r="AE253" t="str">
            <v>040-信利行</v>
          </cell>
          <cell r="AF253">
            <v>63</v>
          </cell>
          <cell r="AG253">
            <v>30</v>
          </cell>
        </row>
        <row r="254">
          <cell r="AD254" t="str">
            <v>040-信利行補條針舊廠</v>
          </cell>
          <cell r="AE254" t="str">
            <v>040-信利行</v>
          </cell>
          <cell r="AF254">
            <v>2</v>
          </cell>
          <cell r="AG254">
            <v>150</v>
          </cell>
        </row>
        <row r="255">
          <cell r="AD255" t="str">
            <v>040-信利行磨胎器頭舊廠</v>
          </cell>
          <cell r="AE255" t="str">
            <v>040-信利行</v>
          </cell>
          <cell r="AF255">
            <v>23</v>
          </cell>
          <cell r="AG255">
            <v>100</v>
          </cell>
        </row>
        <row r="256">
          <cell r="AD256" t="str">
            <v>055-辰陽辰陽氣動板手/墊片*1組2片舊廠</v>
          </cell>
          <cell r="AE256" t="str">
            <v>055-辰陽</v>
          </cell>
          <cell r="AF256">
            <v>2</v>
          </cell>
          <cell r="AG256">
            <v>100</v>
          </cell>
        </row>
        <row r="257">
          <cell r="AD257" t="str">
            <v>055-辰陽辰陽氣動板手/墊片*1組5片舊廠</v>
          </cell>
          <cell r="AE257" t="str">
            <v>055-辰陽</v>
          </cell>
          <cell r="AF257">
            <v>1</v>
          </cell>
          <cell r="AG257">
            <v>100</v>
          </cell>
        </row>
        <row r="258">
          <cell r="AD258" t="str">
            <v>055-辰陽氣動板手開關舊廠</v>
          </cell>
          <cell r="AE258" t="str">
            <v>055-辰陽</v>
          </cell>
          <cell r="AF258">
            <v>1</v>
          </cell>
          <cell r="AG258">
            <v>100</v>
          </cell>
        </row>
        <row r="259">
          <cell r="AD259" t="str">
            <v>057-寶喬群柑橘精油黑手專用洗手皂-6入舊廠</v>
          </cell>
          <cell r="AE259" t="str">
            <v>057-寶喬群</v>
          </cell>
          <cell r="AF259">
            <v>1</v>
          </cell>
          <cell r="AG259">
            <v>126</v>
          </cell>
        </row>
        <row r="260">
          <cell r="AD260" t="str">
            <v>057-寶喬群黑潔剋天然輪胎蠟13kg舊廠</v>
          </cell>
          <cell r="AE260" t="str">
            <v>057-寶喬群</v>
          </cell>
          <cell r="AF260">
            <v>59</v>
          </cell>
          <cell r="AG260">
            <v>1029</v>
          </cell>
        </row>
        <row r="261">
          <cell r="AD261" t="str">
            <v>057-寶喬群黑潔剋天然輪胎蠟1kg舊廠</v>
          </cell>
          <cell r="AE261" t="str">
            <v>057-寶喬群</v>
          </cell>
          <cell r="AF261">
            <v>180</v>
          </cell>
          <cell r="AG261">
            <v>92</v>
          </cell>
        </row>
        <row r="262">
          <cell r="AD262" t="str">
            <v>057-寶喬群黑潔剋天然輪胎蠟4kg舊廠</v>
          </cell>
          <cell r="AE262" t="str">
            <v>057-寶喬群</v>
          </cell>
          <cell r="AF262">
            <v>71</v>
          </cell>
          <cell r="AG262">
            <v>331</v>
          </cell>
        </row>
        <row r="263">
          <cell r="AD263" t="str">
            <v>065-福炫33對邊螺絲舊廠</v>
          </cell>
          <cell r="AE263" t="str">
            <v>065-福炫</v>
          </cell>
          <cell r="AF263">
            <v>23</v>
          </cell>
          <cell r="AG263">
            <v>60</v>
          </cell>
        </row>
        <row r="264">
          <cell r="AD264" t="str">
            <v>093-有利 灌風器*短舊廠</v>
          </cell>
          <cell r="AE264" t="str">
            <v>093-有利</v>
          </cell>
          <cell r="AF264">
            <v>2</v>
          </cell>
          <cell r="AG264">
            <v>100</v>
          </cell>
        </row>
        <row r="265">
          <cell r="AD265" t="str">
            <v>093-有利氣門夾頭*大舊廠</v>
          </cell>
          <cell r="AE265" t="str">
            <v>093-有利</v>
          </cell>
          <cell r="AF265">
            <v>6</v>
          </cell>
          <cell r="AG265">
            <v>100</v>
          </cell>
        </row>
        <row r="266">
          <cell r="AD266" t="str">
            <v>093-有利量風器*短舊廠</v>
          </cell>
          <cell r="AE266" t="str">
            <v>093-有利</v>
          </cell>
          <cell r="AF266">
            <v>14</v>
          </cell>
          <cell r="AG266">
            <v>100</v>
          </cell>
        </row>
        <row r="267">
          <cell r="AD267" t="str">
            <v>093-有利灌風器.軟管*短舊廠</v>
          </cell>
          <cell r="AE267" t="str">
            <v>093-有利</v>
          </cell>
          <cell r="AF267">
            <v>4</v>
          </cell>
          <cell r="AG267">
            <v>100</v>
          </cell>
        </row>
        <row r="268">
          <cell r="AD268" t="str">
            <v>100-漢可固(機器)T/P 鋼絲補片舊廠</v>
          </cell>
          <cell r="AE268" t="str">
            <v>100-漢可固(機器)</v>
          </cell>
          <cell r="AF268">
            <v>4</v>
          </cell>
          <cell r="AG268">
            <v>650</v>
          </cell>
        </row>
        <row r="269">
          <cell r="AD269" t="str">
            <v>100-漢可固(機器)十字開關搖桿(四向搖桿)舊廠</v>
          </cell>
          <cell r="AE269" t="str">
            <v>100-漢可固(機器)</v>
          </cell>
          <cell r="AF269">
            <v>2</v>
          </cell>
          <cell r="AG269">
            <v>750</v>
          </cell>
        </row>
        <row r="270">
          <cell r="AD270" t="str">
            <v>100-漢可固(機器)大型車鉛塊100G舊廠</v>
          </cell>
          <cell r="AE270" t="str">
            <v>100-漢可固(機器)</v>
          </cell>
          <cell r="AF270">
            <v>12</v>
          </cell>
          <cell r="AG270">
            <v>700</v>
          </cell>
        </row>
        <row r="271">
          <cell r="AD271" t="str">
            <v>100-漢可固(機器)大型車鉛塊150G舊廠</v>
          </cell>
          <cell r="AE271" t="str">
            <v>100-漢可固(機器)</v>
          </cell>
          <cell r="AF271">
            <v>25</v>
          </cell>
          <cell r="AG271">
            <v>900</v>
          </cell>
        </row>
        <row r="272">
          <cell r="AD272" t="str">
            <v>100-漢可固(機器)大型車鉛塊200G舊廠</v>
          </cell>
          <cell r="AE272" t="str">
            <v>100-漢可固(機器)</v>
          </cell>
          <cell r="AF272">
            <v>35</v>
          </cell>
          <cell r="AG272">
            <v>1100</v>
          </cell>
        </row>
        <row r="273">
          <cell r="AD273" t="str">
            <v>100-漢可固(機器)大型車鉛塊250G舊廠</v>
          </cell>
          <cell r="AE273" t="str">
            <v>100-漢可固(機器)</v>
          </cell>
          <cell r="AF273">
            <v>5</v>
          </cell>
          <cell r="AG273">
            <v>1300</v>
          </cell>
        </row>
        <row r="274">
          <cell r="AD274" t="str">
            <v>100-漢可固(機器)大型車鉛塊300G舊廠</v>
          </cell>
          <cell r="AE274" t="str">
            <v>100-漢可固(機器)</v>
          </cell>
          <cell r="AF274">
            <v>2</v>
          </cell>
          <cell r="AG274">
            <v>1400</v>
          </cell>
        </row>
        <row r="275">
          <cell r="AD275" t="str">
            <v>100-漢可固(機器)大型車鉛塊50G舊廠</v>
          </cell>
          <cell r="AE275" t="str">
            <v>100-漢可固(機器)</v>
          </cell>
          <cell r="AF275">
            <v>19</v>
          </cell>
          <cell r="AG275">
            <v>500</v>
          </cell>
        </row>
        <row r="276">
          <cell r="AD276" t="str">
            <v>100-漢可固(機器)大胎拆胎機螺絲(爪片用)舊廠</v>
          </cell>
          <cell r="AE276" t="str">
            <v>100-漢可固(機器)</v>
          </cell>
          <cell r="AF276">
            <v>33</v>
          </cell>
          <cell r="AG276">
            <v>20</v>
          </cell>
        </row>
        <row r="277">
          <cell r="AD277" t="str">
            <v>100-漢可固(機器)大胎拆胎機螺絲(脫胎輪用)舊廠</v>
          </cell>
          <cell r="AE277" t="str">
            <v>100-漢可固(機器)</v>
          </cell>
          <cell r="AF277">
            <v>1</v>
          </cell>
          <cell r="AG277">
            <v>0</v>
          </cell>
        </row>
        <row r="278">
          <cell r="AD278" t="str">
            <v>100-漢可固(機器)中型車鉛塊40G舊廠</v>
          </cell>
          <cell r="AE278" t="str">
            <v>100-漢可固(機器)</v>
          </cell>
          <cell r="AF278">
            <v>1</v>
          </cell>
          <cell r="AG278">
            <v>500</v>
          </cell>
        </row>
        <row r="279">
          <cell r="AD279" t="str">
            <v>100-漢可固(機器)皮帶(拆胎機)舊廠</v>
          </cell>
          <cell r="AE279" t="str">
            <v>100-漢可固(機器)</v>
          </cell>
          <cell r="AF279">
            <v>1</v>
          </cell>
          <cell r="AG279">
            <v>0</v>
          </cell>
        </row>
        <row r="280">
          <cell r="AD280" t="str">
            <v>100-漢可固(機器)自黏鉛塊 20+30G舊廠</v>
          </cell>
          <cell r="AE280" t="str">
            <v>100-漢可固(機器)</v>
          </cell>
          <cell r="AF280">
            <v>3</v>
          </cell>
          <cell r="AG280">
            <v>1200</v>
          </cell>
        </row>
        <row r="281">
          <cell r="AD281" t="str">
            <v>100-漢可固(機器)膠水舊廠</v>
          </cell>
          <cell r="AE281" t="str">
            <v>100-漢可固(機器)</v>
          </cell>
          <cell r="AF281">
            <v>16</v>
          </cell>
          <cell r="AG281">
            <v>180</v>
          </cell>
        </row>
        <row r="282">
          <cell r="AD282" t="str">
            <v>100-漢可固(機器)灌風器*長舊廠</v>
          </cell>
          <cell r="AE282" t="str">
            <v>100-漢可固(機器)</v>
          </cell>
          <cell r="AF282">
            <v>5</v>
          </cell>
          <cell r="AG282">
            <v>350</v>
          </cell>
        </row>
        <row r="283">
          <cell r="AD283" t="str">
            <v>128-正鋼套筒-33舊廠</v>
          </cell>
          <cell r="AE283" t="str">
            <v>128-正鋼</v>
          </cell>
          <cell r="AF283">
            <v>6</v>
          </cell>
          <cell r="AG283">
            <v>300</v>
          </cell>
        </row>
        <row r="284">
          <cell r="AD284" t="str">
            <v>128-正鋼套筒-38舊廠</v>
          </cell>
          <cell r="AE284" t="str">
            <v>128-正鋼</v>
          </cell>
          <cell r="AF284">
            <v>5</v>
          </cell>
          <cell r="AG284">
            <v>300</v>
          </cell>
        </row>
        <row r="285">
          <cell r="AD285" t="str">
            <v>128-正鋼套筒-41舊廠</v>
          </cell>
          <cell r="AE285" t="str">
            <v>128-正鋼</v>
          </cell>
          <cell r="AF285">
            <v>10</v>
          </cell>
          <cell r="AG285">
            <v>300</v>
          </cell>
        </row>
        <row r="286">
          <cell r="AD286" t="str">
            <v>131-廈門補片*TBTE02-80MM舊廠</v>
          </cell>
          <cell r="AE286" t="str">
            <v>131-廈門</v>
          </cell>
          <cell r="AF286">
            <v>10</v>
          </cell>
          <cell r="AG286">
            <v>137</v>
          </cell>
        </row>
        <row r="287">
          <cell r="AD287" t="str">
            <v>131-廈門補片*TNRE10-60*80MM舊廠</v>
          </cell>
          <cell r="AE287" t="str">
            <v>131-廈門</v>
          </cell>
          <cell r="AF287">
            <v>253</v>
          </cell>
          <cell r="AG287">
            <v>96</v>
          </cell>
        </row>
        <row r="288">
          <cell r="AD288" t="str">
            <v>131-廈門補片*TNRE14-125*80MM舊廠</v>
          </cell>
          <cell r="AE288" t="str">
            <v>131-廈門</v>
          </cell>
          <cell r="AF288">
            <v>593</v>
          </cell>
          <cell r="AG288">
            <v>171</v>
          </cell>
        </row>
        <row r="289">
          <cell r="AD289" t="str">
            <v>145-京展AGEN SAE-15W40機油(18L)舊廠</v>
          </cell>
          <cell r="AE289" t="str">
            <v>145-京展</v>
          </cell>
          <cell r="AF289">
            <v>3</v>
          </cell>
          <cell r="AG289">
            <v>1400</v>
          </cell>
        </row>
        <row r="290">
          <cell r="AD290" t="str">
            <v>145-京展AGEN SAE-15W40機油(18L)新廠</v>
          </cell>
          <cell r="AE290" t="str">
            <v>145-京展</v>
          </cell>
          <cell r="AF290">
            <v>2</v>
          </cell>
          <cell r="AG290">
            <v>1400</v>
          </cell>
        </row>
        <row r="291">
          <cell r="AD291" t="str">
            <v>145-京展操作油-R68*18L舊廠</v>
          </cell>
          <cell r="AE291" t="str">
            <v>145-京展</v>
          </cell>
          <cell r="AF291">
            <v>3</v>
          </cell>
          <cell r="AG291">
            <v>1400</v>
          </cell>
        </row>
        <row r="292">
          <cell r="AD292" t="str">
            <v>152-有勝-有程定位墊片*L 3MM舊廠</v>
          </cell>
          <cell r="AE292" t="str">
            <v>152-有勝-有程</v>
          </cell>
          <cell r="AF292">
            <v>30</v>
          </cell>
          <cell r="AG292">
            <v>150</v>
          </cell>
        </row>
        <row r="293">
          <cell r="AD293" t="str">
            <v>152-有勝-有程定位墊片*M 2MM舊廠</v>
          </cell>
          <cell r="AE293" t="str">
            <v>152-有勝-有程</v>
          </cell>
          <cell r="AF293">
            <v>10</v>
          </cell>
          <cell r="AG293">
            <v>130</v>
          </cell>
        </row>
        <row r="294">
          <cell r="AD294" t="str">
            <v>160-普利司通(公司)-大胎氣動板手*6分舊廠</v>
          </cell>
          <cell r="AE294" t="str">
            <v>160-普利司通(公司)-大胎</v>
          </cell>
          <cell r="AF294">
            <v>1</v>
          </cell>
          <cell r="AG294">
            <v>0</v>
          </cell>
        </row>
        <row r="295">
          <cell r="AD295" t="str">
            <v>288-信利行(高雄)量風器*長舊廠</v>
          </cell>
          <cell r="AE295" t="str">
            <v>288-信利行(高雄)</v>
          </cell>
          <cell r="AF295">
            <v>17</v>
          </cell>
          <cell r="AG295">
            <v>350</v>
          </cell>
        </row>
        <row r="296">
          <cell r="AD296" t="str">
            <v>288-信利行(高雄)膠水舊廠</v>
          </cell>
          <cell r="AE296" t="str">
            <v>288-信利行(高雄)</v>
          </cell>
          <cell r="AF296">
            <v>12</v>
          </cell>
          <cell r="AG296">
            <v>250</v>
          </cell>
        </row>
        <row r="297">
          <cell r="AD297" t="str">
            <v>288-信利行(高雄)灌風器*長舊廠</v>
          </cell>
          <cell r="AE297" t="str">
            <v>288-信利行(高雄)</v>
          </cell>
          <cell r="AF297">
            <v>10</v>
          </cell>
          <cell r="AG297">
            <v>200</v>
          </cell>
        </row>
        <row r="298">
          <cell r="AD298" t="str">
            <v>244-昆侖輪胎有限公司昆侖-295/80R22.5*KT855(人字花)倉庫</v>
          </cell>
          <cell r="AE298" t="str">
            <v>244-昆侖輪胎有限公司</v>
          </cell>
          <cell r="AF298">
            <v>10</v>
          </cell>
          <cell r="AG298">
            <v>4636</v>
          </cell>
        </row>
        <row r="299">
          <cell r="AD299" t="str">
            <v>165-登祿普(公司)-中胎登祿普-225/90R17.5*SP122舊廠</v>
          </cell>
          <cell r="AE299" t="str">
            <v>165-登祿普(公司)-中胎</v>
          </cell>
          <cell r="AF299">
            <v>9</v>
          </cell>
          <cell r="AG299">
            <v>3908</v>
          </cell>
        </row>
        <row r="300">
          <cell r="AD300" t="str">
            <v>165-登祿普(公司)-中胎登祿普-225/90R17.5*SP122舊廠</v>
          </cell>
          <cell r="AE300" t="str">
            <v>165-登祿普(公司)-中胎</v>
          </cell>
          <cell r="AF300">
            <v>2</v>
          </cell>
          <cell r="AG300">
            <v>3908</v>
          </cell>
        </row>
        <row r="301">
          <cell r="AD301" t="str">
            <v>165-登祿普(公司)-中胎登祿普-825R16*SP122舊廠</v>
          </cell>
          <cell r="AE301" t="str">
            <v>165-登祿普(公司)-中胎</v>
          </cell>
          <cell r="AF301">
            <v>9</v>
          </cell>
          <cell r="AG301">
            <v>3840</v>
          </cell>
        </row>
        <row r="302">
          <cell r="AD302" t="str">
            <v>165-登祿普(公司)-中胎登祿普-825R16*SP122舊廠</v>
          </cell>
          <cell r="AE302" t="str">
            <v>165-登祿普(公司)-中胎</v>
          </cell>
          <cell r="AF302">
            <v>2</v>
          </cell>
          <cell r="AG302">
            <v>3840</v>
          </cell>
        </row>
        <row r="303">
          <cell r="AD303" t="str">
            <v>038-亞獵士鋼圈-_C006_61_22.5舊廠</v>
          </cell>
          <cell r="AE303" t="str">
            <v>038-亞獵士</v>
          </cell>
          <cell r="AF303">
            <v>7</v>
          </cell>
          <cell r="AG303">
            <v>7350</v>
          </cell>
        </row>
        <row r="304">
          <cell r="AD304" t="str">
            <v>038-亞獵士鋼圈-_C006_61_22.5舊廠</v>
          </cell>
          <cell r="AE304" t="str">
            <v>038-亞獵士</v>
          </cell>
          <cell r="AF304">
            <v>4</v>
          </cell>
          <cell r="AG304">
            <v>7350</v>
          </cell>
        </row>
        <row r="305">
          <cell r="AD305" t="str">
            <v>038-亞獵士鋼圈-卡車螺帽M22*1.5*RR*55mm舊廠</v>
          </cell>
          <cell r="AE305" t="str">
            <v>038-亞獵士</v>
          </cell>
          <cell r="AF305">
            <v>20</v>
          </cell>
          <cell r="AG305">
            <v>210</v>
          </cell>
        </row>
        <row r="306">
          <cell r="AD306" t="str">
            <v>038-亞獵士鋼圈-卡車螺帽M22*1.5*RR*55mm舊廠</v>
          </cell>
          <cell r="AE306" t="str">
            <v>038-亞獵士</v>
          </cell>
          <cell r="AF306">
            <v>40</v>
          </cell>
          <cell r="AG306">
            <v>210</v>
          </cell>
        </row>
        <row r="307">
          <cell r="AD307" t="str">
            <v>038-亞獵士鋼圈-卡車螺帽M24*1.5*RR*55mm舊廠</v>
          </cell>
          <cell r="AE307" t="str">
            <v>038-亞獵士</v>
          </cell>
          <cell r="AF307">
            <v>60</v>
          </cell>
          <cell r="AG307">
            <v>210</v>
          </cell>
        </row>
        <row r="308">
          <cell r="AD308" t="str">
            <v>038-亞獵士鋼圈-_C006_61_22.5舊廠</v>
          </cell>
          <cell r="AE308" t="str">
            <v>038-亞獵士</v>
          </cell>
          <cell r="AF308">
            <v>12</v>
          </cell>
          <cell r="AG308">
            <v>7350</v>
          </cell>
        </row>
        <row r="309">
          <cell r="AD309" t="str">
            <v>017-萬全鋼圈- CSR*22.5 (廠商-寄庫未出-帳已結)</v>
          </cell>
          <cell r="AE309" t="str">
            <v>017-萬全</v>
          </cell>
          <cell r="AF309">
            <v>-16</v>
          </cell>
          <cell r="AG309">
            <v>1500</v>
          </cell>
        </row>
        <row r="310">
          <cell r="AD310" t="str">
            <v>017-萬全鋼圈-CSR*9.00*22.5歐規10孔舊廠</v>
          </cell>
          <cell r="AE310" t="str">
            <v>017-萬全</v>
          </cell>
          <cell r="AF310">
            <v>16</v>
          </cell>
          <cell r="AG310">
            <v>1500</v>
          </cell>
        </row>
        <row r="311">
          <cell r="AD311" t="str">
            <v>017-萬全鋼圈-CSR*9.00*22.5歐規10孔 起昇軸舊廠</v>
          </cell>
          <cell r="AE311" t="str">
            <v>017-萬全</v>
          </cell>
          <cell r="AF311">
            <v>1</v>
          </cell>
          <cell r="AG311">
            <v>2500</v>
          </cell>
        </row>
        <row r="312">
          <cell r="AD312" t="str">
            <v>078-昇達普利司通-315/80R22.5*M729舊廠</v>
          </cell>
          <cell r="AE312" t="str">
            <v>078-昇達</v>
          </cell>
          <cell r="AF312">
            <v>10</v>
          </cell>
          <cell r="AG312">
            <v>10700</v>
          </cell>
        </row>
        <row r="313">
          <cell r="AD313" t="str">
            <v>017-萬全螺帽 M22*1.5 R-R舊廠</v>
          </cell>
          <cell r="AE313" t="str">
            <v>017-萬全</v>
          </cell>
          <cell r="AF313">
            <v>20</v>
          </cell>
          <cell r="AG313">
            <v>150</v>
          </cell>
        </row>
        <row r="314">
          <cell r="AD314" t="str">
            <v>168-瑪吉斯-中胎瑪吉斯-195/75R16C*UE168舊廠</v>
          </cell>
          <cell r="AE314" t="str">
            <v>168-瑪吉斯-中胎</v>
          </cell>
          <cell r="AF314">
            <v>10</v>
          </cell>
          <cell r="AG314">
            <v>2221</v>
          </cell>
        </row>
        <row r="315">
          <cell r="AD315" t="str">
            <v>038-亞獵士鋼圈-卡車螺帽M22*1.5*RR*55mm舊廠</v>
          </cell>
          <cell r="AE315" t="str">
            <v>038-亞獵士</v>
          </cell>
          <cell r="AF315">
            <v>60</v>
          </cell>
          <cell r="AG315">
            <v>210</v>
          </cell>
        </row>
        <row r="316">
          <cell r="AD316" t="str">
            <v>022-統富BPW*通用*車輪加大螺絲舊廠</v>
          </cell>
          <cell r="AE316" t="str">
            <v>022-統富</v>
          </cell>
          <cell r="AF316">
            <v>8</v>
          </cell>
          <cell r="AG316">
            <v>200</v>
          </cell>
        </row>
        <row r="317">
          <cell r="AD317" t="str">
            <v>038-亞獵士鋼圈-_E001_61_22.5舊廠</v>
          </cell>
          <cell r="AE317" t="str">
            <v>038-亞獵士</v>
          </cell>
          <cell r="AF317">
            <v>4</v>
          </cell>
          <cell r="AG317">
            <v>6300</v>
          </cell>
        </row>
        <row r="318">
          <cell r="AD318" t="str">
            <v>038-亞獵士鋼圈-_E001_61_22.5* 鏡面舊廠</v>
          </cell>
          <cell r="AE318" t="str">
            <v>038-亞獵士</v>
          </cell>
          <cell r="AF318">
            <v>6</v>
          </cell>
          <cell r="AG318">
            <v>6825</v>
          </cell>
        </row>
        <row r="319">
          <cell r="AD319" t="str">
            <v>006-米其林(公司)-中胎米其林-195/85R16*XJE4舊廠</v>
          </cell>
          <cell r="AE319" t="str">
            <v>006-米其林(公司)-中胎</v>
          </cell>
          <cell r="AF319">
            <v>100</v>
          </cell>
          <cell r="AG319">
            <v>4171</v>
          </cell>
        </row>
        <row r="320">
          <cell r="AD320" t="str">
            <v>006-米其林(公司)-中胎米其林-195/75R16*Agilis舊廠</v>
          </cell>
          <cell r="AE320" t="str">
            <v>006-米其林(公司)-中胎</v>
          </cell>
          <cell r="AF320">
            <v>2</v>
          </cell>
          <cell r="AG320">
            <v>2937</v>
          </cell>
        </row>
        <row r="321">
          <cell r="AD321" t="str">
            <v>006-米其林(公司)-中胎米其林-225/75R17.5*X Multi Z舊廠</v>
          </cell>
          <cell r="AE321" t="str">
            <v>006-米其林(公司)-中胎</v>
          </cell>
          <cell r="AF321">
            <v>4</v>
          </cell>
          <cell r="AG321">
            <v>6887</v>
          </cell>
        </row>
        <row r="322">
          <cell r="AD322" t="str">
            <v>135-新技資訊彩色雷射印表機 HP M183fw舊廠</v>
          </cell>
          <cell r="AE322" t="str">
            <v>135-新技資訊</v>
          </cell>
          <cell r="AF322">
            <v>1</v>
          </cell>
          <cell r="AG322">
            <v>13000</v>
          </cell>
        </row>
        <row r="323">
          <cell r="AD323" t="str">
            <v>017-萬全鋼圈-HL3*9.00*22.5歐規10孔防爆舊廠</v>
          </cell>
          <cell r="AE323" t="str">
            <v>017-萬全</v>
          </cell>
          <cell r="AF323">
            <v>2</v>
          </cell>
          <cell r="AG323">
            <v>2900</v>
          </cell>
        </row>
        <row r="324">
          <cell r="AD324" t="str">
            <v>017-萬全鋁圈螺帽-7/8*11R舊廠</v>
          </cell>
          <cell r="AE324" t="str">
            <v>017-萬全</v>
          </cell>
          <cell r="AF324">
            <v>20</v>
          </cell>
          <cell r="AG324">
            <v>150</v>
          </cell>
        </row>
        <row r="325">
          <cell r="AD325" t="str">
            <v>005-米其林(公司)-大胎米其林-上衣(長)* L舊廠</v>
          </cell>
          <cell r="AE325" t="str">
            <v>005-米其林(公司)-大胎</v>
          </cell>
          <cell r="AF325">
            <v>13</v>
          </cell>
          <cell r="AG325">
            <v>0</v>
          </cell>
        </row>
        <row r="326">
          <cell r="AD326" t="str">
            <v>005-米其林(公司)-大胎米其林-上衣(長)*2L舊廠</v>
          </cell>
          <cell r="AE326" t="str">
            <v>005-米其林(公司)-大胎</v>
          </cell>
          <cell r="AF326">
            <v>13</v>
          </cell>
          <cell r="AG326">
            <v>0</v>
          </cell>
        </row>
        <row r="327">
          <cell r="AD327" t="str">
            <v>005-米其林(公司)-大胎米其林-上衣(長)*3L舊廠</v>
          </cell>
          <cell r="AE327" t="str">
            <v>005-米其林(公司)-大胎</v>
          </cell>
          <cell r="AF327">
            <v>3</v>
          </cell>
          <cell r="AG327">
            <v>0</v>
          </cell>
        </row>
        <row r="328">
          <cell r="AD328" t="str">
            <v>005-米其林(公司)-大胎米其林-上衣(長)*5L舊廠</v>
          </cell>
          <cell r="AE328" t="str">
            <v>005-米其林(公司)-大胎</v>
          </cell>
          <cell r="AF328">
            <v>1</v>
          </cell>
          <cell r="AG328">
            <v>0</v>
          </cell>
        </row>
        <row r="329">
          <cell r="AD329" t="str">
            <v>005-米其林(公司)-大胎米其林-上衣(長)*6L舊廠</v>
          </cell>
          <cell r="AE329" t="str">
            <v>005-米其林(公司)-大胎</v>
          </cell>
          <cell r="AF329">
            <v>3</v>
          </cell>
          <cell r="AG329">
            <v>0</v>
          </cell>
        </row>
        <row r="330">
          <cell r="AD330" t="str">
            <v>005-米其林(公司)-大胎米其林-上衣(長)*M舊廠</v>
          </cell>
          <cell r="AE330" t="str">
            <v>005-米其林(公司)-大胎</v>
          </cell>
          <cell r="AF330">
            <v>9</v>
          </cell>
          <cell r="AG330">
            <v>0</v>
          </cell>
        </row>
        <row r="331">
          <cell r="AD331" t="str">
            <v>005-米其林(公司)-大胎米其林-上衣(長)*XL舊廠</v>
          </cell>
          <cell r="AE331" t="str">
            <v>005-米其林(公司)-大胎</v>
          </cell>
          <cell r="AF331">
            <v>3</v>
          </cell>
          <cell r="AG331">
            <v>0</v>
          </cell>
        </row>
        <row r="332">
          <cell r="AD332" t="str">
            <v>005-米其林(公司)-大胎米其林-上衣(短)* L舊廠</v>
          </cell>
          <cell r="AE332" t="str">
            <v>005-米其林(公司)-大胎</v>
          </cell>
          <cell r="AF332">
            <v>13</v>
          </cell>
          <cell r="AG332">
            <v>0</v>
          </cell>
        </row>
        <row r="333">
          <cell r="AD333" t="str">
            <v>005-米其林(公司)-大胎米其林-上衣(短)*2L舊廠</v>
          </cell>
          <cell r="AE333" t="str">
            <v>005-米其林(公司)-大胎</v>
          </cell>
          <cell r="AF333">
            <v>9</v>
          </cell>
          <cell r="AG333">
            <v>0</v>
          </cell>
        </row>
        <row r="334">
          <cell r="AD334" t="str">
            <v>005-米其林(公司)-大胎米其林-上衣(短)*3L舊廠</v>
          </cell>
          <cell r="AE334" t="str">
            <v>005-米其林(公司)-大胎</v>
          </cell>
          <cell r="AF334">
            <v>3</v>
          </cell>
          <cell r="AG334">
            <v>0</v>
          </cell>
        </row>
        <row r="335">
          <cell r="AD335" t="str">
            <v>005-米其林(公司)-大胎米其林-上衣(短)*6L舊廠</v>
          </cell>
          <cell r="AE335" t="str">
            <v>005-米其林(公司)-大胎</v>
          </cell>
          <cell r="AF335">
            <v>3</v>
          </cell>
          <cell r="AG335">
            <v>0</v>
          </cell>
        </row>
        <row r="336">
          <cell r="AD336" t="str">
            <v>005-米其林(公司)-大胎米其林-上衣(短)*M舊廠</v>
          </cell>
          <cell r="AE336" t="str">
            <v>005-米其林(公司)-大胎</v>
          </cell>
          <cell r="AF336">
            <v>9</v>
          </cell>
          <cell r="AG336">
            <v>0</v>
          </cell>
        </row>
        <row r="337">
          <cell r="AD337" t="str">
            <v>005-米其林(公司)-大胎米其林-上衣(短)*XL舊廠</v>
          </cell>
          <cell r="AE337" t="str">
            <v>005-米其林(公司)-大胎</v>
          </cell>
          <cell r="AF337">
            <v>3</v>
          </cell>
          <cell r="AG337">
            <v>0</v>
          </cell>
        </row>
        <row r="338">
          <cell r="AD338" t="str">
            <v>005-米其林(公司)-大胎米其林-工作褲* L舊廠</v>
          </cell>
          <cell r="AE338" t="str">
            <v>005-米其林(公司)-大胎</v>
          </cell>
          <cell r="AF338">
            <v>12</v>
          </cell>
          <cell r="AG338">
            <v>0</v>
          </cell>
        </row>
        <row r="339">
          <cell r="AD339" t="str">
            <v>005-米其林(公司)-大胎米其林-工作褲*2L舊廠</v>
          </cell>
          <cell r="AE339" t="str">
            <v>005-米其林(公司)-大胎</v>
          </cell>
          <cell r="AF339">
            <v>9</v>
          </cell>
          <cell r="AG339">
            <v>0</v>
          </cell>
        </row>
        <row r="340">
          <cell r="AD340" t="str">
            <v>005-米其林(公司)-大胎米其林-工作褲*3L舊廠</v>
          </cell>
          <cell r="AE340" t="str">
            <v>005-米其林(公司)-大胎</v>
          </cell>
          <cell r="AF340">
            <v>3</v>
          </cell>
          <cell r="AG340">
            <v>0</v>
          </cell>
        </row>
        <row r="341">
          <cell r="AD341" t="str">
            <v>005-米其林(公司)-大胎米其林-工作褲*M舊廠</v>
          </cell>
          <cell r="AE341" t="str">
            <v>005-米其林(公司)-大胎</v>
          </cell>
          <cell r="AF341">
            <v>9</v>
          </cell>
          <cell r="AG341">
            <v>0</v>
          </cell>
        </row>
        <row r="342">
          <cell r="AD342" t="str">
            <v>005-米其林(公司)-大胎米其林-工作褲*XL舊廠</v>
          </cell>
          <cell r="AE342" t="str">
            <v>005-米其林(公司)-大胎</v>
          </cell>
          <cell r="AF342">
            <v>3</v>
          </cell>
          <cell r="AG342">
            <v>0</v>
          </cell>
        </row>
        <row r="343">
          <cell r="AD343" t="str">
            <v>005-米其林(公司)-大胎米其林-外套* L舊廠</v>
          </cell>
          <cell r="AE343" t="str">
            <v>005-米其林(公司)-大胎</v>
          </cell>
          <cell r="AF343">
            <v>5</v>
          </cell>
          <cell r="AG343">
            <v>0</v>
          </cell>
        </row>
        <row r="344">
          <cell r="AD344" t="str">
            <v>005-米其林(公司)-大胎米其林-外套*2L舊廠</v>
          </cell>
          <cell r="AE344" t="str">
            <v>005-米其林(公司)-大胎</v>
          </cell>
          <cell r="AF344">
            <v>4</v>
          </cell>
          <cell r="AG344">
            <v>0</v>
          </cell>
        </row>
        <row r="345">
          <cell r="AD345" t="str">
            <v>005-米其林(公司)-大胎米其林-外套*3L舊廠</v>
          </cell>
          <cell r="AE345" t="str">
            <v>005-米其林(公司)-大胎</v>
          </cell>
          <cell r="AF345">
            <v>1</v>
          </cell>
          <cell r="AG345">
            <v>0</v>
          </cell>
        </row>
        <row r="346">
          <cell r="AD346" t="str">
            <v>005-米其林(公司)-大胎米其林-外套*6L舊廠</v>
          </cell>
          <cell r="AE346" t="str">
            <v>005-米其林(公司)-大胎</v>
          </cell>
          <cell r="AF346">
            <v>1</v>
          </cell>
          <cell r="AG346">
            <v>0</v>
          </cell>
        </row>
        <row r="347">
          <cell r="AD347" t="str">
            <v>005-米其林(公司)-大胎米其林-外套*M舊廠</v>
          </cell>
          <cell r="AE347" t="str">
            <v>005-米其林(公司)-大胎</v>
          </cell>
          <cell r="AF347">
            <v>3</v>
          </cell>
          <cell r="AG347">
            <v>0</v>
          </cell>
        </row>
        <row r="348">
          <cell r="AD348" t="str">
            <v>005-米其林(公司)-大胎米其林-外套*XL舊廠</v>
          </cell>
          <cell r="AE348" t="str">
            <v>005-米其林(公司)-大胎</v>
          </cell>
          <cell r="AF348">
            <v>2</v>
          </cell>
          <cell r="AG348">
            <v>0</v>
          </cell>
        </row>
        <row r="349">
          <cell r="AD349" t="str">
            <v>005-米其林(公司)-大胎米其林-背心* L舊廠</v>
          </cell>
          <cell r="AE349" t="str">
            <v>005-米其林(公司)-大胎</v>
          </cell>
          <cell r="AF349">
            <v>5</v>
          </cell>
          <cell r="AG349">
            <v>0</v>
          </cell>
        </row>
        <row r="350">
          <cell r="AD350" t="str">
            <v>005-米其林(公司)-大胎米其林-背心*2L舊廠</v>
          </cell>
          <cell r="AE350" t="str">
            <v>005-米其林(公司)-大胎</v>
          </cell>
          <cell r="AF350">
            <v>6</v>
          </cell>
          <cell r="AG350">
            <v>0</v>
          </cell>
        </row>
        <row r="351">
          <cell r="AD351" t="str">
            <v>005-米其林(公司)-大胎米其林-背心*3L舊廠</v>
          </cell>
          <cell r="AE351" t="str">
            <v>005-米其林(公司)-大胎</v>
          </cell>
          <cell r="AF351">
            <v>3</v>
          </cell>
          <cell r="AG351">
            <v>0</v>
          </cell>
        </row>
        <row r="352">
          <cell r="AD352" t="str">
            <v>005-米其林(公司)-大胎米其林-背心*6L舊廠</v>
          </cell>
          <cell r="AE352" t="str">
            <v>005-米其林(公司)-大胎</v>
          </cell>
          <cell r="AF352">
            <v>1</v>
          </cell>
          <cell r="AG352">
            <v>0</v>
          </cell>
        </row>
        <row r="353">
          <cell r="AD353" t="str">
            <v>005-米其林(公司)-大胎米其林-背心*M舊廠</v>
          </cell>
          <cell r="AE353" t="str">
            <v>005-米其林(公司)-大胎</v>
          </cell>
          <cell r="AF353">
            <v>3</v>
          </cell>
          <cell r="AG353">
            <v>0</v>
          </cell>
        </row>
        <row r="354">
          <cell r="AD354" t="str">
            <v>005-米其林(公司)-大胎米其林-背心*XL舊廠</v>
          </cell>
          <cell r="AE354" t="str">
            <v>005-米其林(公司)-大胎</v>
          </cell>
          <cell r="AF354">
            <v>1</v>
          </cell>
          <cell r="AG354">
            <v>0</v>
          </cell>
        </row>
        <row r="355">
          <cell r="AD355" t="str">
            <v>160-普利司通(公司)-大胎普利司通-上衣(長)* L舊廠</v>
          </cell>
          <cell r="AE355" t="str">
            <v>160-普利司通(公司)-大胎</v>
          </cell>
          <cell r="AF355">
            <v>2</v>
          </cell>
          <cell r="AG355">
            <v>0</v>
          </cell>
        </row>
        <row r="356">
          <cell r="AD356" t="str">
            <v>160-普利司通(公司)-大胎普利司通-上衣(長)*2L舊廠</v>
          </cell>
          <cell r="AE356" t="str">
            <v>160-普利司通(公司)-大胎</v>
          </cell>
          <cell r="AF356">
            <v>4</v>
          </cell>
          <cell r="AG356">
            <v>0</v>
          </cell>
        </row>
        <row r="357">
          <cell r="AD357" t="str">
            <v>160-普利司通(公司)-大胎普利司通-上衣(長)*3L舊廠</v>
          </cell>
          <cell r="AE357" t="str">
            <v>160-普利司通(公司)-大胎</v>
          </cell>
          <cell r="AF357">
            <v>5</v>
          </cell>
          <cell r="AG357">
            <v>0</v>
          </cell>
        </row>
        <row r="358">
          <cell r="AD358" t="str">
            <v>160-普利司通(公司)-大胎普利司通-上衣(長)*4L舊廠</v>
          </cell>
          <cell r="AE358" t="str">
            <v>160-普利司通(公司)-大胎</v>
          </cell>
          <cell r="AF358">
            <v>7</v>
          </cell>
          <cell r="AG358">
            <v>0</v>
          </cell>
        </row>
        <row r="359">
          <cell r="AD359" t="str">
            <v>160-普利司通(公司)-大胎普利司通-上衣(長)*5L舊廠</v>
          </cell>
          <cell r="AE359" t="str">
            <v>160-普利司通(公司)-大胎</v>
          </cell>
          <cell r="AF359">
            <v>5</v>
          </cell>
          <cell r="AG359">
            <v>0</v>
          </cell>
        </row>
        <row r="360">
          <cell r="AD360" t="str">
            <v>160-普利司通(公司)-大胎普利司通-上衣(長)*6L舊廠</v>
          </cell>
          <cell r="AE360" t="str">
            <v>160-普利司通(公司)-大胎</v>
          </cell>
          <cell r="AF360">
            <v>11</v>
          </cell>
          <cell r="AG360">
            <v>0</v>
          </cell>
        </row>
        <row r="361">
          <cell r="AD361" t="str">
            <v>160-普利司通(公司)-大胎普利司通-上衣(長)*M舊廠</v>
          </cell>
          <cell r="AE361" t="str">
            <v>160-普利司通(公司)-大胎</v>
          </cell>
          <cell r="AF361">
            <v>5</v>
          </cell>
          <cell r="AG361">
            <v>0</v>
          </cell>
        </row>
        <row r="362">
          <cell r="AD362" t="str">
            <v>160-普利司通(公司)-大胎普利司通-上衣(長)*S舊廠</v>
          </cell>
          <cell r="AE362" t="str">
            <v>160-普利司通(公司)-大胎</v>
          </cell>
          <cell r="AF362">
            <v>1</v>
          </cell>
          <cell r="AG362">
            <v>0</v>
          </cell>
        </row>
        <row r="363">
          <cell r="AD363" t="str">
            <v>160-普利司通(公司)-大胎普利司通-上衣(長)*XL舊廠</v>
          </cell>
          <cell r="AE363" t="str">
            <v>160-普利司通(公司)-大胎</v>
          </cell>
          <cell r="AF363">
            <v>7</v>
          </cell>
          <cell r="AG363">
            <v>0</v>
          </cell>
        </row>
        <row r="364">
          <cell r="AD364" t="str">
            <v>160-普利司通(公司)-大胎普利司通-上衣(短)* L舊廠</v>
          </cell>
          <cell r="AE364" t="str">
            <v>160-普利司通(公司)-大胎</v>
          </cell>
          <cell r="AF364">
            <v>7</v>
          </cell>
          <cell r="AG364">
            <v>0</v>
          </cell>
        </row>
        <row r="365">
          <cell r="AD365" t="str">
            <v>160-普利司通(公司)-大胎普利司通-上衣(短)*2L舊廠</v>
          </cell>
          <cell r="AE365" t="str">
            <v>160-普利司通(公司)-大胎</v>
          </cell>
          <cell r="AF365">
            <v>2</v>
          </cell>
          <cell r="AG365">
            <v>0</v>
          </cell>
        </row>
        <row r="366">
          <cell r="AD366" t="str">
            <v>160-普利司通(公司)-大胎普利司通-上衣(短)*3L舊廠</v>
          </cell>
          <cell r="AE366" t="str">
            <v>160-普利司通(公司)-大胎</v>
          </cell>
          <cell r="AF366">
            <v>1</v>
          </cell>
          <cell r="AG366">
            <v>0</v>
          </cell>
        </row>
        <row r="367">
          <cell r="AD367" t="str">
            <v>160-普利司通(公司)-大胎普利司通-上衣(短)*4L舊廠</v>
          </cell>
          <cell r="AE367" t="str">
            <v>160-普利司通(公司)-大胎</v>
          </cell>
          <cell r="AF367">
            <v>1</v>
          </cell>
          <cell r="AG367">
            <v>0</v>
          </cell>
        </row>
        <row r="368">
          <cell r="AD368" t="str">
            <v>160-普利司通(公司)-大胎普利司通-上衣(短)*M舊廠</v>
          </cell>
          <cell r="AE368" t="str">
            <v>160-普利司通(公司)-大胎</v>
          </cell>
          <cell r="AF368">
            <v>3</v>
          </cell>
          <cell r="AG368">
            <v>0</v>
          </cell>
        </row>
        <row r="369">
          <cell r="AD369" t="str">
            <v>160-普利司通(公司)-大胎普利司通-上衣(短)*XL舊廠</v>
          </cell>
          <cell r="AE369" t="str">
            <v>160-普利司通(公司)-大胎</v>
          </cell>
          <cell r="AF369">
            <v>6</v>
          </cell>
          <cell r="AG369">
            <v>0</v>
          </cell>
        </row>
        <row r="370">
          <cell r="AD370" t="str">
            <v>160-普利司通(公司)-大胎普利司通-工作褲* L舊廠</v>
          </cell>
          <cell r="AE370" t="str">
            <v>160-普利司通(公司)-大胎</v>
          </cell>
          <cell r="AF370">
            <v>3</v>
          </cell>
          <cell r="AG370">
            <v>0</v>
          </cell>
        </row>
        <row r="371">
          <cell r="AD371" t="str">
            <v>160-普利司通(公司)-大胎普利司通-工作褲*2L舊廠</v>
          </cell>
          <cell r="AE371" t="str">
            <v>160-普利司通(公司)-大胎</v>
          </cell>
          <cell r="AF371">
            <v>2</v>
          </cell>
          <cell r="AG371">
            <v>0</v>
          </cell>
        </row>
        <row r="372">
          <cell r="AD372" t="str">
            <v>160-普利司通(公司)-大胎普利司通-工作褲*3L舊廠</v>
          </cell>
          <cell r="AE372" t="str">
            <v>160-普利司通(公司)-大胎</v>
          </cell>
          <cell r="AF372">
            <v>7</v>
          </cell>
          <cell r="AG372">
            <v>0</v>
          </cell>
        </row>
        <row r="373">
          <cell r="AD373" t="str">
            <v>160-普利司通(公司)-大胎普利司通-工作褲*4L舊廠</v>
          </cell>
          <cell r="AE373" t="str">
            <v>160-普利司通(公司)-大胎</v>
          </cell>
          <cell r="AF373">
            <v>12</v>
          </cell>
          <cell r="AG373">
            <v>0</v>
          </cell>
        </row>
        <row r="374">
          <cell r="AD374" t="str">
            <v>160-普利司通(公司)-大胎普利司通-工作褲*5L舊廠</v>
          </cell>
          <cell r="AE374" t="str">
            <v>160-普利司通(公司)-大胎</v>
          </cell>
          <cell r="AF374">
            <v>10</v>
          </cell>
          <cell r="AG374">
            <v>0</v>
          </cell>
        </row>
        <row r="375">
          <cell r="AD375" t="str">
            <v>160-普利司通(公司)-大胎普利司通-工作褲*6L舊廠</v>
          </cell>
          <cell r="AE375" t="str">
            <v>160-普利司通(公司)-大胎</v>
          </cell>
          <cell r="AF375">
            <v>10</v>
          </cell>
          <cell r="AG375">
            <v>0</v>
          </cell>
        </row>
        <row r="376">
          <cell r="AD376" t="str">
            <v>160-普利司通(公司)-大胎普利司通-工作褲*M舊廠</v>
          </cell>
          <cell r="AE376" t="str">
            <v>160-普利司通(公司)-大胎</v>
          </cell>
          <cell r="AF376">
            <v>3</v>
          </cell>
          <cell r="AG376">
            <v>0</v>
          </cell>
        </row>
        <row r="377">
          <cell r="AD377" t="str">
            <v>160-普利司通(公司)-大胎普利司通-背心* L舊廠</v>
          </cell>
          <cell r="AE377" t="str">
            <v>160-普利司通(公司)-大胎</v>
          </cell>
          <cell r="AF377">
            <v>1</v>
          </cell>
          <cell r="AG377">
            <v>0</v>
          </cell>
        </row>
        <row r="378">
          <cell r="AD378" t="str">
            <v>160-普利司通(公司)-大胎普利司通-背心*2L舊廠</v>
          </cell>
          <cell r="AE378" t="str">
            <v>160-普利司通(公司)-大胎</v>
          </cell>
          <cell r="AF378">
            <v>1</v>
          </cell>
          <cell r="AG378">
            <v>0</v>
          </cell>
        </row>
        <row r="379">
          <cell r="AD379" t="str">
            <v>160-普利司通(公司)-大胎普利司通-背心*3L舊廠</v>
          </cell>
          <cell r="AE379" t="str">
            <v>160-普利司通(公司)-大胎</v>
          </cell>
          <cell r="AF379">
            <v>4</v>
          </cell>
          <cell r="AG379">
            <v>0</v>
          </cell>
        </row>
        <row r="380">
          <cell r="AD380" t="str">
            <v>160-普利司通(公司)-大胎普利司通-背心*4L舊廠</v>
          </cell>
          <cell r="AE380" t="str">
            <v>160-普利司通(公司)-大胎</v>
          </cell>
          <cell r="AF380">
            <v>4</v>
          </cell>
          <cell r="AG380">
            <v>0</v>
          </cell>
        </row>
        <row r="381">
          <cell r="AD381" t="str">
            <v>160-普利司通(公司)-大胎普利司通-背心*M舊廠</v>
          </cell>
          <cell r="AE381" t="str">
            <v>160-普利司通(公司)-大胎</v>
          </cell>
          <cell r="AF381">
            <v>2</v>
          </cell>
          <cell r="AG381">
            <v>0</v>
          </cell>
        </row>
        <row r="382">
          <cell r="AD382" t="str">
            <v>160-普利司通(公司)-大胎普利司通-背心*XL舊廠</v>
          </cell>
          <cell r="AE382" t="str">
            <v>160-普利司通(公司)-大胎</v>
          </cell>
          <cell r="AF382">
            <v>4</v>
          </cell>
          <cell r="AG382">
            <v>0</v>
          </cell>
        </row>
        <row r="383">
          <cell r="AD383" t="str">
            <v>078-昇達翻修胎-315R*(直花-Y2W)舊廠</v>
          </cell>
          <cell r="AE383" t="str">
            <v>078-昇達</v>
          </cell>
          <cell r="AF383">
            <v>2</v>
          </cell>
          <cell r="AG383">
            <v>3201</v>
          </cell>
        </row>
        <row r="384">
          <cell r="AD384" t="str">
            <v>078-昇達翻修胎-315R*(粗花-加厚)舊廠</v>
          </cell>
          <cell r="AE384" t="str">
            <v>078-昇達</v>
          </cell>
          <cell r="AF384">
            <v>17</v>
          </cell>
          <cell r="AG384">
            <v>3589</v>
          </cell>
        </row>
        <row r="385">
          <cell r="AD385" t="str">
            <v>078-昇達翻修胎-315R*(直花-正冷)舊廠</v>
          </cell>
          <cell r="AE385" t="str">
            <v>078-昇達</v>
          </cell>
          <cell r="AF385">
            <v>12</v>
          </cell>
          <cell r="AG385">
            <v>3201</v>
          </cell>
        </row>
        <row r="386">
          <cell r="AD386" t="str">
            <v>152-有勝-有程定位墊片*L 3MM舊廠</v>
          </cell>
          <cell r="AE386" t="str">
            <v>152-有勝-有程</v>
          </cell>
          <cell r="AF386">
            <v>40</v>
          </cell>
          <cell r="AG386">
            <v>150</v>
          </cell>
        </row>
        <row r="387">
          <cell r="AD387" t="str">
            <v>152-有勝-有程定位墊片*M 2MM舊廠</v>
          </cell>
          <cell r="AE387" t="str">
            <v>152-有勝-有程</v>
          </cell>
          <cell r="AF387">
            <v>10</v>
          </cell>
          <cell r="AG387">
            <v>130</v>
          </cell>
        </row>
        <row r="388">
          <cell r="AD388" t="str">
            <v>038-亞獵士鋼圈-_E009-1_61_22.5舊廠</v>
          </cell>
          <cell r="AE388" t="str">
            <v>038-亞獵士</v>
          </cell>
          <cell r="AF388">
            <v>2</v>
          </cell>
          <cell r="AG388">
            <v>8190</v>
          </cell>
        </row>
        <row r="389">
          <cell r="AD389" t="str">
            <v>038-亞獵士鋼圈-_E001_61_22.5* 鏡面舊廠</v>
          </cell>
          <cell r="AE389" t="str">
            <v>038-亞獵士</v>
          </cell>
          <cell r="AF389">
            <v>12</v>
          </cell>
          <cell r="AG389">
            <v>6825</v>
          </cell>
        </row>
        <row r="390">
          <cell r="AD390" t="str">
            <v>038-亞獵士鋼圈-卡車螺帽M22*1.5*FR*14mm舊廠</v>
          </cell>
          <cell r="AE390" t="str">
            <v>038-亞獵士</v>
          </cell>
          <cell r="AF390">
            <v>40</v>
          </cell>
          <cell r="AG390">
            <v>126</v>
          </cell>
        </row>
        <row r="391">
          <cell r="AD391" t="str">
            <v>038-亞獵士鋼圈-卡車螺帽M22*1.5*RR*38mm舊廠</v>
          </cell>
          <cell r="AE391" t="str">
            <v>038-亞獵士</v>
          </cell>
          <cell r="AF391">
            <v>40</v>
          </cell>
          <cell r="AG391">
            <v>158</v>
          </cell>
        </row>
        <row r="392">
          <cell r="AD392" t="str">
            <v>164-登祿普(公司)-大胎登祿普-385/65R22.5*SP320舊廠</v>
          </cell>
          <cell r="AE392" t="str">
            <v>164-登祿普(公司)-大胎</v>
          </cell>
          <cell r="AF392">
            <v>10</v>
          </cell>
          <cell r="AG392">
            <v>9826</v>
          </cell>
        </row>
        <row r="393">
          <cell r="AD393" t="str">
            <v>164-登祿普(公司)-大胎登祿普-385/65R22.5*SP320舊廠</v>
          </cell>
          <cell r="AE393" t="str">
            <v>164-登祿普(公司)-大胎</v>
          </cell>
          <cell r="AF393">
            <v>3</v>
          </cell>
          <cell r="AG393">
            <v>9826</v>
          </cell>
        </row>
        <row r="394">
          <cell r="AD394" t="str">
            <v>164-登祿普(公司)-大胎登祿普-385/65R22.5*SP320(廠商-寄庫未出-帳已結)</v>
          </cell>
          <cell r="AE394" t="str">
            <v>164-登祿普(公司)-大胎</v>
          </cell>
          <cell r="AF394">
            <v>-1</v>
          </cell>
          <cell r="AG394">
            <v>9826</v>
          </cell>
        </row>
        <row r="395">
          <cell r="AD395" t="str">
            <v>164-登祿普(公司)-大胎登祿普-385/65R22.5*SP320舊廠</v>
          </cell>
          <cell r="AE395" t="str">
            <v>164-登祿普(公司)-大胎</v>
          </cell>
          <cell r="AF395">
            <v>1</v>
          </cell>
          <cell r="AG395">
            <v>9826</v>
          </cell>
        </row>
        <row r="396">
          <cell r="AD396" t="str">
            <v>164-登祿普(公司)-大胎登祿普-275/70R22.5*SP176(廠商-寄庫未出-帳已結)</v>
          </cell>
          <cell r="AE396" t="str">
            <v>164-登祿普(公司)-大胎</v>
          </cell>
          <cell r="AF396">
            <v>-1</v>
          </cell>
          <cell r="AG396">
            <v>6669</v>
          </cell>
        </row>
        <row r="397">
          <cell r="AD397" t="str">
            <v>164-登祿普(公司)-大胎登祿普-275/70R22.5*SP176舊廠</v>
          </cell>
          <cell r="AE397" t="str">
            <v>164-登祿普(公司)-大胎</v>
          </cell>
          <cell r="AF397">
            <v>1</v>
          </cell>
          <cell r="AG397">
            <v>6669</v>
          </cell>
        </row>
        <row r="398">
          <cell r="AD398" t="str">
            <v>100-漢可固(機器)</v>
          </cell>
          <cell r="AE398" t="str">
            <v>100-漢可固(機器)</v>
          </cell>
          <cell r="AF398">
            <v>0</v>
          </cell>
          <cell r="AG398">
            <v>0</v>
          </cell>
        </row>
        <row r="399">
          <cell r="AD399" t="str">
            <v>038-亞獵士鋼圈-_E001_61_22.5舊廠</v>
          </cell>
          <cell r="AE399" t="str">
            <v>038-亞獵士</v>
          </cell>
          <cell r="AF399">
            <v>6</v>
          </cell>
          <cell r="AG399">
            <v>6300</v>
          </cell>
        </row>
        <row r="400">
          <cell r="AD400" t="str">
            <v>038-亞獵士鋼圈-卡車螺帽M22*1.5*FR*14mm舊廠</v>
          </cell>
          <cell r="AE400" t="str">
            <v>038-亞獵士</v>
          </cell>
          <cell r="AF400">
            <v>20</v>
          </cell>
          <cell r="AG400">
            <v>126</v>
          </cell>
        </row>
        <row r="401">
          <cell r="AD401" t="str">
            <v>001-中華全佑拆胎機接頭舊廠</v>
          </cell>
          <cell r="AE401" t="str">
            <v>001-中華全佑</v>
          </cell>
          <cell r="AF401">
            <v>10</v>
          </cell>
          <cell r="AG401">
            <v>16</v>
          </cell>
        </row>
        <row r="402">
          <cell r="AD402" t="str">
            <v>168-瑪吉斯-中胎瑪吉斯-195/75R16C*UE168(廠商-寄庫未出-帳已結)</v>
          </cell>
          <cell r="AE402" t="str">
            <v>168-瑪吉斯-中胎</v>
          </cell>
          <cell r="AF402">
            <v>20</v>
          </cell>
          <cell r="AG402">
            <v>2221</v>
          </cell>
        </row>
        <row r="403">
          <cell r="AD403" t="str">
            <v>168-瑪吉斯-中胎瑪吉斯-195/75R16C*UE168(廠商-寄庫未出-帳已結)</v>
          </cell>
          <cell r="AE403" t="str">
            <v>168-瑪吉斯-中胎</v>
          </cell>
          <cell r="AF403">
            <v>-10</v>
          </cell>
          <cell r="AG403">
            <v>2221</v>
          </cell>
        </row>
        <row r="404">
          <cell r="AD404" t="str">
            <v>168-瑪吉斯-中胎瑪吉斯-195/75R16C*UE168舊廠</v>
          </cell>
          <cell r="AE404" t="str">
            <v>168-瑪吉斯-中胎</v>
          </cell>
          <cell r="AF404">
            <v>10</v>
          </cell>
          <cell r="AG404">
            <v>2221</v>
          </cell>
        </row>
        <row r="405">
          <cell r="AD405" t="str">
            <v>038-亞獵士鋼圈-_U002_61_22.5舊廠</v>
          </cell>
          <cell r="AE405" t="str">
            <v>038-亞獵士</v>
          </cell>
          <cell r="AF405">
            <v>6</v>
          </cell>
          <cell r="AG405">
            <v>6825</v>
          </cell>
        </row>
        <row r="406">
          <cell r="AD406" t="str">
            <v>038-亞獵士鋼圈-卡車螺帽M22*1.5*FR*14mm舊廠</v>
          </cell>
          <cell r="AE406" t="str">
            <v>038-亞獵士</v>
          </cell>
          <cell r="AF406">
            <v>20</v>
          </cell>
          <cell r="AG406">
            <v>126</v>
          </cell>
        </row>
        <row r="407">
          <cell r="AD407" t="str">
            <v>038-亞獵士鋼圈-卡車螺帽M22*1.5*RR*38mm舊廠</v>
          </cell>
          <cell r="AE407" t="str">
            <v>038-亞獵士</v>
          </cell>
          <cell r="AF407">
            <v>20</v>
          </cell>
          <cell r="AG407">
            <v>158</v>
          </cell>
        </row>
        <row r="408">
          <cell r="AD408" t="str">
            <v>165-登祿普(公司)-中胎登祿普-825R16*SP122舊廠</v>
          </cell>
          <cell r="AE408" t="str">
            <v>165-登祿普(公司)-中胎</v>
          </cell>
          <cell r="AF408">
            <v>9</v>
          </cell>
          <cell r="AG408">
            <v>3840</v>
          </cell>
        </row>
        <row r="409">
          <cell r="AD409" t="str">
            <v>165-登祿普(公司)-中胎登祿普-825R16*SP122舊廠</v>
          </cell>
          <cell r="AE409" t="str">
            <v>165-登祿普(公司)-中胎</v>
          </cell>
          <cell r="AF409">
            <v>2</v>
          </cell>
          <cell r="AG409">
            <v>3840</v>
          </cell>
        </row>
        <row r="410">
          <cell r="AD410" t="str">
            <v>165-登祿普(公司)-中胎登祿普-225/90R17.5*SP122舊廠</v>
          </cell>
          <cell r="AE410" t="str">
            <v>165-登祿普(公司)-中胎</v>
          </cell>
          <cell r="AF410">
            <v>9</v>
          </cell>
          <cell r="AG410">
            <v>3908</v>
          </cell>
        </row>
        <row r="411">
          <cell r="AD411" t="str">
            <v>165-登祿普(公司)-中胎登祿普-225/90R17.5*SP122舊廠</v>
          </cell>
          <cell r="AE411" t="str">
            <v>165-登祿普(公司)-中胎</v>
          </cell>
          <cell r="AF411">
            <v>2</v>
          </cell>
          <cell r="AG411">
            <v>3908</v>
          </cell>
        </row>
        <row r="412">
          <cell r="AD412" t="str">
            <v>092-鴻昌機油舊廠</v>
          </cell>
          <cell r="AE412" t="str">
            <v>092-鴻昌</v>
          </cell>
          <cell r="AF412">
            <v>1</v>
          </cell>
          <cell r="AG412">
            <v>500</v>
          </cell>
        </row>
        <row r="413">
          <cell r="AD413" t="str">
            <v>092-鴻昌主軸油封舊廠</v>
          </cell>
          <cell r="AE413" t="str">
            <v>092-鴻昌</v>
          </cell>
          <cell r="AF413">
            <v>1</v>
          </cell>
          <cell r="AG413">
            <v>400</v>
          </cell>
        </row>
        <row r="414">
          <cell r="AD414" t="str">
            <v>092-鴻昌機油幫浦舊廠</v>
          </cell>
          <cell r="AE414" t="str">
            <v>092-鴻昌</v>
          </cell>
          <cell r="AF414">
            <v>1</v>
          </cell>
          <cell r="AG414">
            <v>2100</v>
          </cell>
        </row>
        <row r="415">
          <cell r="AD415" t="str">
            <v>092-鴻昌引擎固定螺絲舊廠</v>
          </cell>
          <cell r="AE415" t="str">
            <v>092-鴻昌</v>
          </cell>
          <cell r="AF415">
            <v>4</v>
          </cell>
          <cell r="AG415">
            <v>20</v>
          </cell>
        </row>
        <row r="416">
          <cell r="AD416" t="str">
            <v>092-鴻昌修理工資舊廠</v>
          </cell>
          <cell r="AE416" t="str">
            <v>092-鴻昌</v>
          </cell>
          <cell r="AF416">
            <v>1</v>
          </cell>
          <cell r="AG416">
            <v>2500</v>
          </cell>
        </row>
        <row r="417">
          <cell r="AD417" t="str">
            <v>092-鴻昌折讓舊廠</v>
          </cell>
          <cell r="AE417" t="str">
            <v>092-鴻昌</v>
          </cell>
          <cell r="AF417">
            <v>1</v>
          </cell>
          <cell r="AG417">
            <v>-80</v>
          </cell>
        </row>
        <row r="418">
          <cell r="AD418" t="str">
            <v>017-萬全鋼圈- CSR*22.5 (廠商-寄庫未出-帳已結)</v>
          </cell>
          <cell r="AE418" t="str">
            <v>017-萬全</v>
          </cell>
          <cell r="AF418">
            <v>-16</v>
          </cell>
          <cell r="AG418">
            <v>1500</v>
          </cell>
        </row>
        <row r="419">
          <cell r="AD419" t="str">
            <v>017-萬全鋼圈-CSR*9.00*22.5歐規10孔舊廠</v>
          </cell>
          <cell r="AE419" t="str">
            <v>017-萬全</v>
          </cell>
          <cell r="AF419">
            <v>16</v>
          </cell>
          <cell r="AG419">
            <v>1500</v>
          </cell>
        </row>
        <row r="420">
          <cell r="AD420" t="str">
            <v>017-萬全鋼圈-HL1*385R前輪歐規 11.75舊廠</v>
          </cell>
          <cell r="AE420" t="str">
            <v>017-萬全</v>
          </cell>
          <cell r="AF420">
            <v>1</v>
          </cell>
          <cell r="AG420">
            <v>4580</v>
          </cell>
        </row>
        <row r="421">
          <cell r="AD421" t="str">
            <v>165-登祿普(公司)-中胎登祿普-700R16*SP185舊廠</v>
          </cell>
          <cell r="AE421" t="str">
            <v>165-登祿普(公司)-中胎</v>
          </cell>
          <cell r="AF421">
            <v>40</v>
          </cell>
          <cell r="AG421">
            <v>2430</v>
          </cell>
        </row>
        <row r="422">
          <cell r="AD422" t="str">
            <v>165-登祿普(公司)-中胎登祿普-700R16*SP185舊廠</v>
          </cell>
          <cell r="AE422" t="str">
            <v>165-登祿普(公司)-中胎</v>
          </cell>
          <cell r="AF422">
            <v>6</v>
          </cell>
          <cell r="AG422">
            <v>2430</v>
          </cell>
        </row>
        <row r="423">
          <cell r="AD423" t="str">
            <v>164-登祿普(公司)-大胎登祿普-275/70R22.5*SP176舊廠</v>
          </cell>
          <cell r="AE423" t="str">
            <v>164-登祿普(公司)-大胎</v>
          </cell>
          <cell r="AF423">
            <v>5</v>
          </cell>
          <cell r="AG423">
            <v>6669</v>
          </cell>
        </row>
        <row r="424">
          <cell r="AD424" t="str">
            <v>164-登祿普(公司)-大胎登祿普-275/70R22.5*SP176舊廠</v>
          </cell>
          <cell r="AE424" t="str">
            <v>164-登祿普(公司)-大胎</v>
          </cell>
          <cell r="AF424">
            <v>1</v>
          </cell>
          <cell r="AG424">
            <v>6669</v>
          </cell>
        </row>
        <row r="425">
          <cell r="AD425" t="str">
            <v>165-登祿普(公司)-中胎登祿普-195/75R16C*VAN01舊廠</v>
          </cell>
          <cell r="AE425" t="str">
            <v>165-登祿普(公司)-中胎</v>
          </cell>
          <cell r="AF425">
            <v>20</v>
          </cell>
          <cell r="AG425">
            <v>1983</v>
          </cell>
        </row>
        <row r="426">
          <cell r="AD426" t="str">
            <v>165-登祿普(公司)-中胎登祿普-195/75R16C*VAN01舊廠</v>
          </cell>
          <cell r="AE426" t="str">
            <v>165-登祿普(公司)-中胎</v>
          </cell>
          <cell r="AF426">
            <v>3</v>
          </cell>
          <cell r="AG426">
            <v>1983</v>
          </cell>
        </row>
        <row r="427">
          <cell r="AD427" t="str">
            <v>036-祥崴五金氣動板手延伸管舊廠</v>
          </cell>
          <cell r="AE427" t="str">
            <v>036-祥崴五金</v>
          </cell>
          <cell r="AF427">
            <v>5</v>
          </cell>
          <cell r="AG427">
            <v>310</v>
          </cell>
        </row>
        <row r="428">
          <cell r="AD428" t="str">
            <v>036-祥崴五金1/2內牙母側(日本)&gt;快速接頭舊廠</v>
          </cell>
          <cell r="AE428" t="str">
            <v>036-祥崴五金</v>
          </cell>
          <cell r="AF428">
            <v>5</v>
          </cell>
          <cell r="AG428">
            <v>230</v>
          </cell>
        </row>
        <row r="429">
          <cell r="AD429" t="str">
            <v>036-祥崴五金灌風軟管舊廠</v>
          </cell>
          <cell r="AE429" t="str">
            <v>036-祥崴五金</v>
          </cell>
          <cell r="AF429">
            <v>10</v>
          </cell>
          <cell r="AG429">
            <v>205</v>
          </cell>
        </row>
        <row r="430">
          <cell r="AD430" t="str">
            <v>165-登祿普(公司)-中胎登祿普-195/75R16C*VAN01舊廠</v>
          </cell>
          <cell r="AE430" t="str">
            <v>165-登祿普(公司)-中胎</v>
          </cell>
          <cell r="AF430">
            <v>20</v>
          </cell>
          <cell r="AG430">
            <v>1983</v>
          </cell>
        </row>
        <row r="431">
          <cell r="AD431" t="str">
            <v>165-登祿普(公司)-中胎登祿普-195/75R16C*VAN01舊廠</v>
          </cell>
          <cell r="AE431" t="str">
            <v>165-登祿普(公司)-中胎</v>
          </cell>
          <cell r="AF431">
            <v>3</v>
          </cell>
          <cell r="AG431">
            <v>1983</v>
          </cell>
        </row>
        <row r="432">
          <cell r="AD432" t="str">
            <v>006-米其林(公司)-中胎米其林-225/75R17.5*X Multi Z舊廠</v>
          </cell>
          <cell r="AE432" t="str">
            <v>006-米其林(公司)-中胎</v>
          </cell>
          <cell r="AF432">
            <v>5</v>
          </cell>
          <cell r="AG432">
            <v>6887</v>
          </cell>
        </row>
        <row r="433">
          <cell r="AD433" t="str">
            <v>017-萬全墊片-歐規10孔*3mm(薄)舊廠</v>
          </cell>
          <cell r="AE433" t="str">
            <v>017-萬全</v>
          </cell>
          <cell r="AF433">
            <v>4</v>
          </cell>
          <cell r="AG433">
            <v>400</v>
          </cell>
        </row>
        <row r="434">
          <cell r="AD434" t="str">
            <v>017-萬全鋼圈- CSR*22.5 (廠商-寄庫未出-帳已結)</v>
          </cell>
          <cell r="AE434" t="str">
            <v>017-萬全</v>
          </cell>
          <cell r="AF434">
            <v>-32</v>
          </cell>
          <cell r="AG434">
            <v>1500</v>
          </cell>
        </row>
        <row r="435">
          <cell r="AD435" t="str">
            <v>017-萬全鋼圈-CSR*9.00*22.5歐規10孔舊廠</v>
          </cell>
          <cell r="AE435" t="str">
            <v>017-萬全</v>
          </cell>
          <cell r="AF435">
            <v>32</v>
          </cell>
          <cell r="AG435">
            <v>1500</v>
          </cell>
        </row>
        <row r="436">
          <cell r="AD436" t="str">
            <v>161-普利司通(公司)-中胎普利司通-195/75R16C*R212舊廠</v>
          </cell>
          <cell r="AE436" t="str">
            <v>161-普利司通(公司)-中胎</v>
          </cell>
          <cell r="AF436">
            <v>20</v>
          </cell>
          <cell r="AG436">
            <v>2516</v>
          </cell>
        </row>
        <row r="437">
          <cell r="AD437" t="str">
            <v>078-昇達翻修胎-315R*(粗花-加厚)舊廠</v>
          </cell>
          <cell r="AE437" t="str">
            <v>078-昇達</v>
          </cell>
          <cell r="AF437">
            <v>18</v>
          </cell>
          <cell r="AG437">
            <v>3589</v>
          </cell>
        </row>
        <row r="438">
          <cell r="AD438" t="str">
            <v>078-昇達翻修胎-1100-20*(高溫UL)舊廠</v>
          </cell>
          <cell r="AE438" t="str">
            <v>078-昇達</v>
          </cell>
          <cell r="AF438">
            <v>2</v>
          </cell>
          <cell r="AG438">
            <v>2813</v>
          </cell>
        </row>
        <row r="439">
          <cell r="AD439" t="str">
            <v>078-昇達翻修胎-825R16*LL舊廠</v>
          </cell>
          <cell r="AE439" t="str">
            <v>078-昇達</v>
          </cell>
          <cell r="AF439">
            <v>1</v>
          </cell>
          <cell r="AG439">
            <v>2280</v>
          </cell>
        </row>
        <row r="440">
          <cell r="AD440" t="str">
            <v>078-昇達翻修胎-1100-20*(高溫UL)舊廠</v>
          </cell>
          <cell r="AE440" t="str">
            <v>078-昇達</v>
          </cell>
          <cell r="AF440">
            <v>2</v>
          </cell>
          <cell r="AG440">
            <v>2813</v>
          </cell>
        </row>
        <row r="441">
          <cell r="AD441" t="str">
            <v>078-昇達翻修胎-315R*(直花-正冷)舊廠</v>
          </cell>
          <cell r="AE441" t="str">
            <v>078-昇達</v>
          </cell>
          <cell r="AF441">
            <v>3</v>
          </cell>
          <cell r="AG441">
            <v>3201</v>
          </cell>
        </row>
        <row r="442">
          <cell r="AD442" t="str">
            <v>078-昇達翻修胎-225/75R17.5*(粗花-加厚)舊廠</v>
          </cell>
          <cell r="AE442" t="str">
            <v>078-昇達</v>
          </cell>
          <cell r="AF442">
            <v>2</v>
          </cell>
          <cell r="AG442">
            <v>2280</v>
          </cell>
        </row>
        <row r="443">
          <cell r="AD443" t="str">
            <v>078-昇達翻修胎-825R16*LL舊廠</v>
          </cell>
          <cell r="AE443" t="str">
            <v>078-昇達</v>
          </cell>
          <cell r="AF443">
            <v>3</v>
          </cell>
          <cell r="AG443">
            <v>2280</v>
          </cell>
        </row>
        <row r="444">
          <cell r="AD444" t="str">
            <v>001-中華全佑</v>
          </cell>
          <cell r="AE444" t="str">
            <v>001-中華全佑</v>
          </cell>
          <cell r="AF444">
            <v>0</v>
          </cell>
          <cell r="AG444">
            <v>0</v>
          </cell>
        </row>
        <row r="445">
          <cell r="AD445" t="str">
            <v>038-亞獵士鋼圈-卡車螺帽M22*1.5*RR*55mm舊廠</v>
          </cell>
          <cell r="AE445" t="str">
            <v>038-亞獵士</v>
          </cell>
          <cell r="AF445">
            <v>200</v>
          </cell>
          <cell r="AG445">
            <v>210</v>
          </cell>
        </row>
        <row r="446">
          <cell r="AD446" t="str">
            <v>001-中華全佑</v>
          </cell>
          <cell r="AE446" t="str">
            <v>001-中華全佑</v>
          </cell>
          <cell r="AF446">
            <v>0</v>
          </cell>
          <cell r="AG446">
            <v>0</v>
          </cell>
        </row>
        <row r="447">
          <cell r="AD447" t="str">
            <v>006-米其林(公司)-中胎米其林-225/75R17.5*X Multi Z舊廠</v>
          </cell>
          <cell r="AE447" t="str">
            <v>006-米其林(公司)-中胎</v>
          </cell>
          <cell r="AF447">
            <v>5</v>
          </cell>
          <cell r="AG447">
            <v>6887</v>
          </cell>
        </row>
        <row r="448">
          <cell r="AD448" t="str">
            <v>017-萬全鋼圈-HL1*9.00*22.5歐規10孔舊廠</v>
          </cell>
          <cell r="AE448" t="str">
            <v>017-萬全</v>
          </cell>
          <cell r="AF448">
            <v>16</v>
          </cell>
          <cell r="AG448">
            <v>3200</v>
          </cell>
        </row>
        <row r="449">
          <cell r="AD449" t="str">
            <v>017-萬全鋼圈-HL3*9.00*22.5歐規10孔防爆舊廠</v>
          </cell>
          <cell r="AE449" t="str">
            <v>017-萬全</v>
          </cell>
          <cell r="AF449">
            <v>16</v>
          </cell>
          <cell r="AG449">
            <v>2900</v>
          </cell>
        </row>
        <row r="450">
          <cell r="AD450" t="str">
            <v>001-中華全佑千斤頂軸座舊廠</v>
          </cell>
          <cell r="AE450" t="str">
            <v>001-中華全佑</v>
          </cell>
          <cell r="AF450">
            <v>10</v>
          </cell>
          <cell r="AG450">
            <v>500</v>
          </cell>
        </row>
        <row r="451">
          <cell r="AD451" t="str">
            <v>038-亞獵士導正工具M22*1.5-BPW鋁圈帽工具舊廠</v>
          </cell>
          <cell r="AE451" t="str">
            <v>038-亞獵士</v>
          </cell>
          <cell r="AF451">
            <v>4</v>
          </cell>
          <cell r="AG451">
            <v>420</v>
          </cell>
        </row>
        <row r="452">
          <cell r="AD452" t="str">
            <v>244-昆侖輪胎有限公司昆侖-12R22.5*KT871(直花)倉庫</v>
          </cell>
          <cell r="AE452" t="str">
            <v>244-昆侖輪胎有限公司</v>
          </cell>
          <cell r="AF452">
            <v>20</v>
          </cell>
          <cell r="AG452">
            <v>4874</v>
          </cell>
        </row>
        <row r="453">
          <cell r="AD453" t="str">
            <v>244-昆侖輪胎有限公司昆侖-315/80R22.5*KT855(人字花)倉庫</v>
          </cell>
          <cell r="AE453" t="str">
            <v>244-昆侖輪胎有限公司</v>
          </cell>
          <cell r="AF453">
            <v>60</v>
          </cell>
          <cell r="AG453">
            <v>5369</v>
          </cell>
        </row>
        <row r="454">
          <cell r="AD454" t="str">
            <v>244-昆侖輪胎有限公司昆侖-295/80R22.5*KT866(直花)倉庫</v>
          </cell>
          <cell r="AE454" t="str">
            <v>244-昆侖輪胎有限公司</v>
          </cell>
          <cell r="AF454">
            <v>80</v>
          </cell>
          <cell r="AG454">
            <v>4152</v>
          </cell>
        </row>
        <row r="455">
          <cell r="AD455" t="str">
            <v>244-昆侖輪胎有限公司昆侖-315/80R22.5*KT870(麻將花)倉庫</v>
          </cell>
          <cell r="AE455" t="str">
            <v>244-昆侖輪胎有限公司</v>
          </cell>
          <cell r="AF455">
            <v>60</v>
          </cell>
          <cell r="AG455">
            <v>5718</v>
          </cell>
        </row>
        <row r="456">
          <cell r="AD456" t="str">
            <v>038-亞獵士鋼圈-_E001_61_22.5* 鏡面舊廠</v>
          </cell>
          <cell r="AE456" t="str">
            <v>038-亞獵士</v>
          </cell>
          <cell r="AF456">
            <v>12</v>
          </cell>
          <cell r="AG456">
            <v>6825</v>
          </cell>
        </row>
        <row r="457">
          <cell r="AD457" t="str">
            <v>165-登祿普(公司)-中胎登祿普-750R16*SP122舊廠</v>
          </cell>
          <cell r="AE457" t="str">
            <v>165-登祿普(公司)-中胎</v>
          </cell>
          <cell r="AF457">
            <v>27</v>
          </cell>
          <cell r="AG457">
            <v>3408</v>
          </cell>
        </row>
        <row r="458">
          <cell r="AD458" t="str">
            <v>165-登祿普(公司)-中胎登祿普-750R16*SP122舊廠</v>
          </cell>
          <cell r="AE458" t="str">
            <v>165-登祿普(公司)-中胎</v>
          </cell>
          <cell r="AF458">
            <v>6</v>
          </cell>
          <cell r="AG458">
            <v>3408</v>
          </cell>
        </row>
        <row r="459">
          <cell r="AD459" t="str">
            <v>164-登祿普(公司)-大胎登祿普-315/80R22.5*SP320S舊廠</v>
          </cell>
          <cell r="AE459" t="str">
            <v>164-登祿普(公司)-大胎</v>
          </cell>
          <cell r="AF459">
            <v>32</v>
          </cell>
          <cell r="AG459">
            <v>8067</v>
          </cell>
        </row>
        <row r="460">
          <cell r="AD460" t="str">
            <v>164-登祿普(公司)-大胎登祿普-315/80R22.5*SP320S舊廠</v>
          </cell>
          <cell r="AE460" t="str">
            <v>164-登祿普(公司)-大胎</v>
          </cell>
          <cell r="AF460">
            <v>9</v>
          </cell>
          <cell r="AG460">
            <v>8067</v>
          </cell>
        </row>
        <row r="461">
          <cell r="AD461" t="str">
            <v>078-昇達威獅-385/95R25舊廠</v>
          </cell>
          <cell r="AE461" t="str">
            <v>078-昇達</v>
          </cell>
          <cell r="AF461">
            <v>2</v>
          </cell>
          <cell r="AG461">
            <v>27000</v>
          </cell>
        </row>
        <row r="462">
          <cell r="AD462" t="str">
            <v>078-昇達威獅-445/95R25舊廠</v>
          </cell>
          <cell r="AE462" t="str">
            <v>078-昇達</v>
          </cell>
          <cell r="AF462">
            <v>2</v>
          </cell>
          <cell r="AG462">
            <v>36000</v>
          </cell>
        </row>
        <row r="463">
          <cell r="AD463" t="str">
            <v>017-萬全螺帽 M22*1.5 R-R舊廠</v>
          </cell>
          <cell r="AE463" t="str">
            <v>017-萬全</v>
          </cell>
          <cell r="AF463">
            <v>30</v>
          </cell>
          <cell r="AG463">
            <v>150</v>
          </cell>
        </row>
        <row r="464">
          <cell r="AD464" t="str">
            <v>017-萬全螺帽 M22*1.5 F-R舊廠</v>
          </cell>
          <cell r="AE464" t="str">
            <v>017-萬全</v>
          </cell>
          <cell r="AF464">
            <v>10</v>
          </cell>
          <cell r="AG464">
            <v>120</v>
          </cell>
        </row>
        <row r="465">
          <cell r="AD465" t="str">
            <v>017-萬全螺帽 M22*1.5 F-L舊廠</v>
          </cell>
          <cell r="AE465" t="str">
            <v>017-萬全</v>
          </cell>
          <cell r="AF465">
            <v>10</v>
          </cell>
          <cell r="AG465">
            <v>120</v>
          </cell>
        </row>
        <row r="466">
          <cell r="AD466" t="str">
            <v>092-鴻昌皮帶輪6半舊廠</v>
          </cell>
          <cell r="AE466" t="str">
            <v>092-鴻昌</v>
          </cell>
          <cell r="AF466">
            <v>1</v>
          </cell>
          <cell r="AG466">
            <v>1200</v>
          </cell>
        </row>
        <row r="467">
          <cell r="AD467" t="str">
            <v>092-鴻昌皮帶舊廠</v>
          </cell>
          <cell r="AE467" t="str">
            <v>092-鴻昌</v>
          </cell>
          <cell r="AF467">
            <v>3</v>
          </cell>
          <cell r="AG467">
            <v>250</v>
          </cell>
        </row>
        <row r="468">
          <cell r="AD468" t="str">
            <v>170-正新-內胎.OB內胎-750-16 舊廠</v>
          </cell>
          <cell r="AE468" t="str">
            <v>170-正新-內胎.OB</v>
          </cell>
          <cell r="AF468">
            <v>20</v>
          </cell>
          <cell r="AG468">
            <v>460</v>
          </cell>
        </row>
        <row r="469">
          <cell r="AD469" t="str">
            <v>078-昇達威獅-275/70R22.5*CR906舊廠</v>
          </cell>
          <cell r="AE469" t="str">
            <v>078-昇達</v>
          </cell>
          <cell r="AF469">
            <v>2</v>
          </cell>
          <cell r="AG469">
            <v>6400</v>
          </cell>
        </row>
        <row r="470">
          <cell r="AD470" t="str">
            <v>161-普利司通(公司)-中胎普利司通-700R15*R200舊廠</v>
          </cell>
          <cell r="AE470" t="str">
            <v>161-普利司通(公司)-中胎</v>
          </cell>
          <cell r="AF470">
            <v>10</v>
          </cell>
          <cell r="AG470">
            <v>2826</v>
          </cell>
        </row>
        <row r="471">
          <cell r="AD471" t="str">
            <v>025-光聯ISUZU ELF 一路發 93-機油濾清器舊廠</v>
          </cell>
          <cell r="AE471" t="str">
            <v>025-光聯</v>
          </cell>
          <cell r="AF471">
            <v>1</v>
          </cell>
          <cell r="AG471">
            <v>350</v>
          </cell>
        </row>
        <row r="472">
          <cell r="AD472" t="str">
            <v>170-正新-內胎.OB內胎-700-15舊廠</v>
          </cell>
          <cell r="AE472" t="str">
            <v>170-正新-內胎.OB</v>
          </cell>
          <cell r="AF472">
            <v>10</v>
          </cell>
          <cell r="AG472">
            <v>360</v>
          </cell>
        </row>
        <row r="473">
          <cell r="AD473" t="str">
            <v>170-正新-內胎.OB內胎-700-16舊廠</v>
          </cell>
          <cell r="AE473" t="str">
            <v>170-正新-內胎.OB</v>
          </cell>
          <cell r="AF473">
            <v>10</v>
          </cell>
          <cell r="AG473">
            <v>380</v>
          </cell>
        </row>
        <row r="474">
          <cell r="AD474" t="str">
            <v>038-亞獵士鋼圈-_C006_61_22.5舊廠</v>
          </cell>
          <cell r="AE474" t="str">
            <v>038-亞獵士</v>
          </cell>
          <cell r="AF474">
            <v>40</v>
          </cell>
          <cell r="AG474">
            <v>7350</v>
          </cell>
        </row>
        <row r="475">
          <cell r="AD475" t="str">
            <v>017-萬全鋼圈-CSR*6.00*17.5日規6孔*一路發(前輪)舊廠</v>
          </cell>
          <cell r="AE475" t="str">
            <v>017-萬全</v>
          </cell>
          <cell r="AF475">
            <v>2</v>
          </cell>
          <cell r="AG475">
            <v>2290</v>
          </cell>
        </row>
        <row r="476">
          <cell r="AD476" t="str">
            <v>326-濱江花市敬輓花籃舊廠</v>
          </cell>
          <cell r="AE476" t="str">
            <v>326-濱江花市</v>
          </cell>
          <cell r="AF476">
            <v>1</v>
          </cell>
          <cell r="AG476">
            <v>1500</v>
          </cell>
        </row>
        <row r="477">
          <cell r="AD477" t="str">
            <v>143-玉山輪胎翻修胎-315R*(直花-正冷)舊廠</v>
          </cell>
          <cell r="AE477" t="str">
            <v>143-玉山輪胎</v>
          </cell>
          <cell r="AF477">
            <v>39</v>
          </cell>
          <cell r="AG477">
            <v>3731</v>
          </cell>
        </row>
        <row r="478">
          <cell r="AD478" t="str">
            <v>036-祥崴五金3/8內牙母側(日本)&gt;快速接頭舊廠</v>
          </cell>
          <cell r="AE478" t="str">
            <v>036-祥崴五金</v>
          </cell>
          <cell r="AF478">
            <v>1</v>
          </cell>
          <cell r="AG478">
            <v>199</v>
          </cell>
        </row>
        <row r="479">
          <cell r="AD479" t="str">
            <v>038-亞獵士鋼圈-卡車螺帽M22*1.5*FR*14mm舊廠</v>
          </cell>
          <cell r="AE479" t="str">
            <v>038-亞獵士</v>
          </cell>
          <cell r="AF479">
            <v>20</v>
          </cell>
          <cell r="AG479">
            <v>126</v>
          </cell>
        </row>
        <row r="480">
          <cell r="AD480" t="str">
            <v>032-弘新&gt;銀王OB-1000-20舊廠</v>
          </cell>
          <cell r="AE480" t="str">
            <v>032-弘新&gt;銀王</v>
          </cell>
          <cell r="AF480">
            <v>20</v>
          </cell>
          <cell r="AG480">
            <v>168</v>
          </cell>
        </row>
        <row r="481">
          <cell r="AD481" t="str">
            <v>005-米其林(公司)-大胎米其林-315/80R22.5*X MultiWay 3D XDE舊廠</v>
          </cell>
          <cell r="AE481" t="str">
            <v>005-米其林(公司)-大胎</v>
          </cell>
          <cell r="AF481">
            <v>12</v>
          </cell>
          <cell r="AG481">
            <v>15242</v>
          </cell>
        </row>
        <row r="482">
          <cell r="AD482" t="str">
            <v>017-萬全鋼圈- CSR*22.5 (廠商-寄庫未出-帳已結)</v>
          </cell>
          <cell r="AE482" t="str">
            <v>017-萬全</v>
          </cell>
          <cell r="AF482">
            <v>100</v>
          </cell>
          <cell r="AG482">
            <v>1500</v>
          </cell>
        </row>
        <row r="483">
          <cell r="AD483" t="str">
            <v>017-萬全鋼圈- CSR*22.5 (廠商-寄庫未出-帳已結)</v>
          </cell>
          <cell r="AE483" t="str">
            <v>017-萬全</v>
          </cell>
          <cell r="AF483">
            <v>-16</v>
          </cell>
          <cell r="AG483">
            <v>1500</v>
          </cell>
        </row>
        <row r="484">
          <cell r="AD484" t="str">
            <v>017-萬全鋼圈-CSR*9.00*22.5歐規10孔舊廠</v>
          </cell>
          <cell r="AE484" t="str">
            <v>017-萬全</v>
          </cell>
          <cell r="AF484">
            <v>16</v>
          </cell>
          <cell r="AG484">
            <v>1500</v>
          </cell>
        </row>
        <row r="485">
          <cell r="AD485" t="str">
            <v>312-SKYPOWER(優盛輪胎)DOVROAD-315/80R22.5*DD662(人字花)舊廠</v>
          </cell>
          <cell r="AE485" t="str">
            <v>312-SKYPOWER(優盛輪胎)</v>
          </cell>
          <cell r="AF485">
            <v>84</v>
          </cell>
          <cell r="AG485">
            <v>4048</v>
          </cell>
        </row>
        <row r="486">
          <cell r="AD486" t="str">
            <v>312-SKYPOWER(優盛輪胎)BOSSWAY-1100R20*BD925(大粗花)舊廠</v>
          </cell>
          <cell r="AE486" t="str">
            <v>312-SKYPOWER(優盛輪胎)</v>
          </cell>
          <cell r="AF486">
            <v>50</v>
          </cell>
          <cell r="AG486">
            <v>4767</v>
          </cell>
        </row>
        <row r="487">
          <cell r="AD487" t="str">
            <v>312-SKYPOWER(優盛輪胎)BLACKGEM-315/80R22.5*BGA35(閃電直花)舊廠</v>
          </cell>
          <cell r="AE487" t="str">
            <v>312-SKYPOWER(優盛輪胎)</v>
          </cell>
          <cell r="AF487">
            <v>86</v>
          </cell>
          <cell r="AG487">
            <v>3631</v>
          </cell>
        </row>
        <row r="488">
          <cell r="AD488" t="str">
            <v>164-登祿普(公司)-大胎登祿普-315/80R22.5*SP320S舊廠</v>
          </cell>
          <cell r="AE488" t="str">
            <v>164-登祿普(公司)-大胎</v>
          </cell>
          <cell r="AF488">
            <v>46</v>
          </cell>
          <cell r="AG488">
            <v>8067</v>
          </cell>
        </row>
        <row r="489">
          <cell r="AD489" t="str">
            <v>164-登祿普(公司)-大胎登祿普-315/80R22.5*SP320S舊廠</v>
          </cell>
          <cell r="AE489" t="str">
            <v>164-登祿普(公司)-大胎</v>
          </cell>
          <cell r="AF489">
            <v>15</v>
          </cell>
          <cell r="AG489">
            <v>8067</v>
          </cell>
        </row>
        <row r="490">
          <cell r="AD490" t="str">
            <v>164-登祿普(公司)-大胎登祿普-315/80R22.5*SP835舊廠</v>
          </cell>
          <cell r="AE490" t="str">
            <v>164-登祿普(公司)-大胎</v>
          </cell>
          <cell r="AF490">
            <v>40</v>
          </cell>
          <cell r="AG490">
            <v>8536</v>
          </cell>
        </row>
        <row r="491">
          <cell r="AD491" t="str">
            <v>164-登祿普(公司)-大胎登祿普-315/80R22.5*SP835舊廠</v>
          </cell>
          <cell r="AE491" t="str">
            <v>164-登祿普(公司)-大胎</v>
          </cell>
          <cell r="AF491">
            <v>12</v>
          </cell>
          <cell r="AG491">
            <v>8536</v>
          </cell>
        </row>
        <row r="492">
          <cell r="AD492" t="str">
            <v>057-寶喬群柑橘精油黑手專用洗手皂-6入舊廠</v>
          </cell>
          <cell r="AE492" t="str">
            <v>057-寶喬群</v>
          </cell>
          <cell r="AF492">
            <v>60</v>
          </cell>
          <cell r="AG492">
            <v>126</v>
          </cell>
        </row>
        <row r="493">
          <cell r="AD493" t="str">
            <v>081-巨輪興20噸千斤頂修理舊廠</v>
          </cell>
          <cell r="AE493" t="str">
            <v>081-巨輪興</v>
          </cell>
          <cell r="AF493">
            <v>1</v>
          </cell>
          <cell r="AG493">
            <v>1600</v>
          </cell>
        </row>
        <row r="494">
          <cell r="AD494" t="str">
            <v>081-巨輪興拆胎機修理舊廠</v>
          </cell>
          <cell r="AE494" t="str">
            <v>081-巨輪興</v>
          </cell>
          <cell r="AF494">
            <v>1</v>
          </cell>
          <cell r="AG494">
            <v>2000</v>
          </cell>
        </row>
        <row r="495">
          <cell r="AD495" t="str">
            <v>025-光聯一般 水管束子 7/8"舊廠</v>
          </cell>
          <cell r="AE495" t="str">
            <v>025-光聯</v>
          </cell>
          <cell r="AF495">
            <v>2</v>
          </cell>
          <cell r="AG495">
            <v>10</v>
          </cell>
        </row>
        <row r="496">
          <cell r="AD496" t="str">
            <v>025-光聯喜美 K600 16V-熱水管舊廠</v>
          </cell>
          <cell r="AE496" t="str">
            <v>025-光聯</v>
          </cell>
          <cell r="AF496">
            <v>1</v>
          </cell>
          <cell r="AG496">
            <v>100</v>
          </cell>
        </row>
        <row r="497">
          <cell r="AD497" t="str">
            <v>017-萬全墊片-歐規10孔*3mm(薄)舊廠</v>
          </cell>
          <cell r="AE497" t="str">
            <v>017-萬全</v>
          </cell>
          <cell r="AF497">
            <v>6</v>
          </cell>
          <cell r="AG497">
            <v>400</v>
          </cell>
        </row>
        <row r="498">
          <cell r="AD498" t="str">
            <v>017-萬全22.5"鋁合金氣嘴舊廠</v>
          </cell>
          <cell r="AE498" t="str">
            <v>017-萬全</v>
          </cell>
          <cell r="AF498">
            <v>1</v>
          </cell>
          <cell r="AG498">
            <v>150</v>
          </cell>
        </row>
        <row r="499">
          <cell r="AD499" t="str">
            <v>017-萬全385 (前輪)鋁合金氣嘴舊廠</v>
          </cell>
          <cell r="AE499" t="str">
            <v>017-萬全</v>
          </cell>
          <cell r="AF499">
            <v>1</v>
          </cell>
          <cell r="AG499">
            <v>150</v>
          </cell>
        </row>
        <row r="500">
          <cell r="AD500" t="str">
            <v>017-萬全385 (後輪)鋁合金氣嘴舊廠</v>
          </cell>
          <cell r="AE500" t="str">
            <v>017-萬全</v>
          </cell>
          <cell r="AF500">
            <v>1</v>
          </cell>
          <cell r="AG500">
            <v>150</v>
          </cell>
        </row>
        <row r="501">
          <cell r="AD501" t="str">
            <v>017-萬全16"鋁合金氣嘴舊廠</v>
          </cell>
          <cell r="AE501" t="str">
            <v>017-萬全</v>
          </cell>
          <cell r="AF501">
            <v>1</v>
          </cell>
          <cell r="AG501">
            <v>150</v>
          </cell>
        </row>
        <row r="502">
          <cell r="AD502" t="str">
            <v>017-萬全17.5"鋁合金氣嘴舊廠</v>
          </cell>
          <cell r="AE502" t="str">
            <v>017-萬全</v>
          </cell>
          <cell r="AF502">
            <v>2</v>
          </cell>
          <cell r="AG502">
            <v>150</v>
          </cell>
        </row>
        <row r="503">
          <cell r="AD503" t="str">
            <v>001-中華全佑套筒-17(舊)舊廠</v>
          </cell>
          <cell r="AE503" t="str">
            <v>001-中華全佑</v>
          </cell>
          <cell r="AF503">
            <v>6</v>
          </cell>
          <cell r="AG503">
            <v>0</v>
          </cell>
        </row>
        <row r="504">
          <cell r="AD504" t="str">
            <v>001-中華全佑套筒-19(舊)舊廠</v>
          </cell>
          <cell r="AE504" t="str">
            <v>001-中華全佑</v>
          </cell>
          <cell r="AF504">
            <v>3</v>
          </cell>
          <cell r="AG504">
            <v>0</v>
          </cell>
        </row>
        <row r="505">
          <cell r="AD505" t="str">
            <v>001-中華全佑套筒-21(舊)舊廠</v>
          </cell>
          <cell r="AE505" t="str">
            <v>001-中華全佑</v>
          </cell>
          <cell r="AF505">
            <v>19</v>
          </cell>
          <cell r="AG505">
            <v>0</v>
          </cell>
        </row>
        <row r="506">
          <cell r="AD506" t="str">
            <v>025-光聯MI 堅達 3.5T 99-09-熱水鐵管舊廠</v>
          </cell>
          <cell r="AE506" t="str">
            <v>025-光聯</v>
          </cell>
          <cell r="AF506">
            <v>1</v>
          </cell>
          <cell r="AG506">
            <v>450</v>
          </cell>
        </row>
        <row r="507">
          <cell r="AD507" t="str">
            <v>025-光聯一般-汽油管 2分半*8MM舊廠</v>
          </cell>
          <cell r="AE507" t="str">
            <v>025-光聯</v>
          </cell>
          <cell r="AF507">
            <v>1</v>
          </cell>
          <cell r="AG507">
            <v>30</v>
          </cell>
        </row>
        <row r="508">
          <cell r="AD508" t="str">
            <v>025-光聯一般-水管束子 5/8"舊廠</v>
          </cell>
          <cell r="AE508" t="str">
            <v>025-光聯</v>
          </cell>
          <cell r="AF508">
            <v>6</v>
          </cell>
          <cell r="AG508">
            <v>10</v>
          </cell>
        </row>
        <row r="509">
          <cell r="AD509" t="str">
            <v>143-玉山輪胎翻修胎-315R*(直花-正冷)舊廠</v>
          </cell>
          <cell r="AE509" t="str">
            <v>143-玉山輪胎</v>
          </cell>
          <cell r="AF509">
            <v>1</v>
          </cell>
          <cell r="AG509">
            <v>3731</v>
          </cell>
        </row>
        <row r="510">
          <cell r="AD510" t="str">
            <v>164-登祿普(公司)-大胎登祿普-315/80R22.5*SP320S舊廠</v>
          </cell>
          <cell r="AE510" t="str">
            <v>164-登祿普(公司)-大胎</v>
          </cell>
          <cell r="AF510">
            <v>8067</v>
          </cell>
          <cell r="AG510">
            <v>8067</v>
          </cell>
        </row>
        <row r="511">
          <cell r="AD511" t="str">
            <v>164-登祿普(公司)-大胎登祿普-315/80R22.5*SP320S舊廠</v>
          </cell>
          <cell r="AE511" t="str">
            <v>164-登祿普(公司)-大胎</v>
          </cell>
          <cell r="AF511">
            <v>8067</v>
          </cell>
          <cell r="AG511">
            <v>8067</v>
          </cell>
        </row>
        <row r="512">
          <cell r="AD512" t="str">
            <v>164-登祿普(公司)-大胎登祿普-315/80R22.5*SP835舊廠</v>
          </cell>
          <cell r="AE512" t="str">
            <v>164-登祿普(公司)-大胎</v>
          </cell>
          <cell r="AF512">
            <v>1</v>
          </cell>
          <cell r="AG512">
            <v>8536</v>
          </cell>
        </row>
        <row r="513">
          <cell r="AD513" t="str">
            <v>164-登祿普(公司)-大胎登祿普-315/80R22.5*SP835舊廠</v>
          </cell>
          <cell r="AE513" t="str">
            <v>164-登祿普(公司)-大胎</v>
          </cell>
          <cell r="AF513">
            <v>3</v>
          </cell>
          <cell r="AG513">
            <v>8536</v>
          </cell>
        </row>
        <row r="514">
          <cell r="AD514" t="str">
            <v>164-登祿普(公司)-大胎登祿普-275/70R22.5*SP176舊廠</v>
          </cell>
          <cell r="AE514" t="str">
            <v>164-登祿普(公司)-大胎</v>
          </cell>
          <cell r="AF514">
            <v>5</v>
          </cell>
          <cell r="AG514">
            <v>6669</v>
          </cell>
        </row>
        <row r="515">
          <cell r="AD515" t="str">
            <v>164-登祿普(公司)-大胎登祿普-275/70R22.5*SP176舊廠</v>
          </cell>
          <cell r="AE515" t="str">
            <v>164-登祿普(公司)-大胎</v>
          </cell>
          <cell r="AF515">
            <v>2</v>
          </cell>
          <cell r="AG515">
            <v>6669</v>
          </cell>
        </row>
        <row r="516">
          <cell r="AD516" t="str">
            <v>078-昇達普利司通-315/80R22.5*R150舊廠</v>
          </cell>
          <cell r="AE516" t="str">
            <v>078-昇達</v>
          </cell>
          <cell r="AF516">
            <v>20</v>
          </cell>
          <cell r="AG516">
            <v>10202</v>
          </cell>
        </row>
        <row r="517">
          <cell r="AD517" t="str">
            <v>078-昇達瑪吉斯-315/80R22.5*UR288舊廠</v>
          </cell>
          <cell r="AE517" t="str">
            <v>078-昇達</v>
          </cell>
          <cell r="AF517">
            <v>2</v>
          </cell>
          <cell r="AG517">
            <v>8900</v>
          </cell>
        </row>
        <row r="518">
          <cell r="AD518" t="str">
            <v>078-昇達</v>
          </cell>
          <cell r="AE518" t="str">
            <v>078-昇達</v>
          </cell>
          <cell r="AF518">
            <v>0</v>
          </cell>
          <cell r="AG518">
            <v>0</v>
          </cell>
        </row>
        <row r="519">
          <cell r="AD519" t="str">
            <v>006-米其林(公司)-中胎米其林-195/75R16*Agilis RC舊廠</v>
          </cell>
          <cell r="AE519" t="str">
            <v>006-米其林(公司)-中胎</v>
          </cell>
          <cell r="AF519">
            <v>20</v>
          </cell>
          <cell r="AG519">
            <v>2322</v>
          </cell>
        </row>
        <row r="520">
          <cell r="AD520" t="str">
            <v>006-米其林(公司)-中胎米其林-245/70R17.5*X Multi Z舊廠</v>
          </cell>
          <cell r="AE520" t="str">
            <v>006-米其林(公司)-中胎</v>
          </cell>
          <cell r="AF520">
            <v>4</v>
          </cell>
          <cell r="AG520">
            <v>9500</v>
          </cell>
        </row>
        <row r="521">
          <cell r="AD521" t="str">
            <v>161-普利司通(公司)-中胎普利司通-195/75R16C*R212舊廠</v>
          </cell>
          <cell r="AE521" t="str">
            <v>161-普利司通(公司)-中胎</v>
          </cell>
          <cell r="AF521">
            <v>2</v>
          </cell>
          <cell r="AG521">
            <v>2516</v>
          </cell>
        </row>
        <row r="522">
          <cell r="AD522" t="str">
            <v>092-鴻昌吊空壓機調整舊廠</v>
          </cell>
          <cell r="AE522" t="str">
            <v>092-鴻昌</v>
          </cell>
          <cell r="AF522">
            <v>1</v>
          </cell>
          <cell r="AG522">
            <v>1200</v>
          </cell>
        </row>
        <row r="523">
          <cell r="AD523" t="str">
            <v>092-鴻昌皮帶校正工資舊廠</v>
          </cell>
          <cell r="AE523" t="str">
            <v>092-鴻昌</v>
          </cell>
          <cell r="AF523">
            <v>1</v>
          </cell>
          <cell r="AG523">
            <v>0</v>
          </cell>
        </row>
        <row r="524">
          <cell r="AD524" t="str">
            <v>092-鴻昌皮帶輪舊廠</v>
          </cell>
          <cell r="AE524" t="str">
            <v>092-鴻昌</v>
          </cell>
          <cell r="AF524">
            <v>1</v>
          </cell>
          <cell r="AG524">
            <v>0</v>
          </cell>
        </row>
        <row r="525">
          <cell r="AD525" t="str">
            <v>168-瑪吉斯-中胎瑪吉斯-195/75R16C*UE168(廠商-寄庫未出-帳已結)</v>
          </cell>
          <cell r="AE525" t="str">
            <v>168-瑪吉斯-中胎</v>
          </cell>
          <cell r="AF525">
            <v>-10</v>
          </cell>
          <cell r="AG525">
            <v>2221</v>
          </cell>
        </row>
        <row r="526">
          <cell r="AD526" t="str">
            <v>168-瑪吉斯-中胎瑪吉斯-195/75R16C*UE168舊廠</v>
          </cell>
          <cell r="AE526" t="str">
            <v>168-瑪吉斯-中胎</v>
          </cell>
          <cell r="AF526">
            <v>10</v>
          </cell>
          <cell r="AG526">
            <v>2221</v>
          </cell>
        </row>
        <row r="527">
          <cell r="AD527" t="str">
            <v>164-登祿普(公司)-大胎登祿普-315/80R22.5*SP835舊廠</v>
          </cell>
          <cell r="AE527" t="str">
            <v>164-登祿普(公司)-大胎</v>
          </cell>
          <cell r="AF527">
            <v>19</v>
          </cell>
          <cell r="AG527">
            <v>8536</v>
          </cell>
        </row>
        <row r="528">
          <cell r="AD528" t="str">
            <v>164-登祿普(公司)-大胎登祿普-315/80R22.5*SP835舊廠</v>
          </cell>
          <cell r="AE528" t="str">
            <v>164-登祿普(公司)-大胎</v>
          </cell>
          <cell r="AF528">
            <v>3</v>
          </cell>
          <cell r="AG528">
            <v>8536</v>
          </cell>
        </row>
        <row r="529">
          <cell r="AD529" t="str">
            <v>164-登祿普(公司)-大胎登祿普-12R22.5*SP320S舊廠</v>
          </cell>
          <cell r="AE529" t="str">
            <v>164-登祿普(公司)-大胎</v>
          </cell>
          <cell r="AF529">
            <v>8</v>
          </cell>
          <cell r="AG529">
            <v>7092</v>
          </cell>
        </row>
        <row r="530">
          <cell r="AD530" t="str">
            <v>164-登祿普(公司)-大胎登祿普-12R22.5*SP320S舊廠</v>
          </cell>
          <cell r="AE530" t="str">
            <v>164-登祿普(公司)-大胎</v>
          </cell>
          <cell r="AF530">
            <v>2</v>
          </cell>
          <cell r="AG530">
            <v>7092</v>
          </cell>
        </row>
        <row r="531">
          <cell r="AD531" t="str">
            <v>164-登祿普(公司)-大胎登祿普-295/80R22.5*SP320S舊廠</v>
          </cell>
          <cell r="AE531" t="str">
            <v>164-登祿普(公司)-大胎</v>
          </cell>
          <cell r="AF531">
            <v>2</v>
          </cell>
          <cell r="AG531">
            <v>7301</v>
          </cell>
        </row>
        <row r="532">
          <cell r="AD532" t="str">
            <v>164-登祿普(公司)-大胎登祿普-295/80R22.5*SP320S舊廠</v>
          </cell>
          <cell r="AE532" t="str">
            <v>164-登祿普(公司)-大胎</v>
          </cell>
          <cell r="AF532">
            <v>1</v>
          </cell>
          <cell r="AG532">
            <v>7301</v>
          </cell>
        </row>
        <row r="533">
          <cell r="AD533" t="str">
            <v>168-瑪吉斯-中胎瑪吉斯-235/75R17.5*UR275舊廠</v>
          </cell>
          <cell r="AE533" t="str">
            <v>168-瑪吉斯-中胎</v>
          </cell>
          <cell r="AF533">
            <v>4</v>
          </cell>
          <cell r="AG533">
            <v>4900</v>
          </cell>
        </row>
        <row r="534">
          <cell r="AD534" t="str">
            <v>015-棋邦-建大建大-7.00-12*K611舊廠</v>
          </cell>
          <cell r="AE534" t="str">
            <v>015-棋邦-建大</v>
          </cell>
          <cell r="AF534">
            <v>2</v>
          </cell>
          <cell r="AG534">
            <v>2800</v>
          </cell>
        </row>
        <row r="535">
          <cell r="AD535" t="str">
            <v>161-普利司通(公司)-中胎普利司通-700R16*R200舊廠</v>
          </cell>
          <cell r="AE535" t="str">
            <v>161-普利司通(公司)-中胎</v>
          </cell>
          <cell r="AF535">
            <v>6</v>
          </cell>
          <cell r="AG535">
            <v>2922</v>
          </cell>
        </row>
        <row r="536">
          <cell r="AD536" t="str">
            <v>038-亞獵士鋼圈-_E001_61_22.5舊廠</v>
          </cell>
          <cell r="AE536" t="str">
            <v>038-亞獵士</v>
          </cell>
          <cell r="AF536">
            <v>4</v>
          </cell>
          <cell r="AG536">
            <v>6300</v>
          </cell>
        </row>
        <row r="537">
          <cell r="AD537" t="str">
            <v>038-亞獵士鋼圈-卡車螺帽M22*1.5*RR*38mm舊廠</v>
          </cell>
          <cell r="AE537" t="str">
            <v>038-亞獵士</v>
          </cell>
          <cell r="AF537">
            <v>20</v>
          </cell>
          <cell r="AG537">
            <v>158</v>
          </cell>
        </row>
        <row r="538">
          <cell r="AD538" t="str">
            <v>022-統富BPW/B 12T-活動拉桿舊廠</v>
          </cell>
          <cell r="AE538" t="str">
            <v>022-統富</v>
          </cell>
          <cell r="AF538">
            <v>1</v>
          </cell>
          <cell r="AG538">
            <v>2100</v>
          </cell>
        </row>
        <row r="539">
          <cell r="AD539" t="str">
            <v>025-光聯MI 堅達 3.5T 96-AC冷氣開關 3P冷氣舊廠</v>
          </cell>
          <cell r="AE539" t="str">
            <v>025-光聯</v>
          </cell>
          <cell r="AF539">
            <v>1</v>
          </cell>
          <cell r="AG539">
            <v>450</v>
          </cell>
        </row>
        <row r="540">
          <cell r="AD540" t="str">
            <v>025-光聯MI 堅達 3.5T 96-AC冷氣開關 3P冷氣舊廠</v>
          </cell>
          <cell r="AE540" t="str">
            <v>025-光聯</v>
          </cell>
          <cell r="AF540">
            <v>-1</v>
          </cell>
          <cell r="AG540">
            <v>450</v>
          </cell>
        </row>
        <row r="541">
          <cell r="AD541" t="str">
            <v>025-光聯MI 堅達 3.5T -AC冷氣開關 送風舊廠</v>
          </cell>
          <cell r="AE541" t="str">
            <v>025-光聯</v>
          </cell>
          <cell r="AF541">
            <v>1</v>
          </cell>
          <cell r="AG541">
            <v>1500</v>
          </cell>
        </row>
        <row r="542">
          <cell r="AD542" t="str">
            <v>029-昌樺插頭-8P 母舊廠</v>
          </cell>
          <cell r="AE542" t="str">
            <v>029-昌樺</v>
          </cell>
          <cell r="AF542">
            <v>1</v>
          </cell>
          <cell r="AG542">
            <v>45</v>
          </cell>
        </row>
        <row r="543">
          <cell r="AD543" t="str">
            <v>029-昌樺保險絲座連接線舊廠</v>
          </cell>
          <cell r="AE543" t="str">
            <v>029-昌樺</v>
          </cell>
          <cell r="AF543">
            <v>3</v>
          </cell>
          <cell r="AG543">
            <v>55</v>
          </cell>
        </row>
        <row r="544">
          <cell r="AD544" t="str">
            <v>029-昌樺保險絲*10A舊廠</v>
          </cell>
          <cell r="AE544" t="str">
            <v>029-昌樺</v>
          </cell>
          <cell r="AF544">
            <v>4</v>
          </cell>
          <cell r="AG544">
            <v>5</v>
          </cell>
        </row>
        <row r="545">
          <cell r="AD545" t="str">
            <v>029-昌樺保險絲*15A舊廠</v>
          </cell>
          <cell r="AE545" t="str">
            <v>029-昌樺</v>
          </cell>
          <cell r="AF545">
            <v>2</v>
          </cell>
          <cell r="AG545">
            <v>5</v>
          </cell>
        </row>
        <row r="546">
          <cell r="AD546" t="str">
            <v>152-有勝-有程定位墊片*L 3MM舊廠</v>
          </cell>
          <cell r="AE546" t="str">
            <v>152-有勝-有程</v>
          </cell>
          <cell r="AF546">
            <v>60</v>
          </cell>
          <cell r="AG546">
            <v>150</v>
          </cell>
        </row>
        <row r="547">
          <cell r="AD547" t="str">
            <v>152-有勝-有程定位墊片*M 2MM舊廠</v>
          </cell>
          <cell r="AE547" t="str">
            <v>152-有勝-有程</v>
          </cell>
          <cell r="AF547">
            <v>90</v>
          </cell>
          <cell r="AG547">
            <v>130</v>
          </cell>
        </row>
        <row r="548">
          <cell r="AD548" t="str">
            <v>017-萬全鋁圈螺帽-7/8*14R舊廠</v>
          </cell>
          <cell r="AE548" t="str">
            <v>017-萬全</v>
          </cell>
          <cell r="AF548">
            <v>10</v>
          </cell>
          <cell r="AG548">
            <v>150</v>
          </cell>
        </row>
        <row r="549">
          <cell r="AD549" t="str">
            <v>005-米其林(公司)-大胎米其林-295/80R22.5*X Coach Z舊廠</v>
          </cell>
          <cell r="AE549" t="str">
            <v>005-米其林(公司)-大胎</v>
          </cell>
          <cell r="AF549">
            <v>10</v>
          </cell>
          <cell r="AG549">
            <v>12062</v>
          </cell>
        </row>
        <row r="550">
          <cell r="AD550" t="str">
            <v>143-玉山輪胎翻修胎-315R*(直花-正冷)舊廠</v>
          </cell>
          <cell r="AE550" t="str">
            <v>143-玉山輪胎</v>
          </cell>
          <cell r="AF550">
            <v>38</v>
          </cell>
          <cell r="AG550">
            <v>3731</v>
          </cell>
        </row>
        <row r="551">
          <cell r="AD551" t="str">
            <v>017-萬全鋼圈- CSR*22.5 (廠商-寄庫未出-帳已結)</v>
          </cell>
          <cell r="AE551" t="str">
            <v>017-萬全</v>
          </cell>
          <cell r="AF551">
            <v>-16</v>
          </cell>
          <cell r="AG551">
            <v>1500</v>
          </cell>
        </row>
        <row r="552">
          <cell r="AD552" t="str">
            <v>017-萬全鋼圈-CSR*9.00*22.5歐規10孔舊廠</v>
          </cell>
          <cell r="AE552" t="str">
            <v>017-萬全</v>
          </cell>
          <cell r="AF552">
            <v>16</v>
          </cell>
          <cell r="AG552">
            <v>1500</v>
          </cell>
        </row>
        <row r="553">
          <cell r="AD553" t="str">
            <v>017-萬全螺帽 M20*1.5 F-L舊廠</v>
          </cell>
          <cell r="AE553" t="str">
            <v>017-萬全</v>
          </cell>
          <cell r="AF553">
            <v>1</v>
          </cell>
          <cell r="AG553">
            <v>120</v>
          </cell>
        </row>
        <row r="554">
          <cell r="AD554" t="str">
            <v>017-萬全鋼圈- CSR*22.5 (廠商-寄庫未出-帳已結)</v>
          </cell>
          <cell r="AE554" t="str">
            <v>017-萬全</v>
          </cell>
          <cell r="AF554">
            <v>-16</v>
          </cell>
          <cell r="AG554">
            <v>1500</v>
          </cell>
        </row>
        <row r="555">
          <cell r="AD555" t="str">
            <v>017-萬全鋼圈-CSR*9.00*22.5歐規10孔舊廠</v>
          </cell>
          <cell r="AE555" t="str">
            <v>017-萬全</v>
          </cell>
          <cell r="AF555">
            <v>16</v>
          </cell>
          <cell r="AG555">
            <v>1500</v>
          </cell>
        </row>
        <row r="556">
          <cell r="AD556" t="str">
            <v>078-昇達翻修胎-295R*(直花-正冷)舊廠</v>
          </cell>
          <cell r="AE556" t="str">
            <v>078-昇達</v>
          </cell>
          <cell r="AF556">
            <v>18</v>
          </cell>
          <cell r="AG556">
            <v>2716</v>
          </cell>
        </row>
        <row r="557">
          <cell r="AD557" t="str">
            <v>078-昇達翻修胎-315R*(粗花-加厚)舊廠</v>
          </cell>
          <cell r="AE557" t="str">
            <v>078-昇達</v>
          </cell>
          <cell r="AF557">
            <v>18</v>
          </cell>
          <cell r="AG557">
            <v>3589</v>
          </cell>
        </row>
        <row r="558">
          <cell r="AD558" t="str">
            <v>078-昇達翻修胎-1100-20*(高溫UL)舊廠</v>
          </cell>
          <cell r="AE558" t="str">
            <v>078-昇達</v>
          </cell>
          <cell r="AF558">
            <v>3</v>
          </cell>
          <cell r="AG558">
            <v>2813</v>
          </cell>
        </row>
        <row r="559">
          <cell r="AD559" t="str">
            <v>078-昇達翻修胎-315R*(直花-正冷)舊廠</v>
          </cell>
          <cell r="AE559" t="str">
            <v>078-昇達</v>
          </cell>
          <cell r="AF559">
            <v>12</v>
          </cell>
          <cell r="AG559">
            <v>3201</v>
          </cell>
        </row>
        <row r="560">
          <cell r="AD560" t="str">
            <v>078-昇達翻修胎-315R*DY3舊廠</v>
          </cell>
          <cell r="AE560" t="str">
            <v>078-昇達</v>
          </cell>
          <cell r="AF560">
            <v>22</v>
          </cell>
          <cell r="AG560">
            <v>3589</v>
          </cell>
        </row>
        <row r="561">
          <cell r="AD561" t="str">
            <v>025-光聯一般 燈泡 24V 單心舊廠</v>
          </cell>
          <cell r="AE561" t="str">
            <v>025-光聯</v>
          </cell>
          <cell r="AF561">
            <v>1</v>
          </cell>
          <cell r="AG561">
            <v>6</v>
          </cell>
        </row>
        <row r="562">
          <cell r="AD562" t="str">
            <v>025-光聯一般 燈泡座 單心舊廠</v>
          </cell>
          <cell r="AE562" t="str">
            <v>025-光聯</v>
          </cell>
          <cell r="AF562">
            <v>1</v>
          </cell>
          <cell r="AG562">
            <v>15</v>
          </cell>
        </row>
        <row r="563">
          <cell r="AD563" t="str">
            <v>032-弘新&gt;銀王OB-15舊廠</v>
          </cell>
          <cell r="AE563" t="str">
            <v>032-弘新&gt;銀王</v>
          </cell>
          <cell r="AF563">
            <v>20</v>
          </cell>
          <cell r="AG563">
            <v>110</v>
          </cell>
        </row>
        <row r="564">
          <cell r="AD564" t="str">
            <v>032-弘新&gt;銀王OB-16舊廠</v>
          </cell>
          <cell r="AE564" t="str">
            <v>032-弘新&gt;銀王</v>
          </cell>
          <cell r="AF564">
            <v>20</v>
          </cell>
          <cell r="AG564">
            <v>115</v>
          </cell>
        </row>
        <row r="565">
          <cell r="AD565" t="str">
            <v>017-萬全鋼圈-HL3*9.00*22.5歐規10孔防爆舊廠</v>
          </cell>
          <cell r="AE565" t="str">
            <v>017-萬全</v>
          </cell>
          <cell r="AF565">
            <v>16</v>
          </cell>
          <cell r="AG565">
            <v>2900</v>
          </cell>
        </row>
        <row r="566">
          <cell r="AD566" t="str">
            <v>005-米其林(公司)-大胎米其林-315/80R22.5*XDE2+舊廠</v>
          </cell>
          <cell r="AE566" t="str">
            <v>005-米其林(公司)-大胎</v>
          </cell>
          <cell r="AF566">
            <v>20</v>
          </cell>
          <cell r="AG566">
            <v>14831</v>
          </cell>
        </row>
        <row r="567">
          <cell r="AD567" t="str">
            <v>005-米其林(公司)-大胎米其林-315/80R22.5*XDE2+舊廠</v>
          </cell>
          <cell r="AE567" t="str">
            <v>005-米其林(公司)-大胎</v>
          </cell>
          <cell r="AF567">
            <v>10</v>
          </cell>
          <cell r="AG567">
            <v>14831</v>
          </cell>
        </row>
        <row r="568">
          <cell r="AD568" t="str">
            <v>160-普利司通(公司)-大胎普利司通-385/65R22.5*R168舊廠</v>
          </cell>
          <cell r="AE568" t="str">
            <v>160-普利司通(公司)-大胎</v>
          </cell>
          <cell r="AF568">
            <v>1</v>
          </cell>
          <cell r="AG568">
            <v>17592</v>
          </cell>
        </row>
        <row r="569">
          <cell r="AD569" t="str">
            <v>186-鴻鑫TOPRUNNER-315/80R22.5*CR917(直花)舊廠</v>
          </cell>
          <cell r="AE569" t="str">
            <v>186-鴻鑫</v>
          </cell>
          <cell r="AF569">
            <v>50</v>
          </cell>
          <cell r="AG569">
            <v>3872</v>
          </cell>
        </row>
        <row r="570">
          <cell r="AD570" t="str">
            <v>186-鴻鑫PROLOAD--315/80R22.5*PL886(直花)舊廠</v>
          </cell>
          <cell r="AE570" t="str">
            <v>186-鴻鑫</v>
          </cell>
          <cell r="AF570">
            <v>14</v>
          </cell>
          <cell r="AG570">
            <v>4073</v>
          </cell>
        </row>
        <row r="571">
          <cell r="AD571" t="str">
            <v>038-亞獵士鋼圈-_E001_61_22.5*超鏡面舊廠</v>
          </cell>
          <cell r="AE571" t="str">
            <v>038-亞獵士</v>
          </cell>
          <cell r="AF571">
            <v>2</v>
          </cell>
          <cell r="AG571">
            <v>8400</v>
          </cell>
        </row>
        <row r="572">
          <cell r="AD572" t="str">
            <v>038-亞獵士鋼圈-卡車螺帽M22*1.5*FR*14mm舊廠</v>
          </cell>
          <cell r="AE572" t="str">
            <v>038-亞獵士</v>
          </cell>
          <cell r="AF572">
            <v>20</v>
          </cell>
          <cell r="AG572">
            <v>126</v>
          </cell>
        </row>
        <row r="573">
          <cell r="AD573" t="str">
            <v>106-勝鋼- 豐驛全油壓轉向缸修理包舊廠</v>
          </cell>
          <cell r="AE573" t="str">
            <v>106-勝鋼- 豐驛</v>
          </cell>
          <cell r="AF573">
            <v>1</v>
          </cell>
          <cell r="AG573">
            <v>0</v>
          </cell>
        </row>
        <row r="574">
          <cell r="AD574" t="str">
            <v>106-勝鋼- 豐驛拆修工資舊廠</v>
          </cell>
          <cell r="AE574" t="str">
            <v>106-勝鋼- 豐驛</v>
          </cell>
          <cell r="AF574">
            <v>1</v>
          </cell>
          <cell r="AG574">
            <v>0</v>
          </cell>
        </row>
        <row r="575">
          <cell r="AD575" t="str">
            <v>005-米其林(公司)-大胎米其林-315/80R22.5*XDE2+倉庫</v>
          </cell>
          <cell r="AE575" t="str">
            <v>005-米其林(公司)-大胎</v>
          </cell>
          <cell r="AF575">
            <v>20</v>
          </cell>
          <cell r="AG575">
            <v>14831</v>
          </cell>
        </row>
        <row r="576">
          <cell r="AD576" t="str">
            <v>244-昆侖輪胎有限公司昆侖-385/65R22.5*KT186舊廠</v>
          </cell>
          <cell r="AE576" t="str">
            <v>244-昆侖輪胎有限公司</v>
          </cell>
          <cell r="AF576">
            <v>2</v>
          </cell>
          <cell r="AG576">
            <v>5273</v>
          </cell>
        </row>
        <row r="577">
          <cell r="AD577" t="str">
            <v>019-立城工程胎 BKT-16.9-24*TR459舊廠</v>
          </cell>
          <cell r="AE577" t="str">
            <v>019-立城</v>
          </cell>
          <cell r="AF577">
            <v>1</v>
          </cell>
          <cell r="AG577">
            <v>17500</v>
          </cell>
        </row>
        <row r="578">
          <cell r="AD578" t="str">
            <v>017-萬全鋼圈- CSR*22.5 (廠商-寄庫未出-帳已結)</v>
          </cell>
          <cell r="AE578" t="str">
            <v>017-萬全</v>
          </cell>
          <cell r="AF578">
            <v>-32</v>
          </cell>
          <cell r="AG578">
            <v>1500</v>
          </cell>
        </row>
        <row r="579">
          <cell r="AD579" t="str">
            <v>017-萬全鋼圈-CSR*9.00*22.5歐規10孔舊廠</v>
          </cell>
          <cell r="AE579" t="str">
            <v>017-萬全</v>
          </cell>
          <cell r="AF579">
            <v>32</v>
          </cell>
          <cell r="AG579">
            <v>1500</v>
          </cell>
        </row>
        <row r="580">
          <cell r="AD580" t="str">
            <v>161-普利司通(公司)-中胎普利司通-205/85R16*R202舊廠</v>
          </cell>
          <cell r="AE580" t="str">
            <v>161-普利司通(公司)-中胎</v>
          </cell>
          <cell r="AF580">
            <v>2</v>
          </cell>
          <cell r="AG580">
            <v>4290</v>
          </cell>
        </row>
        <row r="581">
          <cell r="AD581" t="str">
            <v>161-普利司通(公司)-中胎普利司通-205/85R16*R202舊廠</v>
          </cell>
          <cell r="AE581" t="str">
            <v>161-普利司通(公司)-中胎</v>
          </cell>
          <cell r="AF581">
            <v>2</v>
          </cell>
          <cell r="AG581">
            <v>4290</v>
          </cell>
        </row>
        <row r="582">
          <cell r="AD582" t="str">
            <v>017-萬全鋼圈-HL3*9.00*22.5歐規10孔防爆舊廠</v>
          </cell>
          <cell r="AE582" t="str">
            <v>017-萬全</v>
          </cell>
          <cell r="AF582">
            <v>2</v>
          </cell>
          <cell r="AG582">
            <v>2900</v>
          </cell>
        </row>
        <row r="583">
          <cell r="AD583" t="str">
            <v>017-萬全墊片-歐規10孔*3mm(薄)舊廠</v>
          </cell>
          <cell r="AE583" t="str">
            <v>017-萬全</v>
          </cell>
          <cell r="AF583">
            <v>5</v>
          </cell>
          <cell r="AG583">
            <v>400</v>
          </cell>
        </row>
        <row r="584">
          <cell r="AD584" t="str">
            <v>025-光聯MI 堅達 3.5T-排檔拉桿和尚頭舊廠</v>
          </cell>
          <cell r="AE584" t="str">
            <v>025-光聯</v>
          </cell>
          <cell r="AF584">
            <v>1</v>
          </cell>
          <cell r="AG584">
            <v>150</v>
          </cell>
        </row>
        <row r="585">
          <cell r="AD585" t="str">
            <v>025-光聯MI 堅達 3.5T 96-排修包*大包舊廠</v>
          </cell>
          <cell r="AE585" t="str">
            <v>025-光聯</v>
          </cell>
          <cell r="AF585">
            <v>1</v>
          </cell>
          <cell r="AG585">
            <v>250</v>
          </cell>
        </row>
        <row r="586">
          <cell r="AD586" t="str">
            <v>164-登祿普(公司)-大胎登祿普-315/80R22.5*SP571舊廠</v>
          </cell>
          <cell r="AE586" t="str">
            <v>164-登祿普(公司)-大胎</v>
          </cell>
          <cell r="AF586">
            <v>201</v>
          </cell>
          <cell r="AG586">
            <v>8054</v>
          </cell>
        </row>
        <row r="587">
          <cell r="AD587" t="str">
            <v>005-米其林(公司)-大胎米其林-上衣(長)* 特殊超大尺寸舊廠</v>
          </cell>
          <cell r="AE587" t="str">
            <v>005-米其林(公司)-大胎</v>
          </cell>
          <cell r="AF587">
            <v>3</v>
          </cell>
          <cell r="AG587">
            <v>0</v>
          </cell>
        </row>
        <row r="588">
          <cell r="AD588" t="str">
            <v>005-米其林(公司)-大胎米其林-上衣(短)* 特殊超大尺寸舊廠</v>
          </cell>
          <cell r="AE588" t="str">
            <v>005-米其林(公司)-大胎</v>
          </cell>
          <cell r="AF588">
            <v>3</v>
          </cell>
          <cell r="AG588">
            <v>0</v>
          </cell>
        </row>
        <row r="589">
          <cell r="AD589" t="str">
            <v>168-瑪吉斯-中胎瑪吉斯-825R16*UR275(廠商-寄庫未出-帳已結)</v>
          </cell>
          <cell r="AE589" t="str">
            <v>168-瑪吉斯-中胎</v>
          </cell>
          <cell r="AF589">
            <v>-3</v>
          </cell>
          <cell r="AG589">
            <v>5200</v>
          </cell>
        </row>
        <row r="590">
          <cell r="AD590" t="str">
            <v>168-瑪吉斯-中胎瑪吉斯-825R16*MA265舊廠</v>
          </cell>
          <cell r="AE590" t="str">
            <v>168-瑪吉斯-中胎</v>
          </cell>
          <cell r="AF590">
            <v>3</v>
          </cell>
          <cell r="AG590">
            <v>5200</v>
          </cell>
        </row>
        <row r="591">
          <cell r="AD591" t="str">
            <v>168-瑪吉斯-中胎瑪吉斯-825R16*MA265(廠商-寄庫未出-帳已結)</v>
          </cell>
          <cell r="AE591" t="str">
            <v>168-瑪吉斯-中胎</v>
          </cell>
          <cell r="AF591">
            <v>5</v>
          </cell>
          <cell r="AG591">
            <v>5200</v>
          </cell>
        </row>
        <row r="592">
          <cell r="AD592" t="str">
            <v>168-瑪吉斯-中胎瑪吉斯-825R16*MA265舊廠</v>
          </cell>
          <cell r="AE592" t="str">
            <v>168-瑪吉斯-中胎</v>
          </cell>
          <cell r="AF592">
            <v>1</v>
          </cell>
          <cell r="AG592">
            <v>5200</v>
          </cell>
        </row>
        <row r="593">
          <cell r="AD593" t="str">
            <v>038-亞獵士鋼圈-_E001_61_22.5*霧面舊廠</v>
          </cell>
          <cell r="AE593" t="str">
            <v>038-亞獵士</v>
          </cell>
          <cell r="AF593">
            <v>24</v>
          </cell>
          <cell r="AG593">
            <v>5460</v>
          </cell>
        </row>
        <row r="594">
          <cell r="AD594" t="str">
            <v>038-亞獵士鋼圈-卡車螺帽M22*1.5*FR*14mm舊廠</v>
          </cell>
          <cell r="AE594" t="str">
            <v>038-亞獵士</v>
          </cell>
          <cell r="AF594">
            <v>200</v>
          </cell>
          <cell r="AG594">
            <v>126</v>
          </cell>
        </row>
        <row r="595">
          <cell r="AD595" t="str">
            <v>038-亞獵士鋼圈-卡車螺帽M22*1.5*RR*38mm舊廠</v>
          </cell>
          <cell r="AE595" t="str">
            <v>038-亞獵士</v>
          </cell>
          <cell r="AF595">
            <v>100</v>
          </cell>
          <cell r="AG595">
            <v>158</v>
          </cell>
        </row>
        <row r="596">
          <cell r="AD596" t="str">
            <v>038-亞獵士鋼圈-卡車螺帽7/8*11*RR*38mm舊廠</v>
          </cell>
          <cell r="AE596" t="str">
            <v>038-亞獵士</v>
          </cell>
          <cell r="AF596">
            <v>40</v>
          </cell>
          <cell r="AG596">
            <v>126</v>
          </cell>
        </row>
        <row r="597">
          <cell r="AD597" t="str">
            <v>038-亞獵士鋼圈-卡車螺帽7/8*11*FR*14mm舊廠</v>
          </cell>
          <cell r="AE597" t="str">
            <v>038-亞獵士</v>
          </cell>
          <cell r="AF597">
            <v>40</v>
          </cell>
          <cell r="AG597">
            <v>158</v>
          </cell>
        </row>
        <row r="598">
          <cell r="AD598" t="str">
            <v>161-普利司通(公司)-中胎普利司通-700R16*R200舊廠</v>
          </cell>
          <cell r="AE598" t="str">
            <v>161-普利司通(公司)-中胎</v>
          </cell>
          <cell r="AF598">
            <v>10</v>
          </cell>
          <cell r="AG598">
            <v>2922</v>
          </cell>
        </row>
        <row r="599">
          <cell r="AD599" t="str">
            <v>161-普利司通(公司)-中胎普利司通-700R15*R200舊廠</v>
          </cell>
          <cell r="AE599" t="str">
            <v>161-普利司通(公司)-中胎</v>
          </cell>
          <cell r="AF599">
            <v>10</v>
          </cell>
          <cell r="AG599">
            <v>2826</v>
          </cell>
        </row>
        <row r="600">
          <cell r="AD600" t="str">
            <v>161-普利司通(公司)-中胎普利司通-205/75R17.5*R294舊廠</v>
          </cell>
          <cell r="AE600" t="str">
            <v>161-普利司通(公司)-中胎</v>
          </cell>
          <cell r="AF600">
            <v>4</v>
          </cell>
          <cell r="AG600">
            <v>5648</v>
          </cell>
        </row>
        <row r="601">
          <cell r="AD601" t="str">
            <v>161-普利司通(公司)-中胎普利司通-215/75R17.5*R294舊廠</v>
          </cell>
          <cell r="AE601" t="str">
            <v>161-普利司通(公司)-中胎</v>
          </cell>
          <cell r="AF601">
            <v>6</v>
          </cell>
          <cell r="AG601">
            <v>5891</v>
          </cell>
        </row>
        <row r="602">
          <cell r="AD602" t="str">
            <v>161-普利司通(公司)-中胎普利司通-700R16*R200舊廠</v>
          </cell>
          <cell r="AE602" t="str">
            <v>161-普利司通(公司)-中胎</v>
          </cell>
          <cell r="AF602">
            <v>2</v>
          </cell>
          <cell r="AG602">
            <v>2922</v>
          </cell>
        </row>
        <row r="603">
          <cell r="AD603" t="str">
            <v>161-普利司通(公司)-中胎普利司通-700R15*R200舊廠</v>
          </cell>
          <cell r="AE603" t="str">
            <v>161-普利司通(公司)-中胎</v>
          </cell>
          <cell r="AF603">
            <v>2</v>
          </cell>
          <cell r="AG603">
            <v>2826</v>
          </cell>
        </row>
        <row r="604">
          <cell r="AD604" t="str">
            <v>106-勝鋼- 豐驛左羊角舊廠</v>
          </cell>
          <cell r="AE604" t="str">
            <v>106-勝鋼- 豐驛</v>
          </cell>
          <cell r="AF604">
            <v>1</v>
          </cell>
          <cell r="AG604">
            <v>0</v>
          </cell>
        </row>
        <row r="605">
          <cell r="AD605" t="str">
            <v>106-勝鋼- 豐驛轉向軸套舊廠</v>
          </cell>
          <cell r="AE605" t="str">
            <v>106-勝鋼- 豐驛</v>
          </cell>
          <cell r="AF605">
            <v>2</v>
          </cell>
          <cell r="AG605">
            <v>0</v>
          </cell>
        </row>
        <row r="606">
          <cell r="AD606" t="str">
            <v>106-勝鋼- 豐驛轉向魚眼座舊廠</v>
          </cell>
          <cell r="AE606" t="str">
            <v>106-勝鋼- 豐驛</v>
          </cell>
          <cell r="AF606">
            <v>2</v>
          </cell>
          <cell r="AG606">
            <v>0</v>
          </cell>
        </row>
        <row r="607">
          <cell r="AD607" t="str">
            <v>106-勝鋼- 豐驛固定角舊廠</v>
          </cell>
          <cell r="AE607" t="str">
            <v>106-勝鋼- 豐驛</v>
          </cell>
          <cell r="AF607">
            <v>4</v>
          </cell>
          <cell r="AG607">
            <v>0</v>
          </cell>
        </row>
        <row r="608">
          <cell r="AD608" t="str">
            <v>106-勝鋼- 豐驛拆修工資舊廠</v>
          </cell>
          <cell r="AE608" t="str">
            <v>106-勝鋼- 豐驛</v>
          </cell>
          <cell r="AF608">
            <v>1</v>
          </cell>
          <cell r="AG608">
            <v>0</v>
          </cell>
        </row>
        <row r="609">
          <cell r="AD609" t="str">
            <v>017-萬全鋼圈-HL1*9.00*22.5歐規10孔舊廠</v>
          </cell>
          <cell r="AE609" t="str">
            <v>017-萬全</v>
          </cell>
          <cell r="AF609">
            <v>16</v>
          </cell>
          <cell r="AG609">
            <v>3200</v>
          </cell>
        </row>
        <row r="610">
          <cell r="AD610" t="str">
            <v>005-米其林(公司)-大胎米其林-315/80R22.5*X Multi Z舊廠</v>
          </cell>
          <cell r="AE610" t="str">
            <v>005-米其林(公司)-大胎</v>
          </cell>
          <cell r="AF610">
            <v>8</v>
          </cell>
          <cell r="AG610">
            <v>14163</v>
          </cell>
        </row>
        <row r="611">
          <cell r="AD611" t="str">
            <v>078-昇達普利司通-385/65R22.5*R168舊廠</v>
          </cell>
          <cell r="AE611" t="str">
            <v>078-昇達</v>
          </cell>
          <cell r="AF611">
            <v>10</v>
          </cell>
          <cell r="AG611">
            <v>12500</v>
          </cell>
        </row>
        <row r="612">
          <cell r="AD612" t="str">
            <v>078-昇達普利司通-315/80R22.5*R150舊廠</v>
          </cell>
          <cell r="AE612" t="str">
            <v>078-昇達</v>
          </cell>
          <cell r="AF612">
            <v>10</v>
          </cell>
          <cell r="AG612">
            <v>10202</v>
          </cell>
        </row>
        <row r="613">
          <cell r="AD613" t="str">
            <v>078-昇達普利司通-295/80R22.5*R150舊廠</v>
          </cell>
          <cell r="AE613" t="str">
            <v>078-昇達</v>
          </cell>
          <cell r="AF613">
            <v>10</v>
          </cell>
          <cell r="AG613">
            <v>9044</v>
          </cell>
        </row>
        <row r="614">
          <cell r="AD614" t="str">
            <v>021-歐峰牛腿襯套舊廠</v>
          </cell>
          <cell r="AE614" t="str">
            <v>021-歐峰</v>
          </cell>
          <cell r="AF614">
            <v>18</v>
          </cell>
          <cell r="AG614">
            <v>350</v>
          </cell>
        </row>
        <row r="615">
          <cell r="AD615" t="str">
            <v>038-亞獵士鋼圈-_E001_61_22.5* 鏡面舊廠</v>
          </cell>
          <cell r="AE615" t="str">
            <v>038-亞獵士</v>
          </cell>
          <cell r="AF615">
            <v>24</v>
          </cell>
          <cell r="AG615">
            <v>6825</v>
          </cell>
        </row>
        <row r="616">
          <cell r="AD616" t="str">
            <v>161-普利司通(公司)-中胎普利司通-825R16*R225舊廠</v>
          </cell>
          <cell r="AE616" t="str">
            <v>161-普利司通(公司)-中胎</v>
          </cell>
          <cell r="AF616">
            <v>4</v>
          </cell>
          <cell r="AG616">
            <v>5620</v>
          </cell>
        </row>
        <row r="617">
          <cell r="AD617" t="str">
            <v>161-普利司通(公司)-中胎普利司通-750R16*R225舊廠</v>
          </cell>
          <cell r="AE617" t="str">
            <v>161-普利司通(公司)-中胎</v>
          </cell>
          <cell r="AF617">
            <v>6</v>
          </cell>
          <cell r="AG617">
            <v>5034</v>
          </cell>
        </row>
        <row r="618">
          <cell r="AD618" t="str">
            <v>025-光聯一般-行車紀錄器*120KM 圓孔*100PSC舊廠</v>
          </cell>
          <cell r="AE618" t="str">
            <v>025-光聯</v>
          </cell>
          <cell r="AF618">
            <v>2</v>
          </cell>
          <cell r="AG618">
            <v>350</v>
          </cell>
        </row>
        <row r="619">
          <cell r="AD619" t="str">
            <v>001-中華全佑氣門夾頭*小舊廠</v>
          </cell>
          <cell r="AE619" t="str">
            <v>001-中華全佑</v>
          </cell>
          <cell r="AF619">
            <v>200</v>
          </cell>
          <cell r="AG619">
            <v>80</v>
          </cell>
        </row>
        <row r="620">
          <cell r="AD620" t="str">
            <v>161-普利司通(公司)-中胎普利司通-195/75R16C*R212舊廠</v>
          </cell>
          <cell r="AE620" t="str">
            <v>161-普利司通(公司)-中胎</v>
          </cell>
          <cell r="AF620">
            <v>10</v>
          </cell>
          <cell r="AG620">
            <v>2516</v>
          </cell>
        </row>
        <row r="621">
          <cell r="AD621" t="str">
            <v>161-普利司通(公司)-中胎普利司通-195/75R16C*R212舊廠</v>
          </cell>
          <cell r="AE621" t="str">
            <v>161-普利司通(公司)-中胎</v>
          </cell>
          <cell r="AF621">
            <v>1</v>
          </cell>
          <cell r="AG621">
            <v>2516</v>
          </cell>
        </row>
        <row r="622">
          <cell r="AD622" t="str">
            <v>135-新技資訊副廠收銀機色帶舊廠</v>
          </cell>
          <cell r="AE622" t="str">
            <v>135-新技資訊</v>
          </cell>
          <cell r="AF622">
            <v>3</v>
          </cell>
          <cell r="AG622">
            <v>105</v>
          </cell>
        </row>
        <row r="623">
          <cell r="AD623" t="str">
            <v>038-亞獵士鋼圈-_E001_61_22.5*霧面舊廠</v>
          </cell>
          <cell r="AE623" t="str">
            <v>038-亞獵士</v>
          </cell>
          <cell r="AF623">
            <v>24</v>
          </cell>
          <cell r="AG623">
            <v>5460</v>
          </cell>
        </row>
        <row r="624">
          <cell r="AD624" t="str">
            <v>038-亞獵士鋼圈-卡車螺帽M22*1.5*FR*14mm舊廠</v>
          </cell>
          <cell r="AE624" t="str">
            <v>038-亞獵士</v>
          </cell>
          <cell r="AF624">
            <v>200</v>
          </cell>
          <cell r="AG624">
            <v>126</v>
          </cell>
        </row>
        <row r="625">
          <cell r="AD625" t="str">
            <v>038-亞獵士鋼圈-卡車螺帽M22*1.5*RR*38mm舊廠</v>
          </cell>
          <cell r="AE625" t="str">
            <v>038-亞獵士</v>
          </cell>
          <cell r="AF625">
            <v>200</v>
          </cell>
          <cell r="AG625">
            <v>158</v>
          </cell>
        </row>
        <row r="626">
          <cell r="AD626" t="str">
            <v>025-光聯HINO 8.8T-柴油濾清器舊廠</v>
          </cell>
          <cell r="AE626" t="str">
            <v>025-光聯</v>
          </cell>
          <cell r="AF626">
            <v>1</v>
          </cell>
          <cell r="AG626">
            <v>120</v>
          </cell>
        </row>
        <row r="627">
          <cell r="AD627" t="str">
            <v>025-光聯HINO 15T-機油濾清器舊廠</v>
          </cell>
          <cell r="AE627" t="str">
            <v>025-光聯</v>
          </cell>
          <cell r="AF627">
            <v>2</v>
          </cell>
          <cell r="AG627">
            <v>380</v>
          </cell>
        </row>
        <row r="628">
          <cell r="AD628" t="str">
            <v>006-米其林(公司)-中胎米其林-195/75R16*Agilis舊廠</v>
          </cell>
          <cell r="AE628" t="str">
            <v>006-米其林(公司)-中胎</v>
          </cell>
          <cell r="AF628">
            <v>48</v>
          </cell>
          <cell r="AG628">
            <v>2937</v>
          </cell>
        </row>
        <row r="629">
          <cell r="AD629" t="str">
            <v>164-登祿普(公司)-大胎登祿普-315/80R22.5*SP320S舊廠</v>
          </cell>
          <cell r="AE629" t="str">
            <v>164-登祿普(公司)-大胎</v>
          </cell>
          <cell r="AF629">
            <v>10</v>
          </cell>
          <cell r="AG629">
            <v>8067</v>
          </cell>
        </row>
        <row r="630">
          <cell r="AD630" t="str">
            <v>164-登祿普(公司)-大胎登祿普-315/80R22.5*SP320S舊廠</v>
          </cell>
          <cell r="AE630" t="str">
            <v>164-登祿普(公司)-大胎</v>
          </cell>
          <cell r="AF630">
            <v>3</v>
          </cell>
          <cell r="AG630">
            <v>8067</v>
          </cell>
        </row>
        <row r="631">
          <cell r="AD631" t="str">
            <v>165-登祿普(公司)-中胎登祿普-225/90R17.5*SP122舊廠</v>
          </cell>
          <cell r="AE631" t="str">
            <v>165-登祿普(公司)-中胎</v>
          </cell>
          <cell r="AF631">
            <v>9</v>
          </cell>
          <cell r="AG631">
            <v>3908</v>
          </cell>
        </row>
        <row r="632">
          <cell r="AD632" t="str">
            <v>165-登祿普(公司)-中胎登祿普-225/90R17.5*SP122舊廠</v>
          </cell>
          <cell r="AE632" t="str">
            <v>165-登祿普(公司)-中胎</v>
          </cell>
          <cell r="AF632">
            <v>2</v>
          </cell>
          <cell r="AG632">
            <v>3908</v>
          </cell>
        </row>
        <row r="633">
          <cell r="AD633" t="str">
            <v>165-登祿普(公司)-中胎登祿普-825R16*SP122舊廠</v>
          </cell>
          <cell r="AE633" t="str">
            <v>165-登祿普(公司)-中胎</v>
          </cell>
          <cell r="AF633">
            <v>9</v>
          </cell>
          <cell r="AG633">
            <v>3840</v>
          </cell>
        </row>
        <row r="634">
          <cell r="AD634" t="str">
            <v>165-登祿普(公司)-中胎登祿普-825R16*SP122舊廠</v>
          </cell>
          <cell r="AE634" t="str">
            <v>165-登祿普(公司)-中胎</v>
          </cell>
          <cell r="AF634">
            <v>2</v>
          </cell>
          <cell r="AG634">
            <v>3840</v>
          </cell>
        </row>
        <row r="635">
          <cell r="AD635" t="str">
            <v>001-中華全佑登祿普-315/80R22.5*SP320S舊廠</v>
          </cell>
          <cell r="AE635" t="str">
            <v>001-中華全佑</v>
          </cell>
          <cell r="AF635">
            <v>3</v>
          </cell>
          <cell r="AG635">
            <v>8451</v>
          </cell>
        </row>
        <row r="636">
          <cell r="AD636" t="str">
            <v>025-光聯MI 堅達 3.5T 96-預熱塞 86MM舊廠</v>
          </cell>
          <cell r="AE636" t="str">
            <v>025-光聯</v>
          </cell>
          <cell r="AF636">
            <v>4</v>
          </cell>
          <cell r="AG636">
            <v>280</v>
          </cell>
        </row>
        <row r="637">
          <cell r="AD637" t="str">
            <v>017-萬全鋼圈- CSR*22.5 (廠商-寄庫未出-帳已結)</v>
          </cell>
          <cell r="AE637" t="str">
            <v>017-萬全</v>
          </cell>
          <cell r="AF637">
            <v>100</v>
          </cell>
          <cell r="AG637">
            <v>1500</v>
          </cell>
        </row>
        <row r="638">
          <cell r="AD638" t="str">
            <v>017-萬全鋼圈- CSR*22.5 (廠商-寄庫未出-帳已結)</v>
          </cell>
          <cell r="AE638" t="str">
            <v>017-萬全</v>
          </cell>
          <cell r="AF638">
            <v>-32</v>
          </cell>
          <cell r="AG638">
            <v>1500</v>
          </cell>
        </row>
        <row r="639">
          <cell r="AD639" t="str">
            <v>017-萬全鋼圈-CSR*9.00*22.5歐規10孔舊廠</v>
          </cell>
          <cell r="AE639" t="str">
            <v>017-萬全</v>
          </cell>
          <cell r="AF639">
            <v>32</v>
          </cell>
          <cell r="AG639">
            <v>1500</v>
          </cell>
        </row>
        <row r="640">
          <cell r="AD640" t="str">
            <v>017-萬全鋼圈-HL3*9.00*22.5歐規10孔防爆舊廠</v>
          </cell>
          <cell r="AE640" t="str">
            <v>017-萬全</v>
          </cell>
          <cell r="AF640">
            <v>2</v>
          </cell>
          <cell r="AG640">
            <v>2900</v>
          </cell>
        </row>
        <row r="641">
          <cell r="AD641" t="str">
            <v>017-萬全鋼圈-CSR*6.00*17.5日規6孔舊廠</v>
          </cell>
          <cell r="AE641" t="str">
            <v>017-萬全</v>
          </cell>
          <cell r="AF641">
            <v>4</v>
          </cell>
          <cell r="AG641">
            <v>1500</v>
          </cell>
        </row>
        <row r="642">
          <cell r="AD642" t="str">
            <v>017-萬全鋼圈- CSR*22.5 (廠商-寄庫未出-帳已結)</v>
          </cell>
          <cell r="AE642" t="str">
            <v>017-萬全</v>
          </cell>
          <cell r="AF642">
            <v>-16</v>
          </cell>
          <cell r="AG642">
            <v>1500</v>
          </cell>
        </row>
        <row r="643">
          <cell r="AD643" t="str">
            <v>017-萬全鋼圈-CSR*9.00*22.5歐規10孔舊廠</v>
          </cell>
          <cell r="AE643" t="str">
            <v>017-萬全</v>
          </cell>
          <cell r="AF643">
            <v>16</v>
          </cell>
          <cell r="AG643">
            <v>1500</v>
          </cell>
        </row>
        <row r="644">
          <cell r="AD644" t="str">
            <v>160-普利司通(公司)-大胎普利司通-12R22.5*R150舊廠</v>
          </cell>
          <cell r="AE644" t="str">
            <v>160-普利司通(公司)-大胎</v>
          </cell>
          <cell r="AF644">
            <v>2</v>
          </cell>
          <cell r="AG644">
            <v>10623</v>
          </cell>
        </row>
        <row r="645">
          <cell r="AD645" t="str">
            <v>001-中華全佑</v>
          </cell>
          <cell r="AE645" t="str">
            <v>001-中華全佑</v>
          </cell>
          <cell r="AF645">
            <v>0</v>
          </cell>
          <cell r="AG645">
            <v>0</v>
          </cell>
        </row>
        <row r="646">
          <cell r="AD646" t="str">
            <v>001-中華全佑</v>
          </cell>
          <cell r="AE646" t="str">
            <v>001-中華全佑</v>
          </cell>
          <cell r="AF646">
            <v>0</v>
          </cell>
          <cell r="AG646">
            <v>0</v>
          </cell>
        </row>
        <row r="647">
          <cell r="AD647" t="str">
            <v>036-祥崴五金3/8內牙母側(日本)&gt;快速接頭舊廠</v>
          </cell>
          <cell r="AE647" t="str">
            <v>036-祥崴五金</v>
          </cell>
          <cell r="AF647">
            <v>5</v>
          </cell>
          <cell r="AG647">
            <v>199</v>
          </cell>
        </row>
        <row r="648">
          <cell r="AD648" t="str">
            <v>036-祥崴五金3/8外牙公側(日本)&gt;快速接頭舊廠</v>
          </cell>
          <cell r="AE648" t="str">
            <v>036-祥崴五金</v>
          </cell>
          <cell r="AF648">
            <v>2</v>
          </cell>
          <cell r="AG648">
            <v>75</v>
          </cell>
        </row>
        <row r="649">
          <cell r="AD649" t="str">
            <v>005-米其林(公司)-大胎米其林-315/80R22.5*X MultiWay 3D XZE舊廠</v>
          </cell>
          <cell r="AE649" t="str">
            <v>005-米其林(公司)-大胎</v>
          </cell>
          <cell r="AF649">
            <v>23</v>
          </cell>
          <cell r="AG649">
            <v>15107</v>
          </cell>
        </row>
        <row r="650">
          <cell r="AD650" t="str">
            <v>005-米其林(公司)-大胎米其林-385/65R22.5*X Multi F舊廠</v>
          </cell>
          <cell r="AE650" t="str">
            <v>005-米其林(公司)-大胎</v>
          </cell>
          <cell r="AF650">
            <v>10</v>
          </cell>
          <cell r="AG650">
            <v>18846</v>
          </cell>
        </row>
        <row r="651">
          <cell r="AD651" t="str">
            <v>017-萬全鋼圈- CSR*22.5 (廠商-寄庫未出-帳已結)</v>
          </cell>
          <cell r="AE651" t="str">
            <v>017-萬全</v>
          </cell>
          <cell r="AF651">
            <v>-16</v>
          </cell>
          <cell r="AG651">
            <v>1500</v>
          </cell>
        </row>
        <row r="652">
          <cell r="AD652" t="str">
            <v>017-萬全鋼圈-CSR*9.00*22.5歐規10孔舊廠</v>
          </cell>
          <cell r="AE652" t="str">
            <v>017-萬全</v>
          </cell>
          <cell r="AF652">
            <v>16</v>
          </cell>
          <cell r="AG652">
            <v>1500</v>
          </cell>
        </row>
        <row r="653">
          <cell r="AD653" t="str">
            <v>017-萬全鋼圈-CSR*6.00*17.5日規6孔舊廠</v>
          </cell>
          <cell r="AE653" t="str">
            <v>017-萬全</v>
          </cell>
          <cell r="AF653">
            <v>25</v>
          </cell>
          <cell r="AG653">
            <v>1500</v>
          </cell>
        </row>
        <row r="654">
          <cell r="AD654" t="str">
            <v>135-新技資訊影印紙 Double A A4 70磅*550張舊廠</v>
          </cell>
          <cell r="AE654" t="str">
            <v>135-新技資訊</v>
          </cell>
          <cell r="AF654">
            <v>5</v>
          </cell>
          <cell r="AG654">
            <v>90</v>
          </cell>
        </row>
        <row r="655">
          <cell r="AD655" t="str">
            <v>135-新技資訊二聯式報表-白黃舊廠</v>
          </cell>
          <cell r="AE655" t="str">
            <v>135-新技資訊</v>
          </cell>
          <cell r="AF655">
            <v>3</v>
          </cell>
          <cell r="AG655">
            <v>450</v>
          </cell>
        </row>
        <row r="656">
          <cell r="AD656" t="str">
            <v>168-瑪吉斯-中胎瑪吉斯-195/75R16C*UE168舊廠</v>
          </cell>
          <cell r="AE656" t="str">
            <v>168-瑪吉斯-中胎</v>
          </cell>
          <cell r="AF656">
            <v>10</v>
          </cell>
          <cell r="AG656">
            <v>2221</v>
          </cell>
        </row>
        <row r="657">
          <cell r="AD657" t="str">
            <v>005-米其林(公司)-大胎米其林-295/80R22.5*X Multi Z舊廠</v>
          </cell>
          <cell r="AE657" t="str">
            <v>005-米其林(公司)-大胎</v>
          </cell>
          <cell r="AF657">
            <v>8</v>
          </cell>
          <cell r="AG657">
            <v>12440</v>
          </cell>
        </row>
        <row r="658">
          <cell r="AD658" t="str">
            <v>078-昇達普利司通-315/80R22.5*R150舊廠</v>
          </cell>
          <cell r="AE658" t="str">
            <v>078-昇達</v>
          </cell>
          <cell r="AF658">
            <v>20</v>
          </cell>
          <cell r="AG658">
            <v>10202</v>
          </cell>
        </row>
        <row r="659">
          <cell r="AD659" t="str">
            <v>165-登祿普(公司)-中胎登祿普-225/90R17.5*SP122舊廠</v>
          </cell>
          <cell r="AE659" t="str">
            <v>165-登祿普(公司)-中胎</v>
          </cell>
          <cell r="AF659">
            <v>18</v>
          </cell>
          <cell r="AG659">
            <v>3908</v>
          </cell>
        </row>
        <row r="660">
          <cell r="AD660" t="str">
            <v>165-登祿普(公司)-中胎登祿普-225/90R17.5*SP122舊廠</v>
          </cell>
          <cell r="AE660" t="str">
            <v>165-登祿普(公司)-中胎</v>
          </cell>
          <cell r="AF660">
            <v>4</v>
          </cell>
          <cell r="AG660">
            <v>3908</v>
          </cell>
        </row>
        <row r="661">
          <cell r="AD661" t="str">
            <v>186-鴻鑫TOPRUNNER-315/80R22.5*CR917(直花)舊廠</v>
          </cell>
          <cell r="AE661" t="str">
            <v>186-鴻鑫</v>
          </cell>
          <cell r="AF661">
            <v>56</v>
          </cell>
          <cell r="AG661">
            <v>3872</v>
          </cell>
        </row>
        <row r="662">
          <cell r="AD662" t="str">
            <v>160-普利司通(公司)-大胎普利司通-12R22.5*R150舊廠</v>
          </cell>
          <cell r="AE662" t="str">
            <v>160-普利司通(公司)-大胎</v>
          </cell>
          <cell r="AF662">
            <v>6</v>
          </cell>
          <cell r="AG662">
            <v>10623</v>
          </cell>
        </row>
        <row r="663">
          <cell r="AD663" t="str">
            <v>244-昆侖輪胎有限公司昆侖-12R22.5*KT871(直花)舊廠</v>
          </cell>
          <cell r="AE663" t="str">
            <v>244-昆侖輪胎有限公司</v>
          </cell>
          <cell r="AF663">
            <v>176</v>
          </cell>
          <cell r="AG663">
            <v>4874</v>
          </cell>
        </row>
        <row r="664">
          <cell r="AD664" t="str">
            <v>244-昆侖輪胎有限公司昆侖-315/80R22.5*KT855(人字花)舊廠</v>
          </cell>
          <cell r="AE664" t="str">
            <v>244-昆侖輪胎有限公司</v>
          </cell>
          <cell r="AF664">
            <v>40</v>
          </cell>
          <cell r="AG664">
            <v>5369</v>
          </cell>
        </row>
        <row r="665">
          <cell r="AD665" t="str">
            <v>244-昆侖輪胎有限公司昆侖-工程胎23.5-25*KT619舊廠</v>
          </cell>
          <cell r="AE665" t="str">
            <v>244-昆侖輪胎有限公司</v>
          </cell>
          <cell r="AF665">
            <v>1</v>
          </cell>
          <cell r="AG665">
            <v>26837</v>
          </cell>
        </row>
        <row r="666">
          <cell r="AD666" t="str">
            <v>244-昆侖輪胎有限公司昆侖-工程胎26.5-25*KT62舊廠</v>
          </cell>
          <cell r="AE666" t="str">
            <v>244-昆侖輪胎有限公司</v>
          </cell>
          <cell r="AF666">
            <v>2</v>
          </cell>
          <cell r="AG666">
            <v>32003</v>
          </cell>
        </row>
        <row r="667">
          <cell r="AD667" t="str">
            <v>017-萬全墊片-歐規10孔*3mm(薄)舊廠</v>
          </cell>
          <cell r="AE667" t="str">
            <v>017-萬全</v>
          </cell>
          <cell r="AF667">
            <v>4</v>
          </cell>
          <cell r="AG667">
            <v>400</v>
          </cell>
        </row>
        <row r="668">
          <cell r="AD668" t="str">
            <v>005-米其林(公司)-大胎米其林-315/80R22.5*X Multi Z舊廠</v>
          </cell>
          <cell r="AE668" t="str">
            <v>005-米其林(公司)-大胎</v>
          </cell>
          <cell r="AF668">
            <v>16</v>
          </cell>
          <cell r="AG668">
            <v>14163</v>
          </cell>
        </row>
        <row r="669">
          <cell r="AD669" t="str">
            <v>017-萬全鋼圈-CSR*9.00*22.5日規8孔改才舊廠</v>
          </cell>
          <cell r="AE669" t="str">
            <v>017-萬全</v>
          </cell>
          <cell r="AF669">
            <v>2</v>
          </cell>
          <cell r="AG669">
            <v>2900</v>
          </cell>
        </row>
        <row r="670">
          <cell r="AD670" t="str">
            <v>244-昆侖輪胎有限公司昆侖-1100R20*KT699舊廠</v>
          </cell>
          <cell r="AE670" t="str">
            <v>244-昆侖輪胎有限公司</v>
          </cell>
          <cell r="AF670">
            <v>50</v>
          </cell>
          <cell r="AG670">
            <v>7044</v>
          </cell>
        </row>
        <row r="671">
          <cell r="AD671" t="str">
            <v>244-昆侖輪胎有限公司昆侖-315/80R22.5*KT870(麻將花)舊廠</v>
          </cell>
          <cell r="AE671" t="str">
            <v>244-昆侖輪胎有限公司</v>
          </cell>
          <cell r="AF671">
            <v>20</v>
          </cell>
          <cell r="AG671">
            <v>5718</v>
          </cell>
        </row>
        <row r="672">
          <cell r="AD672" t="str">
            <v>244-昆侖輪胎有限公司昆侖-12R22.5*KT871(直花)舊廠</v>
          </cell>
          <cell r="AE672" t="str">
            <v>244-昆侖輪胎有限公司</v>
          </cell>
          <cell r="AF672">
            <v>24</v>
          </cell>
          <cell r="AG672">
            <v>4874</v>
          </cell>
        </row>
        <row r="673">
          <cell r="AD673" t="str">
            <v>244-昆侖輪胎有限公司昆侖-12R22.5*KT801(大粗花)舊廠</v>
          </cell>
          <cell r="AE673" t="str">
            <v>244-昆侖輪胎有限公司</v>
          </cell>
          <cell r="AF673">
            <v>140</v>
          </cell>
          <cell r="AG673">
            <v>5302</v>
          </cell>
        </row>
        <row r="674">
          <cell r="AD674" t="str">
            <v>038-亞獵士鋼圈-_C006_61_22.5*霧面舊廠</v>
          </cell>
          <cell r="AE674" t="str">
            <v>038-亞獵士</v>
          </cell>
          <cell r="AF674">
            <v>24</v>
          </cell>
          <cell r="AG674">
            <v>7350</v>
          </cell>
        </row>
        <row r="675">
          <cell r="AD675" t="str">
            <v>038-亞獵士鋼圈-_E001_61_22.5*霧面舊廠</v>
          </cell>
          <cell r="AE675" t="str">
            <v>038-亞獵士</v>
          </cell>
          <cell r="AF675">
            <v>24</v>
          </cell>
          <cell r="AG675">
            <v>5460</v>
          </cell>
        </row>
        <row r="676">
          <cell r="AD676" t="str">
            <v>038-亞獵士鋼圈-_E001_61_22.5* 鏡面舊廠</v>
          </cell>
          <cell r="AE676" t="str">
            <v>038-亞獵士</v>
          </cell>
          <cell r="AF676">
            <v>24</v>
          </cell>
          <cell r="AG676">
            <v>6825</v>
          </cell>
        </row>
        <row r="677">
          <cell r="AD677" t="str">
            <v>244-昆侖輪胎有限公司昆侖-12R22.5*KT801(大粗花)倉庫</v>
          </cell>
          <cell r="AE677" t="str">
            <v>244-昆侖輪胎有限公司</v>
          </cell>
          <cell r="AF677">
            <v>40</v>
          </cell>
          <cell r="AG677">
            <v>5302</v>
          </cell>
        </row>
        <row r="678">
          <cell r="AD678" t="str">
            <v>310-順安汽車風扇葉子舊廠</v>
          </cell>
          <cell r="AE678" t="str">
            <v>310-順安汽車</v>
          </cell>
          <cell r="AF678">
            <v>1</v>
          </cell>
          <cell r="AG678">
            <v>3403</v>
          </cell>
        </row>
        <row r="679">
          <cell r="AD679" t="str">
            <v>310-順安汽車更換冷卻風扇工資舊廠</v>
          </cell>
          <cell r="AE679" t="str">
            <v>310-順安汽車</v>
          </cell>
          <cell r="AF679">
            <v>1</v>
          </cell>
          <cell r="AG679">
            <v>735</v>
          </cell>
        </row>
        <row r="680">
          <cell r="AD680" t="str">
            <v>310-順安汽車剎車-調整舊廠</v>
          </cell>
          <cell r="AE680" t="str">
            <v>310-順安汽車</v>
          </cell>
          <cell r="AF680">
            <v>1</v>
          </cell>
          <cell r="AG680">
            <v>441</v>
          </cell>
        </row>
        <row r="681">
          <cell r="AD681" t="str">
            <v>006-米其林(公司)-中胎米其林-205/75R17.5*X Multi Z舊廠</v>
          </cell>
          <cell r="AE681" t="str">
            <v>006-米其林(公司)-中胎</v>
          </cell>
          <cell r="AF681">
            <v>3</v>
          </cell>
          <cell r="AG681">
            <v>6087</v>
          </cell>
        </row>
        <row r="682">
          <cell r="AD682" t="str">
            <v>005-米其林(公司)-大胎米其林-385/65R22.5*X Multi F倉庫</v>
          </cell>
          <cell r="AE682" t="str">
            <v>005-米其林(公司)-大胎</v>
          </cell>
          <cell r="AF682">
            <v>6</v>
          </cell>
          <cell r="AG682">
            <v>18846</v>
          </cell>
        </row>
        <row r="683">
          <cell r="AD683" t="str">
            <v>170-正新-內胎.OB內胎-1000-20舊廠</v>
          </cell>
          <cell r="AE683" t="str">
            <v>170-正新-內胎.OB</v>
          </cell>
          <cell r="AF683">
            <v>12</v>
          </cell>
          <cell r="AG683">
            <v>720</v>
          </cell>
        </row>
        <row r="684">
          <cell r="AD684" t="str">
            <v>106-勝鋼- 豐驛左舉升缸修理包舊廠</v>
          </cell>
          <cell r="AE684" t="str">
            <v>106-勝鋼- 豐驛</v>
          </cell>
          <cell r="AF684">
            <v>1</v>
          </cell>
          <cell r="AG684">
            <v>4850</v>
          </cell>
        </row>
        <row r="685">
          <cell r="AD685" t="str">
            <v>106-勝鋼- 豐驛拆修工資舊廠</v>
          </cell>
          <cell r="AE685" t="str">
            <v>106-勝鋼- 豐驛</v>
          </cell>
          <cell r="AF685">
            <v>1</v>
          </cell>
          <cell r="AG685">
            <v>1500</v>
          </cell>
        </row>
        <row r="686">
          <cell r="AD686" t="str">
            <v>078-昇達翻修胎-315R*(粗花-加厚)舊廠</v>
          </cell>
          <cell r="AE686" t="str">
            <v>078-昇達</v>
          </cell>
          <cell r="AF686">
            <v>10</v>
          </cell>
          <cell r="AG686">
            <v>3589</v>
          </cell>
        </row>
        <row r="687">
          <cell r="AD687" t="str">
            <v>078-昇達翻修胎-315R*(直花-正冷)舊廠</v>
          </cell>
          <cell r="AE687" t="str">
            <v>078-昇達</v>
          </cell>
          <cell r="AF687">
            <v>15</v>
          </cell>
          <cell r="AG687">
            <v>3201</v>
          </cell>
        </row>
        <row r="688">
          <cell r="AD688" t="str">
            <v>078-昇達翻修胎-1100-20*(高溫UL)舊廠</v>
          </cell>
          <cell r="AE688" t="str">
            <v>078-昇達</v>
          </cell>
          <cell r="AF688">
            <v>2</v>
          </cell>
          <cell r="AG688">
            <v>2813</v>
          </cell>
        </row>
        <row r="689">
          <cell r="AD689" t="str">
            <v>078-昇達翻修胎-295R*(直花-正冷)舊廠</v>
          </cell>
          <cell r="AE689" t="str">
            <v>078-昇達</v>
          </cell>
          <cell r="AF689">
            <v>9</v>
          </cell>
          <cell r="AG689">
            <v>2716</v>
          </cell>
        </row>
        <row r="690">
          <cell r="AD690" t="str">
            <v>290-青島米多奇橡膠科技有限公司MITTO-315/8022.5*NL118G(閃電直花)舊廠</v>
          </cell>
          <cell r="AE690" t="str">
            <v>290-青島米多奇橡膠科技有限公司</v>
          </cell>
          <cell r="AF690">
            <v>150</v>
          </cell>
          <cell r="AG690">
            <v>3703</v>
          </cell>
        </row>
        <row r="691">
          <cell r="AD691" t="str">
            <v>290-青島米多奇橡膠科技有限公司MITTO-315/8022.5*NL676G(直花)舊廠</v>
          </cell>
          <cell r="AE691" t="str">
            <v>290-青島米多奇橡膠科技有限公司</v>
          </cell>
          <cell r="AF691">
            <v>96</v>
          </cell>
          <cell r="AG691">
            <v>3703</v>
          </cell>
        </row>
        <row r="692">
          <cell r="AD692" t="str">
            <v>167-瑪吉斯-大胎瑪吉斯-1100R20*UR288舊廠</v>
          </cell>
          <cell r="AE692" t="str">
            <v>167-瑪吉斯-大胎</v>
          </cell>
          <cell r="AF692">
            <v>20</v>
          </cell>
          <cell r="AG692">
            <v>9500</v>
          </cell>
        </row>
        <row r="693">
          <cell r="AD693" t="str">
            <v>032-弘新&gt;銀王OB-1000-20舊廠</v>
          </cell>
          <cell r="AE693" t="str">
            <v>032-弘新&gt;銀王</v>
          </cell>
          <cell r="AF693">
            <v>20</v>
          </cell>
          <cell r="AG693">
            <v>168</v>
          </cell>
        </row>
        <row r="694">
          <cell r="AD694" t="str">
            <v>312-SKYPOWER(優盛輪胎)DOVROAD-315/80R22.5*DF122(直花)舊廠</v>
          </cell>
          <cell r="AE694" t="str">
            <v>312-SKYPOWER(優盛輪胎)</v>
          </cell>
          <cell r="AF694">
            <v>70</v>
          </cell>
          <cell r="AG694">
            <v>3634</v>
          </cell>
        </row>
        <row r="695">
          <cell r="AD695" t="str">
            <v>312-SKYPOWER(優盛輪胎)DOVROAD-315/80R22.5*DD652(麻將花)舊廠</v>
          </cell>
          <cell r="AE695" t="str">
            <v>312-SKYPOWER(優盛輪胎)</v>
          </cell>
          <cell r="AF695">
            <v>80</v>
          </cell>
          <cell r="AG695">
            <v>4021</v>
          </cell>
        </row>
        <row r="696">
          <cell r="AD696" t="str">
            <v>312-SKYPOWER(優盛輪胎)BLACKGEM-315/80R22.5*BGA35(閃電直花)舊廠</v>
          </cell>
          <cell r="AE696" t="str">
            <v>312-SKYPOWER(優盛輪胎)</v>
          </cell>
          <cell r="AF696">
            <v>60</v>
          </cell>
          <cell r="AG696">
            <v>3631</v>
          </cell>
        </row>
        <row r="697">
          <cell r="AD697" t="str">
            <v>312-SKYPOWER(優盛輪胎)BLACKGEM-1100R20*BGA32(直花)舊廠</v>
          </cell>
          <cell r="AE697" t="str">
            <v>312-SKYPOWER(優盛輪胎)</v>
          </cell>
          <cell r="AF697">
            <v>10</v>
          </cell>
          <cell r="AG697">
            <v>4249</v>
          </cell>
        </row>
        <row r="698">
          <cell r="AD698" t="str">
            <v>001-中華全佑1英吋氣動板手*馳匠CJ-690舊廠</v>
          </cell>
          <cell r="AE698" t="str">
            <v>001-中華全佑</v>
          </cell>
          <cell r="AF698">
            <v>2</v>
          </cell>
          <cell r="AG698">
            <v>3637</v>
          </cell>
        </row>
        <row r="699">
          <cell r="AD699" t="str">
            <v>001-中華全佑1英吋氣動板手*閃電SP-A6舊廠</v>
          </cell>
          <cell r="AE699" t="str">
            <v>001-中華全佑</v>
          </cell>
          <cell r="AF699">
            <v>5</v>
          </cell>
          <cell r="AG699">
            <v>7191</v>
          </cell>
        </row>
        <row r="700">
          <cell r="AD700" t="str">
            <v>001-中華全佑1英吋氣動板手*TDL KW-600-3舊廠</v>
          </cell>
          <cell r="AE700" t="str">
            <v>001-中華全佑</v>
          </cell>
          <cell r="AF700">
            <v>3</v>
          </cell>
          <cell r="AG700">
            <v>8079</v>
          </cell>
        </row>
        <row r="701">
          <cell r="AD701" t="str">
            <v>033-台一&gt;實心胎實心胎-600-9舊廠</v>
          </cell>
          <cell r="AE701" t="str">
            <v>033-台一&gt;實心胎</v>
          </cell>
          <cell r="AF701">
            <v>2</v>
          </cell>
          <cell r="AG701">
            <v>2600</v>
          </cell>
        </row>
        <row r="702">
          <cell r="AD702" t="str">
            <v>025-光聯ISUZU ELF 一路發 94-升降機 電動舊廠</v>
          </cell>
          <cell r="AE702" t="str">
            <v>025-光聯</v>
          </cell>
          <cell r="AF702">
            <v>1</v>
          </cell>
          <cell r="AG702">
            <v>1400</v>
          </cell>
        </row>
        <row r="703">
          <cell r="AD703" t="str">
            <v>038-亞獵士鋼圈-_C006_61_22.5*霧面舊廠</v>
          </cell>
          <cell r="AE703" t="str">
            <v>038-亞獵士</v>
          </cell>
          <cell r="AF703">
            <v>8</v>
          </cell>
          <cell r="AG703">
            <v>7350</v>
          </cell>
        </row>
        <row r="704">
          <cell r="AD704" t="str">
            <v>038-亞獵士鋼圈-_C006_61_22.5*霧面舊廠</v>
          </cell>
          <cell r="AE704" t="str">
            <v>038-亞獵士</v>
          </cell>
          <cell r="AF704">
            <v>12</v>
          </cell>
          <cell r="AG704">
            <v>7350</v>
          </cell>
        </row>
        <row r="705">
          <cell r="AD705" t="str">
            <v>038-亞獵士鋼圈-_C006_61_22.5*單鏡面舊廠</v>
          </cell>
          <cell r="AE705" t="str">
            <v>038-亞獵士</v>
          </cell>
          <cell r="AF705">
            <v>20</v>
          </cell>
          <cell r="AG705">
            <v>7665</v>
          </cell>
        </row>
        <row r="706">
          <cell r="AD706" t="str">
            <v>017-萬全鋼圈- CSR*22.5 (廠商-寄庫未出-帳已結)</v>
          </cell>
          <cell r="AE706" t="str">
            <v>017-萬全</v>
          </cell>
          <cell r="AF706">
            <v>-16</v>
          </cell>
          <cell r="AG706">
            <v>1500</v>
          </cell>
        </row>
        <row r="707">
          <cell r="AD707" t="str">
            <v>017-萬全鋼圈-CSR*9.00*22.5歐規10孔舊廠</v>
          </cell>
          <cell r="AE707" t="str">
            <v>017-萬全</v>
          </cell>
          <cell r="AF707">
            <v>16</v>
          </cell>
          <cell r="AG707">
            <v>1500</v>
          </cell>
        </row>
        <row r="708">
          <cell r="AD708" t="str">
            <v>017-萬全鋼圈-HL3*9.00*22.5歐規10孔防爆舊廠</v>
          </cell>
          <cell r="AE708" t="str">
            <v>017-萬全</v>
          </cell>
          <cell r="AF708">
            <v>2</v>
          </cell>
          <cell r="AG708">
            <v>2900</v>
          </cell>
        </row>
        <row r="709">
          <cell r="AD709" t="str">
            <v>017-萬全鋼圈- CSR*22.5 (廠商-寄庫未出-帳已結)</v>
          </cell>
          <cell r="AE709" t="str">
            <v>017-萬全</v>
          </cell>
          <cell r="AF709">
            <v>-2</v>
          </cell>
          <cell r="AG709">
            <v>1500</v>
          </cell>
        </row>
        <row r="710">
          <cell r="AD710" t="str">
            <v>017-萬全鋼圈-CSR*8.25*22.5日規8孔舊廠</v>
          </cell>
          <cell r="AE710" t="str">
            <v>017-萬全</v>
          </cell>
          <cell r="AF710">
            <v>2</v>
          </cell>
          <cell r="AG710">
            <v>1500</v>
          </cell>
        </row>
        <row r="711">
          <cell r="AD711" t="str">
            <v>017-萬全鋼圈-一路發 15"改16"舊廠</v>
          </cell>
          <cell r="AE711" t="str">
            <v>017-萬全</v>
          </cell>
          <cell r="AF711">
            <v>2</v>
          </cell>
          <cell r="AG711">
            <v>2300</v>
          </cell>
        </row>
        <row r="712">
          <cell r="AD712" t="str">
            <v>017-萬全鋼圈-HL1*9.00*22.5歐規10孔舊廠</v>
          </cell>
          <cell r="AE712" t="str">
            <v>017-萬全</v>
          </cell>
          <cell r="AF712">
            <v>12</v>
          </cell>
          <cell r="AG712">
            <v>3200</v>
          </cell>
        </row>
        <row r="713">
          <cell r="AD713" t="str">
            <v>165-登祿普(公司)-中胎登祿普-225/90R17.5*SP122舊廠</v>
          </cell>
          <cell r="AE713" t="str">
            <v>165-登祿普(公司)-中胎</v>
          </cell>
          <cell r="AF713">
            <v>18</v>
          </cell>
          <cell r="AG713">
            <v>3908</v>
          </cell>
        </row>
        <row r="714">
          <cell r="AD714" t="str">
            <v>165-登祿普(公司)-中胎登祿普-225/90R17.5*SP122舊廠</v>
          </cell>
          <cell r="AE714" t="str">
            <v>165-登祿普(公司)-中胎</v>
          </cell>
          <cell r="AF714">
            <v>4</v>
          </cell>
          <cell r="AG714">
            <v>3908</v>
          </cell>
        </row>
        <row r="715">
          <cell r="AD715" t="str">
            <v>165-登祿普(公司)-中胎登祿普-700R16*SP185舊廠</v>
          </cell>
          <cell r="AE715" t="str">
            <v>165-登祿普(公司)-中胎</v>
          </cell>
          <cell r="AF715">
            <v>20</v>
          </cell>
          <cell r="AG715">
            <v>2430</v>
          </cell>
        </row>
        <row r="716">
          <cell r="AD716" t="str">
            <v>165-登祿普(公司)-中胎登祿普-700R16*SP185舊廠</v>
          </cell>
          <cell r="AE716" t="str">
            <v>165-登祿普(公司)-中胎</v>
          </cell>
          <cell r="AF716">
            <v>3</v>
          </cell>
          <cell r="AG716">
            <v>2430</v>
          </cell>
        </row>
        <row r="717">
          <cell r="AD717" t="str">
            <v>160-普利司通(公司)-大胎普利司通-295/80R22.5*R150舊廠</v>
          </cell>
          <cell r="AE717" t="str">
            <v>160-普利司通(公司)-大胎</v>
          </cell>
          <cell r="AF717">
            <v>3</v>
          </cell>
          <cell r="AG717">
            <v>12082</v>
          </cell>
        </row>
        <row r="718">
          <cell r="AD718" t="str">
            <v>160-普利司通(公司)-大胎普利司通-295/80R22.5*R294舊廠</v>
          </cell>
          <cell r="AE718" t="str">
            <v>160-普利司通(公司)-大胎</v>
          </cell>
          <cell r="AF718">
            <v>3</v>
          </cell>
          <cell r="AG718">
            <v>10111</v>
          </cell>
        </row>
        <row r="719">
          <cell r="AD719" t="str">
            <v>160-普利司通(公司)-大胎普利司通-315/80R22.5*R150舊廠</v>
          </cell>
          <cell r="AE719" t="str">
            <v>160-普利司通(公司)-大胎</v>
          </cell>
          <cell r="AF719">
            <v>16</v>
          </cell>
          <cell r="AG719">
            <v>10736</v>
          </cell>
        </row>
        <row r="720">
          <cell r="AD720" t="str">
            <v>160-普利司通(公司)-大胎普利司通-315/80R22.5*R294舊廠</v>
          </cell>
          <cell r="AE720" t="str">
            <v>160-普利司通(公司)-大胎</v>
          </cell>
          <cell r="AF720">
            <v>3</v>
          </cell>
          <cell r="AG720">
            <v>10996</v>
          </cell>
        </row>
        <row r="721">
          <cell r="AD721" t="str">
            <v>312-SKYPOWER(優盛輪胎)BLACKGEM-315/80R22.5*BGA35(閃電直花)舊廠</v>
          </cell>
          <cell r="AE721" t="str">
            <v>312-SKYPOWER(優盛輪胎)</v>
          </cell>
          <cell r="AF721">
            <v>220</v>
          </cell>
          <cell r="AG721">
            <v>3631</v>
          </cell>
        </row>
        <row r="722">
          <cell r="AD722" t="str">
            <v>001-中華全佑</v>
          </cell>
          <cell r="AE722" t="str">
            <v>001-中華全佑</v>
          </cell>
          <cell r="AF722">
            <v>0</v>
          </cell>
          <cell r="AG722">
            <v>0</v>
          </cell>
        </row>
        <row r="723">
          <cell r="AD723" t="str">
            <v>001-中華全佑</v>
          </cell>
          <cell r="AE723" t="str">
            <v>001-中華全佑</v>
          </cell>
          <cell r="AF723">
            <v>0</v>
          </cell>
          <cell r="AG723">
            <v>0</v>
          </cell>
        </row>
        <row r="724">
          <cell r="AD724" t="str">
            <v>001-中華全佑</v>
          </cell>
          <cell r="AE724" t="str">
            <v>001-中華全佑</v>
          </cell>
          <cell r="AF724">
            <v>0</v>
          </cell>
          <cell r="AG724">
            <v>0</v>
          </cell>
        </row>
        <row r="725">
          <cell r="AD725" t="str">
            <v>001-中華全佑</v>
          </cell>
          <cell r="AE725" t="str">
            <v>001-中華全佑</v>
          </cell>
          <cell r="AF725">
            <v>0</v>
          </cell>
          <cell r="AG725">
            <v>0</v>
          </cell>
        </row>
        <row r="726">
          <cell r="AD726" t="str">
            <v>001-中華全佑</v>
          </cell>
          <cell r="AE726" t="str">
            <v>001-中華全佑</v>
          </cell>
          <cell r="AF726">
            <v>0</v>
          </cell>
          <cell r="AG726">
            <v>0</v>
          </cell>
        </row>
        <row r="727">
          <cell r="AD727" t="str">
            <v>001-中華全佑</v>
          </cell>
          <cell r="AE727" t="str">
            <v>001-中華全佑</v>
          </cell>
          <cell r="AF727">
            <v>0</v>
          </cell>
          <cell r="AG727">
            <v>0</v>
          </cell>
        </row>
        <row r="728">
          <cell r="AD728" t="str">
            <v>001-中華全佑</v>
          </cell>
          <cell r="AE728" t="str">
            <v>001-中華全佑</v>
          </cell>
          <cell r="AF728">
            <v>0</v>
          </cell>
          <cell r="AG728">
            <v>0</v>
          </cell>
        </row>
        <row r="729">
          <cell r="AD729" t="str">
            <v>001-中華全佑</v>
          </cell>
          <cell r="AE729" t="str">
            <v>001-中華全佑</v>
          </cell>
          <cell r="AF729">
            <v>0</v>
          </cell>
          <cell r="AG729">
            <v>0</v>
          </cell>
        </row>
        <row r="730">
          <cell r="AD730" t="str">
            <v>001-中華全佑</v>
          </cell>
          <cell r="AE730" t="str">
            <v>001-中華全佑</v>
          </cell>
          <cell r="AF730">
            <v>0</v>
          </cell>
          <cell r="AG730">
            <v>0</v>
          </cell>
        </row>
        <row r="731">
          <cell r="AD731" t="str">
            <v>001-中華全佑</v>
          </cell>
          <cell r="AE731" t="str">
            <v>001-中華全佑</v>
          </cell>
          <cell r="AF731">
            <v>0</v>
          </cell>
          <cell r="AG731">
            <v>0</v>
          </cell>
        </row>
        <row r="732">
          <cell r="AD732" t="str">
            <v>001-中華全佑</v>
          </cell>
          <cell r="AE732" t="str">
            <v>001-中華全佑</v>
          </cell>
          <cell r="AF732">
            <v>0</v>
          </cell>
          <cell r="AG732">
            <v>0</v>
          </cell>
        </row>
        <row r="733">
          <cell r="AD733" t="str">
            <v>001-中華全佑</v>
          </cell>
          <cell r="AE733" t="str">
            <v>001-中華全佑</v>
          </cell>
          <cell r="AF733">
            <v>0</v>
          </cell>
          <cell r="AG733">
            <v>0</v>
          </cell>
        </row>
        <row r="734">
          <cell r="AD734" t="str">
            <v>001-中華全佑</v>
          </cell>
          <cell r="AE734" t="str">
            <v>001-中華全佑</v>
          </cell>
          <cell r="AF734">
            <v>0</v>
          </cell>
          <cell r="AG734">
            <v>0</v>
          </cell>
        </row>
        <row r="735">
          <cell r="AD735" t="str">
            <v>001-中華全佑</v>
          </cell>
          <cell r="AE735" t="str">
            <v>001-中華全佑</v>
          </cell>
          <cell r="AF735">
            <v>0</v>
          </cell>
          <cell r="AG735">
            <v>0</v>
          </cell>
        </row>
        <row r="736">
          <cell r="AD736" t="str">
            <v>001-中華全佑</v>
          </cell>
          <cell r="AE736" t="str">
            <v>001-中華全佑</v>
          </cell>
          <cell r="AF736">
            <v>0</v>
          </cell>
          <cell r="AG736">
            <v>0</v>
          </cell>
        </row>
        <row r="737">
          <cell r="AD737" t="str">
            <v>001-中華全佑</v>
          </cell>
          <cell r="AE737" t="str">
            <v>001-中華全佑</v>
          </cell>
          <cell r="AF737">
            <v>0</v>
          </cell>
          <cell r="AG737">
            <v>0</v>
          </cell>
        </row>
        <row r="738">
          <cell r="AD738" t="str">
            <v>001-中華全佑</v>
          </cell>
          <cell r="AE738" t="str">
            <v>001-中華全佑</v>
          </cell>
          <cell r="AF738">
            <v>0</v>
          </cell>
          <cell r="AG738">
            <v>0</v>
          </cell>
        </row>
        <row r="739">
          <cell r="AD739" t="str">
            <v>001-中華全佑</v>
          </cell>
          <cell r="AE739" t="str">
            <v>001-中華全佑</v>
          </cell>
          <cell r="AF739">
            <v>0</v>
          </cell>
          <cell r="AG739">
            <v>0</v>
          </cell>
        </row>
        <row r="740">
          <cell r="AD740" t="str">
            <v>001-中華全佑</v>
          </cell>
          <cell r="AE740" t="str">
            <v>001-中華全佑</v>
          </cell>
          <cell r="AF740">
            <v>0</v>
          </cell>
          <cell r="AG740">
            <v>0</v>
          </cell>
        </row>
        <row r="741">
          <cell r="AD741" t="str">
            <v>001-中華全佑</v>
          </cell>
          <cell r="AE741" t="str">
            <v>001-中華全佑</v>
          </cell>
          <cell r="AF741">
            <v>0</v>
          </cell>
          <cell r="AG741">
            <v>0</v>
          </cell>
        </row>
        <row r="742">
          <cell r="AD742" t="str">
            <v>001-中華全佑</v>
          </cell>
          <cell r="AE742" t="str">
            <v>001-中華全佑</v>
          </cell>
          <cell r="AF742">
            <v>0</v>
          </cell>
          <cell r="AG742">
            <v>0</v>
          </cell>
        </row>
        <row r="743">
          <cell r="AD743" t="str">
            <v>001-中華全佑□補胎□拆裝工□翻面(店內)*中型胎舊廠</v>
          </cell>
          <cell r="AE743" t="str">
            <v>001-中華全佑</v>
          </cell>
          <cell r="AF743">
            <v>1</v>
          </cell>
          <cell r="AG743">
            <v>0</v>
          </cell>
        </row>
        <row r="744">
          <cell r="AD744" t="str">
            <v>001-中華全佑□補胎□拆裝工□翻面(店內)*大胎舊廠</v>
          </cell>
          <cell r="AE744" t="str">
            <v>001-中華全佑</v>
          </cell>
          <cell r="AF744">
            <v>1</v>
          </cell>
          <cell r="AG744">
            <v>0</v>
          </cell>
        </row>
        <row r="745">
          <cell r="AD745" t="str">
            <v>001-中華全佑□補胎□拆裝工□翻面(店內)*大胎(385R)舊廠</v>
          </cell>
          <cell r="AE745" t="str">
            <v>001-中華全佑</v>
          </cell>
          <cell r="AF745">
            <v>1</v>
          </cell>
          <cell r="AG745">
            <v>0</v>
          </cell>
        </row>
        <row r="746">
          <cell r="AD746" t="str">
            <v>001-中華全佑□補胎□拆裝工□翻面.(店內)*大胎(工程胎)舊廠</v>
          </cell>
          <cell r="AE746" t="str">
            <v>001-中華全佑</v>
          </cell>
          <cell r="AF746">
            <v>1</v>
          </cell>
          <cell r="AG746">
            <v>0</v>
          </cell>
        </row>
        <row r="747">
          <cell r="AD747" t="str">
            <v>001-中華全佑□補胎□拆裝工□翻面(外出)*中型胎舊廠</v>
          </cell>
          <cell r="AE747" t="str">
            <v>001-中華全佑</v>
          </cell>
          <cell r="AF747">
            <v>1</v>
          </cell>
          <cell r="AG747">
            <v>0</v>
          </cell>
        </row>
        <row r="748">
          <cell r="AD748" t="str">
            <v>001-中華全佑□補胎□拆裝工□翻面(外出)*大胎舊廠</v>
          </cell>
          <cell r="AE748" t="str">
            <v>001-中華全佑</v>
          </cell>
          <cell r="AF748">
            <v>1</v>
          </cell>
          <cell r="AG748">
            <v>0</v>
          </cell>
        </row>
        <row r="749">
          <cell r="AD749" t="str">
            <v>001-中華全佑□補胎□拆裝工□翻面(外出)*大胎(385R)舊廠</v>
          </cell>
          <cell r="AE749" t="str">
            <v>001-中華全佑</v>
          </cell>
          <cell r="AF749">
            <v>1</v>
          </cell>
          <cell r="AG749">
            <v>0</v>
          </cell>
        </row>
        <row r="750">
          <cell r="AD750" t="str">
            <v>001-中華全佑□補胎□拆裝工□翻面.(外出)*大胎(工程胎)舊廠</v>
          </cell>
          <cell r="AE750" t="str">
            <v>001-中華全佑</v>
          </cell>
          <cell r="AF750">
            <v>1</v>
          </cell>
          <cell r="AG750">
            <v>0</v>
          </cell>
        </row>
        <row r="751">
          <cell r="AD751" t="str">
            <v>001-中華全佑*板架定位舊廠</v>
          </cell>
          <cell r="AE751" t="str">
            <v>001-中華全佑</v>
          </cell>
          <cell r="AF751">
            <v>1</v>
          </cell>
          <cell r="AG751">
            <v>0</v>
          </cell>
        </row>
        <row r="752">
          <cell r="AD752" t="str">
            <v>001-中華全佑*吊車定位舊廠</v>
          </cell>
          <cell r="AE752" t="str">
            <v>001-中華全佑</v>
          </cell>
          <cell r="AF752">
            <v>1</v>
          </cell>
          <cell r="AG752">
            <v>0</v>
          </cell>
        </row>
        <row r="753">
          <cell r="AD753" t="str">
            <v>001-中華全佑*大車定位全套舊廠</v>
          </cell>
          <cell r="AE753" t="str">
            <v>001-中華全佑</v>
          </cell>
          <cell r="AF753">
            <v>1</v>
          </cell>
          <cell r="AG753">
            <v>0</v>
          </cell>
        </row>
        <row r="754">
          <cell r="AD754" t="str">
            <v>001-中華全佑*大車定位檢測舊廠</v>
          </cell>
          <cell r="AE754" t="str">
            <v>001-中華全佑</v>
          </cell>
          <cell r="AF754">
            <v>1</v>
          </cell>
          <cell r="AG754">
            <v>0</v>
          </cell>
        </row>
        <row r="755">
          <cell r="AD755" t="str">
            <v>001-中華全佑*工字樑校正舊廠</v>
          </cell>
          <cell r="AE755" t="str">
            <v>001-中華全佑</v>
          </cell>
          <cell r="AF755">
            <v>1</v>
          </cell>
          <cell r="AG755">
            <v>0</v>
          </cell>
        </row>
        <row r="756">
          <cell r="AD756" t="str">
            <v>001-中華全佑*方向盤調整舊廠</v>
          </cell>
          <cell r="AE756" t="str">
            <v>001-中華全佑</v>
          </cell>
          <cell r="AF756">
            <v>1</v>
          </cell>
          <cell r="AG756">
            <v>0</v>
          </cell>
        </row>
        <row r="757">
          <cell r="AD757" t="str">
            <v>001-中華全佑*直拉桿調整舊廠</v>
          </cell>
          <cell r="AE757" t="str">
            <v>001-中華全佑</v>
          </cell>
          <cell r="AF757">
            <v>1</v>
          </cell>
          <cell r="AG757">
            <v>0</v>
          </cell>
        </row>
        <row r="758">
          <cell r="AD758" t="str">
            <v>001-中華全佑*前束調整舊廠</v>
          </cell>
          <cell r="AE758" t="str">
            <v>001-中華全佑</v>
          </cell>
          <cell r="AF758">
            <v>1</v>
          </cell>
          <cell r="AG758">
            <v>0</v>
          </cell>
        </row>
        <row r="759">
          <cell r="AD759" t="str">
            <v>001-中華全佑*後傾角調整舊廠</v>
          </cell>
          <cell r="AE759" t="str">
            <v>001-中華全佑</v>
          </cell>
          <cell r="AF759">
            <v>1</v>
          </cell>
          <cell r="AG759">
            <v>0</v>
          </cell>
        </row>
        <row r="760">
          <cell r="AD760" t="str">
            <v>001-中華全佑*中軸軸距檢測舊廠</v>
          </cell>
          <cell r="AE760" t="str">
            <v>001-中華全佑</v>
          </cell>
          <cell r="AF760">
            <v>1</v>
          </cell>
          <cell r="AG760">
            <v>0</v>
          </cell>
        </row>
        <row r="761">
          <cell r="AD761" t="str">
            <v>001-中華全佑*橫拉桿調整舊廠</v>
          </cell>
          <cell r="AE761" t="str">
            <v>001-中華全佑</v>
          </cell>
          <cell r="AF761">
            <v>1</v>
          </cell>
          <cell r="AG761">
            <v>0</v>
          </cell>
        </row>
        <row r="762">
          <cell r="AD762" t="str">
            <v>001-中華全佑*中型車定位全套舊廠</v>
          </cell>
          <cell r="AE762" t="str">
            <v>001-中華全佑</v>
          </cell>
          <cell r="AF762">
            <v>1</v>
          </cell>
          <cell r="AG762">
            <v>0</v>
          </cell>
        </row>
        <row r="763">
          <cell r="AD763" t="str">
            <v>001-中華全佑*中型車定位檢測舊廠</v>
          </cell>
          <cell r="AE763" t="str">
            <v>001-中華全佑</v>
          </cell>
          <cell r="AF763">
            <v>1</v>
          </cell>
          <cell r="AG763">
            <v>0</v>
          </cell>
        </row>
        <row r="764">
          <cell r="AD764" t="str">
            <v>001-中華全佑*前輪定位舊廠</v>
          </cell>
          <cell r="AE764" t="str">
            <v>001-中華全佑</v>
          </cell>
          <cell r="AF764">
            <v>1</v>
          </cell>
          <cell r="AG764">
            <v>0</v>
          </cell>
        </row>
        <row r="765">
          <cell r="AD765" t="str">
            <v>001-中華全佑*外傾角調整舊廠</v>
          </cell>
          <cell r="AE765" t="str">
            <v>001-中華全佑</v>
          </cell>
          <cell r="AF765">
            <v>1</v>
          </cell>
          <cell r="AG765">
            <v>0</v>
          </cell>
        </row>
        <row r="766">
          <cell r="AD766" t="str">
            <v>001-中華全佑*大車定位一式舊廠</v>
          </cell>
          <cell r="AE766" t="str">
            <v>001-中華全佑</v>
          </cell>
          <cell r="AF766">
            <v>1</v>
          </cell>
          <cell r="AG766">
            <v>0</v>
          </cell>
        </row>
        <row r="767">
          <cell r="AD767" t="str">
            <v>001-中華全佑*後傾角墊片舊廠</v>
          </cell>
          <cell r="AE767" t="str">
            <v>001-中華全佑</v>
          </cell>
          <cell r="AF767">
            <v>1</v>
          </cell>
          <cell r="AG767">
            <v>0</v>
          </cell>
        </row>
        <row r="768">
          <cell r="AD768" t="str">
            <v>001-中華全佑*雙軸轉向調整舊廠</v>
          </cell>
          <cell r="AE768" t="str">
            <v>001-中華全佑</v>
          </cell>
          <cell r="AF768">
            <v>1</v>
          </cell>
          <cell r="AG768">
            <v>0</v>
          </cell>
        </row>
        <row r="769">
          <cell r="AD769" t="str">
            <v>001-中華全佑*後軸軸距調整舊廠</v>
          </cell>
          <cell r="AE769" t="str">
            <v>001-中華全佑</v>
          </cell>
          <cell r="AF769">
            <v>1</v>
          </cell>
          <cell r="AG769">
            <v>0</v>
          </cell>
        </row>
        <row r="770">
          <cell r="AD770" t="str">
            <v>001-中華全佑出車至竹北舊廠</v>
          </cell>
          <cell r="AE770" t="str">
            <v>001-中華全佑</v>
          </cell>
          <cell r="AF770">
            <v>1</v>
          </cell>
          <cell r="AG770">
            <v>0</v>
          </cell>
        </row>
        <row r="771">
          <cell r="AD771" t="str">
            <v>001-中華全佑出車至三義舊廠</v>
          </cell>
          <cell r="AE771" t="str">
            <v>001-中華全佑</v>
          </cell>
          <cell r="AF771">
            <v>1</v>
          </cell>
          <cell r="AG771">
            <v>0</v>
          </cell>
        </row>
        <row r="772">
          <cell r="AD772" t="str">
            <v>001-中華全佑出車至土城舊廠</v>
          </cell>
          <cell r="AE772" t="str">
            <v>001-中華全佑</v>
          </cell>
          <cell r="AF772">
            <v>1</v>
          </cell>
          <cell r="AG772">
            <v>0</v>
          </cell>
        </row>
        <row r="773">
          <cell r="AD773" t="str">
            <v>001-中華全佑出車至大山舊廠</v>
          </cell>
          <cell r="AE773" t="str">
            <v>001-中華全佑</v>
          </cell>
          <cell r="AF773">
            <v>1</v>
          </cell>
          <cell r="AG773">
            <v>0</v>
          </cell>
        </row>
        <row r="774">
          <cell r="AD774" t="str">
            <v>001-中華全佑出車至大溪舊廠</v>
          </cell>
          <cell r="AE774" t="str">
            <v>001-中華全佑</v>
          </cell>
          <cell r="AF774">
            <v>1</v>
          </cell>
          <cell r="AG774">
            <v>0</v>
          </cell>
        </row>
        <row r="775">
          <cell r="AD775" t="str">
            <v>001-中華全佑出車至中和舊廠</v>
          </cell>
          <cell r="AE775" t="str">
            <v>001-中華全佑</v>
          </cell>
          <cell r="AF775">
            <v>1</v>
          </cell>
          <cell r="AG775">
            <v>0</v>
          </cell>
        </row>
        <row r="776">
          <cell r="AD776" t="str">
            <v>001-中華全佑出車至北埔舊廠</v>
          </cell>
          <cell r="AE776" t="str">
            <v>001-中華全佑</v>
          </cell>
          <cell r="AF776">
            <v>1</v>
          </cell>
          <cell r="AG776">
            <v>0</v>
          </cell>
        </row>
        <row r="777">
          <cell r="AD777" t="str">
            <v>001-中華全佑出車至台中舊廠</v>
          </cell>
          <cell r="AE777" t="str">
            <v>001-中華全佑</v>
          </cell>
          <cell r="AF777">
            <v>1</v>
          </cell>
          <cell r="AG777">
            <v>0</v>
          </cell>
        </row>
        <row r="778">
          <cell r="AD778" t="str">
            <v>001-中華全佑出車至台玻舊廠</v>
          </cell>
          <cell r="AE778" t="str">
            <v>001-中華全佑</v>
          </cell>
          <cell r="AF778">
            <v>1</v>
          </cell>
          <cell r="AG778">
            <v>0</v>
          </cell>
        </row>
        <row r="779">
          <cell r="AD779" t="str">
            <v>001-中華全佑出車至光和舊廠</v>
          </cell>
          <cell r="AE779" t="str">
            <v>001-中華全佑</v>
          </cell>
          <cell r="AF779">
            <v>1</v>
          </cell>
          <cell r="AG779">
            <v>0</v>
          </cell>
        </row>
        <row r="780">
          <cell r="AD780" t="str">
            <v>001-中華全佑出車至尖山舊廠</v>
          </cell>
          <cell r="AE780" t="str">
            <v>001-中華全佑</v>
          </cell>
          <cell r="AF780">
            <v>1</v>
          </cell>
          <cell r="AG780">
            <v>0</v>
          </cell>
        </row>
        <row r="781">
          <cell r="AD781" t="str">
            <v>001-中華全佑出車至竹東舊廠</v>
          </cell>
          <cell r="AE781" t="str">
            <v>001-中華全佑</v>
          </cell>
          <cell r="AF781">
            <v>1</v>
          </cell>
          <cell r="AG781">
            <v>0</v>
          </cell>
        </row>
        <row r="782">
          <cell r="AD782" t="str">
            <v>001-中華全佑出車至竹南舊廠</v>
          </cell>
          <cell r="AE782" t="str">
            <v>001-中華全佑</v>
          </cell>
          <cell r="AF782">
            <v>1</v>
          </cell>
          <cell r="AG782">
            <v>0</v>
          </cell>
        </row>
        <row r="783">
          <cell r="AD783" t="str">
            <v>001-中華全佑出車至西湖舊廠</v>
          </cell>
          <cell r="AE783" t="str">
            <v>001-中華全佑</v>
          </cell>
          <cell r="AF783">
            <v>1</v>
          </cell>
          <cell r="AG783">
            <v>0</v>
          </cell>
        </row>
        <row r="784">
          <cell r="AD784" t="str">
            <v>001-中華全佑出車至後龍舊廠</v>
          </cell>
          <cell r="AE784" t="str">
            <v>001-中華全佑</v>
          </cell>
          <cell r="AF784">
            <v>1</v>
          </cell>
          <cell r="AG784">
            <v>0</v>
          </cell>
        </row>
        <row r="785">
          <cell r="AD785" t="str">
            <v>001-中華全佑出車至苑裡舊廠</v>
          </cell>
          <cell r="AE785" t="str">
            <v>001-中華全佑</v>
          </cell>
          <cell r="AF785">
            <v>1</v>
          </cell>
          <cell r="AG785">
            <v>0</v>
          </cell>
        </row>
        <row r="786">
          <cell r="AD786" t="str">
            <v>001-中華全佑出車至苗栗舊廠</v>
          </cell>
          <cell r="AE786" t="str">
            <v>001-中華全佑</v>
          </cell>
          <cell r="AF786">
            <v>1</v>
          </cell>
          <cell r="AG786">
            <v>0</v>
          </cell>
        </row>
        <row r="787">
          <cell r="AD787" t="str">
            <v>001-中華全佑出車至茄苳舊廠</v>
          </cell>
          <cell r="AE787" t="str">
            <v>001-中華全佑</v>
          </cell>
          <cell r="AF787">
            <v>1</v>
          </cell>
          <cell r="AG787">
            <v>0</v>
          </cell>
        </row>
        <row r="788">
          <cell r="AD788" t="str">
            <v>001-中華全佑出車至香山舊廠</v>
          </cell>
          <cell r="AE788" t="str">
            <v>001-中華全佑</v>
          </cell>
          <cell r="AF788">
            <v>1</v>
          </cell>
          <cell r="AG788">
            <v>0</v>
          </cell>
        </row>
        <row r="789">
          <cell r="AD789" t="str">
            <v>001-中華全佑出車至通霄舊廠</v>
          </cell>
          <cell r="AE789" t="str">
            <v>001-中華全佑</v>
          </cell>
          <cell r="AF789">
            <v>1</v>
          </cell>
          <cell r="AG789">
            <v>0</v>
          </cell>
        </row>
        <row r="790">
          <cell r="AD790" t="str">
            <v>001-中華全佑出車至造橋舊廠</v>
          </cell>
          <cell r="AE790" t="str">
            <v>001-中華全佑</v>
          </cell>
          <cell r="AF790">
            <v>1</v>
          </cell>
          <cell r="AG790">
            <v>0</v>
          </cell>
        </row>
        <row r="791">
          <cell r="AD791" t="str">
            <v>001-中華全佑出車至湖口舊廠</v>
          </cell>
          <cell r="AE791" t="str">
            <v>001-中華全佑</v>
          </cell>
          <cell r="AF791">
            <v>1</v>
          </cell>
          <cell r="AG791">
            <v>0</v>
          </cell>
        </row>
        <row r="792">
          <cell r="AD792" t="str">
            <v>001-中華全佑出車至新竹舊廠</v>
          </cell>
          <cell r="AE792" t="str">
            <v>001-中華全佑</v>
          </cell>
          <cell r="AF792">
            <v>1</v>
          </cell>
          <cell r="AG792">
            <v>0</v>
          </cell>
        </row>
        <row r="793">
          <cell r="AD793" t="str">
            <v>001-中華全佑出車至銅鑼舊廠</v>
          </cell>
          <cell r="AE793" t="str">
            <v>001-中華全佑</v>
          </cell>
          <cell r="AF793">
            <v>1</v>
          </cell>
          <cell r="AG793">
            <v>0</v>
          </cell>
        </row>
        <row r="794">
          <cell r="AD794" t="str">
            <v>001-中華全佑出車至頭份舊廠</v>
          </cell>
          <cell r="AE794" t="str">
            <v>001-中華全佑</v>
          </cell>
          <cell r="AF794">
            <v>1</v>
          </cell>
          <cell r="AG794">
            <v>0</v>
          </cell>
        </row>
        <row r="795">
          <cell r="AD795" t="str">
            <v>001-中華全佑出車至關西舊廠</v>
          </cell>
          <cell r="AE795" t="str">
            <v>001-中華全佑</v>
          </cell>
          <cell r="AF795">
            <v>1</v>
          </cell>
          <cell r="AG795">
            <v>0</v>
          </cell>
        </row>
        <row r="796">
          <cell r="AD796" t="str">
            <v>001-中華全佑出車至寶山舊廠</v>
          </cell>
          <cell r="AE796" t="str">
            <v>001-中華全佑</v>
          </cell>
          <cell r="AF796">
            <v>1</v>
          </cell>
          <cell r="AG796">
            <v>0</v>
          </cell>
        </row>
        <row r="797">
          <cell r="AD797" t="str">
            <v>001-中華全佑出車至林口舊廠</v>
          </cell>
          <cell r="AE797" t="str">
            <v>001-中華全佑</v>
          </cell>
          <cell r="AF797">
            <v>1</v>
          </cell>
          <cell r="AG797">
            <v>0</v>
          </cell>
        </row>
        <row r="798">
          <cell r="AD798" t="str">
            <v>001-中華全佑出車至鶯歌舊廠</v>
          </cell>
          <cell r="AE798" t="str">
            <v>001-中華全佑</v>
          </cell>
          <cell r="AF798">
            <v>1</v>
          </cell>
          <cell r="AG798">
            <v>0</v>
          </cell>
        </row>
        <row r="799">
          <cell r="AD799" t="str">
            <v>001-中華全佑出車至五股舊廠</v>
          </cell>
          <cell r="AE799" t="str">
            <v>001-中華全佑</v>
          </cell>
          <cell r="AF799">
            <v>1</v>
          </cell>
          <cell r="AG799">
            <v>0</v>
          </cell>
        </row>
        <row r="800">
          <cell r="AD800" t="str">
            <v>001-中華全佑出車至西螺舊廠</v>
          </cell>
          <cell r="AE800" t="str">
            <v>001-中華全佑</v>
          </cell>
          <cell r="AF800">
            <v>1</v>
          </cell>
          <cell r="AG800">
            <v>0</v>
          </cell>
        </row>
        <row r="801">
          <cell r="AD801" t="str">
            <v>001-中華全佑出車至三灣舊廠</v>
          </cell>
          <cell r="AE801" t="str">
            <v>001-中華全佑</v>
          </cell>
          <cell r="AF801">
            <v>1</v>
          </cell>
          <cell r="AG801">
            <v>0</v>
          </cell>
        </row>
        <row r="802">
          <cell r="AD802" t="str">
            <v>001-中華全佑鋼圈平衡*大胎舊廠</v>
          </cell>
          <cell r="AE802" t="str">
            <v>001-中華全佑</v>
          </cell>
          <cell r="AF802">
            <v>1</v>
          </cell>
          <cell r="AG802">
            <v>0</v>
          </cell>
        </row>
        <row r="803">
          <cell r="AD803" t="str">
            <v>001-中華全佑輪胎平衡*中型胎舊廠</v>
          </cell>
          <cell r="AE803" t="str">
            <v>001-中華全佑</v>
          </cell>
          <cell r="AF803">
            <v>1</v>
          </cell>
          <cell r="AG803">
            <v>0</v>
          </cell>
        </row>
        <row r="804">
          <cell r="AD804" t="str">
            <v>001-中華全佑輪胎平衡*大胎舊廠</v>
          </cell>
          <cell r="AE804" t="str">
            <v>001-中華全佑</v>
          </cell>
          <cell r="AF804">
            <v>1</v>
          </cell>
          <cell r="AG804">
            <v>0</v>
          </cell>
        </row>
        <row r="805">
          <cell r="AD805" t="str">
            <v>001-中華全佑調胎*中型胎舊廠</v>
          </cell>
          <cell r="AE805" t="str">
            <v>001-中華全佑</v>
          </cell>
          <cell r="AF805">
            <v>1</v>
          </cell>
          <cell r="AG805">
            <v>0</v>
          </cell>
        </row>
        <row r="806">
          <cell r="AD806" t="str">
            <v>001-中華全佑調胎*大胎舊廠</v>
          </cell>
          <cell r="AE806" t="str">
            <v>001-中華全佑</v>
          </cell>
          <cell r="AF806">
            <v>1</v>
          </cell>
          <cell r="AG806">
            <v>0</v>
          </cell>
        </row>
        <row r="807">
          <cell r="AD807" t="str">
            <v>001-中華全佑打備胎*中型胎舊廠</v>
          </cell>
          <cell r="AE807" t="str">
            <v>001-中華全佑</v>
          </cell>
          <cell r="AF807">
            <v>1</v>
          </cell>
          <cell r="AG807">
            <v>0</v>
          </cell>
        </row>
        <row r="808">
          <cell r="AD808" t="str">
            <v>001-中華全佑打備胎*大胎舊廠</v>
          </cell>
          <cell r="AE808" t="str">
            <v>001-中華全佑</v>
          </cell>
          <cell r="AF808">
            <v>1</v>
          </cell>
          <cell r="AG808">
            <v>0</v>
          </cell>
        </row>
        <row r="809">
          <cell r="AD809" t="str">
            <v>001-中華全佑刻溝*中型胎舊廠</v>
          </cell>
          <cell r="AE809" t="str">
            <v>001-中華全佑</v>
          </cell>
          <cell r="AF809">
            <v>1</v>
          </cell>
          <cell r="AG809">
            <v>0</v>
          </cell>
        </row>
        <row r="810">
          <cell r="AD810" t="str">
            <v>001-中華全佑刻溝*大胎舊廠</v>
          </cell>
          <cell r="AE810" t="str">
            <v>001-中華全佑</v>
          </cell>
          <cell r="AF810">
            <v>1</v>
          </cell>
          <cell r="AG810">
            <v>0</v>
          </cell>
        </row>
        <row r="811">
          <cell r="AD811" t="str">
            <v>001-中華全佑拆工*中型胎舊廠</v>
          </cell>
          <cell r="AE811" t="str">
            <v>001-中華全佑</v>
          </cell>
          <cell r="AF811">
            <v>1</v>
          </cell>
          <cell r="AG811">
            <v>0</v>
          </cell>
        </row>
        <row r="812">
          <cell r="AD812" t="str">
            <v>001-中華全佑拆工*大胎舊廠</v>
          </cell>
          <cell r="AE812" t="str">
            <v>001-中華全佑</v>
          </cell>
          <cell r="AF812">
            <v>1</v>
          </cell>
          <cell r="AG812">
            <v>0</v>
          </cell>
        </row>
        <row r="813">
          <cell r="AD813" t="str">
            <v>001-中華全佑租胎*大胎舊廠</v>
          </cell>
          <cell r="AE813" t="str">
            <v>001-中華全佑</v>
          </cell>
          <cell r="AF813">
            <v>1</v>
          </cell>
          <cell r="AG813">
            <v>0</v>
          </cell>
        </row>
        <row r="814">
          <cell r="AD814" t="str">
            <v>001-中華全佑換備胎*中型胎舊廠</v>
          </cell>
          <cell r="AE814" t="str">
            <v>001-中華全佑</v>
          </cell>
          <cell r="AF814">
            <v>1</v>
          </cell>
          <cell r="AG814">
            <v>0</v>
          </cell>
        </row>
        <row r="815">
          <cell r="AD815" t="str">
            <v>001-中華全佑換備胎*大胎舊廠</v>
          </cell>
          <cell r="AE815" t="str">
            <v>001-中華全佑</v>
          </cell>
          <cell r="AF815">
            <v>1</v>
          </cell>
          <cell r="AG815">
            <v>0</v>
          </cell>
        </row>
        <row r="816">
          <cell r="AD816" t="str">
            <v>001-中華全佑裝工*中型胎舊廠</v>
          </cell>
          <cell r="AE816" t="str">
            <v>001-中華全佑</v>
          </cell>
          <cell r="AF816">
            <v>1</v>
          </cell>
          <cell r="AG816">
            <v>0</v>
          </cell>
        </row>
        <row r="817">
          <cell r="AD817" t="str">
            <v>001-中華全佑裝工*大胎舊廠</v>
          </cell>
          <cell r="AE817" t="str">
            <v>001-中華全佑</v>
          </cell>
          <cell r="AF817">
            <v>1</v>
          </cell>
          <cell r="AG817">
            <v>0</v>
          </cell>
        </row>
        <row r="818">
          <cell r="AD818" t="str">
            <v>001-中華全佑</v>
          </cell>
          <cell r="AE818" t="str">
            <v>001-中華全佑</v>
          </cell>
          <cell r="AF818">
            <v>0</v>
          </cell>
          <cell r="AG818">
            <v>0</v>
          </cell>
        </row>
        <row r="819">
          <cell r="AD819" t="str">
            <v>001-中華全佑</v>
          </cell>
          <cell r="AE819" t="str">
            <v>001-中華全佑</v>
          </cell>
          <cell r="AF819">
            <v>0</v>
          </cell>
          <cell r="AG819">
            <v>0</v>
          </cell>
        </row>
        <row r="820">
          <cell r="AD820" t="str">
            <v>001-中華全佑</v>
          </cell>
          <cell r="AE820" t="str">
            <v>001-中華全佑</v>
          </cell>
          <cell r="AF820">
            <v>0</v>
          </cell>
          <cell r="AG820">
            <v>0</v>
          </cell>
        </row>
        <row r="821">
          <cell r="AD821" t="str">
            <v>001-中華全佑</v>
          </cell>
          <cell r="AE821" t="str">
            <v>001-中華全佑</v>
          </cell>
          <cell r="AF821">
            <v>0</v>
          </cell>
          <cell r="AG821">
            <v>0</v>
          </cell>
        </row>
        <row r="822">
          <cell r="AD822" t="str">
            <v>001-中華全佑打氣巡風舊廠</v>
          </cell>
          <cell r="AE822" t="str">
            <v>001-中華全佑</v>
          </cell>
          <cell r="AF822">
            <v>1</v>
          </cell>
          <cell r="AG822">
            <v>0</v>
          </cell>
        </row>
        <row r="823">
          <cell r="AD823" t="str">
            <v>001-中華全佑換中古OB舊廠</v>
          </cell>
          <cell r="AE823" t="str">
            <v>001-中華全佑</v>
          </cell>
          <cell r="AF823">
            <v>1</v>
          </cell>
          <cell r="AG823">
            <v>0</v>
          </cell>
        </row>
        <row r="824">
          <cell r="AD824" t="str">
            <v>001-中華全佑換中古內胎舊廠</v>
          </cell>
          <cell r="AE824" t="str">
            <v>001-中華全佑</v>
          </cell>
          <cell r="AF824">
            <v>1</v>
          </cell>
          <cell r="AG824">
            <v>0</v>
          </cell>
        </row>
        <row r="825">
          <cell r="AD825" t="str">
            <v>001-中華全佑換中古胎*385R舊廠</v>
          </cell>
          <cell r="AE825" t="str">
            <v>001-中華全佑</v>
          </cell>
          <cell r="AF825">
            <v>1</v>
          </cell>
          <cell r="AG825">
            <v>0</v>
          </cell>
        </row>
        <row r="826">
          <cell r="AD826" t="str">
            <v>001-中華全佑換中古胎*大胎舊廠</v>
          </cell>
          <cell r="AE826" t="str">
            <v>001-中華全佑</v>
          </cell>
          <cell r="AF826">
            <v>1</v>
          </cell>
          <cell r="AG826">
            <v>0</v>
          </cell>
        </row>
        <row r="827">
          <cell r="AD827" t="str">
            <v>001-中華全佑換中古胎*中型胎舊廠</v>
          </cell>
          <cell r="AE827" t="str">
            <v>001-中華全佑</v>
          </cell>
          <cell r="AF827">
            <v>1</v>
          </cell>
          <cell r="AG827">
            <v>0</v>
          </cell>
        </row>
        <row r="828">
          <cell r="AD828" t="str">
            <v>001-中華全佑換中古鋼圈舊廠</v>
          </cell>
          <cell r="AE828" t="str">
            <v>001-中華全佑</v>
          </cell>
          <cell r="AF828">
            <v>1</v>
          </cell>
          <cell r="AG828">
            <v>0</v>
          </cell>
        </row>
        <row r="829">
          <cell r="AD829" t="str">
            <v>001-中華全佑</v>
          </cell>
          <cell r="AE829" t="str">
            <v>001-中華全佑</v>
          </cell>
          <cell r="AF829">
            <v>0</v>
          </cell>
          <cell r="AG829">
            <v>0</v>
          </cell>
        </row>
        <row r="830">
          <cell r="AD830" t="str">
            <v>001-中華全佑換牛腿襯套舊廠</v>
          </cell>
          <cell r="AE830" t="str">
            <v>001-中華全佑</v>
          </cell>
          <cell r="AF830">
            <v>1</v>
          </cell>
          <cell r="AG830">
            <v>0</v>
          </cell>
        </row>
        <row r="831">
          <cell r="AD831" t="str">
            <v>001-中華全佑夜間加費舊廠</v>
          </cell>
          <cell r="AE831" t="str">
            <v>001-中華全佑</v>
          </cell>
          <cell r="AF831">
            <v>1</v>
          </cell>
          <cell r="AG831">
            <v>0</v>
          </cell>
        </row>
        <row r="832">
          <cell r="AD832" t="str">
            <v>001-中華全佑換扭力桿襯套舊廠</v>
          </cell>
          <cell r="AE832" t="str">
            <v>001-中華全佑</v>
          </cell>
          <cell r="AF832">
            <v>1</v>
          </cell>
          <cell r="AG832">
            <v>0</v>
          </cell>
        </row>
        <row r="833">
          <cell r="AD833" t="str">
            <v>001-中華全佑</v>
          </cell>
          <cell r="AE833" t="str">
            <v>001-中華全佑</v>
          </cell>
          <cell r="AF833">
            <v>0</v>
          </cell>
          <cell r="AG833">
            <v>0</v>
          </cell>
        </row>
        <row r="834">
          <cell r="AD834" t="str">
            <v>001-中華全佑</v>
          </cell>
          <cell r="AE834" t="str">
            <v>001-中華全佑</v>
          </cell>
          <cell r="AF834">
            <v>0</v>
          </cell>
          <cell r="AG834">
            <v>0</v>
          </cell>
        </row>
        <row r="835">
          <cell r="AD835" t="str">
            <v>001-中華全佑員工夜間抽成舊廠</v>
          </cell>
          <cell r="AE835" t="str">
            <v>001-中華全佑</v>
          </cell>
          <cell r="AF835">
            <v>1</v>
          </cell>
          <cell r="AG835">
            <v>0</v>
          </cell>
        </row>
        <row r="836">
          <cell r="AD836" t="str">
            <v>001-中華全佑</v>
          </cell>
          <cell r="AE836" t="str">
            <v>001-中華全佑</v>
          </cell>
          <cell r="AF836">
            <v>0</v>
          </cell>
          <cell r="AG836">
            <v>0</v>
          </cell>
        </row>
        <row r="837">
          <cell r="AD837" t="str">
            <v>001-中華全佑</v>
          </cell>
          <cell r="AE837" t="str">
            <v>001-中華全佑</v>
          </cell>
          <cell r="AF837">
            <v>0</v>
          </cell>
          <cell r="AG837">
            <v>0</v>
          </cell>
        </row>
        <row r="838">
          <cell r="AD838" t="str">
            <v>001-中華全佑</v>
          </cell>
          <cell r="AE838" t="str">
            <v>001-中華全佑</v>
          </cell>
          <cell r="AF838">
            <v>0</v>
          </cell>
          <cell r="AG838">
            <v>0</v>
          </cell>
        </row>
        <row r="839">
          <cell r="AD839" t="str">
            <v>001-中華全佑送翻修舊廠</v>
          </cell>
          <cell r="AE839" t="str">
            <v>001-中華全佑</v>
          </cell>
          <cell r="AF839">
            <v>1</v>
          </cell>
          <cell r="AG839">
            <v>0</v>
          </cell>
        </row>
        <row r="840">
          <cell r="AD840" t="str">
            <v>001-中華全佑</v>
          </cell>
          <cell r="AE840" t="str">
            <v>001-中華全佑</v>
          </cell>
          <cell r="AF840">
            <v>0</v>
          </cell>
          <cell r="AG840">
            <v>0</v>
          </cell>
        </row>
        <row r="841">
          <cell r="AD841" t="str">
            <v>001-中華全佑</v>
          </cell>
          <cell r="AE841" t="str">
            <v>001-中華全佑</v>
          </cell>
          <cell r="AF841">
            <v>0</v>
          </cell>
          <cell r="AG841">
            <v>0</v>
          </cell>
        </row>
        <row r="842">
          <cell r="AD842" t="str">
            <v>001-中華全佑</v>
          </cell>
          <cell r="AE842" t="str">
            <v>001-中華全佑</v>
          </cell>
          <cell r="AF842">
            <v>0</v>
          </cell>
          <cell r="AG842">
            <v>0</v>
          </cell>
        </row>
        <row r="843">
          <cell r="AD843" t="str">
            <v>001-中華全佑</v>
          </cell>
          <cell r="AE843" t="str">
            <v>001-中華全佑</v>
          </cell>
          <cell r="AF843">
            <v>0</v>
          </cell>
          <cell r="AG843">
            <v>0</v>
          </cell>
        </row>
        <row r="844">
          <cell r="AD844" t="str">
            <v>001-中華全佑</v>
          </cell>
          <cell r="AE844" t="str">
            <v>001-中華全佑</v>
          </cell>
          <cell r="AF844">
            <v>0</v>
          </cell>
          <cell r="AG844">
            <v>0</v>
          </cell>
        </row>
        <row r="845">
          <cell r="AD845" t="str">
            <v>001-中華全佑</v>
          </cell>
          <cell r="AE845" t="str">
            <v>001-中華全佑</v>
          </cell>
          <cell r="AF845">
            <v>0</v>
          </cell>
          <cell r="AG845">
            <v>0</v>
          </cell>
        </row>
        <row r="846">
          <cell r="AD846" t="str">
            <v>001-中華全佑</v>
          </cell>
          <cell r="AE846" t="str">
            <v>001-中華全佑</v>
          </cell>
          <cell r="AF846">
            <v>0</v>
          </cell>
          <cell r="AG846">
            <v>0</v>
          </cell>
        </row>
        <row r="847">
          <cell r="AD847" t="str">
            <v>001-中華全佑</v>
          </cell>
          <cell r="AE847" t="str">
            <v>001-中華全佑</v>
          </cell>
          <cell r="AF847">
            <v>0</v>
          </cell>
          <cell r="AG847">
            <v>0</v>
          </cell>
        </row>
        <row r="848">
          <cell r="AD848" t="str">
            <v>001-中華全佑</v>
          </cell>
          <cell r="AE848" t="str">
            <v>001-中華全佑</v>
          </cell>
          <cell r="AF848">
            <v>0</v>
          </cell>
          <cell r="AG848">
            <v>0</v>
          </cell>
        </row>
        <row r="849">
          <cell r="AD849" t="str">
            <v>001-中華全佑</v>
          </cell>
          <cell r="AE849" t="str">
            <v>001-中華全佑</v>
          </cell>
          <cell r="AF849">
            <v>0</v>
          </cell>
          <cell r="AG849">
            <v>0</v>
          </cell>
        </row>
        <row r="850">
          <cell r="AD850" t="str">
            <v>001-中華全佑打螺絲舊廠</v>
          </cell>
          <cell r="AE850" t="str">
            <v>001-中華全佑</v>
          </cell>
          <cell r="AF850">
            <v>1</v>
          </cell>
          <cell r="AG850">
            <v>0</v>
          </cell>
        </row>
        <row r="851">
          <cell r="AD851" t="str">
            <v>001-中華全佑廢胎回收舊廠</v>
          </cell>
          <cell r="AE851" t="str">
            <v>001-中華全佑</v>
          </cell>
          <cell r="AF851">
            <v>1</v>
          </cell>
          <cell r="AG851">
            <v>0</v>
          </cell>
        </row>
        <row r="852">
          <cell r="AD852" t="str">
            <v>001-中華全佑送燒部分舊廠</v>
          </cell>
          <cell r="AE852" t="str">
            <v>001-中華全佑</v>
          </cell>
          <cell r="AF852">
            <v>1</v>
          </cell>
          <cell r="AG852">
            <v>0</v>
          </cell>
        </row>
        <row r="853">
          <cell r="AD853" t="str">
            <v>001-中華全佑*後軸軸距檢測舊廠</v>
          </cell>
          <cell r="AE853" t="str">
            <v>001-中華全佑</v>
          </cell>
          <cell r="AF853">
            <v>1</v>
          </cell>
          <cell r="AG853">
            <v>0</v>
          </cell>
        </row>
        <row r="854">
          <cell r="AD854" t="str">
            <v>001-中華全佑</v>
          </cell>
          <cell r="AE854" t="str">
            <v>001-中華全佑</v>
          </cell>
          <cell r="AF854">
            <v>0</v>
          </cell>
          <cell r="AG854">
            <v>0</v>
          </cell>
        </row>
        <row r="855">
          <cell r="AD855" t="str">
            <v>001-中華全佑*軸距調整舊廠</v>
          </cell>
          <cell r="AE855" t="str">
            <v>001-中華全佑</v>
          </cell>
          <cell r="AF855">
            <v>1</v>
          </cell>
          <cell r="AG855">
            <v>0</v>
          </cell>
        </row>
        <row r="856">
          <cell r="AD856" t="str">
            <v>001-中華全佑廢胎載回舊廠</v>
          </cell>
          <cell r="AE856" t="str">
            <v>001-中華全佑</v>
          </cell>
          <cell r="AF856">
            <v>1</v>
          </cell>
          <cell r="AG856">
            <v>0</v>
          </cell>
        </row>
        <row r="857">
          <cell r="AD857" t="str">
            <v>001-中華全佑</v>
          </cell>
          <cell r="AE857" t="str">
            <v>001-中華全佑</v>
          </cell>
          <cell r="AF857">
            <v>0</v>
          </cell>
          <cell r="AG857">
            <v>0</v>
          </cell>
        </row>
        <row r="858">
          <cell r="AD858" t="str">
            <v>001-中華全佑送處理胎舊廠</v>
          </cell>
          <cell r="AE858" t="str">
            <v>001-中華全佑</v>
          </cell>
          <cell r="AF858">
            <v>1</v>
          </cell>
          <cell r="AG858">
            <v>0</v>
          </cell>
        </row>
        <row r="859">
          <cell r="AD859" t="str">
            <v>001-中華全佑出車至頭屋舊廠</v>
          </cell>
          <cell r="AE859" t="str">
            <v>001-中華全佑</v>
          </cell>
          <cell r="AF859">
            <v>1</v>
          </cell>
          <cell r="AG859">
            <v>0</v>
          </cell>
        </row>
        <row r="860">
          <cell r="AD860" t="str">
            <v>001-中華全佑中型車定位一式舊廠</v>
          </cell>
          <cell r="AE860" t="str">
            <v>001-中華全佑</v>
          </cell>
          <cell r="AF860">
            <v>1</v>
          </cell>
          <cell r="AG860">
            <v>0</v>
          </cell>
        </row>
        <row r="861">
          <cell r="AD861" t="str">
            <v>001-中華全佑</v>
          </cell>
          <cell r="AE861" t="str">
            <v>001-中華全佑</v>
          </cell>
          <cell r="AF861">
            <v>0</v>
          </cell>
          <cell r="AG861">
            <v>0</v>
          </cell>
        </row>
        <row r="862">
          <cell r="AD862" t="str">
            <v>001-中華全佑*四輪轉向定位舊廠</v>
          </cell>
          <cell r="AE862" t="str">
            <v>001-中華全佑</v>
          </cell>
          <cell r="AF862">
            <v>1</v>
          </cell>
          <cell r="AG862">
            <v>0</v>
          </cell>
        </row>
        <row r="863">
          <cell r="AD863" t="str">
            <v>001-中華全佑出車至南庄舊廠</v>
          </cell>
          <cell r="AE863" t="str">
            <v>001-中華全佑</v>
          </cell>
          <cell r="AF863">
            <v>1</v>
          </cell>
          <cell r="AG863">
            <v>0</v>
          </cell>
        </row>
        <row r="864">
          <cell r="AD864" t="str">
            <v>001-中華全佑</v>
          </cell>
          <cell r="AE864" t="str">
            <v>001-中華全佑</v>
          </cell>
          <cell r="AF864">
            <v>0</v>
          </cell>
          <cell r="AG864">
            <v>0</v>
          </cell>
        </row>
        <row r="865">
          <cell r="AD865" t="str">
            <v>001-中華全佑中華全佑自燒部分胎舊廠</v>
          </cell>
          <cell r="AE865" t="str">
            <v>001-中華全佑</v>
          </cell>
          <cell r="AF865">
            <v>1</v>
          </cell>
          <cell r="AG865">
            <v>0</v>
          </cell>
        </row>
        <row r="866">
          <cell r="AD866" t="str">
            <v>001-中華全佑出車至新莊舊廠</v>
          </cell>
          <cell r="AE866" t="str">
            <v>001-中華全佑</v>
          </cell>
          <cell r="AF866">
            <v>1</v>
          </cell>
          <cell r="AG866">
            <v>0</v>
          </cell>
        </row>
        <row r="867">
          <cell r="AD867" t="str">
            <v>001-中華全佑出車至崎頂舊廠</v>
          </cell>
          <cell r="AE867" t="str">
            <v>001-中華全佑</v>
          </cell>
          <cell r="AF867">
            <v>1</v>
          </cell>
          <cell r="AG867">
            <v>0</v>
          </cell>
        </row>
        <row r="868">
          <cell r="AD868" t="str">
            <v>001-中華全佑*前輪前束調整舊廠</v>
          </cell>
          <cell r="AE868" t="str">
            <v>001-中華全佑</v>
          </cell>
          <cell r="AF868">
            <v>1</v>
          </cell>
          <cell r="AG868">
            <v>0</v>
          </cell>
        </row>
        <row r="869">
          <cell r="AD869" t="str">
            <v>001-中華全佑*中軸前束調整舊廠</v>
          </cell>
          <cell r="AE869" t="str">
            <v>001-中華全佑</v>
          </cell>
          <cell r="AF869">
            <v>1</v>
          </cell>
          <cell r="AG869">
            <v>0</v>
          </cell>
        </row>
        <row r="870">
          <cell r="AD870" t="str">
            <v>001-中華全佑出車至南寮舊廠</v>
          </cell>
          <cell r="AE870" t="str">
            <v>001-中華全佑</v>
          </cell>
          <cell r="AF870">
            <v>1</v>
          </cell>
          <cell r="AG870">
            <v>0</v>
          </cell>
        </row>
        <row r="871">
          <cell r="AD871" t="str">
            <v>001-中華全佑補稅金舊廠</v>
          </cell>
          <cell r="AE871" t="str">
            <v>001-中華全佑</v>
          </cell>
          <cell r="AF871">
            <v>1</v>
          </cell>
          <cell r="AG871">
            <v>0</v>
          </cell>
        </row>
        <row r="872">
          <cell r="AD872" t="str">
            <v>001-中華全佑換和尚頭舊廠</v>
          </cell>
          <cell r="AE872" t="str">
            <v>001-中華全佑</v>
          </cell>
          <cell r="AF872">
            <v>1</v>
          </cell>
          <cell r="AG872">
            <v>0</v>
          </cell>
        </row>
        <row r="873">
          <cell r="AD873" t="str">
            <v>001-中華全佑出車至桃園舊廠</v>
          </cell>
          <cell r="AE873" t="str">
            <v>001-中華全佑</v>
          </cell>
          <cell r="AF873">
            <v>1</v>
          </cell>
          <cell r="AG873">
            <v>0</v>
          </cell>
        </row>
        <row r="874">
          <cell r="AD874" t="str">
            <v>001-中華全佑*中軸直拉桿調整舊廠</v>
          </cell>
          <cell r="AE874" t="str">
            <v>001-中華全佑</v>
          </cell>
          <cell r="AF874">
            <v>1</v>
          </cell>
          <cell r="AG874">
            <v>0</v>
          </cell>
        </row>
        <row r="875">
          <cell r="AD875" t="str">
            <v>001-中華全佑</v>
          </cell>
          <cell r="AE875" t="str">
            <v>001-中華全佑</v>
          </cell>
          <cell r="AF875">
            <v>0</v>
          </cell>
          <cell r="AG875">
            <v>0</v>
          </cell>
        </row>
        <row r="876">
          <cell r="AD876" t="str">
            <v>001-中華全佑</v>
          </cell>
          <cell r="AE876" t="str">
            <v>001-中華全佑</v>
          </cell>
          <cell r="AF876">
            <v>0</v>
          </cell>
          <cell r="AG876">
            <v>0</v>
          </cell>
        </row>
        <row r="877">
          <cell r="AD877" t="str">
            <v>001-中華全佑</v>
          </cell>
          <cell r="AE877" t="str">
            <v>001-中華全佑</v>
          </cell>
          <cell r="AF877">
            <v>0</v>
          </cell>
          <cell r="AG877">
            <v>0</v>
          </cell>
        </row>
        <row r="878">
          <cell r="AD878" t="str">
            <v>001-中華全佑</v>
          </cell>
          <cell r="AE878" t="str">
            <v>001-中華全佑</v>
          </cell>
          <cell r="AF878">
            <v>0</v>
          </cell>
          <cell r="AG878">
            <v>0</v>
          </cell>
        </row>
        <row r="879">
          <cell r="AD879" t="str">
            <v>001-中華全佑</v>
          </cell>
          <cell r="AE879" t="str">
            <v>001-中華全佑</v>
          </cell>
          <cell r="AF879">
            <v>0</v>
          </cell>
          <cell r="AG879">
            <v>0</v>
          </cell>
        </row>
        <row r="880">
          <cell r="AD880" t="str">
            <v>001-中華全佑</v>
          </cell>
          <cell r="AE880" t="str">
            <v>001-中華全佑</v>
          </cell>
          <cell r="AF880">
            <v>0</v>
          </cell>
          <cell r="AG880">
            <v>0</v>
          </cell>
        </row>
        <row r="881">
          <cell r="AD881" t="str">
            <v>001-中華全佑*第三軸軸距檢測舊廠</v>
          </cell>
          <cell r="AE881" t="str">
            <v>001-中華全佑</v>
          </cell>
          <cell r="AF881">
            <v>1</v>
          </cell>
          <cell r="AG881">
            <v>0</v>
          </cell>
        </row>
        <row r="882">
          <cell r="AD882" t="str">
            <v>001-中華全佑折讓舊廠</v>
          </cell>
          <cell r="AE882" t="str">
            <v>001-中華全佑</v>
          </cell>
          <cell r="AF882">
            <v>1</v>
          </cell>
          <cell r="AG882">
            <v>0</v>
          </cell>
        </row>
        <row r="883">
          <cell r="AD883" t="str">
            <v>001-中華全佑送中古胎舊廠</v>
          </cell>
          <cell r="AE883" t="str">
            <v>001-中華全佑</v>
          </cell>
          <cell r="AF883">
            <v>1</v>
          </cell>
          <cell r="AG883">
            <v>0</v>
          </cell>
        </row>
        <row r="884">
          <cell r="AD884" t="str">
            <v>001-中華全佑處理胎賠償舊廠</v>
          </cell>
          <cell r="AE884" t="str">
            <v>001-中華全佑</v>
          </cell>
          <cell r="AF884">
            <v>1</v>
          </cell>
          <cell r="AG884">
            <v>0</v>
          </cell>
        </row>
        <row r="885">
          <cell r="AD885" t="str">
            <v>001-中華全佑*後傾角調整片舊廠</v>
          </cell>
          <cell r="AE885" t="str">
            <v>001-中華全佑</v>
          </cell>
          <cell r="AF885">
            <v>1</v>
          </cell>
          <cell r="AG885">
            <v>0</v>
          </cell>
        </row>
        <row r="886">
          <cell r="AD886" t="str">
            <v>001-中華全佑</v>
          </cell>
          <cell r="AE886" t="str">
            <v>001-中華全佑</v>
          </cell>
          <cell r="AF886">
            <v>0</v>
          </cell>
          <cell r="AG886">
            <v>0</v>
          </cell>
        </row>
        <row r="887">
          <cell r="AD887" t="str">
            <v>001-中華全佑*軸距檢測舊廠</v>
          </cell>
          <cell r="AE887" t="str">
            <v>001-中華全佑</v>
          </cell>
          <cell r="AF887">
            <v>1</v>
          </cell>
          <cell r="AG887">
            <v>0</v>
          </cell>
        </row>
        <row r="888">
          <cell r="AD888" t="str">
            <v>001-中華全佑</v>
          </cell>
          <cell r="AE888" t="str">
            <v>001-中華全佑</v>
          </cell>
          <cell r="AF888">
            <v>0</v>
          </cell>
          <cell r="AG888">
            <v>0</v>
          </cell>
        </row>
        <row r="889">
          <cell r="AD889" t="str">
            <v>001-中華全佑</v>
          </cell>
          <cell r="AE889" t="str">
            <v>001-中華全佑</v>
          </cell>
          <cell r="AF889">
            <v>0</v>
          </cell>
          <cell r="AG889">
            <v>0</v>
          </cell>
        </row>
        <row r="890">
          <cell r="AD890" t="str">
            <v>001-中華全佑賣廢輪胎舊廠</v>
          </cell>
          <cell r="AE890" t="str">
            <v>001-中華全佑</v>
          </cell>
          <cell r="AF890">
            <v>1</v>
          </cell>
          <cell r="AG890">
            <v>0</v>
          </cell>
        </row>
        <row r="891">
          <cell r="AD891" t="str">
            <v>001-中華全佑賣廢鐵舊廠</v>
          </cell>
          <cell r="AE891" t="str">
            <v>001-中華全佑</v>
          </cell>
          <cell r="AF891">
            <v>1</v>
          </cell>
          <cell r="AG891">
            <v>0</v>
          </cell>
        </row>
        <row r="892">
          <cell r="AD892" t="str">
            <v>001-中華全佑出車至卓蘭舊廠</v>
          </cell>
          <cell r="AE892" t="str">
            <v>001-中華全佑</v>
          </cell>
          <cell r="AF892">
            <v>1</v>
          </cell>
          <cell r="AG892">
            <v>0</v>
          </cell>
        </row>
        <row r="893">
          <cell r="AD893" t="str">
            <v>001-中華全佑租胎*中型胎舊廠</v>
          </cell>
          <cell r="AE893" t="str">
            <v>001-中華全佑</v>
          </cell>
          <cell r="AF893">
            <v>1</v>
          </cell>
          <cell r="AG893">
            <v>0</v>
          </cell>
        </row>
        <row r="894">
          <cell r="AD894" t="str">
            <v>001-中華全佑</v>
          </cell>
          <cell r="AE894" t="str">
            <v>001-中華全佑</v>
          </cell>
          <cell r="AF894">
            <v>0</v>
          </cell>
          <cell r="AG894">
            <v>0</v>
          </cell>
        </row>
        <row r="895">
          <cell r="AD895" t="str">
            <v>001-中華全佑</v>
          </cell>
          <cell r="AE895" t="str">
            <v>001-中華全佑</v>
          </cell>
          <cell r="AF895">
            <v>0</v>
          </cell>
          <cell r="AG895">
            <v>0</v>
          </cell>
        </row>
        <row r="896">
          <cell r="AD896" t="str">
            <v>001-中華全佑</v>
          </cell>
          <cell r="AE896" t="str">
            <v>001-中華全佑</v>
          </cell>
          <cell r="AF896">
            <v>0</v>
          </cell>
          <cell r="AG896">
            <v>0</v>
          </cell>
        </row>
        <row r="897">
          <cell r="AD897" t="str">
            <v>001-中華全佑</v>
          </cell>
          <cell r="AE897" t="str">
            <v>001-中華全佑</v>
          </cell>
          <cell r="AF897">
            <v>0</v>
          </cell>
          <cell r="AG897">
            <v>0</v>
          </cell>
        </row>
        <row r="898">
          <cell r="AD898" t="str">
            <v>001-中華全佑</v>
          </cell>
          <cell r="AE898" t="str">
            <v>001-中華全佑</v>
          </cell>
          <cell r="AF898">
            <v>0</v>
          </cell>
          <cell r="AG898">
            <v>0</v>
          </cell>
        </row>
        <row r="899">
          <cell r="AD899" t="str">
            <v>001-中華全佑出車至台北舊廠</v>
          </cell>
          <cell r="AE899" t="str">
            <v>001-中華全佑</v>
          </cell>
          <cell r="AF899">
            <v>1</v>
          </cell>
          <cell r="AG899">
            <v>0</v>
          </cell>
        </row>
        <row r="900">
          <cell r="AD900" t="str">
            <v>001-中華全佑</v>
          </cell>
          <cell r="AE900" t="str">
            <v>001-中華全佑</v>
          </cell>
          <cell r="AF900">
            <v>0</v>
          </cell>
          <cell r="AG900">
            <v>0</v>
          </cell>
        </row>
        <row r="901">
          <cell r="AD901" t="str">
            <v>001-中華全佑</v>
          </cell>
          <cell r="AE901" t="str">
            <v>001-中華全佑</v>
          </cell>
          <cell r="AF901">
            <v>0</v>
          </cell>
          <cell r="AG901">
            <v>0</v>
          </cell>
        </row>
        <row r="902">
          <cell r="AD902" t="str">
            <v>001-中華全佑</v>
          </cell>
          <cell r="AE902" t="str">
            <v>001-中華全佑</v>
          </cell>
          <cell r="AF902">
            <v>0</v>
          </cell>
          <cell r="AG902">
            <v>0</v>
          </cell>
        </row>
        <row r="903">
          <cell r="AD903" t="str">
            <v>001-中華全佑出車至新豐 舊廠</v>
          </cell>
          <cell r="AE903" t="str">
            <v>001-中華全佑</v>
          </cell>
          <cell r="AF903">
            <v>1</v>
          </cell>
          <cell r="AG903">
            <v>0</v>
          </cell>
        </row>
        <row r="904">
          <cell r="AD904" t="str">
            <v>001-中華全佑</v>
          </cell>
          <cell r="AE904" t="str">
            <v>001-中華全佑</v>
          </cell>
          <cell r="AF904">
            <v>0</v>
          </cell>
          <cell r="AG904">
            <v>0</v>
          </cell>
        </row>
        <row r="905">
          <cell r="AD905" t="str">
            <v>001-中華全佑</v>
          </cell>
          <cell r="AE905" t="str">
            <v>001-中華全佑</v>
          </cell>
          <cell r="AF905">
            <v>0</v>
          </cell>
          <cell r="AG905">
            <v>0</v>
          </cell>
        </row>
        <row r="906">
          <cell r="AD906" t="str">
            <v>001-中華全佑出車至鳳鼻舊廠</v>
          </cell>
          <cell r="AE906" t="str">
            <v>001-中華全佑</v>
          </cell>
          <cell r="AF906">
            <v>1</v>
          </cell>
          <cell r="AG906">
            <v>0</v>
          </cell>
        </row>
        <row r="907">
          <cell r="AD907" t="str">
            <v>001-中華全佑出車至彰化舊廠</v>
          </cell>
          <cell r="AE907" t="str">
            <v>001-中華全佑</v>
          </cell>
          <cell r="AF907">
            <v>1</v>
          </cell>
          <cell r="AG907">
            <v>0</v>
          </cell>
        </row>
        <row r="908">
          <cell r="AD908" t="str">
            <v>001-中華全佑</v>
          </cell>
          <cell r="AE908" t="str">
            <v>001-中華全佑</v>
          </cell>
          <cell r="AF908">
            <v>0</v>
          </cell>
          <cell r="AG908">
            <v>0</v>
          </cell>
        </row>
        <row r="909">
          <cell r="AD909" t="str">
            <v>001-中華全佑</v>
          </cell>
          <cell r="AE909" t="str">
            <v>001-中華全佑</v>
          </cell>
          <cell r="AF909">
            <v>0</v>
          </cell>
          <cell r="AG909">
            <v>0</v>
          </cell>
        </row>
        <row r="910">
          <cell r="AD910" t="str">
            <v>001-中華全佑換氣門芯子舊廠</v>
          </cell>
          <cell r="AE910" t="str">
            <v>001-中華全佑</v>
          </cell>
          <cell r="AF910">
            <v>1</v>
          </cell>
          <cell r="AG910">
            <v>0</v>
          </cell>
        </row>
        <row r="911">
          <cell r="AD911" t="str">
            <v>001-中華全佑出車至大園舊廠</v>
          </cell>
          <cell r="AE911" t="str">
            <v>001-中華全佑</v>
          </cell>
          <cell r="AF911">
            <v>1</v>
          </cell>
          <cell r="AG911">
            <v>0</v>
          </cell>
        </row>
        <row r="912">
          <cell r="AD912" t="str">
            <v>001-中華全佑出車至大甲舊廠</v>
          </cell>
          <cell r="AE912" t="str">
            <v>001-中華全佑</v>
          </cell>
          <cell r="AF912">
            <v>1</v>
          </cell>
          <cell r="AG912">
            <v>0</v>
          </cell>
        </row>
        <row r="913">
          <cell r="AD913" t="str">
            <v>001-中華全佑</v>
          </cell>
          <cell r="AE913" t="str">
            <v>001-中華全佑</v>
          </cell>
          <cell r="AF913">
            <v>0</v>
          </cell>
          <cell r="AG913">
            <v>0</v>
          </cell>
        </row>
        <row r="914">
          <cell r="AD914" t="str">
            <v>001-中華全佑中古胎*大胎舊廠</v>
          </cell>
          <cell r="AE914" t="str">
            <v>001-中華全佑</v>
          </cell>
          <cell r="AF914">
            <v>1</v>
          </cell>
          <cell r="AG914">
            <v>0</v>
          </cell>
        </row>
        <row r="915">
          <cell r="AD915" t="str">
            <v>001-中華全佑運費舊廠</v>
          </cell>
          <cell r="AE915" t="str">
            <v>001-中華全佑</v>
          </cell>
          <cell r="AF915">
            <v>1</v>
          </cell>
          <cell r="AG915">
            <v>0</v>
          </cell>
        </row>
        <row r="916">
          <cell r="AD916" t="str">
            <v>001-中華全佑</v>
          </cell>
          <cell r="AE916" t="str">
            <v>001-中華全佑</v>
          </cell>
          <cell r="AF916">
            <v>0</v>
          </cell>
          <cell r="AG916">
            <v>0</v>
          </cell>
        </row>
        <row r="917">
          <cell r="AD917" t="str">
            <v>001-中華全佑</v>
          </cell>
          <cell r="AE917" t="str">
            <v>001-中華全佑</v>
          </cell>
          <cell r="AF917">
            <v>0</v>
          </cell>
          <cell r="AG917">
            <v>0</v>
          </cell>
        </row>
        <row r="918">
          <cell r="AD918" t="str">
            <v>001-中華全佑*全軸位調整舊廠</v>
          </cell>
          <cell r="AE918" t="str">
            <v>001-中華全佑</v>
          </cell>
          <cell r="AF918">
            <v>1</v>
          </cell>
          <cell r="AG918">
            <v>0</v>
          </cell>
        </row>
        <row r="919">
          <cell r="AD919" t="str">
            <v>001-中華全佑</v>
          </cell>
          <cell r="AE919" t="str">
            <v>001-中華全佑</v>
          </cell>
          <cell r="AF919">
            <v>0</v>
          </cell>
          <cell r="AG919">
            <v>0</v>
          </cell>
        </row>
        <row r="920">
          <cell r="AD920" t="str">
            <v>001-中華全佑出車至大安舊廠</v>
          </cell>
          <cell r="AE920" t="str">
            <v>001-中華全佑</v>
          </cell>
          <cell r="AF920">
            <v>1</v>
          </cell>
          <cell r="AG920">
            <v>0</v>
          </cell>
        </row>
        <row r="921">
          <cell r="AD921" t="str">
            <v>001-中華全佑出車至觀音舊廠</v>
          </cell>
          <cell r="AE921" t="str">
            <v>001-中華全佑</v>
          </cell>
          <cell r="AF921">
            <v>1</v>
          </cell>
          <cell r="AG921">
            <v>0</v>
          </cell>
        </row>
        <row r="922">
          <cell r="AD922" t="str">
            <v>001-中華全佑出車至新埔舊廠</v>
          </cell>
          <cell r="AE922" t="str">
            <v>001-中華全佑</v>
          </cell>
          <cell r="AF922">
            <v>1</v>
          </cell>
          <cell r="AG922">
            <v>0</v>
          </cell>
        </row>
        <row r="923">
          <cell r="AD923" t="str">
            <v>001-中華全佑</v>
          </cell>
          <cell r="AE923" t="str">
            <v>001-中華全佑</v>
          </cell>
          <cell r="AF923">
            <v>0</v>
          </cell>
          <cell r="AG923">
            <v>0</v>
          </cell>
        </row>
        <row r="924">
          <cell r="AD924" t="str">
            <v>001-中華全佑出車至新屋舊廠</v>
          </cell>
          <cell r="AE924" t="str">
            <v>001-中華全佑</v>
          </cell>
          <cell r="AF924">
            <v>1</v>
          </cell>
          <cell r="AG924">
            <v>0</v>
          </cell>
        </row>
        <row r="925">
          <cell r="AD925" t="str">
            <v>001-中華全佑油資舊廠</v>
          </cell>
          <cell r="AE925" t="str">
            <v>001-中華全佑</v>
          </cell>
          <cell r="AF925">
            <v>1</v>
          </cell>
          <cell r="AG925">
            <v>0</v>
          </cell>
        </row>
        <row r="926">
          <cell r="AD926" t="str">
            <v>001-中華全佑</v>
          </cell>
          <cell r="AE926" t="str">
            <v>001-中華全佑</v>
          </cell>
          <cell r="AF926">
            <v>0</v>
          </cell>
          <cell r="AG926">
            <v>0</v>
          </cell>
        </row>
        <row r="927">
          <cell r="AD927" t="str">
            <v>001-中華全佑</v>
          </cell>
          <cell r="AE927" t="str">
            <v>001-中華全佑</v>
          </cell>
          <cell r="AF927">
            <v>0</v>
          </cell>
          <cell r="AG927">
            <v>0</v>
          </cell>
        </row>
        <row r="928">
          <cell r="AD928" t="str">
            <v>001-中華全佑</v>
          </cell>
          <cell r="AE928" t="str">
            <v>001-中華全佑</v>
          </cell>
          <cell r="AF928">
            <v>0</v>
          </cell>
          <cell r="AG928">
            <v>0</v>
          </cell>
        </row>
        <row r="929">
          <cell r="AD929" t="str">
            <v>001-中華全佑</v>
          </cell>
          <cell r="AE929" t="str">
            <v>001-中華全佑</v>
          </cell>
          <cell r="AF929">
            <v>0</v>
          </cell>
          <cell r="AG929">
            <v>0</v>
          </cell>
        </row>
        <row r="930">
          <cell r="AD930" t="str">
            <v>001-中華全佑出車至橫山舊廠</v>
          </cell>
          <cell r="AE930" t="str">
            <v>001-中華全佑</v>
          </cell>
          <cell r="AF930">
            <v>1</v>
          </cell>
          <cell r="AG930">
            <v>0</v>
          </cell>
        </row>
        <row r="931">
          <cell r="AD931" t="str">
            <v>001-中華全佑廢鋼圈載回舊廠</v>
          </cell>
          <cell r="AE931" t="str">
            <v>001-中華全佑</v>
          </cell>
          <cell r="AF931">
            <v>1</v>
          </cell>
          <cell r="AG931">
            <v>0</v>
          </cell>
        </row>
        <row r="932">
          <cell r="AD932" t="str">
            <v>001-中華全佑</v>
          </cell>
          <cell r="AE932" t="str">
            <v>001-中華全佑</v>
          </cell>
          <cell r="AF932">
            <v>0</v>
          </cell>
          <cell r="AG932">
            <v>0</v>
          </cell>
        </row>
        <row r="933">
          <cell r="AD933" t="str">
            <v>001-中華全佑</v>
          </cell>
          <cell r="AE933" t="str">
            <v>001-中華全佑</v>
          </cell>
          <cell r="AF933">
            <v>0</v>
          </cell>
          <cell r="AG933">
            <v>0</v>
          </cell>
        </row>
        <row r="934">
          <cell r="AD934" t="str">
            <v>001-中華全佑中古鋼圈舊廠</v>
          </cell>
          <cell r="AE934" t="str">
            <v>001-中華全佑</v>
          </cell>
          <cell r="AF934">
            <v>1</v>
          </cell>
          <cell r="AG934">
            <v>0</v>
          </cell>
        </row>
        <row r="935">
          <cell r="AD935" t="str">
            <v>001-中華全佑交際費舊廠</v>
          </cell>
          <cell r="AE935" t="str">
            <v>001-中華全佑</v>
          </cell>
          <cell r="AF935">
            <v>1</v>
          </cell>
          <cell r="AG935">
            <v>0</v>
          </cell>
        </row>
        <row r="936">
          <cell r="AD936" t="str">
            <v>001-中華全佑</v>
          </cell>
          <cell r="AE936" t="str">
            <v>001-中華全佑</v>
          </cell>
          <cell r="AF936">
            <v>0</v>
          </cell>
          <cell r="AG936">
            <v>0</v>
          </cell>
        </row>
        <row r="937">
          <cell r="AD937" t="str">
            <v>001-中華全佑</v>
          </cell>
          <cell r="AE937" t="str">
            <v>001-中華全佑</v>
          </cell>
          <cell r="AF937">
            <v>0</v>
          </cell>
          <cell r="AG937">
            <v>0</v>
          </cell>
        </row>
        <row r="938">
          <cell r="AD938" t="str">
            <v>001-中華全佑</v>
          </cell>
          <cell r="AE938" t="str">
            <v>001-中華全佑</v>
          </cell>
          <cell r="AF938">
            <v>0</v>
          </cell>
          <cell r="AG938">
            <v>0</v>
          </cell>
        </row>
        <row r="939">
          <cell r="AD939" t="str">
            <v>001-中華全佑</v>
          </cell>
          <cell r="AE939" t="str">
            <v>001-中華全佑</v>
          </cell>
          <cell r="AF939">
            <v>0</v>
          </cell>
          <cell r="AG939">
            <v>0</v>
          </cell>
        </row>
        <row r="940">
          <cell r="AD940" t="str">
            <v>001-中華全佑出車至楊梅舊廠</v>
          </cell>
          <cell r="AE940" t="str">
            <v>001-中華全佑</v>
          </cell>
          <cell r="AF940">
            <v>1</v>
          </cell>
          <cell r="AG940">
            <v>0</v>
          </cell>
        </row>
        <row r="941">
          <cell r="AD941" t="str">
            <v>005-米其林(公司)-大胎米其林-295/80R22.5*X Multi Z舊廠</v>
          </cell>
          <cell r="AE941" t="str">
            <v>005-米其林(公司)-大胎</v>
          </cell>
          <cell r="AF941">
            <v>16</v>
          </cell>
          <cell r="AG941">
            <v>12440</v>
          </cell>
        </row>
        <row r="942">
          <cell r="AD942" t="str">
            <v>019-立城工程胎 BTT-17.5/65-20*AT621舊廠</v>
          </cell>
          <cell r="AE942" t="str">
            <v>019-立城</v>
          </cell>
          <cell r="AF942">
            <v>1</v>
          </cell>
          <cell r="AG942">
            <v>17000</v>
          </cell>
        </row>
        <row r="943">
          <cell r="AD943" t="str">
            <v>168-瑪吉斯-中胎瑪吉斯-195/75R16C*UE168(廠商-寄庫未出-帳已結)</v>
          </cell>
          <cell r="AE943" t="str">
            <v>168-瑪吉斯-中胎</v>
          </cell>
          <cell r="AF943">
            <v>20</v>
          </cell>
          <cell r="AG943">
            <v>2221</v>
          </cell>
        </row>
        <row r="944">
          <cell r="AD944" t="str">
            <v>168-瑪吉斯-中胎瑪吉斯-195/75R16C*UE168(廠商-寄庫未出-帳已結)</v>
          </cell>
          <cell r="AE944" t="str">
            <v>168-瑪吉斯-中胎</v>
          </cell>
          <cell r="AF944">
            <v>-10</v>
          </cell>
          <cell r="AG944">
            <v>2221</v>
          </cell>
        </row>
        <row r="945">
          <cell r="AD945" t="str">
            <v>168-瑪吉斯-中胎瑪吉斯-195/75R16C*UE168舊廠</v>
          </cell>
          <cell r="AE945" t="str">
            <v>168-瑪吉斯-中胎</v>
          </cell>
          <cell r="AF945">
            <v>10</v>
          </cell>
          <cell r="AG945">
            <v>2221</v>
          </cell>
        </row>
        <row r="946">
          <cell r="AD946" t="str">
            <v>331-承德噴射器行液油門舊廠</v>
          </cell>
          <cell r="AE946" t="str">
            <v>331-承德噴射器行</v>
          </cell>
          <cell r="AF946">
            <v>1</v>
          </cell>
          <cell r="AG946">
            <v>3000</v>
          </cell>
        </row>
        <row r="947">
          <cell r="AD947" t="str">
            <v>331-承德噴射器行線路檢修舊廠</v>
          </cell>
          <cell r="AE947" t="str">
            <v>331-承德噴射器行</v>
          </cell>
          <cell r="AF947">
            <v>1</v>
          </cell>
          <cell r="AG947">
            <v>0</v>
          </cell>
        </row>
        <row r="948">
          <cell r="AD948" t="str">
            <v>331-承德噴射器行工資舊廠</v>
          </cell>
          <cell r="AE948" t="str">
            <v>331-承德噴射器行</v>
          </cell>
          <cell r="AF948">
            <v>1</v>
          </cell>
          <cell r="AG948">
            <v>0</v>
          </cell>
        </row>
        <row r="949">
          <cell r="AD949" t="str">
            <v>332-金和柴油邦浦調修行調邦浦舊廠</v>
          </cell>
          <cell r="AE949" t="str">
            <v>332-金和柴油邦浦調修行</v>
          </cell>
          <cell r="AF949">
            <v>1</v>
          </cell>
          <cell r="AG949">
            <v>1800</v>
          </cell>
        </row>
        <row r="950">
          <cell r="AD950" t="str">
            <v>332-金和柴油邦浦調修行調油咀舊廠</v>
          </cell>
          <cell r="AE950" t="str">
            <v>332-金和柴油邦浦調修行</v>
          </cell>
          <cell r="AF950">
            <v>4</v>
          </cell>
          <cell r="AG950">
            <v>480</v>
          </cell>
        </row>
        <row r="951">
          <cell r="AD951" t="str">
            <v>332-金和柴油邦浦調修行換修理包舊廠</v>
          </cell>
          <cell r="AE951" t="str">
            <v>332-金和柴油邦浦調修行</v>
          </cell>
          <cell r="AF951">
            <v>1</v>
          </cell>
          <cell r="AG951">
            <v>1100</v>
          </cell>
        </row>
        <row r="952">
          <cell r="AD952" t="str">
            <v>332-金和柴油邦浦調修行滾輪舊廠</v>
          </cell>
          <cell r="AE952" t="str">
            <v>332-金和柴油邦浦調修行</v>
          </cell>
          <cell r="AF952">
            <v>4</v>
          </cell>
          <cell r="AG952">
            <v>338</v>
          </cell>
        </row>
        <row r="953">
          <cell r="AD953" t="str">
            <v>332-金和柴油邦浦調修行起動油熱舊廠</v>
          </cell>
          <cell r="AE953" t="str">
            <v>332-金和柴油邦浦調修行</v>
          </cell>
          <cell r="AF953">
            <v>1</v>
          </cell>
          <cell r="AG953">
            <v>150</v>
          </cell>
        </row>
        <row r="954">
          <cell r="AD954" t="str">
            <v>332-金和柴油邦浦調修行液壓頭舊廠</v>
          </cell>
          <cell r="AE954" t="str">
            <v>332-金和柴油邦浦調修行</v>
          </cell>
          <cell r="AF954">
            <v>1</v>
          </cell>
          <cell r="AG954">
            <v>6500</v>
          </cell>
        </row>
        <row r="955">
          <cell r="AD955" t="str">
            <v>332-金和柴油邦浦調修行拆裝舊廠</v>
          </cell>
          <cell r="AE955" t="str">
            <v>332-金和柴油邦浦調修行</v>
          </cell>
          <cell r="AF955">
            <v>1</v>
          </cell>
          <cell r="AG955">
            <v>1800</v>
          </cell>
        </row>
        <row r="956">
          <cell r="AD956" t="str">
            <v>332-金和柴油邦浦調修行預熱塞舊廠</v>
          </cell>
          <cell r="AE956" t="str">
            <v>332-金和柴油邦浦調修行</v>
          </cell>
          <cell r="AF956">
            <v>3</v>
          </cell>
          <cell r="AG956">
            <v>300</v>
          </cell>
        </row>
        <row r="957">
          <cell r="AD957" t="str">
            <v>038-亞獵士鋼圈-卡車螺帽M22*1.5*RR*55mm舊廠</v>
          </cell>
          <cell r="AE957" t="str">
            <v>038-亞獵士</v>
          </cell>
          <cell r="AF957">
            <v>60</v>
          </cell>
          <cell r="AG957">
            <v>210</v>
          </cell>
        </row>
        <row r="958">
          <cell r="AD958" t="str">
            <v>005-米其林(公司)-大胎米其林-295/80R22.5*X Multi Z倉庫</v>
          </cell>
          <cell r="AE958" t="str">
            <v>005-米其林(公司)-大胎</v>
          </cell>
          <cell r="AF958">
            <v>40</v>
          </cell>
          <cell r="AG958">
            <v>12440</v>
          </cell>
        </row>
        <row r="959">
          <cell r="AD959" t="str">
            <v>038-亞獵士鋼圈-_J003-7_61_17.5*鏡面舊廠</v>
          </cell>
          <cell r="AE959" t="str">
            <v>038-亞獵士</v>
          </cell>
          <cell r="AF959">
            <v>6</v>
          </cell>
          <cell r="AG959">
            <v>4410</v>
          </cell>
        </row>
        <row r="960">
          <cell r="AD960" t="str">
            <v>038-亞獵士卡車螺帽M20*1.5*FL*12mm舊廠</v>
          </cell>
          <cell r="AE960" t="str">
            <v>038-亞獵士</v>
          </cell>
          <cell r="AF960">
            <v>5</v>
          </cell>
          <cell r="AG960">
            <v>126</v>
          </cell>
        </row>
        <row r="961">
          <cell r="AD961" t="str">
            <v>038-亞獵士卡車螺帽M20*1.5*FR*12mm舊廠</v>
          </cell>
          <cell r="AE961" t="str">
            <v>038-亞獵士</v>
          </cell>
          <cell r="AF961">
            <v>5</v>
          </cell>
          <cell r="AG961">
            <v>126</v>
          </cell>
        </row>
        <row r="962">
          <cell r="AD962" t="str">
            <v>038-亞獵士中型車螺帽M20*1.5*RL*32mm舊廠</v>
          </cell>
          <cell r="AE962" t="str">
            <v>038-亞獵士</v>
          </cell>
          <cell r="AF962">
            <v>5</v>
          </cell>
          <cell r="AG962">
            <v>158</v>
          </cell>
        </row>
        <row r="963">
          <cell r="AD963" t="str">
            <v>038-亞獵士中型車螺帽M20*1.5*RR*32mm舊廠</v>
          </cell>
          <cell r="AE963" t="str">
            <v>038-亞獵士</v>
          </cell>
          <cell r="AF963">
            <v>5</v>
          </cell>
          <cell r="AG963">
            <v>158</v>
          </cell>
        </row>
        <row r="964">
          <cell r="AD964" t="str">
            <v>168-瑪吉斯-中胎瑪吉斯-205/85R16*UR275舊廠</v>
          </cell>
          <cell r="AE964" t="str">
            <v>168-瑪吉斯-中胎</v>
          </cell>
          <cell r="AF964">
            <v>4</v>
          </cell>
          <cell r="AG964">
            <v>3900</v>
          </cell>
        </row>
        <row r="965">
          <cell r="AD965" t="str">
            <v>244-昆侖輪胎有限公司昆侖-12R22.5*KT871(直花)舊廠</v>
          </cell>
          <cell r="AE965" t="str">
            <v>244-昆侖輪胎有限公司</v>
          </cell>
          <cell r="AF965">
            <v>218</v>
          </cell>
          <cell r="AG965">
            <v>4874</v>
          </cell>
        </row>
        <row r="966">
          <cell r="AD966" t="str">
            <v>244-昆侖輪胎有限公司昆侖-工程胎23.5-25*KT619舊廠</v>
          </cell>
          <cell r="AE966" t="str">
            <v>244-昆侖輪胎有限公司</v>
          </cell>
          <cell r="AF966">
            <v>2</v>
          </cell>
          <cell r="AG966">
            <v>26837</v>
          </cell>
        </row>
        <row r="967">
          <cell r="AD967" t="str">
            <v>244-昆侖輪胎有限公司昆侖-工程胎23.5-25*KT62舊廠</v>
          </cell>
          <cell r="AE967" t="str">
            <v>244-昆侖輪胎有限公司</v>
          </cell>
          <cell r="AF967">
            <v>2</v>
          </cell>
          <cell r="AG967">
            <v>20836</v>
          </cell>
        </row>
        <row r="968">
          <cell r="AD968" t="str">
            <v>038-亞獵士鋼圈-_C006_61_22.5*霧面舊廠</v>
          </cell>
          <cell r="AE968" t="str">
            <v>038-亞獵士</v>
          </cell>
          <cell r="AF968">
            <v>30</v>
          </cell>
          <cell r="AG968">
            <v>7350</v>
          </cell>
        </row>
        <row r="969">
          <cell r="AD969" t="str">
            <v>038-亞獵士鋼圈-_C006_61_22.5*單鏡面舊廠</v>
          </cell>
          <cell r="AE969" t="str">
            <v>038-亞獵士</v>
          </cell>
          <cell r="AF969">
            <v>10</v>
          </cell>
          <cell r="AG969">
            <v>7665</v>
          </cell>
        </row>
        <row r="970">
          <cell r="AD970" t="str">
            <v>038-亞獵士鋼圈-卡車螺帽M22*1.5*RR*38mm舊廠</v>
          </cell>
          <cell r="AE970" t="str">
            <v>038-亞獵士</v>
          </cell>
          <cell r="AF970">
            <v>160</v>
          </cell>
          <cell r="AG970">
            <v>158</v>
          </cell>
        </row>
        <row r="971">
          <cell r="AD971" t="str">
            <v>038-亞獵士鋼圈-_E001_61_22.5*霧面舊廠</v>
          </cell>
          <cell r="AE971" t="str">
            <v>038-亞獵士</v>
          </cell>
          <cell r="AF971">
            <v>20</v>
          </cell>
          <cell r="AG971">
            <v>5460</v>
          </cell>
        </row>
        <row r="972">
          <cell r="AD972" t="str">
            <v>143-玉山輪胎翻修胎-315R*(直花-正冷)舊廠</v>
          </cell>
          <cell r="AE972" t="str">
            <v>143-玉山輪胎</v>
          </cell>
          <cell r="AF972">
            <v>24</v>
          </cell>
          <cell r="AG972">
            <v>3731</v>
          </cell>
        </row>
        <row r="973">
          <cell r="AD973" t="str">
            <v>164-登祿普(公司)-大胎登祿普-315/80R22.5*SP571舊廠</v>
          </cell>
          <cell r="AE973" t="str">
            <v>164-登祿普(公司)-大胎</v>
          </cell>
          <cell r="AF973">
            <v>210</v>
          </cell>
          <cell r="AG973">
            <v>8054</v>
          </cell>
        </row>
        <row r="974">
          <cell r="AD974" t="str">
            <v>164-登祿普(公司)-大胎登祿普-315/80R22.5*SP835舊廠</v>
          </cell>
          <cell r="AE974" t="str">
            <v>164-登祿普(公司)-大胎</v>
          </cell>
          <cell r="AF974">
            <v>10</v>
          </cell>
          <cell r="AG974">
            <v>8536</v>
          </cell>
        </row>
        <row r="975">
          <cell r="AD975" t="str">
            <v>164-登祿普(公司)-大胎登祿普-315/80R22.5*SP835舊廠</v>
          </cell>
          <cell r="AE975" t="str">
            <v>164-登祿普(公司)-大胎</v>
          </cell>
          <cell r="AF975">
            <v>2</v>
          </cell>
          <cell r="AG975">
            <v>8536</v>
          </cell>
        </row>
        <row r="976">
          <cell r="AD976" t="str">
            <v>164-登祿普(公司)-大胎登祿普-315/80R22.5*SP320S舊廠</v>
          </cell>
          <cell r="AE976" t="str">
            <v>164-登祿普(公司)-大胎</v>
          </cell>
          <cell r="AF976">
            <v>17</v>
          </cell>
          <cell r="AG976">
            <v>8067</v>
          </cell>
        </row>
        <row r="977">
          <cell r="AD977" t="str">
            <v>164-登祿普(公司)-大胎登祿普-315/80R22.5*SP320S舊廠</v>
          </cell>
          <cell r="AE977" t="str">
            <v>164-登祿普(公司)-大胎</v>
          </cell>
          <cell r="AF977">
            <v>3</v>
          </cell>
          <cell r="AG977">
            <v>8067</v>
          </cell>
        </row>
        <row r="978">
          <cell r="AD978" t="str">
            <v>165-登祿普(公司)-中胎登祿普-825R16*SP122舊廠</v>
          </cell>
          <cell r="AE978" t="str">
            <v>165-登祿普(公司)-中胎</v>
          </cell>
          <cell r="AF978">
            <v>9</v>
          </cell>
          <cell r="AG978">
            <v>3840</v>
          </cell>
        </row>
        <row r="979">
          <cell r="AD979" t="str">
            <v>165-登祿普(公司)-中胎登祿普-825R16*SP122舊廠</v>
          </cell>
          <cell r="AE979" t="str">
            <v>165-登祿普(公司)-中胎</v>
          </cell>
          <cell r="AF979">
            <v>2</v>
          </cell>
          <cell r="AG979">
            <v>3840</v>
          </cell>
        </row>
        <row r="980">
          <cell r="AD980" t="str">
            <v>005-米其林(公司)-大胎米其林-315/80R22.5*X Multi Z舊廠</v>
          </cell>
          <cell r="AE980" t="str">
            <v>005-米其林(公司)-大胎</v>
          </cell>
          <cell r="AF980">
            <v>36</v>
          </cell>
          <cell r="AG980">
            <v>14163</v>
          </cell>
        </row>
        <row r="981">
          <cell r="AD981" t="str">
            <v>017-萬全鋼圈-HL1*9.00*22.5歐規10孔舊廠</v>
          </cell>
          <cell r="AE981" t="str">
            <v>017-萬全</v>
          </cell>
          <cell r="AF981">
            <v>12</v>
          </cell>
          <cell r="AG981">
            <v>3200</v>
          </cell>
        </row>
        <row r="982">
          <cell r="AD982" t="str">
            <v>017-萬全385 90度大頭用氣門嘴舊廠</v>
          </cell>
          <cell r="AE982" t="str">
            <v>017-萬全</v>
          </cell>
          <cell r="AF982">
            <v>2</v>
          </cell>
          <cell r="AG982">
            <v>200</v>
          </cell>
        </row>
        <row r="983">
          <cell r="AD983" t="str">
            <v>161-普利司通(公司)-中胎普利司通-9.5R17.5*R294舊廠</v>
          </cell>
          <cell r="AE983" t="str">
            <v>161-普利司通(公司)-中胎</v>
          </cell>
          <cell r="AF983">
            <v>9</v>
          </cell>
          <cell r="AG983">
            <v>6186</v>
          </cell>
        </row>
        <row r="984">
          <cell r="AD984" t="str">
            <v>161-普利司通(公司)-中胎普利司通-205/75R17.5*R294舊廠</v>
          </cell>
          <cell r="AE984" t="str">
            <v>161-普利司通(公司)-中胎</v>
          </cell>
          <cell r="AF984">
            <v>10</v>
          </cell>
          <cell r="AG984">
            <v>5648</v>
          </cell>
        </row>
        <row r="985">
          <cell r="AD985" t="str">
            <v>023-欣葆RIMULA R4-15W40機油舊廠</v>
          </cell>
          <cell r="AE985" t="str">
            <v>023-欣葆</v>
          </cell>
          <cell r="AF985">
            <v>1</v>
          </cell>
          <cell r="AG985">
            <v>26000</v>
          </cell>
        </row>
        <row r="986">
          <cell r="AD986" t="str">
            <v>168-瑪吉斯-中胎瑪吉斯-195/75R16C*UE168舊廠</v>
          </cell>
          <cell r="AE986" t="str">
            <v>168-瑪吉斯-中胎</v>
          </cell>
          <cell r="AF986">
            <v>10</v>
          </cell>
          <cell r="AG986">
            <v>2221</v>
          </cell>
        </row>
        <row r="987">
          <cell r="AD987" t="str">
            <v>168-瑪吉斯-中胎瑪吉斯-195/75R16C*UE168(廠商-寄庫未出-帳已結)</v>
          </cell>
          <cell r="AE987" t="str">
            <v>168-瑪吉斯-中胎</v>
          </cell>
          <cell r="AF987">
            <v>-10</v>
          </cell>
          <cell r="AG987">
            <v>2221</v>
          </cell>
        </row>
        <row r="988">
          <cell r="AD988" t="str">
            <v>161-普利司通(公司)-中胎普利司通-235/75R17.5*R294舊廠</v>
          </cell>
          <cell r="AE988" t="str">
            <v>161-普利司通(公司)-中胎</v>
          </cell>
          <cell r="AF988">
            <v>10</v>
          </cell>
          <cell r="AG988">
            <v>6164</v>
          </cell>
        </row>
        <row r="989">
          <cell r="AD989" t="str">
            <v>017-萬全鋼圈-HL3*9.00*22.5歐規10孔防爆舊廠</v>
          </cell>
          <cell r="AE989" t="str">
            <v>017-萬全</v>
          </cell>
          <cell r="AF989">
            <v>8</v>
          </cell>
          <cell r="AG989">
            <v>2900</v>
          </cell>
        </row>
        <row r="990">
          <cell r="AD990" t="str">
            <v>017-萬全鋼圈-CSR*9.00*22.5日規8孔舊廠</v>
          </cell>
          <cell r="AE990" t="str">
            <v>017-萬全</v>
          </cell>
          <cell r="AF990">
            <v>4</v>
          </cell>
          <cell r="AG990">
            <v>1500</v>
          </cell>
        </row>
        <row r="991">
          <cell r="AD991" t="str">
            <v>017-萬全鋼圈- CSR*22.5 (廠商-寄庫未出-帳已結)</v>
          </cell>
          <cell r="AE991" t="str">
            <v>017-萬全</v>
          </cell>
          <cell r="AF991">
            <v>-4</v>
          </cell>
          <cell r="AG991">
            <v>1500</v>
          </cell>
        </row>
        <row r="992">
          <cell r="AD992" t="str">
            <v>038-亞獵士鋼圈-卡車螺帽M22*1.5*RR*55mm舊廠</v>
          </cell>
          <cell r="AE992" t="str">
            <v>038-亞獵士</v>
          </cell>
          <cell r="AF992">
            <v>140</v>
          </cell>
          <cell r="AG992">
            <v>210</v>
          </cell>
        </row>
        <row r="993">
          <cell r="AD993" t="str">
            <v>038-亞獵士鋼圈-_E001_61_22.5* 鏡面舊廠</v>
          </cell>
          <cell r="AE993" t="str">
            <v>038-亞獵士</v>
          </cell>
          <cell r="AF993">
            <v>40</v>
          </cell>
          <cell r="AG993">
            <v>6825</v>
          </cell>
        </row>
        <row r="994">
          <cell r="AD994" t="str">
            <v>038-亞獵士鋼圈-_E008_6A_22.5*單鏡面舊廠</v>
          </cell>
          <cell r="AE994" t="str">
            <v>038-亞獵士</v>
          </cell>
          <cell r="AF994">
            <v>2</v>
          </cell>
          <cell r="AG994">
            <v>8190</v>
          </cell>
        </row>
        <row r="995">
          <cell r="AD995" t="str">
            <v>038-亞獵士鋼圈-_E009-1_61_22.5*單鏡面舊廠</v>
          </cell>
          <cell r="AE995" t="str">
            <v>038-亞獵士</v>
          </cell>
          <cell r="AF995">
            <v>2</v>
          </cell>
          <cell r="AG995">
            <v>8190</v>
          </cell>
        </row>
        <row r="996">
          <cell r="AD996" t="str">
            <v>170-正新-內胎.OB內胎-750-16 舊廠</v>
          </cell>
          <cell r="AE996" t="str">
            <v>170-正新-內胎.OB</v>
          </cell>
          <cell r="AF996">
            <v>20</v>
          </cell>
          <cell r="AG996">
            <v>460</v>
          </cell>
        </row>
        <row r="997">
          <cell r="AD997" t="str"/>
          <cell r="AE997" t="str"/>
          <cell r="AF997">
            <v>0</v>
          </cell>
          <cell r="AG997">
            <v>0</v>
          </cell>
        </row>
        <row r="998">
          <cell r="AD998" t="str"/>
          <cell r="AE998" t="str"/>
          <cell r="AF998">
            <v>0</v>
          </cell>
          <cell r="AG998">
            <v>0</v>
          </cell>
        </row>
        <row r="999">
          <cell r="AD999" t="str"/>
          <cell r="AE999" t="str"/>
          <cell r="AF999">
            <v>0</v>
          </cell>
          <cell r="AG999">
            <v>0</v>
          </cell>
        </row>
        <row r="1000">
          <cell r="AD1000" t="str"/>
          <cell r="AE1000" t="str"/>
          <cell r="AF1000">
            <v>0</v>
          </cell>
          <cell r="AG1000">
            <v>0</v>
          </cell>
        </row>
        <row r="1001">
          <cell r="AD1001" t="str"/>
          <cell r="AE1001" t="str"/>
          <cell r="AF1001">
            <v>0</v>
          </cell>
          <cell r="AG1001">
            <v>0</v>
          </cell>
        </row>
        <row r="1002">
          <cell r="AD1002" t="str"/>
          <cell r="AE1002" t="str"/>
          <cell r="AF1002">
            <v>0</v>
          </cell>
          <cell r="AG1002">
            <v>0</v>
          </cell>
        </row>
        <row r="1003">
          <cell r="AD1003" t="str"/>
          <cell r="AE1003" t="str"/>
          <cell r="AF1003">
            <v>0</v>
          </cell>
          <cell r="AG1003">
            <v>0</v>
          </cell>
        </row>
        <row r="1004">
          <cell r="AD1004" t="str"/>
          <cell r="AE1004" t="str"/>
          <cell r="AF1004">
            <v>0</v>
          </cell>
          <cell r="AG1004">
            <v>0</v>
          </cell>
        </row>
        <row r="1005">
          <cell r="AD1005" t="str"/>
          <cell r="AE1005" t="str"/>
          <cell r="AF1005">
            <v>0</v>
          </cell>
          <cell r="AG1005">
            <v>0</v>
          </cell>
        </row>
        <row r="1006">
          <cell r="AD1006" t="str"/>
          <cell r="AE1006" t="str"/>
          <cell r="AF1006">
            <v>0</v>
          </cell>
          <cell r="AG1006">
            <v>0</v>
          </cell>
        </row>
        <row r="1007">
          <cell r="AD1007" t="str"/>
          <cell r="AE1007" t="str"/>
          <cell r="AF1007">
            <v>0</v>
          </cell>
          <cell r="AG1007">
            <v>0</v>
          </cell>
        </row>
        <row r="1008">
          <cell r="AD1008" t="str"/>
          <cell r="AE1008" t="str"/>
          <cell r="AF1008">
            <v>0</v>
          </cell>
          <cell r="AG1008">
            <v>0</v>
          </cell>
        </row>
        <row r="1009">
          <cell r="AD1009" t="str"/>
          <cell r="AE1009" t="str"/>
          <cell r="AF1009">
            <v>0</v>
          </cell>
          <cell r="AG1009">
            <v>0</v>
          </cell>
        </row>
        <row r="1010">
          <cell r="AD1010" t="str"/>
          <cell r="AE1010" t="str"/>
          <cell r="AF1010">
            <v>0</v>
          </cell>
          <cell r="AG1010">
            <v>0</v>
          </cell>
        </row>
        <row r="1011">
          <cell r="AD1011" t="str"/>
          <cell r="AE1011" t="str"/>
          <cell r="AF1011">
            <v>0</v>
          </cell>
          <cell r="AG1011">
            <v>0</v>
          </cell>
        </row>
        <row r="1012">
          <cell r="AD1012" t="str"/>
          <cell r="AE1012" t="str"/>
          <cell r="AF1012">
            <v>0</v>
          </cell>
          <cell r="AG1012">
            <v>0</v>
          </cell>
        </row>
        <row r="1013">
          <cell r="AD1013" t="str"/>
          <cell r="AE1013" t="str"/>
          <cell r="AF1013">
            <v>0</v>
          </cell>
          <cell r="AG1013">
            <v>0</v>
          </cell>
        </row>
        <row r="1014">
          <cell r="AD1014" t="str"/>
          <cell r="AE1014" t="str"/>
          <cell r="AF1014">
            <v>0</v>
          </cell>
          <cell r="AG1014">
            <v>0</v>
          </cell>
        </row>
        <row r="1015">
          <cell r="AD1015" t="str"/>
          <cell r="AE1015" t="str"/>
          <cell r="AF1015">
            <v>0</v>
          </cell>
          <cell r="AG1015">
            <v>0</v>
          </cell>
        </row>
        <row r="1016">
          <cell r="AD1016" t="str"/>
          <cell r="AE1016" t="str"/>
          <cell r="AF1016">
            <v>0</v>
          </cell>
          <cell r="AG1016">
            <v>0</v>
          </cell>
        </row>
        <row r="1017">
          <cell r="AD1017" t="str"/>
          <cell r="AE1017" t="str"/>
          <cell r="AF1017">
            <v>0</v>
          </cell>
          <cell r="AG1017">
            <v>0</v>
          </cell>
        </row>
        <row r="1018">
          <cell r="AD1018" t="str"/>
          <cell r="AE1018" t="str"/>
          <cell r="AF1018">
            <v>0</v>
          </cell>
          <cell r="AG1018">
            <v>0</v>
          </cell>
        </row>
        <row r="1019">
          <cell r="AD1019" t="str"/>
          <cell r="AE1019" t="str"/>
          <cell r="AF1019">
            <v>0</v>
          </cell>
          <cell r="AG1019">
            <v>0</v>
          </cell>
        </row>
        <row r="1020">
          <cell r="AD1020" t="str"/>
          <cell r="AE1020" t="str"/>
          <cell r="AF1020">
            <v>0</v>
          </cell>
          <cell r="AG1020">
            <v>0</v>
          </cell>
        </row>
        <row r="1021">
          <cell r="AD1021" t="str"/>
          <cell r="AE1021" t="str"/>
          <cell r="AF1021">
            <v>0</v>
          </cell>
          <cell r="AG1021">
            <v>0</v>
          </cell>
        </row>
        <row r="1022">
          <cell r="AD1022" t="str"/>
          <cell r="AE1022" t="str"/>
          <cell r="AF1022">
            <v>0</v>
          </cell>
          <cell r="AG1022">
            <v>0</v>
          </cell>
        </row>
        <row r="1023">
          <cell r="AD1023" t="str"/>
          <cell r="AE1023" t="str"/>
          <cell r="AF1023">
            <v>0</v>
          </cell>
          <cell r="AG1023">
            <v>0</v>
          </cell>
        </row>
        <row r="1024">
          <cell r="AD1024" t="str"/>
          <cell r="AE1024" t="str"/>
          <cell r="AF1024">
            <v>0</v>
          </cell>
          <cell r="AG1024">
            <v>0</v>
          </cell>
        </row>
        <row r="1025">
          <cell r="AD1025" t="str"/>
          <cell r="AE1025" t="str"/>
          <cell r="AF1025">
            <v>0</v>
          </cell>
          <cell r="AG1025">
            <v>0</v>
          </cell>
        </row>
        <row r="1026">
          <cell r="AD1026" t="str"/>
          <cell r="AE1026" t="str"/>
          <cell r="AF1026">
            <v>0</v>
          </cell>
          <cell r="AG1026">
            <v>0</v>
          </cell>
        </row>
        <row r="1027">
          <cell r="AD1027" t="str"/>
          <cell r="AE1027" t="str"/>
          <cell r="AF1027">
            <v>0</v>
          </cell>
          <cell r="AG1027">
            <v>0</v>
          </cell>
        </row>
        <row r="1028">
          <cell r="AD1028" t="str"/>
          <cell r="AE1028" t="str"/>
          <cell r="AF1028">
            <v>0</v>
          </cell>
          <cell r="AG1028">
            <v>0</v>
          </cell>
        </row>
        <row r="1029">
          <cell r="AD1029" t="str"/>
          <cell r="AE1029" t="str"/>
          <cell r="AF1029">
            <v>0</v>
          </cell>
          <cell r="AG1029">
            <v>0</v>
          </cell>
        </row>
        <row r="1030">
          <cell r="AD1030" t="str"/>
          <cell r="AE1030" t="str"/>
          <cell r="AF1030">
            <v>0</v>
          </cell>
          <cell r="AG1030">
            <v>0</v>
          </cell>
        </row>
        <row r="1031">
          <cell r="AD1031" t="str"/>
          <cell r="AE1031" t="str"/>
          <cell r="AF1031">
            <v>0</v>
          </cell>
          <cell r="AG1031">
            <v>0</v>
          </cell>
        </row>
        <row r="1032">
          <cell r="AD1032" t="str"/>
          <cell r="AE1032" t="str"/>
          <cell r="AF1032">
            <v>0</v>
          </cell>
          <cell r="AG1032">
            <v>0</v>
          </cell>
        </row>
        <row r="1033">
          <cell r="AD1033" t="str"/>
          <cell r="AE1033" t="str"/>
          <cell r="AF1033">
            <v>0</v>
          </cell>
          <cell r="AG1033">
            <v>0</v>
          </cell>
        </row>
        <row r="1034">
          <cell r="AD1034" t="str"/>
          <cell r="AE1034" t="str"/>
          <cell r="AF1034">
            <v>0</v>
          </cell>
          <cell r="AG1034">
            <v>0</v>
          </cell>
        </row>
        <row r="1035">
          <cell r="AD1035" t="str"/>
          <cell r="AE1035" t="str"/>
          <cell r="AF1035">
            <v>0</v>
          </cell>
          <cell r="AG1035">
            <v>0</v>
          </cell>
        </row>
        <row r="1036">
          <cell r="AD1036" t="str"/>
          <cell r="AE1036" t="str"/>
          <cell r="AF1036">
            <v>0</v>
          </cell>
          <cell r="AG1036">
            <v>0</v>
          </cell>
        </row>
        <row r="1037">
          <cell r="AD1037" t="str"/>
          <cell r="AE1037" t="str"/>
          <cell r="AF1037">
            <v>0</v>
          </cell>
          <cell r="AG1037">
            <v>0</v>
          </cell>
        </row>
        <row r="1038">
          <cell r="AD1038" t="str"/>
          <cell r="AE1038" t="str"/>
          <cell r="AF1038">
            <v>0</v>
          </cell>
          <cell r="AG1038">
            <v>0</v>
          </cell>
        </row>
        <row r="1039">
          <cell r="AD1039" t="str"/>
          <cell r="AE1039" t="str"/>
          <cell r="AF1039">
            <v>0</v>
          </cell>
          <cell r="AG1039">
            <v>0</v>
          </cell>
        </row>
        <row r="1040">
          <cell r="AD1040" t="str"/>
          <cell r="AE1040" t="str"/>
          <cell r="AF1040">
            <v>0</v>
          </cell>
          <cell r="AG1040">
            <v>0</v>
          </cell>
        </row>
        <row r="1041">
          <cell r="AD1041" t="str"/>
          <cell r="AE1041" t="str"/>
          <cell r="AF1041">
            <v>0</v>
          </cell>
          <cell r="AG1041">
            <v>0</v>
          </cell>
        </row>
        <row r="1042">
          <cell r="AD1042" t="str"/>
          <cell r="AE1042" t="str"/>
          <cell r="AF1042">
            <v>0</v>
          </cell>
          <cell r="AG1042">
            <v>0</v>
          </cell>
        </row>
        <row r="1043">
          <cell r="AD1043" t="str"/>
          <cell r="AE1043" t="str"/>
          <cell r="AF1043">
            <v>0</v>
          </cell>
          <cell r="AG1043">
            <v>0</v>
          </cell>
        </row>
        <row r="1044">
          <cell r="AD1044" t="str"/>
          <cell r="AE1044" t="str"/>
          <cell r="AF1044">
            <v>0</v>
          </cell>
          <cell r="AG1044">
            <v>0</v>
          </cell>
        </row>
        <row r="1045">
          <cell r="AD1045" t="str"/>
          <cell r="AE1045" t="str"/>
          <cell r="AF1045">
            <v>0</v>
          </cell>
          <cell r="AG1045">
            <v>0</v>
          </cell>
        </row>
        <row r="1046">
          <cell r="AD1046" t="str"/>
          <cell r="AE1046" t="str"/>
          <cell r="AF1046">
            <v>0</v>
          </cell>
          <cell r="AG1046">
            <v>0</v>
          </cell>
        </row>
        <row r="1047">
          <cell r="AD1047" t="str"/>
          <cell r="AE1047" t="str"/>
          <cell r="AF1047">
            <v>0</v>
          </cell>
          <cell r="AG1047">
            <v>0</v>
          </cell>
        </row>
        <row r="1048">
          <cell r="AD1048" t="str"/>
          <cell r="AE1048" t="str"/>
          <cell r="AF1048">
            <v>0</v>
          </cell>
          <cell r="AG1048">
            <v>0</v>
          </cell>
        </row>
        <row r="1049">
          <cell r="AD1049" t="str"/>
          <cell r="AE1049" t="str"/>
          <cell r="AF1049">
            <v>0</v>
          </cell>
          <cell r="AG1049">
            <v>0</v>
          </cell>
        </row>
        <row r="1050">
          <cell r="AD1050" t="str"/>
          <cell r="AE1050" t="str"/>
          <cell r="AF1050">
            <v>0</v>
          </cell>
          <cell r="AG1050">
            <v>0</v>
          </cell>
        </row>
        <row r="1051">
          <cell r="AD1051" t="str"/>
          <cell r="AE1051" t="str"/>
          <cell r="AF1051">
            <v>0</v>
          </cell>
          <cell r="AG1051">
            <v>0</v>
          </cell>
        </row>
        <row r="1052">
          <cell r="AD1052" t="str"/>
          <cell r="AE1052" t="str"/>
          <cell r="AF1052">
            <v>0</v>
          </cell>
          <cell r="AG1052">
            <v>0</v>
          </cell>
        </row>
        <row r="1053">
          <cell r="AD1053" t="str"/>
          <cell r="AE1053" t="str"/>
          <cell r="AF1053">
            <v>0</v>
          </cell>
          <cell r="AG1053">
            <v>0</v>
          </cell>
        </row>
        <row r="1054">
          <cell r="AD1054" t="str"/>
          <cell r="AE1054" t="str"/>
          <cell r="AF1054">
            <v>0</v>
          </cell>
          <cell r="AG1054">
            <v>0</v>
          </cell>
        </row>
        <row r="1055">
          <cell r="AD1055" t="str"/>
          <cell r="AE1055" t="str"/>
          <cell r="AF1055">
            <v>0</v>
          </cell>
          <cell r="AG1055">
            <v>0</v>
          </cell>
        </row>
        <row r="1056">
          <cell r="AD1056" t="str"/>
          <cell r="AE1056" t="str"/>
          <cell r="AF1056">
            <v>0</v>
          </cell>
          <cell r="AG1056">
            <v>0</v>
          </cell>
        </row>
        <row r="1057">
          <cell r="AD1057" t="str"/>
          <cell r="AE1057" t="str"/>
          <cell r="AF1057">
            <v>0</v>
          </cell>
          <cell r="AG1057">
            <v>0</v>
          </cell>
        </row>
        <row r="1058">
          <cell r="AD1058" t="str"/>
          <cell r="AE1058" t="str"/>
          <cell r="AF1058">
            <v>0</v>
          </cell>
          <cell r="AG1058">
            <v>0</v>
          </cell>
        </row>
        <row r="1059">
          <cell r="AD1059" t="str"/>
          <cell r="AE1059" t="str"/>
          <cell r="AF1059">
            <v>0</v>
          </cell>
          <cell r="AG1059">
            <v>0</v>
          </cell>
        </row>
        <row r="1060">
          <cell r="AD1060" t="str"/>
          <cell r="AE1060" t="str"/>
          <cell r="AF1060">
            <v>0</v>
          </cell>
          <cell r="AG1060">
            <v>0</v>
          </cell>
        </row>
        <row r="1061">
          <cell r="AD1061" t="str"/>
          <cell r="AE1061" t="str"/>
          <cell r="AF1061">
            <v>0</v>
          </cell>
          <cell r="AG1061">
            <v>0</v>
          </cell>
        </row>
        <row r="1062">
          <cell r="AD1062" t="str"/>
          <cell r="AE1062" t="str"/>
          <cell r="AF1062">
            <v>0</v>
          </cell>
          <cell r="AG1062">
            <v>0</v>
          </cell>
        </row>
        <row r="1063">
          <cell r="AD1063" t="str"/>
          <cell r="AE1063" t="str"/>
          <cell r="AF1063">
            <v>0</v>
          </cell>
          <cell r="AG1063">
            <v>0</v>
          </cell>
        </row>
        <row r="1064">
          <cell r="AD1064" t="str"/>
          <cell r="AE1064" t="str"/>
          <cell r="AF1064">
            <v>0</v>
          </cell>
          <cell r="AG1064">
            <v>0</v>
          </cell>
        </row>
        <row r="1065">
          <cell r="AD1065" t="str"/>
          <cell r="AE1065" t="str"/>
          <cell r="AF1065">
            <v>0</v>
          </cell>
          <cell r="AG1065">
            <v>0</v>
          </cell>
        </row>
        <row r="1066">
          <cell r="AD1066" t="str"/>
          <cell r="AE1066" t="str"/>
          <cell r="AF1066">
            <v>0</v>
          </cell>
          <cell r="AG1066">
            <v>0</v>
          </cell>
        </row>
        <row r="1067">
          <cell r="AD1067" t="str"/>
          <cell r="AE1067" t="str"/>
          <cell r="AF1067">
            <v>0</v>
          </cell>
          <cell r="AG1067">
            <v>0</v>
          </cell>
        </row>
        <row r="1068">
          <cell r="AD1068" t="str"/>
          <cell r="AE1068" t="str"/>
          <cell r="AF1068">
            <v>0</v>
          </cell>
          <cell r="AG1068">
            <v>0</v>
          </cell>
        </row>
        <row r="1069">
          <cell r="AD1069" t="str"/>
          <cell r="AE1069" t="str"/>
          <cell r="AF1069">
            <v>0</v>
          </cell>
          <cell r="AG1069">
            <v>0</v>
          </cell>
        </row>
        <row r="1070">
          <cell r="AD1070" t="str"/>
          <cell r="AE1070" t="str"/>
          <cell r="AF1070">
            <v>0</v>
          </cell>
          <cell r="AG1070">
            <v>0</v>
          </cell>
        </row>
        <row r="1071">
          <cell r="AD1071" t="str"/>
          <cell r="AE1071" t="str"/>
          <cell r="AF1071">
            <v>0</v>
          </cell>
          <cell r="AG1071">
            <v>0</v>
          </cell>
        </row>
        <row r="1072">
          <cell r="AD1072" t="str"/>
          <cell r="AE1072" t="str"/>
          <cell r="AF1072">
            <v>0</v>
          </cell>
          <cell r="AG1072">
            <v>0</v>
          </cell>
        </row>
        <row r="1073">
          <cell r="AD1073" t="str"/>
          <cell r="AE1073" t="str"/>
          <cell r="AF1073">
            <v>0</v>
          </cell>
          <cell r="AG1073">
            <v>0</v>
          </cell>
        </row>
        <row r="1074">
          <cell r="AD1074" t="str"/>
          <cell r="AE1074" t="str"/>
          <cell r="AF1074">
            <v>0</v>
          </cell>
          <cell r="AG1074">
            <v>0</v>
          </cell>
        </row>
        <row r="1075">
          <cell r="AD1075" t="str"/>
          <cell r="AE1075" t="str"/>
          <cell r="AF1075">
            <v>0</v>
          </cell>
          <cell r="AG1075">
            <v>0</v>
          </cell>
        </row>
        <row r="1076">
          <cell r="AD1076" t="str"/>
          <cell r="AE1076" t="str"/>
          <cell r="AF1076">
            <v>0</v>
          </cell>
          <cell r="AG1076">
            <v>0</v>
          </cell>
        </row>
        <row r="1077">
          <cell r="AD1077" t="str"/>
          <cell r="AE1077" t="str"/>
          <cell r="AF1077">
            <v>0</v>
          </cell>
          <cell r="AG1077">
            <v>0</v>
          </cell>
        </row>
        <row r="1078">
          <cell r="AD1078" t="str"/>
          <cell r="AE1078" t="str"/>
          <cell r="AF1078">
            <v>0</v>
          </cell>
          <cell r="AG1078">
            <v>0</v>
          </cell>
        </row>
        <row r="1079">
          <cell r="AD1079" t="str"/>
          <cell r="AE1079" t="str"/>
          <cell r="AF1079">
            <v>0</v>
          </cell>
          <cell r="AG1079">
            <v>0</v>
          </cell>
        </row>
        <row r="1080">
          <cell r="AD1080" t="str"/>
          <cell r="AE1080" t="str"/>
          <cell r="AF1080">
            <v>0</v>
          </cell>
          <cell r="AG1080">
            <v>0</v>
          </cell>
        </row>
        <row r="1081">
          <cell r="AD1081" t="str"/>
          <cell r="AE1081" t="str"/>
          <cell r="AF1081">
            <v>0</v>
          </cell>
          <cell r="AG1081">
            <v>0</v>
          </cell>
        </row>
        <row r="1082">
          <cell r="AD1082" t="str"/>
          <cell r="AE1082" t="str"/>
          <cell r="AF1082">
            <v>0</v>
          </cell>
          <cell r="AG1082">
            <v>0</v>
          </cell>
        </row>
        <row r="1083">
          <cell r="AD1083" t="str"/>
          <cell r="AE1083" t="str"/>
          <cell r="AF1083">
            <v>0</v>
          </cell>
          <cell r="AG1083">
            <v>0</v>
          </cell>
        </row>
        <row r="1084">
          <cell r="AD1084" t="str"/>
          <cell r="AE1084" t="str"/>
          <cell r="AF1084">
            <v>0</v>
          </cell>
          <cell r="AG1084">
            <v>0</v>
          </cell>
        </row>
        <row r="1085">
          <cell r="AD1085" t="str"/>
          <cell r="AE1085" t="str"/>
          <cell r="AF1085">
            <v>0</v>
          </cell>
          <cell r="AG1085">
            <v>0</v>
          </cell>
        </row>
        <row r="1086">
          <cell r="AD1086" t="str"/>
          <cell r="AE1086" t="str"/>
          <cell r="AF1086">
            <v>0</v>
          </cell>
          <cell r="AG1086">
            <v>0</v>
          </cell>
        </row>
        <row r="1087">
          <cell r="AD1087" t="str"/>
          <cell r="AE1087" t="str"/>
          <cell r="AF1087">
            <v>0</v>
          </cell>
          <cell r="AG1087">
            <v>0</v>
          </cell>
        </row>
        <row r="1088">
          <cell r="AD1088" t="str"/>
          <cell r="AE1088" t="str"/>
          <cell r="AF1088">
            <v>0</v>
          </cell>
          <cell r="AG1088">
            <v>0</v>
          </cell>
        </row>
        <row r="1089">
          <cell r="AD1089" t="str"/>
          <cell r="AE1089" t="str"/>
          <cell r="AF1089">
            <v>0</v>
          </cell>
          <cell r="AG1089">
            <v>0</v>
          </cell>
        </row>
        <row r="1090">
          <cell r="AD1090" t="str"/>
          <cell r="AE1090" t="str"/>
          <cell r="AF1090">
            <v>0</v>
          </cell>
          <cell r="AG1090">
            <v>0</v>
          </cell>
        </row>
        <row r="1091">
          <cell r="AD1091" t="str"/>
          <cell r="AE1091" t="str"/>
          <cell r="AF1091">
            <v>0</v>
          </cell>
          <cell r="AG1091">
            <v>0</v>
          </cell>
        </row>
        <row r="1092">
          <cell r="AD1092" t="str"/>
          <cell r="AE1092" t="str"/>
          <cell r="AF1092">
            <v>0</v>
          </cell>
          <cell r="AG1092">
            <v>0</v>
          </cell>
        </row>
        <row r="1093">
          <cell r="AD1093" t="str"/>
          <cell r="AE1093" t="str"/>
          <cell r="AF1093">
            <v>0</v>
          </cell>
          <cell r="AG1093">
            <v>0</v>
          </cell>
        </row>
        <row r="1094">
          <cell r="AD1094" t="str"/>
          <cell r="AE1094" t="str"/>
          <cell r="AF1094">
            <v>0</v>
          </cell>
          <cell r="AG1094">
            <v>0</v>
          </cell>
        </row>
        <row r="1095">
          <cell r="AD1095" t="str"/>
          <cell r="AE1095" t="str"/>
          <cell r="AF1095">
            <v>0</v>
          </cell>
          <cell r="AG1095">
            <v>0</v>
          </cell>
        </row>
        <row r="1096">
          <cell r="AD1096" t="str"/>
          <cell r="AE1096" t="str"/>
          <cell r="AF1096">
            <v>0</v>
          </cell>
          <cell r="AG1096">
            <v>0</v>
          </cell>
        </row>
        <row r="1097">
          <cell r="AD1097" t="str"/>
          <cell r="AE1097" t="str"/>
          <cell r="AF1097">
            <v>0</v>
          </cell>
          <cell r="AG1097">
            <v>0</v>
          </cell>
        </row>
        <row r="1098">
          <cell r="AD1098" t="str"/>
          <cell r="AE1098" t="str"/>
          <cell r="AF1098">
            <v>0</v>
          </cell>
          <cell r="AG1098">
            <v>0</v>
          </cell>
        </row>
        <row r="1099">
          <cell r="AD1099" t="str"/>
          <cell r="AE1099" t="str"/>
          <cell r="AF1099">
            <v>0</v>
          </cell>
          <cell r="AG1099">
            <v>0</v>
          </cell>
        </row>
        <row r="1100">
          <cell r="AD1100" t="str"/>
          <cell r="AE1100" t="str"/>
          <cell r="AF1100">
            <v>0</v>
          </cell>
          <cell r="AG1100">
            <v>0</v>
          </cell>
        </row>
        <row r="1101">
          <cell r="AD1101" t="str"/>
          <cell r="AE1101" t="str"/>
          <cell r="AF1101">
            <v>0</v>
          </cell>
          <cell r="AG1101">
            <v>0</v>
          </cell>
        </row>
        <row r="1102">
          <cell r="AD1102" t="str"/>
          <cell r="AE1102" t="str"/>
          <cell r="AF1102">
            <v>0</v>
          </cell>
          <cell r="AG1102">
            <v>0</v>
          </cell>
        </row>
        <row r="1103">
          <cell r="AD1103" t="str"/>
          <cell r="AE1103" t="str"/>
          <cell r="AF1103">
            <v>0</v>
          </cell>
          <cell r="AG1103">
            <v>0</v>
          </cell>
        </row>
        <row r="1104">
          <cell r="AD1104" t="str"/>
          <cell r="AE1104" t="str"/>
          <cell r="AF1104">
            <v>0</v>
          </cell>
          <cell r="AG1104">
            <v>0</v>
          </cell>
        </row>
        <row r="1105">
          <cell r="AD1105" t="str"/>
          <cell r="AE1105" t="str"/>
          <cell r="AF1105">
            <v>0</v>
          </cell>
          <cell r="AG1105">
            <v>0</v>
          </cell>
        </row>
        <row r="1106">
          <cell r="AD1106" t="str"/>
          <cell r="AE1106" t="str"/>
          <cell r="AF1106">
            <v>0</v>
          </cell>
          <cell r="AG1106">
            <v>0</v>
          </cell>
        </row>
        <row r="1107">
          <cell r="AD1107" t="str"/>
          <cell r="AE1107" t="str"/>
          <cell r="AF1107">
            <v>0</v>
          </cell>
          <cell r="AG1107">
            <v>0</v>
          </cell>
        </row>
        <row r="1108">
          <cell r="AD1108" t="str"/>
          <cell r="AE1108" t="str"/>
          <cell r="AF1108">
            <v>0</v>
          </cell>
          <cell r="AG1108">
            <v>0</v>
          </cell>
        </row>
        <row r="1109">
          <cell r="AD1109" t="str"/>
          <cell r="AE1109" t="str"/>
          <cell r="AF1109">
            <v>0</v>
          </cell>
          <cell r="AG1109">
            <v>0</v>
          </cell>
        </row>
        <row r="1110">
          <cell r="AD1110" t="str"/>
          <cell r="AE1110" t="str"/>
          <cell r="AF1110">
            <v>0</v>
          </cell>
          <cell r="AG1110">
            <v>0</v>
          </cell>
        </row>
        <row r="1111">
          <cell r="AD1111" t="str"/>
          <cell r="AE1111" t="str"/>
          <cell r="AF1111">
            <v>0</v>
          </cell>
          <cell r="AG1111">
            <v>0</v>
          </cell>
        </row>
        <row r="1112">
          <cell r="AD1112" t="str"/>
          <cell r="AE1112" t="str"/>
          <cell r="AF1112">
            <v>0</v>
          </cell>
          <cell r="AG1112">
            <v>0</v>
          </cell>
        </row>
        <row r="1113">
          <cell r="AD1113" t="str"/>
          <cell r="AE1113" t="str"/>
          <cell r="AF1113">
            <v>0</v>
          </cell>
          <cell r="AG1113">
            <v>0</v>
          </cell>
        </row>
        <row r="1114">
          <cell r="AD1114" t="str"/>
          <cell r="AE1114" t="str"/>
          <cell r="AF1114">
            <v>0</v>
          </cell>
          <cell r="AG1114">
            <v>0</v>
          </cell>
        </row>
        <row r="1115">
          <cell r="AD1115" t="str"/>
          <cell r="AE1115" t="str"/>
          <cell r="AF1115">
            <v>0</v>
          </cell>
          <cell r="AG1115">
            <v>0</v>
          </cell>
        </row>
        <row r="1116">
          <cell r="AD1116" t="str"/>
          <cell r="AE1116" t="str"/>
          <cell r="AF1116">
            <v>0</v>
          </cell>
          <cell r="AG1116">
            <v>0</v>
          </cell>
        </row>
        <row r="1117">
          <cell r="AD1117" t="str"/>
          <cell r="AE1117" t="str"/>
          <cell r="AF1117">
            <v>0</v>
          </cell>
          <cell r="AG1117">
            <v>0</v>
          </cell>
        </row>
        <row r="1118">
          <cell r="AD1118" t="str"/>
          <cell r="AE1118" t="str"/>
          <cell r="AF1118">
            <v>0</v>
          </cell>
          <cell r="AG1118">
            <v>0</v>
          </cell>
        </row>
        <row r="1119">
          <cell r="AD1119" t="str"/>
          <cell r="AE1119" t="str"/>
          <cell r="AF1119">
            <v>0</v>
          </cell>
          <cell r="AG1119">
            <v>0</v>
          </cell>
        </row>
        <row r="1120">
          <cell r="AD1120" t="str"/>
          <cell r="AE1120" t="str"/>
          <cell r="AF1120">
            <v>0</v>
          </cell>
          <cell r="AG1120">
            <v>0</v>
          </cell>
        </row>
        <row r="1121">
          <cell r="AD1121" t="str"/>
          <cell r="AE1121" t="str"/>
          <cell r="AF1121">
            <v>0</v>
          </cell>
          <cell r="AG1121">
            <v>0</v>
          </cell>
        </row>
        <row r="1122">
          <cell r="AD1122" t="str"/>
          <cell r="AE1122" t="str"/>
          <cell r="AF1122">
            <v>0</v>
          </cell>
          <cell r="AG1122">
            <v>0</v>
          </cell>
        </row>
        <row r="1123">
          <cell r="AD1123" t="str"/>
          <cell r="AE1123" t="str"/>
          <cell r="AF1123">
            <v>0</v>
          </cell>
          <cell r="AG1123">
            <v>0</v>
          </cell>
        </row>
        <row r="1124">
          <cell r="AD1124" t="str"/>
          <cell r="AE1124" t="str"/>
          <cell r="AF1124">
            <v>0</v>
          </cell>
          <cell r="AG1124">
            <v>0</v>
          </cell>
        </row>
        <row r="1125">
          <cell r="AD1125" t="str"/>
          <cell r="AE1125" t="str"/>
          <cell r="AF1125">
            <v>0</v>
          </cell>
          <cell r="AG1125">
            <v>0</v>
          </cell>
        </row>
        <row r="1126">
          <cell r="AD1126" t="str"/>
          <cell r="AE1126" t="str"/>
          <cell r="AF1126">
            <v>0</v>
          </cell>
          <cell r="AG1126">
            <v>0</v>
          </cell>
        </row>
        <row r="1127">
          <cell r="AD1127" t="str"/>
          <cell r="AE1127" t="str"/>
          <cell r="AF1127">
            <v>0</v>
          </cell>
          <cell r="AG1127">
            <v>0</v>
          </cell>
        </row>
        <row r="1128">
          <cell r="AD1128" t="str"/>
          <cell r="AE1128" t="str"/>
          <cell r="AF1128">
            <v>0</v>
          </cell>
          <cell r="AG1128">
            <v>0</v>
          </cell>
        </row>
        <row r="1129">
          <cell r="AD1129" t="str"/>
          <cell r="AE1129" t="str"/>
          <cell r="AF1129">
            <v>0</v>
          </cell>
          <cell r="AG1129">
            <v>0</v>
          </cell>
        </row>
        <row r="1130">
          <cell r="AD1130" t="str"/>
          <cell r="AE1130" t="str"/>
          <cell r="AF1130">
            <v>0</v>
          </cell>
          <cell r="AG1130">
            <v>0</v>
          </cell>
        </row>
        <row r="1131">
          <cell r="AD1131" t="str"/>
          <cell r="AE1131" t="str"/>
          <cell r="AF1131">
            <v>0</v>
          </cell>
          <cell r="AG1131">
            <v>0</v>
          </cell>
        </row>
        <row r="1132">
          <cell r="AD1132" t="str"/>
          <cell r="AE1132" t="str"/>
          <cell r="AF1132">
            <v>0</v>
          </cell>
          <cell r="AG1132">
            <v>0</v>
          </cell>
        </row>
        <row r="1133">
          <cell r="AD1133" t="str"/>
          <cell r="AE1133" t="str"/>
          <cell r="AF1133">
            <v>0</v>
          </cell>
          <cell r="AG1133">
            <v>0</v>
          </cell>
        </row>
        <row r="1134">
          <cell r="AD1134" t="str"/>
          <cell r="AE1134" t="str"/>
          <cell r="AF1134">
            <v>0</v>
          </cell>
          <cell r="AG1134">
            <v>0</v>
          </cell>
        </row>
        <row r="1135">
          <cell r="AD1135" t="str"/>
          <cell r="AE1135" t="str"/>
          <cell r="AF1135">
            <v>0</v>
          </cell>
          <cell r="AG1135">
            <v>0</v>
          </cell>
        </row>
        <row r="1136">
          <cell r="AD1136" t="str"/>
          <cell r="AE1136" t="str"/>
          <cell r="AF1136">
            <v>0</v>
          </cell>
          <cell r="AG1136">
            <v>0</v>
          </cell>
        </row>
        <row r="1137">
          <cell r="AD1137" t="str"/>
          <cell r="AE1137" t="str"/>
          <cell r="AF1137">
            <v>0</v>
          </cell>
          <cell r="AG1137">
            <v>0</v>
          </cell>
        </row>
        <row r="1138">
          <cell r="AD1138" t="str"/>
          <cell r="AE1138" t="str"/>
          <cell r="AF1138">
            <v>0</v>
          </cell>
          <cell r="AG1138">
            <v>0</v>
          </cell>
        </row>
        <row r="1139">
          <cell r="AD1139" t="str"/>
          <cell r="AE1139" t="str"/>
          <cell r="AF1139">
            <v>0</v>
          </cell>
          <cell r="AG1139">
            <v>0</v>
          </cell>
        </row>
        <row r="1140">
          <cell r="AD1140" t="str"/>
          <cell r="AE1140" t="str"/>
          <cell r="AF1140">
            <v>0</v>
          </cell>
          <cell r="AG1140">
            <v>0</v>
          </cell>
        </row>
        <row r="1141">
          <cell r="AD1141" t="str"/>
          <cell r="AE1141" t="str"/>
          <cell r="AF1141">
            <v>0</v>
          </cell>
          <cell r="AG1141">
            <v>0</v>
          </cell>
        </row>
        <row r="1142">
          <cell r="AD1142" t="str"/>
          <cell r="AE1142" t="str"/>
          <cell r="AF1142">
            <v>0</v>
          </cell>
          <cell r="AG1142">
            <v>0</v>
          </cell>
        </row>
        <row r="1143">
          <cell r="AD1143" t="str"/>
          <cell r="AE1143" t="str"/>
          <cell r="AF1143">
            <v>0</v>
          </cell>
          <cell r="AG1143">
            <v>0</v>
          </cell>
        </row>
        <row r="1144">
          <cell r="AD1144" t="str"/>
          <cell r="AE1144" t="str"/>
          <cell r="AF1144">
            <v>0</v>
          </cell>
          <cell r="AG1144">
            <v>0</v>
          </cell>
        </row>
        <row r="1145">
          <cell r="AD1145" t="str"/>
          <cell r="AE1145" t="str"/>
          <cell r="AF1145">
            <v>0</v>
          </cell>
          <cell r="AG1145">
            <v>0</v>
          </cell>
        </row>
        <row r="1146">
          <cell r="AD1146" t="str"/>
          <cell r="AE1146" t="str"/>
          <cell r="AF1146">
            <v>0</v>
          </cell>
          <cell r="AG1146">
            <v>0</v>
          </cell>
        </row>
        <row r="1147">
          <cell r="AD1147" t="str"/>
          <cell r="AE1147" t="str"/>
          <cell r="AF1147">
            <v>0</v>
          </cell>
          <cell r="AG1147">
            <v>0</v>
          </cell>
        </row>
        <row r="1148">
          <cell r="AD1148" t="str"/>
          <cell r="AE1148" t="str"/>
          <cell r="AF1148">
            <v>0</v>
          </cell>
          <cell r="AG1148">
            <v>0</v>
          </cell>
        </row>
        <row r="1149">
          <cell r="AD1149" t="str"/>
          <cell r="AE1149" t="str"/>
          <cell r="AF1149">
            <v>0</v>
          </cell>
          <cell r="AG1149">
            <v>0</v>
          </cell>
        </row>
        <row r="1150">
          <cell r="AD1150" t="str"/>
          <cell r="AE1150" t="str"/>
          <cell r="AF1150">
            <v>0</v>
          </cell>
          <cell r="AG1150">
            <v>0</v>
          </cell>
        </row>
        <row r="1151">
          <cell r="AD1151" t="str"/>
          <cell r="AE1151" t="str"/>
          <cell r="AF1151">
            <v>0</v>
          </cell>
          <cell r="AG1151">
            <v>0</v>
          </cell>
        </row>
        <row r="1152">
          <cell r="AD1152" t="str"/>
          <cell r="AE1152" t="str"/>
          <cell r="AF1152">
            <v>0</v>
          </cell>
          <cell r="AG1152">
            <v>0</v>
          </cell>
        </row>
        <row r="1153">
          <cell r="AD1153" t="str"/>
          <cell r="AE1153" t="str"/>
          <cell r="AF1153">
            <v>0</v>
          </cell>
          <cell r="AG1153">
            <v>0</v>
          </cell>
        </row>
        <row r="1154">
          <cell r="AD1154" t="str"/>
          <cell r="AE1154" t="str"/>
          <cell r="AF1154">
            <v>0</v>
          </cell>
          <cell r="AG1154">
            <v>0</v>
          </cell>
        </row>
        <row r="1155">
          <cell r="AD1155" t="str"/>
          <cell r="AE1155" t="str"/>
          <cell r="AF1155">
            <v>0</v>
          </cell>
          <cell r="AG1155">
            <v>0</v>
          </cell>
        </row>
        <row r="1156">
          <cell r="AD1156" t="str"/>
          <cell r="AE1156" t="str"/>
          <cell r="AF1156">
            <v>0</v>
          </cell>
          <cell r="AG1156">
            <v>0</v>
          </cell>
        </row>
        <row r="1157">
          <cell r="AD1157" t="str"/>
          <cell r="AE1157" t="str"/>
          <cell r="AF1157">
            <v>0</v>
          </cell>
          <cell r="AG1157">
            <v>0</v>
          </cell>
        </row>
        <row r="1158">
          <cell r="AD1158" t="str"/>
          <cell r="AE1158" t="str"/>
          <cell r="AF1158">
            <v>0</v>
          </cell>
          <cell r="AG1158">
            <v>0</v>
          </cell>
        </row>
        <row r="1159">
          <cell r="AD1159" t="str"/>
          <cell r="AE1159" t="str"/>
          <cell r="AF1159">
            <v>0</v>
          </cell>
          <cell r="AG1159">
            <v>0</v>
          </cell>
        </row>
        <row r="1160">
          <cell r="AD1160" t="str"/>
          <cell r="AE1160" t="str"/>
          <cell r="AF1160">
            <v>0</v>
          </cell>
          <cell r="AG1160">
            <v>0</v>
          </cell>
        </row>
        <row r="1161">
          <cell r="AD1161" t="str"/>
          <cell r="AE1161" t="str"/>
          <cell r="AF1161">
            <v>0</v>
          </cell>
          <cell r="AG1161">
            <v>0</v>
          </cell>
        </row>
        <row r="1162">
          <cell r="AD1162" t="str"/>
          <cell r="AE1162" t="str"/>
          <cell r="AF1162">
            <v>0</v>
          </cell>
          <cell r="AG1162">
            <v>0</v>
          </cell>
        </row>
        <row r="1163">
          <cell r="AD1163" t="str"/>
          <cell r="AE1163" t="str"/>
          <cell r="AF1163">
            <v>0</v>
          </cell>
          <cell r="AG1163">
            <v>0</v>
          </cell>
        </row>
        <row r="1164">
          <cell r="AD1164" t="str"/>
          <cell r="AE1164" t="str"/>
          <cell r="AF1164">
            <v>0</v>
          </cell>
          <cell r="AG1164">
            <v>0</v>
          </cell>
        </row>
        <row r="1165">
          <cell r="AD1165" t="str"/>
          <cell r="AE1165" t="str"/>
          <cell r="AF1165">
            <v>0</v>
          </cell>
          <cell r="AG1165">
            <v>0</v>
          </cell>
        </row>
        <row r="1166">
          <cell r="AD1166" t="str"/>
          <cell r="AE1166" t="str"/>
          <cell r="AF1166">
            <v>0</v>
          </cell>
          <cell r="AG1166">
            <v>0</v>
          </cell>
        </row>
        <row r="1167">
          <cell r="AD1167" t="str"/>
          <cell r="AE1167" t="str"/>
          <cell r="AF1167">
            <v>0</v>
          </cell>
          <cell r="AG1167">
            <v>0</v>
          </cell>
        </row>
        <row r="1168">
          <cell r="AD1168" t="str"/>
          <cell r="AE1168" t="str"/>
          <cell r="AF1168">
            <v>0</v>
          </cell>
          <cell r="AG1168">
            <v>0</v>
          </cell>
        </row>
        <row r="1169">
          <cell r="AD1169" t="str"/>
          <cell r="AE1169" t="str"/>
          <cell r="AF1169">
            <v>0</v>
          </cell>
          <cell r="AG1169">
            <v>0</v>
          </cell>
        </row>
        <row r="1170">
          <cell r="AD1170" t="str"/>
          <cell r="AE1170" t="str"/>
          <cell r="AF1170">
            <v>0</v>
          </cell>
          <cell r="AG1170">
            <v>0</v>
          </cell>
        </row>
        <row r="1171">
          <cell r="AD1171" t="str"/>
          <cell r="AE1171" t="str"/>
          <cell r="AF1171">
            <v>0</v>
          </cell>
          <cell r="AG1171">
            <v>0</v>
          </cell>
        </row>
        <row r="1172">
          <cell r="AD1172" t="str"/>
          <cell r="AE1172" t="str"/>
          <cell r="AF1172">
            <v>0</v>
          </cell>
          <cell r="AG1172">
            <v>0</v>
          </cell>
        </row>
        <row r="1173">
          <cell r="AD1173" t="str"/>
          <cell r="AE1173" t="str"/>
          <cell r="AF1173">
            <v>0</v>
          </cell>
          <cell r="AG1173">
            <v>0</v>
          </cell>
        </row>
        <row r="1174">
          <cell r="AD1174" t="str"/>
          <cell r="AE1174" t="str"/>
          <cell r="AF1174">
            <v>0</v>
          </cell>
          <cell r="AG1174">
            <v>0</v>
          </cell>
        </row>
        <row r="1175">
          <cell r="AD1175" t="str"/>
          <cell r="AE1175" t="str"/>
          <cell r="AF1175">
            <v>0</v>
          </cell>
          <cell r="AG1175">
            <v>0</v>
          </cell>
        </row>
        <row r="1176">
          <cell r="AD1176" t="str"/>
          <cell r="AE1176" t="str"/>
          <cell r="AF1176">
            <v>0</v>
          </cell>
          <cell r="AG1176">
            <v>0</v>
          </cell>
        </row>
        <row r="1177">
          <cell r="AD1177" t="str"/>
          <cell r="AE1177" t="str"/>
          <cell r="AF1177">
            <v>0</v>
          </cell>
          <cell r="AG1177">
            <v>0</v>
          </cell>
        </row>
        <row r="1178">
          <cell r="AD1178" t="str"/>
          <cell r="AE1178" t="str"/>
          <cell r="AF1178">
            <v>0</v>
          </cell>
          <cell r="AG1178">
            <v>0</v>
          </cell>
        </row>
        <row r="1179">
          <cell r="AD1179" t="str"/>
          <cell r="AE1179" t="str"/>
          <cell r="AF1179">
            <v>0</v>
          </cell>
          <cell r="AG1179">
            <v>0</v>
          </cell>
        </row>
        <row r="1180">
          <cell r="AD1180" t="str"/>
          <cell r="AE1180" t="str"/>
          <cell r="AF1180">
            <v>0</v>
          </cell>
          <cell r="AG1180">
            <v>0</v>
          </cell>
        </row>
        <row r="1181">
          <cell r="AD1181" t="str"/>
          <cell r="AE1181" t="str"/>
          <cell r="AF1181">
            <v>0</v>
          </cell>
          <cell r="AG1181">
            <v>0</v>
          </cell>
        </row>
        <row r="1182">
          <cell r="AD1182" t="str"/>
          <cell r="AE1182" t="str"/>
          <cell r="AF1182">
            <v>0</v>
          </cell>
          <cell r="AG1182">
            <v>0</v>
          </cell>
        </row>
        <row r="1183">
          <cell r="AD1183" t="str"/>
          <cell r="AE1183" t="str"/>
          <cell r="AF1183">
            <v>0</v>
          </cell>
          <cell r="AG1183">
            <v>0</v>
          </cell>
        </row>
        <row r="1184">
          <cell r="AD1184" t="str"/>
          <cell r="AE1184" t="str"/>
          <cell r="AF1184">
            <v>0</v>
          </cell>
          <cell r="AG1184">
            <v>0</v>
          </cell>
        </row>
        <row r="1185">
          <cell r="AD1185" t="str"/>
          <cell r="AE1185" t="str"/>
          <cell r="AF1185">
            <v>0</v>
          </cell>
          <cell r="AG1185">
            <v>0</v>
          </cell>
        </row>
        <row r="1186">
          <cell r="AD1186" t="str"/>
          <cell r="AE1186" t="str"/>
          <cell r="AF1186">
            <v>0</v>
          </cell>
          <cell r="AG1186">
            <v>0</v>
          </cell>
        </row>
        <row r="1187">
          <cell r="AD1187" t="str"/>
          <cell r="AE1187" t="str"/>
          <cell r="AF1187">
            <v>0</v>
          </cell>
          <cell r="AG1187">
            <v>0</v>
          </cell>
        </row>
        <row r="1188">
          <cell r="AD1188" t="str"/>
          <cell r="AE1188" t="str"/>
          <cell r="AF1188">
            <v>0</v>
          </cell>
          <cell r="AG1188">
            <v>0</v>
          </cell>
        </row>
        <row r="1189">
          <cell r="AD1189" t="str"/>
          <cell r="AE1189" t="str"/>
          <cell r="AF1189">
            <v>0</v>
          </cell>
          <cell r="AG1189">
            <v>0</v>
          </cell>
        </row>
        <row r="1190">
          <cell r="AD1190" t="str"/>
          <cell r="AE1190" t="str"/>
          <cell r="AF1190">
            <v>0</v>
          </cell>
          <cell r="AG1190">
            <v>0</v>
          </cell>
        </row>
        <row r="1191">
          <cell r="AD1191" t="str"/>
          <cell r="AE1191" t="str"/>
          <cell r="AF1191">
            <v>0</v>
          </cell>
          <cell r="AG1191">
            <v>0</v>
          </cell>
        </row>
        <row r="1192">
          <cell r="AD1192" t="str"/>
          <cell r="AE1192" t="str"/>
          <cell r="AF1192">
            <v>0</v>
          </cell>
          <cell r="AG1192">
            <v>0</v>
          </cell>
        </row>
        <row r="1193">
          <cell r="AD1193" t="str"/>
          <cell r="AE1193" t="str"/>
          <cell r="AF1193">
            <v>0</v>
          </cell>
          <cell r="AG1193">
            <v>0</v>
          </cell>
        </row>
        <row r="1194">
          <cell r="AD1194" t="str"/>
          <cell r="AE1194" t="str"/>
          <cell r="AF1194">
            <v>0</v>
          </cell>
          <cell r="AG1194">
            <v>0</v>
          </cell>
        </row>
        <row r="1195">
          <cell r="AD1195" t="str"/>
          <cell r="AE1195" t="str"/>
          <cell r="AF1195">
            <v>0</v>
          </cell>
          <cell r="AG1195">
            <v>0</v>
          </cell>
        </row>
        <row r="1196">
          <cell r="AD1196" t="str"/>
          <cell r="AE1196" t="str"/>
          <cell r="AF1196">
            <v>0</v>
          </cell>
          <cell r="AG1196">
            <v>0</v>
          </cell>
        </row>
        <row r="1197">
          <cell r="AD1197" t="str"/>
          <cell r="AE1197" t="str"/>
          <cell r="AF1197">
            <v>0</v>
          </cell>
          <cell r="AG1197">
            <v>0</v>
          </cell>
        </row>
        <row r="1198">
          <cell r="AD1198" t="str"/>
          <cell r="AE1198" t="str"/>
          <cell r="AF1198">
            <v>0</v>
          </cell>
          <cell r="AG1198">
            <v>0</v>
          </cell>
        </row>
        <row r="1199">
          <cell r="AD1199" t="str"/>
          <cell r="AE1199" t="str"/>
          <cell r="AF1199">
            <v>0</v>
          </cell>
          <cell r="AG1199">
            <v>0</v>
          </cell>
        </row>
        <row r="1200">
          <cell r="AD1200" t="str"/>
          <cell r="AE1200" t="str"/>
          <cell r="AF1200">
            <v>0</v>
          </cell>
          <cell r="AG1200">
            <v>0</v>
          </cell>
        </row>
        <row r="1201">
          <cell r="AD1201" t="str"/>
          <cell r="AE1201" t="str"/>
          <cell r="AF1201">
            <v>0</v>
          </cell>
          <cell r="AG1201">
            <v>0</v>
          </cell>
        </row>
        <row r="1202">
          <cell r="AD1202" t="str"/>
          <cell r="AE1202" t="str"/>
          <cell r="AF1202">
            <v>0</v>
          </cell>
          <cell r="AG1202">
            <v>0</v>
          </cell>
        </row>
        <row r="1203">
          <cell r="AD1203" t="str"/>
          <cell r="AE1203" t="str"/>
          <cell r="AF1203">
            <v>0</v>
          </cell>
          <cell r="AG1203">
            <v>0</v>
          </cell>
        </row>
        <row r="1204">
          <cell r="AD1204" t="str"/>
          <cell r="AE1204" t="str"/>
          <cell r="AF1204">
            <v>0</v>
          </cell>
          <cell r="AG1204">
            <v>0</v>
          </cell>
        </row>
        <row r="1205">
          <cell r="AD1205" t="str"/>
          <cell r="AE1205" t="str"/>
          <cell r="AF1205">
            <v>0</v>
          </cell>
          <cell r="AG1205">
            <v>0</v>
          </cell>
        </row>
        <row r="1206">
          <cell r="AD1206" t="str"/>
          <cell r="AE1206" t="str"/>
          <cell r="AF1206">
            <v>0</v>
          </cell>
          <cell r="AG1206">
            <v>0</v>
          </cell>
        </row>
        <row r="1207">
          <cell r="AD1207" t="str"/>
          <cell r="AE1207" t="str"/>
          <cell r="AF1207">
            <v>0</v>
          </cell>
          <cell r="AG1207">
            <v>0</v>
          </cell>
        </row>
        <row r="1208">
          <cell r="AD1208" t="str"/>
          <cell r="AE1208" t="str"/>
          <cell r="AF1208">
            <v>0</v>
          </cell>
          <cell r="AG1208">
            <v>0</v>
          </cell>
        </row>
        <row r="1209">
          <cell r="AD1209" t="str"/>
          <cell r="AE1209" t="str"/>
          <cell r="AF1209">
            <v>0</v>
          </cell>
          <cell r="AG1209">
            <v>0</v>
          </cell>
        </row>
        <row r="1210">
          <cell r="AD1210" t="str"/>
          <cell r="AE1210" t="str"/>
          <cell r="AF1210">
            <v>0</v>
          </cell>
          <cell r="AG1210">
            <v>0</v>
          </cell>
        </row>
        <row r="1211">
          <cell r="AD1211" t="str"/>
          <cell r="AE1211" t="str"/>
          <cell r="AF1211">
            <v>0</v>
          </cell>
          <cell r="AG1211">
            <v>0</v>
          </cell>
        </row>
        <row r="1212">
          <cell r="AD1212" t="str"/>
          <cell r="AE1212" t="str"/>
          <cell r="AF1212">
            <v>0</v>
          </cell>
          <cell r="AG1212">
            <v>0</v>
          </cell>
        </row>
        <row r="1213">
          <cell r="AD1213" t="str"/>
          <cell r="AE1213" t="str"/>
          <cell r="AF1213">
            <v>0</v>
          </cell>
          <cell r="AG1213">
            <v>0</v>
          </cell>
        </row>
        <row r="1214">
          <cell r="AD1214" t="str"/>
          <cell r="AE1214" t="str"/>
          <cell r="AF1214">
            <v>0</v>
          </cell>
          <cell r="AG1214">
            <v>0</v>
          </cell>
        </row>
        <row r="1215">
          <cell r="AD1215" t="str"/>
          <cell r="AE1215" t="str"/>
          <cell r="AF1215">
            <v>0</v>
          </cell>
          <cell r="AG1215">
            <v>0</v>
          </cell>
        </row>
        <row r="1216">
          <cell r="AD1216" t="str"/>
          <cell r="AE1216" t="str"/>
          <cell r="AF1216">
            <v>0</v>
          </cell>
          <cell r="AG1216">
            <v>0</v>
          </cell>
        </row>
        <row r="1217">
          <cell r="AD1217" t="str"/>
          <cell r="AE1217" t="str"/>
          <cell r="AF1217">
            <v>0</v>
          </cell>
          <cell r="AG1217">
            <v>0</v>
          </cell>
        </row>
        <row r="1218">
          <cell r="AD1218" t="str"/>
          <cell r="AE1218" t="str"/>
          <cell r="AF1218">
            <v>0</v>
          </cell>
          <cell r="AG1218">
            <v>0</v>
          </cell>
        </row>
        <row r="1219">
          <cell r="AD1219" t="str"/>
          <cell r="AE1219" t="str"/>
          <cell r="AF1219">
            <v>0</v>
          </cell>
          <cell r="AG1219">
            <v>0</v>
          </cell>
        </row>
        <row r="1220">
          <cell r="AD1220" t="str"/>
          <cell r="AE1220" t="str"/>
          <cell r="AF1220">
            <v>0</v>
          </cell>
          <cell r="AG1220">
            <v>0</v>
          </cell>
        </row>
        <row r="1221">
          <cell r="AD1221" t="str"/>
          <cell r="AE1221" t="str"/>
          <cell r="AF1221">
            <v>0</v>
          </cell>
          <cell r="AG1221">
            <v>0</v>
          </cell>
        </row>
        <row r="1222">
          <cell r="AD1222" t="str"/>
          <cell r="AE1222" t="str"/>
          <cell r="AF1222">
            <v>0</v>
          </cell>
          <cell r="AG1222">
            <v>0</v>
          </cell>
        </row>
        <row r="1223">
          <cell r="AD1223" t="str"/>
          <cell r="AE1223" t="str"/>
          <cell r="AF1223">
            <v>0</v>
          </cell>
          <cell r="AG1223">
            <v>0</v>
          </cell>
        </row>
        <row r="1224">
          <cell r="AD1224" t="str"/>
          <cell r="AE1224" t="str"/>
          <cell r="AF1224">
            <v>0</v>
          </cell>
          <cell r="AG1224">
            <v>0</v>
          </cell>
        </row>
        <row r="1225">
          <cell r="AD1225" t="str"/>
          <cell r="AE1225" t="str"/>
          <cell r="AF1225">
            <v>0</v>
          </cell>
          <cell r="AG1225">
            <v>0</v>
          </cell>
        </row>
        <row r="1226">
          <cell r="AD1226" t="str"/>
          <cell r="AE1226" t="str"/>
          <cell r="AF1226">
            <v>0</v>
          </cell>
          <cell r="AG1226">
            <v>0</v>
          </cell>
        </row>
        <row r="1227">
          <cell r="AD1227" t="str"/>
          <cell r="AE1227" t="str"/>
          <cell r="AF1227">
            <v>0</v>
          </cell>
          <cell r="AG1227">
            <v>0</v>
          </cell>
        </row>
        <row r="1228">
          <cell r="AD1228" t="str"/>
          <cell r="AE1228" t="str"/>
          <cell r="AF1228">
            <v>0</v>
          </cell>
          <cell r="AG1228">
            <v>0</v>
          </cell>
        </row>
        <row r="1229">
          <cell r="AD1229" t="str"/>
          <cell r="AE1229" t="str"/>
          <cell r="AF1229">
            <v>0</v>
          </cell>
          <cell r="AG1229">
            <v>0</v>
          </cell>
        </row>
        <row r="1230">
          <cell r="AD1230" t="str"/>
          <cell r="AE1230" t="str"/>
          <cell r="AF1230">
            <v>0</v>
          </cell>
          <cell r="AG1230">
            <v>0</v>
          </cell>
        </row>
        <row r="1231">
          <cell r="AD1231" t="str"/>
          <cell r="AE1231" t="str"/>
          <cell r="AF1231">
            <v>0</v>
          </cell>
          <cell r="AG1231">
            <v>0</v>
          </cell>
        </row>
        <row r="1232">
          <cell r="AD1232" t="str"/>
          <cell r="AE1232" t="str"/>
          <cell r="AF1232">
            <v>0</v>
          </cell>
          <cell r="AG1232">
            <v>0</v>
          </cell>
        </row>
        <row r="1233">
          <cell r="AD1233" t="str"/>
          <cell r="AE1233" t="str"/>
          <cell r="AF1233">
            <v>0</v>
          </cell>
          <cell r="AG1233">
            <v>0</v>
          </cell>
        </row>
        <row r="1234">
          <cell r="AD1234" t="str"/>
          <cell r="AE1234" t="str"/>
          <cell r="AF1234">
            <v>0</v>
          </cell>
          <cell r="AG1234">
            <v>0</v>
          </cell>
        </row>
        <row r="1235">
          <cell r="AD1235" t="str"/>
          <cell r="AE1235" t="str"/>
          <cell r="AF1235">
            <v>0</v>
          </cell>
          <cell r="AG1235">
            <v>0</v>
          </cell>
        </row>
        <row r="1236">
          <cell r="AD1236" t="str"/>
          <cell r="AE1236" t="str"/>
          <cell r="AF1236">
            <v>0</v>
          </cell>
          <cell r="AG1236">
            <v>0</v>
          </cell>
        </row>
        <row r="1237">
          <cell r="AD1237" t="str"/>
          <cell r="AE1237" t="str"/>
          <cell r="AF1237">
            <v>0</v>
          </cell>
          <cell r="AG1237">
            <v>0</v>
          </cell>
        </row>
        <row r="1238">
          <cell r="AD1238" t="str"/>
          <cell r="AE1238" t="str"/>
          <cell r="AF1238">
            <v>0</v>
          </cell>
          <cell r="AG1238">
            <v>0</v>
          </cell>
        </row>
        <row r="1239">
          <cell r="AD1239" t="str"/>
          <cell r="AE1239" t="str"/>
          <cell r="AF1239">
            <v>0</v>
          </cell>
          <cell r="AG1239">
            <v>0</v>
          </cell>
        </row>
        <row r="1240">
          <cell r="AD1240" t="str"/>
          <cell r="AE1240" t="str"/>
          <cell r="AF1240">
            <v>0</v>
          </cell>
          <cell r="AG1240">
            <v>0</v>
          </cell>
        </row>
        <row r="1241">
          <cell r="AD1241" t="str"/>
          <cell r="AE1241" t="str"/>
          <cell r="AF1241">
            <v>0</v>
          </cell>
          <cell r="AG1241">
            <v>0</v>
          </cell>
        </row>
        <row r="1242">
          <cell r="AD1242" t="str"/>
          <cell r="AE1242" t="str"/>
          <cell r="AF1242">
            <v>0</v>
          </cell>
          <cell r="AG1242">
            <v>0</v>
          </cell>
        </row>
        <row r="1243">
          <cell r="AD1243" t="str"/>
          <cell r="AE1243" t="str"/>
          <cell r="AF1243">
            <v>0</v>
          </cell>
          <cell r="AG1243">
            <v>0</v>
          </cell>
        </row>
        <row r="1244">
          <cell r="AD1244" t="str"/>
          <cell r="AE1244" t="str"/>
          <cell r="AF1244">
            <v>0</v>
          </cell>
          <cell r="AG1244">
            <v>0</v>
          </cell>
        </row>
        <row r="1245">
          <cell r="AD1245" t="str"/>
          <cell r="AE1245" t="str"/>
          <cell r="AF1245">
            <v>0</v>
          </cell>
          <cell r="AG1245">
            <v>0</v>
          </cell>
        </row>
        <row r="1246">
          <cell r="AD1246" t="str"/>
          <cell r="AE1246" t="str"/>
          <cell r="AF1246">
            <v>0</v>
          </cell>
          <cell r="AG1246">
            <v>0</v>
          </cell>
        </row>
        <row r="1247">
          <cell r="AD1247" t="str"/>
          <cell r="AE1247" t="str"/>
          <cell r="AF1247">
            <v>0</v>
          </cell>
          <cell r="AG1247">
            <v>0</v>
          </cell>
        </row>
        <row r="1248">
          <cell r="AD1248" t="str"/>
          <cell r="AE1248" t="str"/>
          <cell r="AF1248">
            <v>0</v>
          </cell>
          <cell r="AG1248">
            <v>0</v>
          </cell>
        </row>
        <row r="1249">
          <cell r="AD1249" t="str"/>
          <cell r="AE1249" t="str"/>
          <cell r="AF1249">
            <v>0</v>
          </cell>
          <cell r="AG1249">
            <v>0</v>
          </cell>
        </row>
        <row r="1250">
          <cell r="AD1250" t="str"/>
          <cell r="AE1250" t="str"/>
          <cell r="AF1250">
            <v>0</v>
          </cell>
          <cell r="AG1250">
            <v>0</v>
          </cell>
        </row>
        <row r="1251">
          <cell r="AD1251" t="str"/>
          <cell r="AE1251" t="str"/>
          <cell r="AF1251">
            <v>0</v>
          </cell>
          <cell r="AG1251">
            <v>0</v>
          </cell>
        </row>
        <row r="1252">
          <cell r="AD1252" t="str"/>
          <cell r="AE1252" t="str"/>
          <cell r="AF1252">
            <v>0</v>
          </cell>
          <cell r="AG1252">
            <v>0</v>
          </cell>
        </row>
        <row r="1253">
          <cell r="AD1253" t="str"/>
          <cell r="AE1253" t="str"/>
          <cell r="AF1253">
            <v>0</v>
          </cell>
          <cell r="AG1253">
            <v>0</v>
          </cell>
        </row>
        <row r="1254">
          <cell r="AD1254" t="str"/>
          <cell r="AE1254" t="str"/>
          <cell r="AF1254">
            <v>0</v>
          </cell>
          <cell r="AG1254">
            <v>0</v>
          </cell>
        </row>
        <row r="1255">
          <cell r="AD1255" t="str"/>
          <cell r="AE1255" t="str"/>
          <cell r="AF1255">
            <v>0</v>
          </cell>
          <cell r="AG1255">
            <v>0</v>
          </cell>
        </row>
        <row r="1256">
          <cell r="AD1256" t="str"/>
          <cell r="AE1256" t="str"/>
          <cell r="AF1256">
            <v>0</v>
          </cell>
          <cell r="AG1256">
            <v>0</v>
          </cell>
        </row>
        <row r="1257">
          <cell r="AD1257" t="str"/>
          <cell r="AE1257" t="str"/>
          <cell r="AF1257">
            <v>0</v>
          </cell>
          <cell r="AG1257">
            <v>0</v>
          </cell>
        </row>
        <row r="1258">
          <cell r="AD1258" t="str"/>
          <cell r="AE1258" t="str"/>
          <cell r="AF1258">
            <v>0</v>
          </cell>
          <cell r="AG1258">
            <v>0</v>
          </cell>
        </row>
        <row r="1259">
          <cell r="AD1259" t="str"/>
          <cell r="AE1259" t="str"/>
          <cell r="AF1259">
            <v>0</v>
          </cell>
          <cell r="AG1259">
            <v>0</v>
          </cell>
        </row>
        <row r="1260">
          <cell r="AD1260" t="str"/>
          <cell r="AE1260" t="str"/>
          <cell r="AF1260">
            <v>0</v>
          </cell>
          <cell r="AG1260">
            <v>0</v>
          </cell>
        </row>
        <row r="1261">
          <cell r="AD1261" t="str"/>
          <cell r="AE1261" t="str"/>
          <cell r="AF1261">
            <v>0</v>
          </cell>
          <cell r="AG1261">
            <v>0</v>
          </cell>
        </row>
        <row r="1262">
          <cell r="AD1262" t="str"/>
          <cell r="AE1262" t="str"/>
          <cell r="AF1262">
            <v>0</v>
          </cell>
          <cell r="AG1262">
            <v>0</v>
          </cell>
        </row>
        <row r="1263">
          <cell r="AD1263" t="str"/>
          <cell r="AE1263" t="str"/>
          <cell r="AF1263">
            <v>0</v>
          </cell>
          <cell r="AG1263">
            <v>0</v>
          </cell>
        </row>
        <row r="1264">
          <cell r="AD1264" t="str"/>
          <cell r="AE1264" t="str"/>
          <cell r="AF1264">
            <v>0</v>
          </cell>
          <cell r="AG1264">
            <v>0</v>
          </cell>
        </row>
        <row r="1265">
          <cell r="AD1265" t="str"/>
          <cell r="AE1265" t="str"/>
          <cell r="AF1265">
            <v>0</v>
          </cell>
          <cell r="AG1265">
            <v>0</v>
          </cell>
        </row>
        <row r="1266">
          <cell r="AD1266" t="str"/>
          <cell r="AE1266" t="str"/>
          <cell r="AF1266">
            <v>0</v>
          </cell>
          <cell r="AG1266">
            <v>0</v>
          </cell>
        </row>
        <row r="1267">
          <cell r="AD1267" t="str"/>
          <cell r="AE1267" t="str"/>
          <cell r="AF1267">
            <v>0</v>
          </cell>
          <cell r="AG1267">
            <v>0</v>
          </cell>
        </row>
        <row r="1268">
          <cell r="AD1268" t="str"/>
          <cell r="AE1268" t="str"/>
          <cell r="AF1268">
            <v>0</v>
          </cell>
          <cell r="AG1268">
            <v>0</v>
          </cell>
        </row>
        <row r="1269">
          <cell r="AD1269" t="str"/>
          <cell r="AE1269" t="str"/>
          <cell r="AF1269">
            <v>0</v>
          </cell>
          <cell r="AG1269">
            <v>0</v>
          </cell>
        </row>
        <row r="1270">
          <cell r="AD1270" t="str"/>
          <cell r="AE1270" t="str"/>
          <cell r="AF1270">
            <v>0</v>
          </cell>
          <cell r="AG1270">
            <v>0</v>
          </cell>
        </row>
        <row r="1271">
          <cell r="AD1271" t="str"/>
          <cell r="AE1271" t="str"/>
          <cell r="AF1271">
            <v>0</v>
          </cell>
          <cell r="AG1271">
            <v>0</v>
          </cell>
        </row>
        <row r="1272">
          <cell r="AD1272" t="str"/>
          <cell r="AE1272" t="str"/>
          <cell r="AF1272">
            <v>0</v>
          </cell>
          <cell r="AG1272">
            <v>0</v>
          </cell>
        </row>
        <row r="1273">
          <cell r="AD1273" t="str"/>
          <cell r="AE1273" t="str"/>
          <cell r="AF1273">
            <v>0</v>
          </cell>
          <cell r="AG1273">
            <v>0</v>
          </cell>
        </row>
        <row r="1274">
          <cell r="AD1274" t="str"/>
          <cell r="AE1274" t="str"/>
          <cell r="AF1274">
            <v>0</v>
          </cell>
          <cell r="AG1274">
            <v>0</v>
          </cell>
        </row>
        <row r="1275">
          <cell r="AD1275" t="str"/>
          <cell r="AE1275" t="str"/>
          <cell r="AF1275">
            <v>0</v>
          </cell>
          <cell r="AG1275">
            <v>0</v>
          </cell>
        </row>
        <row r="1276">
          <cell r="AD1276" t="str"/>
          <cell r="AE1276" t="str"/>
          <cell r="AF1276">
            <v>0</v>
          </cell>
          <cell r="AG1276">
            <v>0</v>
          </cell>
        </row>
        <row r="1277">
          <cell r="AD1277" t="str"/>
          <cell r="AE1277" t="str"/>
          <cell r="AF1277">
            <v>0</v>
          </cell>
          <cell r="AG1277">
            <v>0</v>
          </cell>
        </row>
        <row r="1278">
          <cell r="AD1278" t="str"/>
          <cell r="AE1278" t="str"/>
          <cell r="AF1278">
            <v>0</v>
          </cell>
          <cell r="AG1278">
            <v>0</v>
          </cell>
        </row>
        <row r="1279">
          <cell r="AD1279" t="str"/>
          <cell r="AE1279" t="str"/>
          <cell r="AF1279">
            <v>0</v>
          </cell>
          <cell r="AG1279">
            <v>0</v>
          </cell>
        </row>
        <row r="1280">
          <cell r="AD1280" t="str"/>
          <cell r="AE1280" t="str"/>
          <cell r="AF1280">
            <v>0</v>
          </cell>
          <cell r="AG1280">
            <v>0</v>
          </cell>
        </row>
        <row r="1281">
          <cell r="AD1281" t="str"/>
          <cell r="AE1281" t="str"/>
          <cell r="AF1281">
            <v>0</v>
          </cell>
          <cell r="AG1281">
            <v>0</v>
          </cell>
        </row>
        <row r="1282">
          <cell r="AD1282" t="str"/>
          <cell r="AE1282" t="str"/>
          <cell r="AF1282">
            <v>0</v>
          </cell>
          <cell r="AG1282">
            <v>0</v>
          </cell>
        </row>
        <row r="1283">
          <cell r="AD1283" t="str"/>
          <cell r="AE1283" t="str"/>
          <cell r="AF1283">
            <v>0</v>
          </cell>
          <cell r="AG1283">
            <v>0</v>
          </cell>
        </row>
        <row r="1284">
          <cell r="AD1284" t="str"/>
          <cell r="AE1284" t="str"/>
          <cell r="AF1284">
            <v>0</v>
          </cell>
          <cell r="AG1284">
            <v>0</v>
          </cell>
        </row>
        <row r="1285">
          <cell r="AD1285" t="str"/>
          <cell r="AE1285" t="str"/>
          <cell r="AF1285">
            <v>0</v>
          </cell>
          <cell r="AG1285">
            <v>0</v>
          </cell>
        </row>
        <row r="1286">
          <cell r="AD1286" t="str"/>
          <cell r="AE1286" t="str"/>
          <cell r="AF1286">
            <v>0</v>
          </cell>
          <cell r="AG1286">
            <v>0</v>
          </cell>
        </row>
        <row r="1287">
          <cell r="AD1287" t="str"/>
          <cell r="AE1287" t="str"/>
          <cell r="AF1287">
            <v>0</v>
          </cell>
          <cell r="AG1287">
            <v>0</v>
          </cell>
        </row>
        <row r="1288">
          <cell r="AD1288" t="str"/>
          <cell r="AE1288" t="str"/>
          <cell r="AF1288">
            <v>0</v>
          </cell>
          <cell r="AG1288">
            <v>0</v>
          </cell>
        </row>
        <row r="1289">
          <cell r="AD1289" t="str"/>
          <cell r="AE1289" t="str"/>
          <cell r="AF1289">
            <v>0</v>
          </cell>
          <cell r="AG1289">
            <v>0</v>
          </cell>
        </row>
        <row r="1290">
          <cell r="AD1290" t="str"/>
          <cell r="AE1290" t="str"/>
          <cell r="AF1290">
            <v>0</v>
          </cell>
          <cell r="AG1290">
            <v>0</v>
          </cell>
        </row>
        <row r="1291">
          <cell r="AD1291" t="str"/>
          <cell r="AE1291" t="str"/>
          <cell r="AF1291">
            <v>0</v>
          </cell>
          <cell r="AG1291">
            <v>0</v>
          </cell>
        </row>
        <row r="1292">
          <cell r="AD1292" t="str"/>
          <cell r="AE1292" t="str"/>
          <cell r="AF1292">
            <v>0</v>
          </cell>
          <cell r="AG1292">
            <v>0</v>
          </cell>
        </row>
        <row r="1293">
          <cell r="AD1293" t="str"/>
          <cell r="AE1293" t="str"/>
          <cell r="AF1293">
            <v>0</v>
          </cell>
          <cell r="AG1293">
            <v>0</v>
          </cell>
        </row>
        <row r="1294">
          <cell r="AD1294" t="str"/>
          <cell r="AE1294" t="str"/>
          <cell r="AF1294">
            <v>0</v>
          </cell>
          <cell r="AG1294">
            <v>0</v>
          </cell>
        </row>
        <row r="1295">
          <cell r="AD1295" t="str"/>
          <cell r="AE1295" t="str"/>
          <cell r="AF1295">
            <v>0</v>
          </cell>
          <cell r="AG1295">
            <v>0</v>
          </cell>
        </row>
        <row r="1296">
          <cell r="AD1296" t="str"/>
          <cell r="AE1296" t="str"/>
          <cell r="AF1296">
            <v>0</v>
          </cell>
          <cell r="AG1296">
            <v>0</v>
          </cell>
        </row>
        <row r="1297">
          <cell r="AD1297" t="str"/>
          <cell r="AE1297" t="str"/>
          <cell r="AF1297">
            <v>0</v>
          </cell>
          <cell r="AG1297">
            <v>0</v>
          </cell>
        </row>
        <row r="1298">
          <cell r="AD1298" t="str"/>
          <cell r="AE1298" t="str"/>
          <cell r="AF1298">
            <v>0</v>
          </cell>
          <cell r="AG1298">
            <v>0</v>
          </cell>
        </row>
        <row r="1299">
          <cell r="AD1299" t="str"/>
          <cell r="AE1299" t="str"/>
          <cell r="AF1299">
            <v>0</v>
          </cell>
          <cell r="AG1299">
            <v>0</v>
          </cell>
        </row>
        <row r="1300">
          <cell r="AD1300" t="str"/>
          <cell r="AE1300" t="str"/>
          <cell r="AF1300">
            <v>0</v>
          </cell>
          <cell r="AG1300">
            <v>0</v>
          </cell>
        </row>
        <row r="1301">
          <cell r="AD1301" t="str"/>
          <cell r="AE1301" t="str"/>
          <cell r="AF1301">
            <v>0</v>
          </cell>
          <cell r="AG1301">
            <v>0</v>
          </cell>
        </row>
        <row r="1302">
          <cell r="AD1302" t="str"/>
          <cell r="AE1302" t="str"/>
          <cell r="AF1302">
            <v>0</v>
          </cell>
          <cell r="AG1302">
            <v>0</v>
          </cell>
        </row>
        <row r="1303">
          <cell r="AD1303" t="str"/>
          <cell r="AE1303" t="str"/>
          <cell r="AF1303">
            <v>0</v>
          </cell>
          <cell r="AG1303">
            <v>0</v>
          </cell>
        </row>
        <row r="1304">
          <cell r="AD1304" t="str"/>
          <cell r="AE1304" t="str"/>
          <cell r="AF1304">
            <v>0</v>
          </cell>
          <cell r="AG1304">
            <v>0</v>
          </cell>
        </row>
        <row r="1305">
          <cell r="AD1305" t="str"/>
          <cell r="AE1305" t="str"/>
          <cell r="AF1305">
            <v>0</v>
          </cell>
          <cell r="AG1305">
            <v>0</v>
          </cell>
        </row>
        <row r="1306">
          <cell r="AD1306" t="str"/>
          <cell r="AE1306" t="str"/>
          <cell r="AF1306">
            <v>0</v>
          </cell>
          <cell r="AG1306">
            <v>0</v>
          </cell>
        </row>
        <row r="1307">
          <cell r="AD1307" t="str"/>
          <cell r="AE1307" t="str"/>
          <cell r="AF1307">
            <v>0</v>
          </cell>
          <cell r="AG1307">
            <v>0</v>
          </cell>
        </row>
        <row r="1308">
          <cell r="AD1308" t="str"/>
          <cell r="AE1308" t="str"/>
          <cell r="AF1308">
            <v>0</v>
          </cell>
          <cell r="AG1308">
            <v>0</v>
          </cell>
        </row>
        <row r="1309">
          <cell r="AD1309" t="str"/>
          <cell r="AE1309" t="str"/>
          <cell r="AF1309">
            <v>0</v>
          </cell>
          <cell r="AG1309">
            <v>0</v>
          </cell>
        </row>
        <row r="1310">
          <cell r="AD1310" t="str"/>
          <cell r="AE1310" t="str"/>
          <cell r="AF1310">
            <v>0</v>
          </cell>
          <cell r="AG1310">
            <v>0</v>
          </cell>
        </row>
        <row r="1311">
          <cell r="AD1311" t="str"/>
          <cell r="AE1311" t="str"/>
          <cell r="AF1311">
            <v>0</v>
          </cell>
          <cell r="AG1311">
            <v>0</v>
          </cell>
        </row>
        <row r="1312">
          <cell r="AD1312" t="str"/>
          <cell r="AE1312" t="str"/>
          <cell r="AF1312">
            <v>0</v>
          </cell>
          <cell r="AG1312">
            <v>0</v>
          </cell>
        </row>
        <row r="1313">
          <cell r="AD1313" t="str"/>
          <cell r="AE1313" t="str"/>
          <cell r="AF1313">
            <v>0</v>
          </cell>
          <cell r="AG1313">
            <v>0</v>
          </cell>
        </row>
        <row r="1314">
          <cell r="AD1314" t="str"/>
          <cell r="AE1314" t="str"/>
          <cell r="AF1314">
            <v>0</v>
          </cell>
          <cell r="AG1314">
            <v>0</v>
          </cell>
        </row>
        <row r="1315">
          <cell r="AD1315" t="str"/>
          <cell r="AE1315" t="str"/>
          <cell r="AF1315">
            <v>0</v>
          </cell>
          <cell r="AG1315">
            <v>0</v>
          </cell>
        </row>
        <row r="1316">
          <cell r="AD1316" t="str"/>
          <cell r="AE1316" t="str"/>
          <cell r="AF1316">
            <v>0</v>
          </cell>
          <cell r="AG1316">
            <v>0</v>
          </cell>
        </row>
        <row r="1317">
          <cell r="AD1317" t="str"/>
          <cell r="AE1317" t="str"/>
          <cell r="AF1317">
            <v>0</v>
          </cell>
          <cell r="AG1317">
            <v>0</v>
          </cell>
        </row>
        <row r="1318">
          <cell r="AD1318" t="str"/>
          <cell r="AE1318" t="str"/>
          <cell r="AF1318">
            <v>0</v>
          </cell>
          <cell r="AG1318">
            <v>0</v>
          </cell>
        </row>
        <row r="1319">
          <cell r="AD1319" t="str"/>
          <cell r="AE1319" t="str"/>
          <cell r="AF1319">
            <v>0</v>
          </cell>
          <cell r="AG1319">
            <v>0</v>
          </cell>
        </row>
        <row r="1320">
          <cell r="AD1320" t="str"/>
          <cell r="AE1320" t="str"/>
          <cell r="AF1320">
            <v>0</v>
          </cell>
          <cell r="AG1320">
            <v>0</v>
          </cell>
        </row>
        <row r="1321">
          <cell r="AD1321" t="str"/>
          <cell r="AE1321" t="str"/>
          <cell r="AF1321">
            <v>0</v>
          </cell>
          <cell r="AG1321">
            <v>0</v>
          </cell>
        </row>
        <row r="1322">
          <cell r="AD1322" t="str"/>
          <cell r="AE1322" t="str"/>
          <cell r="AF1322">
            <v>0</v>
          </cell>
          <cell r="AG1322">
            <v>0</v>
          </cell>
        </row>
        <row r="1323">
          <cell r="AD1323" t="str"/>
          <cell r="AE1323" t="str"/>
          <cell r="AF1323">
            <v>0</v>
          </cell>
          <cell r="AG1323">
            <v>0</v>
          </cell>
        </row>
        <row r="1324">
          <cell r="AD1324" t="str"/>
          <cell r="AE1324" t="str"/>
          <cell r="AF1324">
            <v>0</v>
          </cell>
          <cell r="AG1324">
            <v>0</v>
          </cell>
        </row>
        <row r="1325">
          <cell r="AD1325" t="str"/>
          <cell r="AE1325" t="str"/>
          <cell r="AF1325">
            <v>0</v>
          </cell>
          <cell r="AG1325">
            <v>0</v>
          </cell>
        </row>
        <row r="1326">
          <cell r="AD1326" t="str"/>
          <cell r="AE1326" t="str"/>
          <cell r="AF1326">
            <v>0</v>
          </cell>
          <cell r="AG1326">
            <v>0</v>
          </cell>
        </row>
        <row r="1327">
          <cell r="AD1327" t="str"/>
          <cell r="AE1327" t="str"/>
          <cell r="AF1327">
            <v>0</v>
          </cell>
          <cell r="AG1327">
            <v>0</v>
          </cell>
        </row>
        <row r="1328">
          <cell r="AD1328" t="str"/>
          <cell r="AE1328" t="str"/>
          <cell r="AF1328">
            <v>0</v>
          </cell>
          <cell r="AG1328">
            <v>0</v>
          </cell>
        </row>
        <row r="1329">
          <cell r="AD1329" t="str"/>
          <cell r="AE1329" t="str"/>
          <cell r="AF1329">
            <v>0</v>
          </cell>
          <cell r="AG1329">
            <v>0</v>
          </cell>
        </row>
        <row r="1330">
          <cell r="AD1330" t="str"/>
          <cell r="AE1330" t="str"/>
          <cell r="AF1330">
            <v>0</v>
          </cell>
          <cell r="AG1330">
            <v>0</v>
          </cell>
        </row>
        <row r="1331">
          <cell r="AD1331" t="str"/>
          <cell r="AE1331" t="str"/>
          <cell r="AF1331">
            <v>0</v>
          </cell>
          <cell r="AG1331">
            <v>0</v>
          </cell>
        </row>
        <row r="1332">
          <cell r="AD1332" t="str"/>
          <cell r="AE1332" t="str"/>
          <cell r="AF1332">
            <v>0</v>
          </cell>
          <cell r="AG1332">
            <v>0</v>
          </cell>
        </row>
        <row r="1333">
          <cell r="AD1333" t="str"/>
          <cell r="AE1333" t="str"/>
          <cell r="AF1333">
            <v>0</v>
          </cell>
          <cell r="AG1333">
            <v>0</v>
          </cell>
        </row>
        <row r="1334">
          <cell r="AD1334" t="str"/>
          <cell r="AE1334" t="str"/>
          <cell r="AF1334">
            <v>0</v>
          </cell>
          <cell r="AG1334">
            <v>0</v>
          </cell>
        </row>
        <row r="1335">
          <cell r="AD1335" t="str"/>
          <cell r="AE1335" t="str"/>
          <cell r="AF1335">
            <v>0</v>
          </cell>
          <cell r="AG1335">
            <v>0</v>
          </cell>
        </row>
        <row r="1336">
          <cell r="AD1336" t="str"/>
          <cell r="AE1336" t="str"/>
          <cell r="AF1336">
            <v>0</v>
          </cell>
          <cell r="AG1336">
            <v>0</v>
          </cell>
        </row>
        <row r="1337">
          <cell r="AD1337" t="str"/>
          <cell r="AE1337" t="str"/>
          <cell r="AF1337">
            <v>0</v>
          </cell>
          <cell r="AG1337">
            <v>0</v>
          </cell>
        </row>
        <row r="1338">
          <cell r="AD1338" t="str"/>
          <cell r="AE1338" t="str"/>
          <cell r="AF1338">
            <v>0</v>
          </cell>
          <cell r="AG1338">
            <v>0</v>
          </cell>
        </row>
        <row r="1339">
          <cell r="AD1339" t="str"/>
          <cell r="AE1339" t="str"/>
          <cell r="AF1339">
            <v>0</v>
          </cell>
          <cell r="AG1339">
            <v>0</v>
          </cell>
        </row>
        <row r="1340">
          <cell r="AD1340" t="str"/>
          <cell r="AE1340" t="str"/>
          <cell r="AF1340">
            <v>0</v>
          </cell>
          <cell r="AG1340">
            <v>0</v>
          </cell>
        </row>
        <row r="1341">
          <cell r="AD1341" t="str"/>
          <cell r="AE1341" t="str"/>
          <cell r="AF1341">
            <v>0</v>
          </cell>
          <cell r="AG1341">
            <v>0</v>
          </cell>
        </row>
        <row r="1342">
          <cell r="AD1342" t="str"/>
          <cell r="AE1342" t="str"/>
          <cell r="AF1342">
            <v>0</v>
          </cell>
          <cell r="AG1342">
            <v>0</v>
          </cell>
        </row>
        <row r="1343">
          <cell r="AD1343" t="str"/>
          <cell r="AE1343" t="str"/>
          <cell r="AF1343">
            <v>0</v>
          </cell>
          <cell r="AG1343">
            <v>0</v>
          </cell>
        </row>
        <row r="1344">
          <cell r="AD1344" t="str"/>
          <cell r="AE1344" t="str"/>
          <cell r="AF1344">
            <v>0</v>
          </cell>
          <cell r="AG1344">
            <v>0</v>
          </cell>
        </row>
        <row r="1345">
          <cell r="AD1345" t="str"/>
          <cell r="AE1345" t="str"/>
          <cell r="AF1345">
            <v>0</v>
          </cell>
          <cell r="AG1345">
            <v>0</v>
          </cell>
        </row>
        <row r="1346">
          <cell r="AD1346" t="str"/>
          <cell r="AE1346" t="str"/>
          <cell r="AF1346">
            <v>0</v>
          </cell>
          <cell r="AG1346">
            <v>0</v>
          </cell>
        </row>
        <row r="1347">
          <cell r="AD1347" t="str"/>
          <cell r="AE1347" t="str"/>
          <cell r="AF1347">
            <v>0</v>
          </cell>
          <cell r="AG1347">
            <v>0</v>
          </cell>
        </row>
        <row r="1348">
          <cell r="AD1348" t="str"/>
          <cell r="AE1348" t="str"/>
          <cell r="AF1348">
            <v>0</v>
          </cell>
          <cell r="AG1348">
            <v>0</v>
          </cell>
        </row>
        <row r="1349">
          <cell r="AD1349" t="str"/>
          <cell r="AE1349" t="str"/>
          <cell r="AF1349">
            <v>0</v>
          </cell>
          <cell r="AG1349">
            <v>0</v>
          </cell>
        </row>
        <row r="1350">
          <cell r="AD1350" t="str"/>
          <cell r="AE1350" t="str"/>
          <cell r="AF1350">
            <v>0</v>
          </cell>
          <cell r="AG1350">
            <v>0</v>
          </cell>
        </row>
        <row r="1351">
          <cell r="AD1351" t="str"/>
          <cell r="AE1351" t="str"/>
          <cell r="AF1351">
            <v>0</v>
          </cell>
          <cell r="AG1351">
            <v>0</v>
          </cell>
        </row>
        <row r="1352">
          <cell r="AD1352" t="str"/>
          <cell r="AE1352" t="str"/>
          <cell r="AF1352">
            <v>0</v>
          </cell>
          <cell r="AG1352">
            <v>0</v>
          </cell>
        </row>
        <row r="1353">
          <cell r="AD1353" t="str"/>
          <cell r="AE1353" t="str"/>
          <cell r="AF1353">
            <v>0</v>
          </cell>
          <cell r="AG1353">
            <v>0</v>
          </cell>
        </row>
        <row r="1354">
          <cell r="AD1354" t="str"/>
          <cell r="AE1354" t="str"/>
          <cell r="AF1354">
            <v>0</v>
          </cell>
          <cell r="AG1354">
            <v>0</v>
          </cell>
        </row>
        <row r="1355">
          <cell r="AD1355" t="str"/>
          <cell r="AE1355" t="str"/>
          <cell r="AF1355">
            <v>0</v>
          </cell>
          <cell r="AG1355">
            <v>0</v>
          </cell>
        </row>
        <row r="1356">
          <cell r="AD1356" t="str"/>
          <cell r="AE1356" t="str"/>
          <cell r="AF1356">
            <v>0</v>
          </cell>
          <cell r="AG1356">
            <v>0</v>
          </cell>
        </row>
        <row r="1357">
          <cell r="AD1357" t="str"/>
          <cell r="AE1357" t="str"/>
          <cell r="AF1357">
            <v>0</v>
          </cell>
          <cell r="AG1357">
            <v>0</v>
          </cell>
        </row>
        <row r="1358">
          <cell r="AD1358" t="str"/>
          <cell r="AE1358" t="str"/>
          <cell r="AF1358">
            <v>0</v>
          </cell>
          <cell r="AG1358">
            <v>0</v>
          </cell>
        </row>
        <row r="1359">
          <cell r="AD1359" t="str"/>
          <cell r="AE1359" t="str"/>
          <cell r="AF1359">
            <v>0</v>
          </cell>
          <cell r="AG1359">
            <v>0</v>
          </cell>
        </row>
        <row r="1360">
          <cell r="AD1360" t="str"/>
          <cell r="AE1360" t="str"/>
          <cell r="AF1360">
            <v>0</v>
          </cell>
          <cell r="AG1360">
            <v>0</v>
          </cell>
        </row>
        <row r="1361">
          <cell r="AD1361" t="str"/>
          <cell r="AE1361" t="str"/>
          <cell r="AF1361">
            <v>0</v>
          </cell>
          <cell r="AG1361">
            <v>0</v>
          </cell>
        </row>
        <row r="1362">
          <cell r="AD1362" t="str"/>
          <cell r="AE1362" t="str"/>
          <cell r="AF1362">
            <v>0</v>
          </cell>
          <cell r="AG1362">
            <v>0</v>
          </cell>
        </row>
        <row r="1363">
          <cell r="AD1363" t="str"/>
          <cell r="AE1363" t="str"/>
          <cell r="AF1363">
            <v>0</v>
          </cell>
          <cell r="AG1363">
            <v>0</v>
          </cell>
        </row>
        <row r="1364">
          <cell r="AD1364" t="str"/>
          <cell r="AE1364" t="str"/>
          <cell r="AF1364">
            <v>0</v>
          </cell>
          <cell r="AG1364">
            <v>0</v>
          </cell>
        </row>
        <row r="1365">
          <cell r="AD1365" t="str"/>
          <cell r="AE1365" t="str"/>
          <cell r="AF1365">
            <v>0</v>
          </cell>
          <cell r="AG1365">
            <v>0</v>
          </cell>
        </row>
        <row r="1366">
          <cell r="AD1366" t="str"/>
          <cell r="AE1366" t="str"/>
          <cell r="AF1366">
            <v>0</v>
          </cell>
          <cell r="AG1366">
            <v>0</v>
          </cell>
        </row>
        <row r="1367">
          <cell r="AD1367" t="str"/>
          <cell r="AE1367" t="str"/>
          <cell r="AF1367">
            <v>0</v>
          </cell>
          <cell r="AG1367">
            <v>0</v>
          </cell>
        </row>
        <row r="1368">
          <cell r="AD1368" t="str"/>
          <cell r="AE1368" t="str"/>
          <cell r="AF1368">
            <v>0</v>
          </cell>
          <cell r="AG1368">
            <v>0</v>
          </cell>
        </row>
        <row r="1369">
          <cell r="AD1369" t="str"/>
          <cell r="AE1369" t="str"/>
          <cell r="AF1369">
            <v>0</v>
          </cell>
          <cell r="AG1369">
            <v>0</v>
          </cell>
        </row>
        <row r="1370">
          <cell r="AD1370" t="str"/>
          <cell r="AE1370" t="str"/>
          <cell r="AF1370">
            <v>0</v>
          </cell>
          <cell r="AG1370">
            <v>0</v>
          </cell>
        </row>
        <row r="1371">
          <cell r="AD1371" t="str"/>
          <cell r="AE1371" t="str"/>
          <cell r="AF1371">
            <v>0</v>
          </cell>
          <cell r="AG1371">
            <v>0</v>
          </cell>
        </row>
        <row r="1372">
          <cell r="AD1372" t="str"/>
          <cell r="AE1372" t="str"/>
          <cell r="AF1372">
            <v>0</v>
          </cell>
          <cell r="AG1372">
            <v>0</v>
          </cell>
        </row>
        <row r="1373">
          <cell r="AD1373" t="str"/>
          <cell r="AE1373" t="str"/>
          <cell r="AF1373">
            <v>0</v>
          </cell>
          <cell r="AG1373">
            <v>0</v>
          </cell>
        </row>
        <row r="1374">
          <cell r="AD1374" t="str"/>
          <cell r="AE1374" t="str"/>
          <cell r="AF1374">
            <v>0</v>
          </cell>
          <cell r="AG1374">
            <v>0</v>
          </cell>
        </row>
        <row r="1375">
          <cell r="AD1375" t="str"/>
          <cell r="AE1375" t="str"/>
          <cell r="AF1375">
            <v>0</v>
          </cell>
          <cell r="AG1375">
            <v>0</v>
          </cell>
        </row>
        <row r="1376">
          <cell r="AD1376" t="str"/>
          <cell r="AE1376" t="str"/>
          <cell r="AF1376">
            <v>0</v>
          </cell>
          <cell r="AG1376">
            <v>0</v>
          </cell>
        </row>
        <row r="1377">
          <cell r="AD1377" t="str"/>
          <cell r="AE1377" t="str"/>
          <cell r="AF1377">
            <v>0</v>
          </cell>
          <cell r="AG1377">
            <v>0</v>
          </cell>
        </row>
        <row r="1378">
          <cell r="AD1378" t="str"/>
          <cell r="AE1378" t="str"/>
          <cell r="AF1378">
            <v>0</v>
          </cell>
          <cell r="AG1378">
            <v>0</v>
          </cell>
        </row>
        <row r="1379">
          <cell r="AD1379" t="str"/>
          <cell r="AE1379" t="str"/>
          <cell r="AF1379">
            <v>0</v>
          </cell>
          <cell r="AG1379">
            <v>0</v>
          </cell>
        </row>
        <row r="1380">
          <cell r="AD1380" t="str"/>
          <cell r="AE1380" t="str"/>
          <cell r="AF1380">
            <v>0</v>
          </cell>
          <cell r="AG1380">
            <v>0</v>
          </cell>
        </row>
        <row r="1381">
          <cell r="AD1381" t="str"/>
          <cell r="AE1381" t="str"/>
          <cell r="AF1381">
            <v>0</v>
          </cell>
          <cell r="AG1381">
            <v>0</v>
          </cell>
        </row>
        <row r="1382">
          <cell r="AD1382" t="str"/>
          <cell r="AE1382" t="str"/>
          <cell r="AF1382">
            <v>0</v>
          </cell>
          <cell r="AG1382">
            <v>0</v>
          </cell>
        </row>
        <row r="1383">
          <cell r="AD1383" t="str"/>
          <cell r="AE1383" t="str"/>
          <cell r="AF1383">
            <v>0</v>
          </cell>
          <cell r="AG1383">
            <v>0</v>
          </cell>
        </row>
        <row r="1384">
          <cell r="AD1384" t="str"/>
          <cell r="AE1384" t="str"/>
          <cell r="AF1384">
            <v>0</v>
          </cell>
          <cell r="AG1384">
            <v>0</v>
          </cell>
        </row>
        <row r="1385">
          <cell r="AD1385" t="str"/>
          <cell r="AE1385" t="str"/>
          <cell r="AF1385">
            <v>0</v>
          </cell>
          <cell r="AG1385">
            <v>0</v>
          </cell>
        </row>
        <row r="1386">
          <cell r="AD1386" t="str"/>
          <cell r="AE1386" t="str"/>
          <cell r="AF1386">
            <v>0</v>
          </cell>
          <cell r="AG1386">
            <v>0</v>
          </cell>
        </row>
        <row r="1387">
          <cell r="AD1387" t="str"/>
          <cell r="AE1387" t="str"/>
          <cell r="AF1387">
            <v>0</v>
          </cell>
          <cell r="AG1387">
            <v>0</v>
          </cell>
        </row>
        <row r="1388">
          <cell r="AD1388" t="str"/>
          <cell r="AE1388" t="str"/>
          <cell r="AF1388">
            <v>0</v>
          </cell>
          <cell r="AG1388">
            <v>0</v>
          </cell>
        </row>
        <row r="1389">
          <cell r="AD1389" t="str"/>
          <cell r="AE1389" t="str"/>
          <cell r="AF1389">
            <v>0</v>
          </cell>
          <cell r="AG1389">
            <v>0</v>
          </cell>
        </row>
        <row r="1390">
          <cell r="AD1390" t="str"/>
          <cell r="AE1390" t="str"/>
          <cell r="AF1390">
            <v>0</v>
          </cell>
          <cell r="AG1390">
            <v>0</v>
          </cell>
        </row>
        <row r="1391">
          <cell r="AD1391" t="str"/>
          <cell r="AE1391" t="str"/>
          <cell r="AF1391">
            <v>0</v>
          </cell>
          <cell r="AG1391">
            <v>0</v>
          </cell>
        </row>
        <row r="1392">
          <cell r="AD1392" t="str"/>
          <cell r="AE1392" t="str"/>
          <cell r="AF1392">
            <v>0</v>
          </cell>
          <cell r="AG1392">
            <v>0</v>
          </cell>
        </row>
        <row r="1393">
          <cell r="AD1393" t="str"/>
          <cell r="AE1393" t="str"/>
          <cell r="AF1393">
            <v>0</v>
          </cell>
          <cell r="AG1393">
            <v>0</v>
          </cell>
        </row>
        <row r="1394">
          <cell r="AD1394" t="str"/>
          <cell r="AE1394" t="str"/>
          <cell r="AF1394">
            <v>0</v>
          </cell>
          <cell r="AG1394">
            <v>0</v>
          </cell>
        </row>
        <row r="1395">
          <cell r="AD1395" t="str"/>
          <cell r="AE1395" t="str"/>
          <cell r="AF1395">
            <v>0</v>
          </cell>
          <cell r="AG1395">
            <v>0</v>
          </cell>
        </row>
        <row r="1396">
          <cell r="AD1396" t="str"/>
          <cell r="AE1396" t="str"/>
          <cell r="AF1396">
            <v>0</v>
          </cell>
          <cell r="AG1396">
            <v>0</v>
          </cell>
        </row>
        <row r="1397">
          <cell r="AD1397" t="str"/>
          <cell r="AE1397" t="str"/>
          <cell r="AF1397">
            <v>0</v>
          </cell>
          <cell r="AG1397">
            <v>0</v>
          </cell>
        </row>
        <row r="1398">
          <cell r="AD1398" t="str"/>
          <cell r="AE1398" t="str"/>
          <cell r="AF1398">
            <v>0</v>
          </cell>
          <cell r="AG1398">
            <v>0</v>
          </cell>
        </row>
        <row r="1399">
          <cell r="AD1399" t="str"/>
          <cell r="AE1399" t="str"/>
          <cell r="AF1399">
            <v>0</v>
          </cell>
          <cell r="AG1399">
            <v>0</v>
          </cell>
        </row>
        <row r="1400">
          <cell r="AD1400" t="str"/>
          <cell r="AE1400" t="str"/>
          <cell r="AF1400">
            <v>0</v>
          </cell>
          <cell r="AG1400">
            <v>0</v>
          </cell>
        </row>
        <row r="1401">
          <cell r="AD1401" t="str"/>
          <cell r="AE1401" t="str"/>
          <cell r="AF1401">
            <v>0</v>
          </cell>
          <cell r="AG1401">
            <v>0</v>
          </cell>
        </row>
        <row r="1402">
          <cell r="AD1402" t="str"/>
          <cell r="AE1402" t="str"/>
          <cell r="AF1402">
            <v>0</v>
          </cell>
          <cell r="AG1402">
            <v>0</v>
          </cell>
        </row>
        <row r="1403">
          <cell r="AD1403" t="str"/>
          <cell r="AE1403" t="str"/>
          <cell r="AF1403">
            <v>0</v>
          </cell>
          <cell r="AG1403">
            <v>0</v>
          </cell>
        </row>
        <row r="1404">
          <cell r="AD1404" t="str"/>
          <cell r="AE1404" t="str"/>
          <cell r="AF1404">
            <v>0</v>
          </cell>
          <cell r="AG1404">
            <v>0</v>
          </cell>
        </row>
        <row r="1405">
          <cell r="AD1405" t="str"/>
          <cell r="AE1405" t="str"/>
          <cell r="AF1405">
            <v>0</v>
          </cell>
          <cell r="AG1405">
            <v>0</v>
          </cell>
        </row>
        <row r="1406">
          <cell r="AD1406" t="str"/>
          <cell r="AE1406" t="str"/>
          <cell r="AF1406">
            <v>0</v>
          </cell>
          <cell r="AG1406">
            <v>0</v>
          </cell>
        </row>
        <row r="1407">
          <cell r="AD1407" t="str"/>
          <cell r="AE1407" t="str"/>
          <cell r="AF1407">
            <v>0</v>
          </cell>
          <cell r="AG1407">
            <v>0</v>
          </cell>
        </row>
        <row r="1408">
          <cell r="AD1408" t="str"/>
          <cell r="AE1408" t="str"/>
          <cell r="AF1408">
            <v>0</v>
          </cell>
          <cell r="AG1408">
            <v>0</v>
          </cell>
        </row>
        <row r="1409">
          <cell r="AD1409" t="str"/>
          <cell r="AE1409" t="str"/>
          <cell r="AF1409">
            <v>0</v>
          </cell>
          <cell r="AG1409">
            <v>0</v>
          </cell>
        </row>
        <row r="1410">
          <cell r="AD1410" t="str"/>
          <cell r="AE1410" t="str"/>
          <cell r="AF1410">
            <v>0</v>
          </cell>
          <cell r="AG1410">
            <v>0</v>
          </cell>
        </row>
        <row r="1411">
          <cell r="AD1411" t="str"/>
          <cell r="AE1411" t="str"/>
          <cell r="AF1411">
            <v>0</v>
          </cell>
          <cell r="AG1411">
            <v>0</v>
          </cell>
        </row>
        <row r="1412">
          <cell r="AD1412" t="str"/>
          <cell r="AE1412" t="str"/>
          <cell r="AF1412">
            <v>0</v>
          </cell>
          <cell r="AG1412">
            <v>0</v>
          </cell>
        </row>
        <row r="1413">
          <cell r="AD1413" t="str"/>
          <cell r="AE1413" t="str"/>
          <cell r="AF1413">
            <v>0</v>
          </cell>
          <cell r="AG1413">
            <v>0</v>
          </cell>
        </row>
        <row r="1414">
          <cell r="AD1414" t="str"/>
          <cell r="AE1414" t="str"/>
          <cell r="AF1414">
            <v>0</v>
          </cell>
          <cell r="AG1414">
            <v>0</v>
          </cell>
        </row>
        <row r="1415">
          <cell r="AD1415" t="str"/>
          <cell r="AE1415" t="str"/>
          <cell r="AF1415">
            <v>0</v>
          </cell>
          <cell r="AG1415">
            <v>0</v>
          </cell>
        </row>
        <row r="1416">
          <cell r="AD1416" t="str"/>
          <cell r="AE1416" t="str"/>
          <cell r="AF1416">
            <v>0</v>
          </cell>
          <cell r="AG1416">
            <v>0</v>
          </cell>
        </row>
        <row r="1417">
          <cell r="AD1417" t="str"/>
          <cell r="AE1417" t="str"/>
          <cell r="AF1417">
            <v>0</v>
          </cell>
          <cell r="AG1417">
            <v>0</v>
          </cell>
        </row>
        <row r="1418">
          <cell r="AD1418" t="str"/>
          <cell r="AE1418" t="str"/>
          <cell r="AF1418">
            <v>0</v>
          </cell>
          <cell r="AG1418">
            <v>0</v>
          </cell>
        </row>
        <row r="1419">
          <cell r="AD1419" t="str"/>
          <cell r="AE1419" t="str"/>
          <cell r="AF1419">
            <v>0</v>
          </cell>
          <cell r="AG1419">
            <v>0</v>
          </cell>
        </row>
        <row r="1420">
          <cell r="AD1420" t="str"/>
          <cell r="AE1420" t="str"/>
          <cell r="AF1420">
            <v>0</v>
          </cell>
          <cell r="AG1420">
            <v>0</v>
          </cell>
        </row>
        <row r="1421">
          <cell r="AD1421" t="str"/>
          <cell r="AE1421" t="str"/>
          <cell r="AF1421">
            <v>0</v>
          </cell>
          <cell r="AG1421">
            <v>0</v>
          </cell>
        </row>
        <row r="1422">
          <cell r="AD1422" t="str"/>
          <cell r="AE1422" t="str"/>
          <cell r="AF1422">
            <v>0</v>
          </cell>
          <cell r="AG1422">
            <v>0</v>
          </cell>
        </row>
        <row r="1423">
          <cell r="AD1423" t="str"/>
          <cell r="AE1423" t="str"/>
          <cell r="AF1423">
            <v>0</v>
          </cell>
          <cell r="AG1423">
            <v>0</v>
          </cell>
        </row>
        <row r="1424">
          <cell r="AD1424" t="str"/>
          <cell r="AE1424" t="str"/>
          <cell r="AF1424">
            <v>0</v>
          </cell>
          <cell r="AG1424">
            <v>0</v>
          </cell>
        </row>
        <row r="1425">
          <cell r="AD1425" t="str"/>
          <cell r="AE1425" t="str"/>
          <cell r="AF1425">
            <v>0</v>
          </cell>
          <cell r="AG1425">
            <v>0</v>
          </cell>
        </row>
        <row r="1426">
          <cell r="AD1426" t="str"/>
          <cell r="AE1426" t="str"/>
          <cell r="AF1426">
            <v>0</v>
          </cell>
          <cell r="AG1426">
            <v>0</v>
          </cell>
        </row>
        <row r="1427">
          <cell r="AD1427" t="str"/>
          <cell r="AE1427" t="str"/>
          <cell r="AF1427">
            <v>0</v>
          </cell>
          <cell r="AG1427">
            <v>0</v>
          </cell>
        </row>
        <row r="1428">
          <cell r="AD1428" t="str"/>
          <cell r="AE1428" t="str"/>
          <cell r="AF1428">
            <v>0</v>
          </cell>
          <cell r="AG1428">
            <v>0</v>
          </cell>
        </row>
        <row r="1429">
          <cell r="AD1429" t="str"/>
          <cell r="AE1429" t="str"/>
          <cell r="AF1429">
            <v>0</v>
          </cell>
          <cell r="AG1429">
            <v>0</v>
          </cell>
        </row>
        <row r="1430">
          <cell r="AD1430" t="str"/>
          <cell r="AE1430" t="str"/>
          <cell r="AF1430">
            <v>0</v>
          </cell>
          <cell r="AG1430">
            <v>0</v>
          </cell>
        </row>
        <row r="1431">
          <cell r="AD1431" t="str"/>
          <cell r="AE1431" t="str"/>
          <cell r="AF1431">
            <v>0</v>
          </cell>
          <cell r="AG1431">
            <v>0</v>
          </cell>
        </row>
        <row r="1432">
          <cell r="AD1432" t="str"/>
          <cell r="AE1432" t="str"/>
          <cell r="AF1432">
            <v>0</v>
          </cell>
          <cell r="AG1432">
            <v>0</v>
          </cell>
        </row>
        <row r="1433">
          <cell r="AD1433" t="str"/>
          <cell r="AE1433" t="str"/>
          <cell r="AF1433">
            <v>0</v>
          </cell>
          <cell r="AG1433">
            <v>0</v>
          </cell>
        </row>
        <row r="1434">
          <cell r="AD1434" t="str"/>
          <cell r="AE1434" t="str"/>
          <cell r="AF1434">
            <v>0</v>
          </cell>
          <cell r="AG1434">
            <v>0</v>
          </cell>
        </row>
        <row r="1435">
          <cell r="AD1435" t="str"/>
          <cell r="AE1435" t="str"/>
          <cell r="AF1435">
            <v>0</v>
          </cell>
          <cell r="AG1435">
            <v>0</v>
          </cell>
        </row>
        <row r="1436">
          <cell r="AD1436" t="str"/>
          <cell r="AE1436" t="str"/>
          <cell r="AF1436">
            <v>0</v>
          </cell>
          <cell r="AG1436">
            <v>0</v>
          </cell>
        </row>
        <row r="1437">
          <cell r="AD1437" t="str"/>
          <cell r="AE1437" t="str"/>
          <cell r="AF1437">
            <v>0</v>
          </cell>
          <cell r="AG1437">
            <v>0</v>
          </cell>
        </row>
        <row r="1438">
          <cell r="AD1438" t="str"/>
          <cell r="AE1438" t="str"/>
          <cell r="AF1438">
            <v>0</v>
          </cell>
          <cell r="AG1438">
            <v>0</v>
          </cell>
        </row>
        <row r="1439">
          <cell r="AD1439" t="str"/>
          <cell r="AE1439" t="str"/>
          <cell r="AF1439">
            <v>0</v>
          </cell>
          <cell r="AG1439">
            <v>0</v>
          </cell>
        </row>
        <row r="1440">
          <cell r="AD1440" t="str"/>
          <cell r="AE1440" t="str"/>
          <cell r="AF1440">
            <v>0</v>
          </cell>
          <cell r="AG1440">
            <v>0</v>
          </cell>
        </row>
        <row r="1441">
          <cell r="AD1441" t="str"/>
          <cell r="AE1441" t="str"/>
          <cell r="AF1441">
            <v>0</v>
          </cell>
          <cell r="AG1441">
            <v>0</v>
          </cell>
        </row>
        <row r="1442">
          <cell r="AD1442" t="str"/>
          <cell r="AE1442" t="str"/>
          <cell r="AF1442">
            <v>0</v>
          </cell>
          <cell r="AG1442">
            <v>0</v>
          </cell>
        </row>
        <row r="1443">
          <cell r="AD1443" t="str"/>
          <cell r="AE1443" t="str"/>
          <cell r="AF1443">
            <v>0</v>
          </cell>
          <cell r="AG1443">
            <v>0</v>
          </cell>
        </row>
        <row r="1444">
          <cell r="AD1444" t="str"/>
          <cell r="AE1444" t="str"/>
          <cell r="AF1444">
            <v>0</v>
          </cell>
          <cell r="AG1444">
            <v>0</v>
          </cell>
        </row>
        <row r="1445">
          <cell r="AD1445" t="str"/>
          <cell r="AE1445" t="str"/>
          <cell r="AF1445">
            <v>0</v>
          </cell>
          <cell r="AG1445">
            <v>0</v>
          </cell>
        </row>
        <row r="1446">
          <cell r="AD1446" t="str"/>
          <cell r="AE1446" t="str"/>
          <cell r="AF1446">
            <v>0</v>
          </cell>
          <cell r="AG1446">
            <v>0</v>
          </cell>
        </row>
        <row r="1447">
          <cell r="AD1447" t="str"/>
          <cell r="AE1447" t="str"/>
          <cell r="AF1447">
            <v>0</v>
          </cell>
          <cell r="AG1447">
            <v>0</v>
          </cell>
        </row>
        <row r="1448">
          <cell r="AD1448" t="str"/>
          <cell r="AE1448" t="str"/>
          <cell r="AF1448">
            <v>0</v>
          </cell>
          <cell r="AG1448">
            <v>0</v>
          </cell>
        </row>
        <row r="1449">
          <cell r="AD1449" t="str"/>
          <cell r="AE1449" t="str"/>
          <cell r="AF1449">
            <v>0</v>
          </cell>
          <cell r="AG1449">
            <v>0</v>
          </cell>
        </row>
        <row r="1450">
          <cell r="AD1450" t="str"/>
          <cell r="AE1450" t="str"/>
          <cell r="AF1450">
            <v>0</v>
          </cell>
          <cell r="AG1450">
            <v>0</v>
          </cell>
        </row>
        <row r="1451">
          <cell r="AD1451" t="str"/>
          <cell r="AE1451" t="str"/>
          <cell r="AF1451">
            <v>0</v>
          </cell>
          <cell r="AG1451">
            <v>0</v>
          </cell>
        </row>
        <row r="1452">
          <cell r="AD1452" t="str"/>
          <cell r="AE1452" t="str"/>
          <cell r="AF1452">
            <v>0</v>
          </cell>
          <cell r="AG1452">
            <v>0</v>
          </cell>
        </row>
        <row r="1453">
          <cell r="AD1453" t="str"/>
          <cell r="AE1453" t="str"/>
          <cell r="AF1453">
            <v>0</v>
          </cell>
          <cell r="AG1453">
            <v>0</v>
          </cell>
        </row>
        <row r="1454">
          <cell r="AD1454" t="str"/>
          <cell r="AE1454" t="str"/>
          <cell r="AF1454">
            <v>0</v>
          </cell>
          <cell r="AG1454">
            <v>0</v>
          </cell>
        </row>
        <row r="1455">
          <cell r="AD1455" t="str"/>
          <cell r="AE1455" t="str"/>
          <cell r="AF1455">
            <v>0</v>
          </cell>
          <cell r="AG1455">
            <v>0</v>
          </cell>
        </row>
        <row r="1456">
          <cell r="AD1456" t="str"/>
          <cell r="AE1456" t="str"/>
          <cell r="AF1456">
            <v>0</v>
          </cell>
          <cell r="AG1456">
            <v>0</v>
          </cell>
        </row>
        <row r="1457">
          <cell r="AD1457" t="str"/>
          <cell r="AE1457" t="str"/>
          <cell r="AF1457">
            <v>0</v>
          </cell>
          <cell r="AG1457">
            <v>0</v>
          </cell>
        </row>
        <row r="1458">
          <cell r="AD1458" t="str"/>
          <cell r="AE1458" t="str"/>
          <cell r="AF1458">
            <v>0</v>
          </cell>
          <cell r="AG1458">
            <v>0</v>
          </cell>
        </row>
        <row r="1459">
          <cell r="AD1459" t="str"/>
          <cell r="AE1459" t="str"/>
          <cell r="AF1459">
            <v>0</v>
          </cell>
          <cell r="AG1459">
            <v>0</v>
          </cell>
        </row>
        <row r="1460">
          <cell r="AD1460" t="str"/>
          <cell r="AE1460" t="str"/>
          <cell r="AF1460">
            <v>0</v>
          </cell>
          <cell r="AG1460">
            <v>0</v>
          </cell>
        </row>
        <row r="1461">
          <cell r="AD1461" t="str"/>
          <cell r="AE1461" t="str"/>
          <cell r="AF1461">
            <v>0</v>
          </cell>
          <cell r="AG1461">
            <v>0</v>
          </cell>
        </row>
        <row r="1462">
          <cell r="AD1462" t="str"/>
          <cell r="AE1462" t="str"/>
          <cell r="AF1462">
            <v>0</v>
          </cell>
          <cell r="AG1462">
            <v>0</v>
          </cell>
        </row>
        <row r="1463">
          <cell r="AD1463" t="str"/>
          <cell r="AE1463" t="str"/>
          <cell r="AF1463">
            <v>0</v>
          </cell>
          <cell r="AG1463">
            <v>0</v>
          </cell>
        </row>
        <row r="1464">
          <cell r="AD1464" t="str"/>
          <cell r="AE1464" t="str"/>
          <cell r="AF1464">
            <v>0</v>
          </cell>
          <cell r="AG1464">
            <v>0</v>
          </cell>
        </row>
        <row r="1465">
          <cell r="AD1465" t="str"/>
          <cell r="AE1465" t="str"/>
          <cell r="AF1465">
            <v>0</v>
          </cell>
          <cell r="AG1465">
            <v>0</v>
          </cell>
        </row>
        <row r="1466">
          <cell r="AD1466" t="str"/>
          <cell r="AE1466" t="str"/>
          <cell r="AF1466">
            <v>0</v>
          </cell>
          <cell r="AG1466">
            <v>0</v>
          </cell>
        </row>
        <row r="1467">
          <cell r="AD1467" t="str"/>
          <cell r="AE1467" t="str"/>
          <cell r="AF1467">
            <v>0</v>
          </cell>
          <cell r="AG1467">
            <v>0</v>
          </cell>
        </row>
        <row r="1468">
          <cell r="AD1468" t="str"/>
          <cell r="AE1468" t="str"/>
          <cell r="AF1468">
            <v>0</v>
          </cell>
          <cell r="AG1468">
            <v>0</v>
          </cell>
        </row>
        <row r="1469">
          <cell r="AD1469" t="str"/>
          <cell r="AE1469" t="str"/>
          <cell r="AF1469">
            <v>0</v>
          </cell>
          <cell r="AG1469">
            <v>0</v>
          </cell>
        </row>
        <row r="1470">
          <cell r="AD1470" t="str"/>
          <cell r="AE1470" t="str"/>
          <cell r="AF1470">
            <v>0</v>
          </cell>
          <cell r="AG1470">
            <v>0</v>
          </cell>
        </row>
        <row r="1471">
          <cell r="AD1471" t="str"/>
          <cell r="AE1471" t="str"/>
          <cell r="AF1471">
            <v>0</v>
          </cell>
          <cell r="AG1471">
            <v>0</v>
          </cell>
        </row>
        <row r="1472">
          <cell r="AD1472" t="str"/>
          <cell r="AE1472" t="str"/>
          <cell r="AF1472">
            <v>0</v>
          </cell>
          <cell r="AG1472">
            <v>0</v>
          </cell>
        </row>
        <row r="1473">
          <cell r="AD1473" t="str"/>
          <cell r="AE1473" t="str"/>
          <cell r="AF1473">
            <v>0</v>
          </cell>
          <cell r="AG1473">
            <v>0</v>
          </cell>
        </row>
        <row r="1474">
          <cell r="AD1474" t="str"/>
          <cell r="AE1474" t="str"/>
          <cell r="AF1474">
            <v>0</v>
          </cell>
          <cell r="AG1474">
            <v>0</v>
          </cell>
        </row>
        <row r="1475">
          <cell r="AD1475" t="str"/>
          <cell r="AE1475" t="str"/>
          <cell r="AF1475">
            <v>0</v>
          </cell>
          <cell r="AG1475">
            <v>0</v>
          </cell>
        </row>
        <row r="1476">
          <cell r="AD1476" t="str"/>
          <cell r="AE1476" t="str"/>
          <cell r="AF1476">
            <v>0</v>
          </cell>
          <cell r="AG1476">
            <v>0</v>
          </cell>
        </row>
        <row r="1477">
          <cell r="AD1477" t="str"/>
          <cell r="AE1477" t="str"/>
          <cell r="AF1477">
            <v>0</v>
          </cell>
          <cell r="AG1477">
            <v>0</v>
          </cell>
        </row>
        <row r="1478">
          <cell r="AD1478" t="str"/>
          <cell r="AE1478" t="str"/>
          <cell r="AF1478">
            <v>0</v>
          </cell>
          <cell r="AG1478">
            <v>0</v>
          </cell>
        </row>
        <row r="1479">
          <cell r="AD1479" t="str"/>
          <cell r="AE1479" t="str"/>
          <cell r="AF1479">
            <v>0</v>
          </cell>
          <cell r="AG1479">
            <v>0</v>
          </cell>
        </row>
        <row r="1480">
          <cell r="AD1480" t="str"/>
          <cell r="AE1480" t="str"/>
          <cell r="AF1480">
            <v>0</v>
          </cell>
          <cell r="AG1480">
            <v>0</v>
          </cell>
        </row>
        <row r="1481">
          <cell r="AD1481" t="str"/>
          <cell r="AE1481" t="str"/>
          <cell r="AF1481">
            <v>0</v>
          </cell>
          <cell r="AG1481">
            <v>0</v>
          </cell>
        </row>
        <row r="1482">
          <cell r="AD1482" t="str"/>
          <cell r="AE1482" t="str"/>
          <cell r="AF1482">
            <v>0</v>
          </cell>
          <cell r="AG1482">
            <v>0</v>
          </cell>
        </row>
        <row r="1483">
          <cell r="AD1483" t="str"/>
          <cell r="AE1483" t="str"/>
          <cell r="AF1483">
            <v>0</v>
          </cell>
          <cell r="AG1483">
            <v>0</v>
          </cell>
        </row>
        <row r="1484">
          <cell r="AD1484" t="str"/>
          <cell r="AE1484" t="str"/>
          <cell r="AF1484">
            <v>0</v>
          </cell>
          <cell r="AG1484">
            <v>0</v>
          </cell>
        </row>
        <row r="1485">
          <cell r="AD1485" t="str"/>
          <cell r="AE1485" t="str"/>
          <cell r="AF1485">
            <v>0</v>
          </cell>
          <cell r="AG1485">
            <v>0</v>
          </cell>
        </row>
        <row r="1486">
          <cell r="AD1486" t="str"/>
          <cell r="AE1486" t="str"/>
          <cell r="AF1486">
            <v>0</v>
          </cell>
          <cell r="AG1486">
            <v>0</v>
          </cell>
        </row>
        <row r="1487">
          <cell r="AD1487" t="str"/>
          <cell r="AE1487" t="str"/>
          <cell r="AF1487">
            <v>0</v>
          </cell>
          <cell r="AG1487">
            <v>0</v>
          </cell>
        </row>
        <row r="1488">
          <cell r="AD1488" t="str"/>
          <cell r="AE1488" t="str"/>
          <cell r="AF1488">
            <v>0</v>
          </cell>
          <cell r="AG1488">
            <v>0</v>
          </cell>
        </row>
        <row r="1489">
          <cell r="AD1489" t="str"/>
          <cell r="AE1489" t="str"/>
          <cell r="AF1489">
            <v>0</v>
          </cell>
          <cell r="AG1489">
            <v>0</v>
          </cell>
        </row>
        <row r="1490">
          <cell r="AD1490" t="str"/>
          <cell r="AE1490" t="str"/>
          <cell r="AF1490">
            <v>0</v>
          </cell>
          <cell r="AG1490">
            <v>0</v>
          </cell>
        </row>
        <row r="1491">
          <cell r="AD1491" t="str"/>
          <cell r="AE1491" t="str"/>
          <cell r="AF1491">
            <v>0</v>
          </cell>
          <cell r="AG1491">
            <v>0</v>
          </cell>
        </row>
        <row r="1492">
          <cell r="AD1492" t="str"/>
          <cell r="AE1492" t="str"/>
          <cell r="AF1492">
            <v>0</v>
          </cell>
          <cell r="AG1492">
            <v>0</v>
          </cell>
        </row>
        <row r="1493">
          <cell r="AD1493" t="str"/>
          <cell r="AE1493" t="str"/>
          <cell r="AF1493">
            <v>0</v>
          </cell>
          <cell r="AG1493">
            <v>0</v>
          </cell>
        </row>
        <row r="1494">
          <cell r="AD1494" t="str"/>
          <cell r="AE1494" t="str"/>
          <cell r="AF1494">
            <v>0</v>
          </cell>
          <cell r="AG1494">
            <v>0</v>
          </cell>
        </row>
        <row r="1495">
          <cell r="AD1495" t="str"/>
          <cell r="AE1495" t="str"/>
          <cell r="AF1495">
            <v>0</v>
          </cell>
          <cell r="AG1495">
            <v>0</v>
          </cell>
        </row>
        <row r="1496">
          <cell r="AD1496" t="str"/>
          <cell r="AE1496" t="str"/>
          <cell r="AF1496">
            <v>0</v>
          </cell>
          <cell r="AG1496">
            <v>0</v>
          </cell>
        </row>
        <row r="1497">
          <cell r="AD1497" t="str"/>
          <cell r="AE1497" t="str"/>
          <cell r="AF1497">
            <v>0</v>
          </cell>
          <cell r="AG1497">
            <v>0</v>
          </cell>
        </row>
        <row r="1498">
          <cell r="AD1498" t="str"/>
          <cell r="AE1498" t="str"/>
          <cell r="AF1498">
            <v>0</v>
          </cell>
          <cell r="AG1498">
            <v>0</v>
          </cell>
        </row>
        <row r="1499">
          <cell r="AD1499" t="str"/>
          <cell r="AE1499" t="str"/>
          <cell r="AF1499">
            <v>0</v>
          </cell>
          <cell r="AG1499">
            <v>0</v>
          </cell>
        </row>
        <row r="1500">
          <cell r="AD1500" t="str"/>
          <cell r="AE1500" t="str"/>
          <cell r="AF1500">
            <v>0</v>
          </cell>
          <cell r="AG1500">
            <v>0</v>
          </cell>
        </row>
        <row r="1501">
          <cell r="AD1501" t="str"/>
          <cell r="AE1501" t="str"/>
          <cell r="AF1501">
            <v>0</v>
          </cell>
          <cell r="AG1501">
            <v>0</v>
          </cell>
        </row>
        <row r="1502">
          <cell r="AD1502" t="str"/>
          <cell r="AE1502" t="str"/>
          <cell r="AF1502">
            <v>0</v>
          </cell>
          <cell r="AG1502">
            <v>0</v>
          </cell>
        </row>
        <row r="1503">
          <cell r="AD1503" t="str"/>
          <cell r="AE1503" t="str"/>
          <cell r="AF1503">
            <v>0</v>
          </cell>
          <cell r="AG1503">
            <v>0</v>
          </cell>
        </row>
        <row r="1504">
          <cell r="AD1504" t="str"/>
          <cell r="AE1504" t="str"/>
          <cell r="AF1504">
            <v>0</v>
          </cell>
          <cell r="AG1504">
            <v>0</v>
          </cell>
        </row>
        <row r="1505">
          <cell r="AD1505" t="str"/>
          <cell r="AE1505" t="str"/>
          <cell r="AF1505">
            <v>0</v>
          </cell>
          <cell r="AG1505">
            <v>0</v>
          </cell>
        </row>
        <row r="1506">
          <cell r="AD1506" t="str"/>
          <cell r="AE1506" t="str"/>
          <cell r="AF1506">
            <v>0</v>
          </cell>
          <cell r="AG1506">
            <v>0</v>
          </cell>
        </row>
        <row r="1507">
          <cell r="AD1507" t="str"/>
          <cell r="AE1507" t="str"/>
          <cell r="AF1507">
            <v>0</v>
          </cell>
          <cell r="AG1507">
            <v>0</v>
          </cell>
        </row>
        <row r="1508">
          <cell r="AD1508" t="str"/>
          <cell r="AE1508" t="str"/>
          <cell r="AF1508">
            <v>0</v>
          </cell>
          <cell r="AG1508">
            <v>0</v>
          </cell>
        </row>
        <row r="1509">
          <cell r="AD1509" t="str"/>
          <cell r="AE1509" t="str"/>
          <cell r="AF1509">
            <v>0</v>
          </cell>
          <cell r="AG1509">
            <v>0</v>
          </cell>
        </row>
        <row r="1510">
          <cell r="AD1510" t="str"/>
          <cell r="AE1510" t="str"/>
          <cell r="AF1510">
            <v>0</v>
          </cell>
          <cell r="AG1510">
            <v>0</v>
          </cell>
        </row>
        <row r="1511">
          <cell r="AD1511" t="str"/>
          <cell r="AE1511" t="str"/>
          <cell r="AF1511">
            <v>0</v>
          </cell>
          <cell r="AG1511">
            <v>0</v>
          </cell>
        </row>
        <row r="1512">
          <cell r="AD1512" t="str"/>
          <cell r="AE1512" t="str"/>
          <cell r="AF1512">
            <v>0</v>
          </cell>
          <cell r="AG1512">
            <v>0</v>
          </cell>
        </row>
        <row r="1513">
          <cell r="AD1513" t="str"/>
          <cell r="AE1513" t="str"/>
          <cell r="AF1513">
            <v>0</v>
          </cell>
          <cell r="AG1513">
            <v>0</v>
          </cell>
        </row>
        <row r="1514">
          <cell r="AD1514" t="str"/>
          <cell r="AE1514" t="str"/>
          <cell r="AF1514">
            <v>0</v>
          </cell>
          <cell r="AG1514">
            <v>0</v>
          </cell>
        </row>
        <row r="1515">
          <cell r="AD1515" t="str"/>
          <cell r="AE1515" t="str"/>
          <cell r="AF1515">
            <v>0</v>
          </cell>
          <cell r="AG1515">
            <v>0</v>
          </cell>
        </row>
        <row r="1516">
          <cell r="AD1516" t="str"/>
          <cell r="AE1516" t="str"/>
          <cell r="AF1516">
            <v>0</v>
          </cell>
          <cell r="AG1516">
            <v>0</v>
          </cell>
        </row>
        <row r="1517">
          <cell r="AD1517" t="str"/>
          <cell r="AE1517" t="str"/>
          <cell r="AF1517">
            <v>0</v>
          </cell>
          <cell r="AG1517">
            <v>0</v>
          </cell>
        </row>
        <row r="1518">
          <cell r="AD1518" t="str"/>
          <cell r="AE1518" t="str"/>
          <cell r="AF1518">
            <v>0</v>
          </cell>
          <cell r="AG1518">
            <v>0</v>
          </cell>
        </row>
        <row r="1519">
          <cell r="AD1519" t="str"/>
          <cell r="AE1519" t="str"/>
          <cell r="AF1519">
            <v>0</v>
          </cell>
          <cell r="AG1519">
            <v>0</v>
          </cell>
        </row>
        <row r="1520">
          <cell r="AD1520" t="str"/>
          <cell r="AE1520" t="str"/>
          <cell r="AF1520">
            <v>0</v>
          </cell>
          <cell r="AG1520">
            <v>0</v>
          </cell>
        </row>
        <row r="1521">
          <cell r="AD1521" t="str"/>
          <cell r="AE1521" t="str"/>
          <cell r="AF1521">
            <v>0</v>
          </cell>
          <cell r="AG1521">
            <v>0</v>
          </cell>
        </row>
        <row r="1522">
          <cell r="AD1522" t="str"/>
          <cell r="AE1522" t="str"/>
          <cell r="AF1522">
            <v>0</v>
          </cell>
          <cell r="AG1522">
            <v>0</v>
          </cell>
        </row>
        <row r="1523">
          <cell r="AD1523" t="str"/>
          <cell r="AE1523" t="str"/>
          <cell r="AF1523">
            <v>0</v>
          </cell>
          <cell r="AG1523">
            <v>0</v>
          </cell>
        </row>
        <row r="1524">
          <cell r="AD1524" t="str"/>
          <cell r="AE1524" t="str"/>
          <cell r="AF1524">
            <v>0</v>
          </cell>
          <cell r="AG1524">
            <v>0</v>
          </cell>
        </row>
        <row r="1525">
          <cell r="AD1525" t="str"/>
          <cell r="AE1525" t="str"/>
          <cell r="AF1525">
            <v>0</v>
          </cell>
          <cell r="AG1525">
            <v>0</v>
          </cell>
        </row>
        <row r="1526">
          <cell r="AD1526" t="str"/>
          <cell r="AE1526" t="str"/>
          <cell r="AF1526">
            <v>0</v>
          </cell>
          <cell r="AG1526">
            <v>0</v>
          </cell>
        </row>
        <row r="1527">
          <cell r="AD1527" t="str"/>
          <cell r="AE1527" t="str"/>
          <cell r="AF1527">
            <v>0</v>
          </cell>
          <cell r="AG1527">
            <v>0</v>
          </cell>
        </row>
        <row r="1528">
          <cell r="AD1528" t="str"/>
          <cell r="AE1528" t="str"/>
          <cell r="AF1528">
            <v>0</v>
          </cell>
          <cell r="AG1528">
            <v>0</v>
          </cell>
        </row>
        <row r="1529">
          <cell r="AD1529" t="str"/>
          <cell r="AE1529" t="str"/>
          <cell r="AF1529">
            <v>0</v>
          </cell>
          <cell r="AG1529">
            <v>0</v>
          </cell>
        </row>
        <row r="1530">
          <cell r="AD1530" t="str"/>
          <cell r="AE1530" t="str"/>
          <cell r="AF1530">
            <v>0</v>
          </cell>
          <cell r="AG1530">
            <v>0</v>
          </cell>
        </row>
        <row r="1531">
          <cell r="AD1531" t="str"/>
          <cell r="AE1531" t="str"/>
          <cell r="AF1531">
            <v>0</v>
          </cell>
          <cell r="AG1531">
            <v>0</v>
          </cell>
        </row>
        <row r="1532">
          <cell r="AD1532" t="str"/>
          <cell r="AE1532" t="str"/>
          <cell r="AF1532">
            <v>0</v>
          </cell>
          <cell r="AG1532">
            <v>0</v>
          </cell>
        </row>
        <row r="1533">
          <cell r="AD1533" t="str"/>
          <cell r="AE1533" t="str"/>
          <cell r="AF1533">
            <v>0</v>
          </cell>
          <cell r="AG1533">
            <v>0</v>
          </cell>
        </row>
        <row r="1534">
          <cell r="AD1534" t="str"/>
          <cell r="AE1534" t="str"/>
          <cell r="AF1534">
            <v>0</v>
          </cell>
          <cell r="AG1534">
            <v>0</v>
          </cell>
        </row>
        <row r="1535">
          <cell r="AD1535" t="str"/>
          <cell r="AE1535" t="str"/>
          <cell r="AF1535">
            <v>0</v>
          </cell>
          <cell r="AG1535">
            <v>0</v>
          </cell>
        </row>
        <row r="1536">
          <cell r="AD1536" t="str"/>
          <cell r="AE1536" t="str"/>
          <cell r="AF1536">
            <v>0</v>
          </cell>
          <cell r="AG1536">
            <v>0</v>
          </cell>
        </row>
        <row r="1537">
          <cell r="AD1537" t="str"/>
          <cell r="AE1537" t="str"/>
          <cell r="AF1537">
            <v>0</v>
          </cell>
          <cell r="AG1537">
            <v>0</v>
          </cell>
        </row>
        <row r="1538">
          <cell r="AD1538" t="str"/>
          <cell r="AE1538" t="str"/>
          <cell r="AF1538">
            <v>0</v>
          </cell>
          <cell r="AG1538">
            <v>0</v>
          </cell>
        </row>
        <row r="1539">
          <cell r="AD1539" t="str"/>
          <cell r="AE1539" t="str"/>
          <cell r="AF1539">
            <v>0</v>
          </cell>
          <cell r="AG1539">
            <v>0</v>
          </cell>
        </row>
        <row r="1540">
          <cell r="AD1540" t="str"/>
          <cell r="AE1540" t="str"/>
          <cell r="AF1540">
            <v>0</v>
          </cell>
          <cell r="AG1540">
            <v>0</v>
          </cell>
        </row>
        <row r="1541">
          <cell r="AD1541" t="str"/>
          <cell r="AE1541" t="str"/>
          <cell r="AF1541">
            <v>0</v>
          </cell>
          <cell r="AG1541">
            <v>0</v>
          </cell>
        </row>
        <row r="1542">
          <cell r="AD1542" t="str"/>
          <cell r="AE1542" t="str"/>
          <cell r="AF1542">
            <v>0</v>
          </cell>
          <cell r="AG1542">
            <v>0</v>
          </cell>
        </row>
        <row r="1543">
          <cell r="AD1543" t="str"/>
          <cell r="AE1543" t="str"/>
          <cell r="AF1543">
            <v>0</v>
          </cell>
          <cell r="AG1543">
            <v>0</v>
          </cell>
        </row>
        <row r="1544">
          <cell r="AD1544" t="str"/>
          <cell r="AE1544" t="str"/>
          <cell r="AF1544">
            <v>0</v>
          </cell>
          <cell r="AG1544">
            <v>0</v>
          </cell>
        </row>
        <row r="1545">
          <cell r="AD1545" t="str"/>
          <cell r="AE1545" t="str"/>
          <cell r="AF1545">
            <v>0</v>
          </cell>
          <cell r="AG1545">
            <v>0</v>
          </cell>
        </row>
        <row r="1546">
          <cell r="AD1546" t="str"/>
          <cell r="AE1546" t="str"/>
          <cell r="AF1546">
            <v>0</v>
          </cell>
          <cell r="AG1546">
            <v>0</v>
          </cell>
        </row>
        <row r="1547">
          <cell r="AD1547" t="str"/>
          <cell r="AE1547" t="str"/>
          <cell r="AF1547">
            <v>0</v>
          </cell>
          <cell r="AG1547">
            <v>0</v>
          </cell>
        </row>
        <row r="1548">
          <cell r="AD1548" t="str"/>
          <cell r="AE1548" t="str"/>
          <cell r="AF1548">
            <v>0</v>
          </cell>
          <cell r="AG1548">
            <v>0</v>
          </cell>
        </row>
        <row r="1549">
          <cell r="AD1549" t="str"/>
          <cell r="AE1549" t="str"/>
          <cell r="AF1549">
            <v>0</v>
          </cell>
          <cell r="AG1549">
            <v>0</v>
          </cell>
        </row>
        <row r="1550">
          <cell r="AD1550" t="str"/>
          <cell r="AE1550" t="str"/>
          <cell r="AF1550">
            <v>0</v>
          </cell>
          <cell r="AG1550">
            <v>0</v>
          </cell>
        </row>
        <row r="1551">
          <cell r="AD1551" t="str"/>
          <cell r="AE1551" t="str"/>
          <cell r="AF1551">
            <v>0</v>
          </cell>
          <cell r="AG1551">
            <v>0</v>
          </cell>
        </row>
        <row r="1552">
          <cell r="AD1552" t="str"/>
          <cell r="AE1552" t="str"/>
          <cell r="AF1552">
            <v>0</v>
          </cell>
          <cell r="AG1552">
            <v>0</v>
          </cell>
        </row>
        <row r="1553">
          <cell r="AD1553" t="str"/>
          <cell r="AE1553" t="str"/>
          <cell r="AF1553">
            <v>0</v>
          </cell>
          <cell r="AG1553">
            <v>0</v>
          </cell>
        </row>
        <row r="1554">
          <cell r="AD1554" t="str"/>
          <cell r="AE1554" t="str"/>
          <cell r="AF1554">
            <v>0</v>
          </cell>
          <cell r="AG1554">
            <v>0</v>
          </cell>
        </row>
        <row r="1555">
          <cell r="AD1555" t="str"/>
          <cell r="AE1555" t="str"/>
          <cell r="AF1555">
            <v>0</v>
          </cell>
          <cell r="AG1555">
            <v>0</v>
          </cell>
        </row>
        <row r="1556">
          <cell r="AD1556" t="str"/>
          <cell r="AE1556" t="str"/>
          <cell r="AF1556">
            <v>0</v>
          </cell>
          <cell r="AG1556">
            <v>0</v>
          </cell>
        </row>
        <row r="1557">
          <cell r="AD1557" t="str"/>
          <cell r="AE1557" t="str"/>
          <cell r="AF1557">
            <v>0</v>
          </cell>
          <cell r="AG1557">
            <v>0</v>
          </cell>
        </row>
        <row r="1558">
          <cell r="AD1558" t="str"/>
          <cell r="AE1558" t="str"/>
          <cell r="AF1558">
            <v>0</v>
          </cell>
          <cell r="AG1558">
            <v>0</v>
          </cell>
        </row>
        <row r="1559">
          <cell r="AD1559" t="str"/>
          <cell r="AE1559" t="str"/>
          <cell r="AF1559">
            <v>0</v>
          </cell>
          <cell r="AG1559">
            <v>0</v>
          </cell>
        </row>
        <row r="1560">
          <cell r="AD1560" t="str"/>
          <cell r="AE1560" t="str"/>
          <cell r="AF1560">
            <v>0</v>
          </cell>
          <cell r="AG1560">
            <v>0</v>
          </cell>
        </row>
        <row r="1561">
          <cell r="AD1561" t="str"/>
          <cell r="AE1561" t="str"/>
          <cell r="AF1561">
            <v>0</v>
          </cell>
          <cell r="AG1561">
            <v>0</v>
          </cell>
        </row>
        <row r="1562">
          <cell r="AD1562" t="str"/>
          <cell r="AE1562" t="str"/>
          <cell r="AF1562">
            <v>0</v>
          </cell>
          <cell r="AG1562">
            <v>0</v>
          </cell>
        </row>
        <row r="1563">
          <cell r="AD1563" t="str"/>
          <cell r="AE1563" t="str"/>
          <cell r="AF1563">
            <v>0</v>
          </cell>
          <cell r="AG1563">
            <v>0</v>
          </cell>
        </row>
        <row r="1564">
          <cell r="AD1564" t="str"/>
          <cell r="AE1564" t="str"/>
          <cell r="AF1564">
            <v>0</v>
          </cell>
          <cell r="AG1564">
            <v>0</v>
          </cell>
        </row>
        <row r="1565">
          <cell r="AD1565" t="str"/>
          <cell r="AE1565" t="str"/>
          <cell r="AF1565">
            <v>0</v>
          </cell>
          <cell r="AG1565">
            <v>0</v>
          </cell>
        </row>
        <row r="1566">
          <cell r="AD1566" t="str"/>
          <cell r="AE1566" t="str"/>
          <cell r="AF1566">
            <v>0</v>
          </cell>
          <cell r="AG1566">
            <v>0</v>
          </cell>
        </row>
        <row r="1567">
          <cell r="AD1567" t="str"/>
          <cell r="AE1567" t="str"/>
          <cell r="AF1567">
            <v>0</v>
          </cell>
          <cell r="AG1567">
            <v>0</v>
          </cell>
        </row>
        <row r="1568">
          <cell r="AD1568" t="str"/>
          <cell r="AE1568" t="str"/>
          <cell r="AF1568">
            <v>0</v>
          </cell>
          <cell r="AG1568">
            <v>0</v>
          </cell>
        </row>
        <row r="1569">
          <cell r="AD1569" t="str"/>
          <cell r="AE1569" t="str"/>
          <cell r="AF1569">
            <v>0</v>
          </cell>
          <cell r="AG1569">
            <v>0</v>
          </cell>
        </row>
        <row r="1570">
          <cell r="AD1570" t="str"/>
          <cell r="AE1570" t="str"/>
          <cell r="AF1570">
            <v>0</v>
          </cell>
          <cell r="AG1570">
            <v>0</v>
          </cell>
        </row>
        <row r="1571">
          <cell r="AD1571" t="str"/>
          <cell r="AE1571" t="str"/>
          <cell r="AF1571">
            <v>0</v>
          </cell>
          <cell r="AG1571">
            <v>0</v>
          </cell>
        </row>
        <row r="1572">
          <cell r="AD1572" t="str"/>
          <cell r="AE1572" t="str"/>
          <cell r="AF1572">
            <v>0</v>
          </cell>
          <cell r="AG1572">
            <v>0</v>
          </cell>
        </row>
        <row r="1573">
          <cell r="AD1573" t="str"/>
          <cell r="AE1573" t="str"/>
          <cell r="AF1573">
            <v>0</v>
          </cell>
          <cell r="AG1573">
            <v>0</v>
          </cell>
        </row>
        <row r="1574">
          <cell r="AD1574" t="str"/>
          <cell r="AE1574" t="str"/>
          <cell r="AF1574">
            <v>0</v>
          </cell>
          <cell r="AG1574">
            <v>0</v>
          </cell>
        </row>
        <row r="1575">
          <cell r="AD1575" t="str"/>
          <cell r="AE1575" t="str"/>
          <cell r="AF1575">
            <v>0</v>
          </cell>
          <cell r="AG1575">
            <v>0</v>
          </cell>
        </row>
        <row r="1576">
          <cell r="AD1576" t="str"/>
          <cell r="AE1576" t="str"/>
          <cell r="AF1576">
            <v>0</v>
          </cell>
          <cell r="AG1576">
            <v>0</v>
          </cell>
        </row>
        <row r="1577">
          <cell r="AD1577" t="str"/>
          <cell r="AE1577" t="str"/>
          <cell r="AF1577">
            <v>0</v>
          </cell>
          <cell r="AG1577">
            <v>0</v>
          </cell>
        </row>
        <row r="1578">
          <cell r="AD1578" t="str"/>
          <cell r="AE1578" t="str"/>
          <cell r="AF1578">
            <v>0</v>
          </cell>
          <cell r="AG1578">
            <v>0</v>
          </cell>
        </row>
        <row r="1579">
          <cell r="AD1579" t="str"/>
          <cell r="AE1579" t="str"/>
          <cell r="AF1579">
            <v>0</v>
          </cell>
          <cell r="AG1579">
            <v>0</v>
          </cell>
        </row>
        <row r="1580">
          <cell r="AD1580" t="str"/>
          <cell r="AE1580" t="str"/>
          <cell r="AF1580">
            <v>0</v>
          </cell>
          <cell r="AG1580">
            <v>0</v>
          </cell>
        </row>
        <row r="1581">
          <cell r="AD1581" t="str"/>
          <cell r="AE1581" t="str"/>
          <cell r="AF1581">
            <v>0</v>
          </cell>
          <cell r="AG1581">
            <v>0</v>
          </cell>
        </row>
        <row r="1582">
          <cell r="AD1582" t="str"/>
          <cell r="AE1582" t="str"/>
          <cell r="AF1582">
            <v>0</v>
          </cell>
          <cell r="AG1582">
            <v>0</v>
          </cell>
        </row>
        <row r="1583">
          <cell r="AD1583" t="str"/>
          <cell r="AE1583" t="str"/>
          <cell r="AF1583">
            <v>0</v>
          </cell>
          <cell r="AG1583">
            <v>0</v>
          </cell>
        </row>
        <row r="1584">
          <cell r="AD1584" t="str"/>
          <cell r="AE1584" t="str"/>
          <cell r="AF1584">
            <v>0</v>
          </cell>
          <cell r="AG1584">
            <v>0</v>
          </cell>
        </row>
        <row r="1585">
          <cell r="AD1585" t="str"/>
          <cell r="AE1585" t="str"/>
          <cell r="AF1585">
            <v>0</v>
          </cell>
          <cell r="AG1585">
            <v>0</v>
          </cell>
        </row>
        <row r="1586">
          <cell r="AD1586" t="str"/>
          <cell r="AE1586" t="str"/>
          <cell r="AF1586">
            <v>0</v>
          </cell>
          <cell r="AG1586">
            <v>0</v>
          </cell>
        </row>
        <row r="1587">
          <cell r="AD1587" t="str"/>
          <cell r="AE1587" t="str"/>
          <cell r="AF1587">
            <v>0</v>
          </cell>
          <cell r="AG1587">
            <v>0</v>
          </cell>
        </row>
        <row r="1588">
          <cell r="AD1588" t="str"/>
          <cell r="AE1588" t="str"/>
          <cell r="AF1588">
            <v>0</v>
          </cell>
          <cell r="AG1588">
            <v>0</v>
          </cell>
        </row>
        <row r="1589">
          <cell r="AD1589" t="str"/>
          <cell r="AE1589" t="str"/>
          <cell r="AF1589">
            <v>0</v>
          </cell>
          <cell r="AG1589">
            <v>0</v>
          </cell>
        </row>
        <row r="1590">
          <cell r="AD1590" t="str"/>
          <cell r="AE1590" t="str"/>
          <cell r="AF1590">
            <v>0</v>
          </cell>
          <cell r="AG1590">
            <v>0</v>
          </cell>
        </row>
        <row r="1591">
          <cell r="AD1591" t="str"/>
          <cell r="AE1591" t="str"/>
          <cell r="AF1591">
            <v>0</v>
          </cell>
          <cell r="AG1591">
            <v>0</v>
          </cell>
        </row>
        <row r="1592">
          <cell r="AD1592" t="str"/>
          <cell r="AE1592" t="str"/>
          <cell r="AF1592">
            <v>0</v>
          </cell>
          <cell r="AG1592">
            <v>0</v>
          </cell>
        </row>
        <row r="1593">
          <cell r="AD1593" t="str"/>
          <cell r="AE1593" t="str"/>
          <cell r="AF1593">
            <v>0</v>
          </cell>
          <cell r="AG1593">
            <v>0</v>
          </cell>
        </row>
        <row r="1594">
          <cell r="AD1594" t="str"/>
          <cell r="AE1594" t="str"/>
          <cell r="AF1594">
            <v>0</v>
          </cell>
          <cell r="AG1594">
            <v>0</v>
          </cell>
        </row>
        <row r="1595">
          <cell r="AD1595" t="str"/>
          <cell r="AE1595" t="str"/>
          <cell r="AF1595">
            <v>0</v>
          </cell>
          <cell r="AG1595">
            <v>0</v>
          </cell>
        </row>
        <row r="1596">
          <cell r="AD1596" t="str"/>
          <cell r="AE1596" t="str"/>
          <cell r="AF1596">
            <v>0</v>
          </cell>
          <cell r="AG1596">
            <v>0</v>
          </cell>
        </row>
        <row r="1597">
          <cell r="AD1597" t="str"/>
          <cell r="AE1597" t="str"/>
          <cell r="AF1597">
            <v>0</v>
          </cell>
          <cell r="AG1597">
            <v>0</v>
          </cell>
        </row>
        <row r="1598">
          <cell r="AD1598" t="str"/>
          <cell r="AE1598" t="str"/>
          <cell r="AF1598">
            <v>0</v>
          </cell>
          <cell r="AG1598">
            <v>0</v>
          </cell>
        </row>
        <row r="1599">
          <cell r="AD1599" t="str"/>
          <cell r="AE1599" t="str"/>
          <cell r="AF1599">
            <v>0</v>
          </cell>
          <cell r="AG1599">
            <v>0</v>
          </cell>
        </row>
        <row r="1600">
          <cell r="AD1600" t="str"/>
          <cell r="AE1600" t="str"/>
          <cell r="AF1600">
            <v>0</v>
          </cell>
          <cell r="AG1600">
            <v>0</v>
          </cell>
        </row>
        <row r="1601">
          <cell r="AD1601" t="str"/>
          <cell r="AE1601" t="str"/>
          <cell r="AF1601">
            <v>0</v>
          </cell>
          <cell r="AG1601">
            <v>0</v>
          </cell>
        </row>
        <row r="1602">
          <cell r="AD1602" t="str"/>
          <cell r="AE1602" t="str"/>
          <cell r="AF1602">
            <v>0</v>
          </cell>
          <cell r="AG1602">
            <v>0</v>
          </cell>
        </row>
        <row r="1603">
          <cell r="AD1603" t="str"/>
          <cell r="AE1603" t="str"/>
          <cell r="AF1603">
            <v>0</v>
          </cell>
          <cell r="AG1603">
            <v>0</v>
          </cell>
        </row>
        <row r="1604">
          <cell r="AD1604" t="str"/>
          <cell r="AE1604" t="str"/>
          <cell r="AF1604">
            <v>0</v>
          </cell>
          <cell r="AG1604">
            <v>0</v>
          </cell>
        </row>
        <row r="1605">
          <cell r="AD1605" t="str"/>
          <cell r="AE1605" t="str"/>
          <cell r="AF1605">
            <v>0</v>
          </cell>
          <cell r="AG1605">
            <v>0</v>
          </cell>
        </row>
        <row r="1606">
          <cell r="AD1606" t="str"/>
          <cell r="AE1606" t="str"/>
          <cell r="AF1606">
            <v>0</v>
          </cell>
          <cell r="AG1606">
            <v>0</v>
          </cell>
        </row>
        <row r="1607">
          <cell r="AD1607" t="str"/>
          <cell r="AE1607" t="str"/>
          <cell r="AF1607">
            <v>0</v>
          </cell>
          <cell r="AG1607">
            <v>0</v>
          </cell>
        </row>
        <row r="1608">
          <cell r="AD1608" t="str"/>
          <cell r="AE1608" t="str"/>
          <cell r="AF1608">
            <v>0</v>
          </cell>
          <cell r="AG1608">
            <v>0</v>
          </cell>
        </row>
        <row r="1609">
          <cell r="AD1609" t="str"/>
          <cell r="AE1609" t="str"/>
          <cell r="AF1609">
            <v>0</v>
          </cell>
          <cell r="AG1609">
            <v>0</v>
          </cell>
        </row>
        <row r="1610">
          <cell r="AD1610" t="str"/>
          <cell r="AE1610" t="str"/>
          <cell r="AF1610">
            <v>0</v>
          </cell>
          <cell r="AG1610">
            <v>0</v>
          </cell>
        </row>
        <row r="1611">
          <cell r="AD1611" t="str"/>
          <cell r="AE1611" t="str"/>
          <cell r="AF1611">
            <v>0</v>
          </cell>
          <cell r="AG1611">
            <v>0</v>
          </cell>
        </row>
        <row r="1612">
          <cell r="AD1612" t="str"/>
          <cell r="AE1612" t="str"/>
          <cell r="AF1612">
            <v>0</v>
          </cell>
          <cell r="AG1612">
            <v>0</v>
          </cell>
        </row>
        <row r="1613">
          <cell r="AD1613" t="str"/>
          <cell r="AE1613" t="str"/>
          <cell r="AF1613">
            <v>0</v>
          </cell>
          <cell r="AG1613">
            <v>0</v>
          </cell>
        </row>
        <row r="1614">
          <cell r="AD1614" t="str"/>
          <cell r="AE1614" t="str"/>
          <cell r="AF1614">
            <v>0</v>
          </cell>
          <cell r="AG1614">
            <v>0</v>
          </cell>
        </row>
        <row r="1615">
          <cell r="AD1615" t="str"/>
          <cell r="AE1615" t="str"/>
          <cell r="AF1615">
            <v>0</v>
          </cell>
          <cell r="AG1615">
            <v>0</v>
          </cell>
        </row>
        <row r="1616">
          <cell r="AD1616" t="str"/>
          <cell r="AE1616" t="str"/>
          <cell r="AF1616">
            <v>0</v>
          </cell>
          <cell r="AG1616">
            <v>0</v>
          </cell>
        </row>
        <row r="1617">
          <cell r="AD1617" t="str"/>
          <cell r="AE1617" t="str"/>
          <cell r="AF1617">
            <v>0</v>
          </cell>
          <cell r="AG1617">
            <v>0</v>
          </cell>
        </row>
        <row r="1618">
          <cell r="AD1618" t="str"/>
          <cell r="AE1618" t="str"/>
          <cell r="AF1618">
            <v>0</v>
          </cell>
          <cell r="AG1618">
            <v>0</v>
          </cell>
        </row>
        <row r="1619">
          <cell r="AD1619" t="str"/>
          <cell r="AE1619" t="str"/>
          <cell r="AF1619">
            <v>0</v>
          </cell>
          <cell r="AG1619">
            <v>0</v>
          </cell>
        </row>
        <row r="1620">
          <cell r="AD1620" t="str"/>
          <cell r="AE1620" t="str"/>
          <cell r="AF1620">
            <v>0</v>
          </cell>
          <cell r="AG1620">
            <v>0</v>
          </cell>
        </row>
        <row r="1621">
          <cell r="AD1621" t="str"/>
          <cell r="AE1621" t="str"/>
          <cell r="AF1621">
            <v>0</v>
          </cell>
          <cell r="AG1621">
            <v>0</v>
          </cell>
        </row>
        <row r="1622">
          <cell r="AD1622" t="str"/>
          <cell r="AE1622" t="str"/>
          <cell r="AF1622">
            <v>0</v>
          </cell>
          <cell r="AG1622">
            <v>0</v>
          </cell>
        </row>
        <row r="1623">
          <cell r="AD1623" t="str"/>
          <cell r="AE1623" t="str"/>
          <cell r="AF1623">
            <v>0</v>
          </cell>
          <cell r="AG1623">
            <v>0</v>
          </cell>
        </row>
        <row r="1624">
          <cell r="AD1624" t="str"/>
          <cell r="AE1624" t="str"/>
          <cell r="AF1624">
            <v>0</v>
          </cell>
          <cell r="AG1624">
            <v>0</v>
          </cell>
        </row>
        <row r="1625">
          <cell r="AD1625" t="str"/>
          <cell r="AE1625" t="str"/>
          <cell r="AF1625">
            <v>0</v>
          </cell>
          <cell r="AG1625">
            <v>0</v>
          </cell>
        </row>
        <row r="1626">
          <cell r="AD1626" t="str"/>
          <cell r="AE1626" t="str"/>
          <cell r="AF1626">
            <v>0</v>
          </cell>
          <cell r="AG1626">
            <v>0</v>
          </cell>
        </row>
        <row r="1627">
          <cell r="AD1627" t="str"/>
          <cell r="AE1627" t="str"/>
          <cell r="AF1627">
            <v>0</v>
          </cell>
          <cell r="AG1627">
            <v>0</v>
          </cell>
        </row>
        <row r="1628">
          <cell r="AD1628" t="str"/>
          <cell r="AE1628" t="str"/>
          <cell r="AF1628">
            <v>0</v>
          </cell>
          <cell r="AG1628">
            <v>0</v>
          </cell>
        </row>
        <row r="1629">
          <cell r="AD1629" t="str"/>
          <cell r="AE1629" t="str"/>
          <cell r="AF1629">
            <v>0</v>
          </cell>
          <cell r="AG1629">
            <v>0</v>
          </cell>
        </row>
        <row r="1630">
          <cell r="AD1630" t="str"/>
          <cell r="AE1630" t="str"/>
          <cell r="AF1630">
            <v>0</v>
          </cell>
          <cell r="AG1630">
            <v>0</v>
          </cell>
        </row>
        <row r="1631">
          <cell r="AD1631" t="str"/>
          <cell r="AE1631" t="str"/>
          <cell r="AF1631">
            <v>0</v>
          </cell>
          <cell r="AG1631">
            <v>0</v>
          </cell>
        </row>
        <row r="1632">
          <cell r="AD1632" t="str"/>
          <cell r="AE1632" t="str"/>
          <cell r="AF1632">
            <v>0</v>
          </cell>
          <cell r="AG1632">
            <v>0</v>
          </cell>
        </row>
        <row r="1633">
          <cell r="AD1633" t="str"/>
          <cell r="AE1633" t="str"/>
          <cell r="AF1633">
            <v>0</v>
          </cell>
          <cell r="AG1633">
            <v>0</v>
          </cell>
        </row>
        <row r="1634">
          <cell r="AD1634" t="str"/>
          <cell r="AE1634" t="str"/>
          <cell r="AF1634">
            <v>0</v>
          </cell>
          <cell r="AG1634">
            <v>0</v>
          </cell>
        </row>
        <row r="1635">
          <cell r="AD1635" t="str"/>
          <cell r="AE1635" t="str"/>
          <cell r="AF1635">
            <v>0</v>
          </cell>
          <cell r="AG1635">
            <v>0</v>
          </cell>
        </row>
        <row r="1636">
          <cell r="AD1636" t="str"/>
          <cell r="AE1636" t="str"/>
          <cell r="AF1636">
            <v>0</v>
          </cell>
          <cell r="AG1636">
            <v>0</v>
          </cell>
        </row>
        <row r="1637">
          <cell r="AD1637" t="str"/>
          <cell r="AE1637" t="str"/>
          <cell r="AF1637">
            <v>0</v>
          </cell>
          <cell r="AG1637">
            <v>0</v>
          </cell>
        </row>
        <row r="1638">
          <cell r="AD1638" t="str"/>
          <cell r="AE1638" t="str"/>
          <cell r="AF1638">
            <v>0</v>
          </cell>
          <cell r="AG1638">
            <v>0</v>
          </cell>
        </row>
        <row r="1639">
          <cell r="AD1639" t="str"/>
          <cell r="AE1639" t="str"/>
          <cell r="AF1639">
            <v>0</v>
          </cell>
          <cell r="AG1639">
            <v>0</v>
          </cell>
        </row>
        <row r="1640">
          <cell r="AD1640" t="str"/>
          <cell r="AE1640" t="str"/>
          <cell r="AF1640">
            <v>0</v>
          </cell>
          <cell r="AG1640">
            <v>0</v>
          </cell>
        </row>
        <row r="1641">
          <cell r="AD1641" t="str"/>
          <cell r="AE1641" t="str"/>
          <cell r="AF1641">
            <v>0</v>
          </cell>
          <cell r="AG1641">
            <v>0</v>
          </cell>
        </row>
        <row r="1642">
          <cell r="AD1642" t="str"/>
          <cell r="AE1642" t="str"/>
          <cell r="AF1642">
            <v>0</v>
          </cell>
          <cell r="AG1642">
            <v>0</v>
          </cell>
        </row>
        <row r="1643">
          <cell r="AD1643" t="str"/>
          <cell r="AE1643" t="str"/>
          <cell r="AF1643">
            <v>0</v>
          </cell>
          <cell r="AG1643">
            <v>0</v>
          </cell>
        </row>
        <row r="1644">
          <cell r="AD1644" t="str"/>
          <cell r="AE1644" t="str"/>
          <cell r="AF1644">
            <v>0</v>
          </cell>
          <cell r="AG1644">
            <v>0</v>
          </cell>
        </row>
        <row r="1645">
          <cell r="AD1645" t="str"/>
          <cell r="AE1645" t="str"/>
          <cell r="AF1645">
            <v>0</v>
          </cell>
          <cell r="AG1645">
            <v>0</v>
          </cell>
        </row>
        <row r="1646">
          <cell r="AD1646" t="str"/>
          <cell r="AE1646" t="str"/>
          <cell r="AF1646">
            <v>0</v>
          </cell>
          <cell r="AG1646">
            <v>0</v>
          </cell>
        </row>
        <row r="1647">
          <cell r="AD1647" t="str"/>
          <cell r="AE1647" t="str"/>
          <cell r="AF1647">
            <v>0</v>
          </cell>
          <cell r="AG1647">
            <v>0</v>
          </cell>
        </row>
        <row r="1648">
          <cell r="AD1648" t="str"/>
          <cell r="AE1648" t="str"/>
          <cell r="AF1648">
            <v>0</v>
          </cell>
          <cell r="AG1648">
            <v>0</v>
          </cell>
        </row>
        <row r="1649">
          <cell r="AD1649" t="str"/>
          <cell r="AE1649" t="str"/>
          <cell r="AF1649">
            <v>0</v>
          </cell>
          <cell r="AG1649">
            <v>0</v>
          </cell>
        </row>
        <row r="1650">
          <cell r="AD1650" t="str"/>
          <cell r="AE1650" t="str"/>
          <cell r="AF1650">
            <v>0</v>
          </cell>
          <cell r="AG1650">
            <v>0</v>
          </cell>
        </row>
        <row r="1651">
          <cell r="AD1651" t="str"/>
          <cell r="AE1651" t="str"/>
          <cell r="AF1651">
            <v>0</v>
          </cell>
          <cell r="AG1651">
            <v>0</v>
          </cell>
        </row>
        <row r="1652">
          <cell r="AD1652" t="str"/>
          <cell r="AE1652" t="str"/>
          <cell r="AF1652">
            <v>0</v>
          </cell>
          <cell r="AG1652">
            <v>0</v>
          </cell>
        </row>
        <row r="1653">
          <cell r="AD1653" t="str"/>
          <cell r="AE1653" t="str"/>
          <cell r="AF1653">
            <v>0</v>
          </cell>
          <cell r="AG1653">
            <v>0</v>
          </cell>
        </row>
        <row r="1654">
          <cell r="AD1654" t="str"/>
          <cell r="AE1654" t="str"/>
          <cell r="AF1654">
            <v>0</v>
          </cell>
          <cell r="AG1654">
            <v>0</v>
          </cell>
        </row>
        <row r="1655">
          <cell r="AD1655" t="str"/>
          <cell r="AE1655" t="str"/>
          <cell r="AF1655">
            <v>0</v>
          </cell>
          <cell r="AG1655">
            <v>0</v>
          </cell>
        </row>
        <row r="1656">
          <cell r="AD1656" t="str"/>
          <cell r="AE1656" t="str"/>
          <cell r="AF1656">
            <v>0</v>
          </cell>
          <cell r="AG1656">
            <v>0</v>
          </cell>
        </row>
        <row r="1657">
          <cell r="AD1657" t="str"/>
          <cell r="AE1657" t="str"/>
          <cell r="AF1657">
            <v>0</v>
          </cell>
          <cell r="AG1657">
            <v>0</v>
          </cell>
        </row>
        <row r="1658">
          <cell r="AD1658" t="str"/>
          <cell r="AE1658" t="str"/>
          <cell r="AF1658">
            <v>0</v>
          </cell>
          <cell r="AG1658">
            <v>0</v>
          </cell>
        </row>
        <row r="1659">
          <cell r="AD1659" t="str"/>
          <cell r="AE1659" t="str"/>
          <cell r="AF1659">
            <v>0</v>
          </cell>
          <cell r="AG1659">
            <v>0</v>
          </cell>
        </row>
        <row r="1660">
          <cell r="AD1660" t="str"/>
          <cell r="AE1660" t="str"/>
          <cell r="AF1660">
            <v>0</v>
          </cell>
          <cell r="AG1660">
            <v>0</v>
          </cell>
        </row>
        <row r="1661">
          <cell r="AD1661" t="str"/>
          <cell r="AE1661" t="str"/>
          <cell r="AF1661">
            <v>0</v>
          </cell>
          <cell r="AG1661">
            <v>0</v>
          </cell>
        </row>
        <row r="1662">
          <cell r="AD1662" t="str"/>
          <cell r="AE1662" t="str"/>
          <cell r="AF1662">
            <v>0</v>
          </cell>
          <cell r="AG1662">
            <v>0</v>
          </cell>
        </row>
        <row r="1663">
          <cell r="AD1663" t="str"/>
          <cell r="AE1663" t="str"/>
          <cell r="AF1663">
            <v>0</v>
          </cell>
          <cell r="AG1663">
            <v>0</v>
          </cell>
        </row>
        <row r="1664">
          <cell r="AD1664" t="str"/>
          <cell r="AE1664" t="str"/>
          <cell r="AF1664">
            <v>0</v>
          </cell>
          <cell r="AG1664">
            <v>0</v>
          </cell>
        </row>
        <row r="1665">
          <cell r="AD1665" t="str"/>
          <cell r="AE1665" t="str"/>
          <cell r="AF1665">
            <v>0</v>
          </cell>
          <cell r="AG1665">
            <v>0</v>
          </cell>
        </row>
        <row r="1666">
          <cell r="AD1666" t="str"/>
          <cell r="AE1666" t="str"/>
          <cell r="AF1666">
            <v>0</v>
          </cell>
          <cell r="AG1666">
            <v>0</v>
          </cell>
        </row>
        <row r="1667">
          <cell r="AD1667" t="str"/>
          <cell r="AE1667" t="str"/>
          <cell r="AF1667">
            <v>0</v>
          </cell>
          <cell r="AG1667">
            <v>0</v>
          </cell>
        </row>
        <row r="1668">
          <cell r="AD1668" t="str"/>
          <cell r="AE1668" t="str"/>
          <cell r="AF1668">
            <v>0</v>
          </cell>
          <cell r="AG1668">
            <v>0</v>
          </cell>
        </row>
        <row r="1669">
          <cell r="AD1669" t="str"/>
          <cell r="AE1669" t="str"/>
          <cell r="AF1669">
            <v>0</v>
          </cell>
          <cell r="AG1669">
            <v>0</v>
          </cell>
        </row>
        <row r="1670">
          <cell r="AD1670" t="str"/>
          <cell r="AE1670" t="str"/>
          <cell r="AF1670">
            <v>0</v>
          </cell>
          <cell r="AG1670">
            <v>0</v>
          </cell>
        </row>
        <row r="1671">
          <cell r="AD1671" t="str"/>
          <cell r="AE1671" t="str"/>
          <cell r="AF1671">
            <v>0</v>
          </cell>
          <cell r="AG1671">
            <v>0</v>
          </cell>
        </row>
        <row r="1672">
          <cell r="AD1672" t="str"/>
          <cell r="AE1672" t="str"/>
          <cell r="AF1672">
            <v>0</v>
          </cell>
          <cell r="AG1672">
            <v>0</v>
          </cell>
        </row>
        <row r="1673">
          <cell r="AD1673" t="str"/>
          <cell r="AE1673" t="str"/>
          <cell r="AF1673">
            <v>0</v>
          </cell>
          <cell r="AG1673">
            <v>0</v>
          </cell>
        </row>
        <row r="1674">
          <cell r="AD1674" t="str"/>
          <cell r="AE1674" t="str"/>
          <cell r="AF1674">
            <v>0</v>
          </cell>
          <cell r="AG1674">
            <v>0</v>
          </cell>
        </row>
        <row r="1675">
          <cell r="AD1675" t="str"/>
          <cell r="AE1675" t="str"/>
          <cell r="AF1675">
            <v>0</v>
          </cell>
          <cell r="AG1675">
            <v>0</v>
          </cell>
        </row>
        <row r="1676">
          <cell r="AD1676" t="str"/>
          <cell r="AE1676" t="str"/>
          <cell r="AF1676">
            <v>0</v>
          </cell>
          <cell r="AG1676">
            <v>0</v>
          </cell>
        </row>
        <row r="1677">
          <cell r="AD1677" t="str"/>
          <cell r="AE1677" t="str"/>
          <cell r="AF1677">
            <v>0</v>
          </cell>
          <cell r="AG1677">
            <v>0</v>
          </cell>
        </row>
        <row r="1678">
          <cell r="AD1678" t="str"/>
          <cell r="AE1678" t="str"/>
          <cell r="AF1678">
            <v>0</v>
          </cell>
          <cell r="AG1678">
            <v>0</v>
          </cell>
        </row>
        <row r="1679">
          <cell r="AD1679" t="str"/>
          <cell r="AE1679" t="str"/>
          <cell r="AF1679">
            <v>0</v>
          </cell>
          <cell r="AG1679">
            <v>0</v>
          </cell>
        </row>
        <row r="1680">
          <cell r="AD1680" t="str"/>
          <cell r="AE1680" t="str"/>
          <cell r="AF1680">
            <v>0</v>
          </cell>
          <cell r="AG1680">
            <v>0</v>
          </cell>
        </row>
        <row r="1681">
          <cell r="AD1681" t="str"/>
          <cell r="AE1681" t="str"/>
          <cell r="AF1681">
            <v>0</v>
          </cell>
          <cell r="AG1681">
            <v>0</v>
          </cell>
        </row>
        <row r="1682">
          <cell r="AD1682" t="str"/>
          <cell r="AE1682" t="str"/>
          <cell r="AF1682">
            <v>0</v>
          </cell>
          <cell r="AG1682">
            <v>0</v>
          </cell>
        </row>
        <row r="1683">
          <cell r="AD1683" t="str"/>
          <cell r="AE1683" t="str"/>
          <cell r="AF1683">
            <v>0</v>
          </cell>
          <cell r="AG1683">
            <v>0</v>
          </cell>
        </row>
        <row r="1684">
          <cell r="AD1684" t="str"/>
          <cell r="AE1684" t="str"/>
          <cell r="AF1684">
            <v>0</v>
          </cell>
          <cell r="AG1684">
            <v>0</v>
          </cell>
        </row>
        <row r="1685">
          <cell r="AD1685" t="str"/>
          <cell r="AE1685" t="str"/>
          <cell r="AF1685">
            <v>0</v>
          </cell>
          <cell r="AG1685">
            <v>0</v>
          </cell>
        </row>
        <row r="1686">
          <cell r="AD1686" t="str"/>
          <cell r="AE1686" t="str"/>
          <cell r="AF1686">
            <v>0</v>
          </cell>
          <cell r="AG1686">
            <v>0</v>
          </cell>
        </row>
        <row r="1687">
          <cell r="AD1687" t="str"/>
          <cell r="AE1687" t="str"/>
          <cell r="AF1687">
            <v>0</v>
          </cell>
          <cell r="AG1687">
            <v>0</v>
          </cell>
        </row>
        <row r="1688">
          <cell r="AD1688" t="str"/>
          <cell r="AE1688" t="str"/>
          <cell r="AF1688">
            <v>0</v>
          </cell>
          <cell r="AG1688">
            <v>0</v>
          </cell>
        </row>
        <row r="1689">
          <cell r="AD1689" t="str"/>
          <cell r="AE1689" t="str"/>
          <cell r="AF1689">
            <v>0</v>
          </cell>
          <cell r="AG1689">
            <v>0</v>
          </cell>
        </row>
        <row r="1690">
          <cell r="AD1690" t="str"/>
          <cell r="AE1690" t="str"/>
          <cell r="AF1690">
            <v>0</v>
          </cell>
          <cell r="AG1690">
            <v>0</v>
          </cell>
        </row>
        <row r="1691">
          <cell r="AD1691" t="str"/>
          <cell r="AE1691" t="str"/>
          <cell r="AF1691">
            <v>0</v>
          </cell>
          <cell r="AG1691">
            <v>0</v>
          </cell>
        </row>
        <row r="1692">
          <cell r="AD1692" t="str"/>
          <cell r="AE1692" t="str"/>
          <cell r="AF1692">
            <v>0</v>
          </cell>
          <cell r="AG1692">
            <v>0</v>
          </cell>
        </row>
        <row r="1693">
          <cell r="AD1693" t="str"/>
          <cell r="AE1693" t="str"/>
          <cell r="AF1693">
            <v>0</v>
          </cell>
          <cell r="AG1693">
            <v>0</v>
          </cell>
        </row>
        <row r="1694">
          <cell r="AD1694" t="str"/>
          <cell r="AE1694" t="str"/>
          <cell r="AF1694">
            <v>0</v>
          </cell>
          <cell r="AG1694">
            <v>0</v>
          </cell>
        </row>
        <row r="1695">
          <cell r="AD1695" t="str"/>
          <cell r="AE1695" t="str"/>
          <cell r="AF1695">
            <v>0</v>
          </cell>
          <cell r="AG1695">
            <v>0</v>
          </cell>
        </row>
        <row r="1696">
          <cell r="AD1696" t="str"/>
          <cell r="AE1696" t="str"/>
          <cell r="AF1696">
            <v>0</v>
          </cell>
          <cell r="AG1696">
            <v>0</v>
          </cell>
        </row>
        <row r="1697">
          <cell r="AD1697" t="str"/>
          <cell r="AE1697" t="str"/>
          <cell r="AF1697">
            <v>0</v>
          </cell>
          <cell r="AG1697">
            <v>0</v>
          </cell>
        </row>
        <row r="1698">
          <cell r="AD1698" t="str"/>
          <cell r="AE1698" t="str"/>
          <cell r="AF1698">
            <v>0</v>
          </cell>
          <cell r="AG1698">
            <v>0</v>
          </cell>
        </row>
        <row r="1699">
          <cell r="AD1699" t="str"/>
          <cell r="AE1699" t="str"/>
          <cell r="AF1699">
            <v>0</v>
          </cell>
          <cell r="AG1699">
            <v>0</v>
          </cell>
        </row>
        <row r="1700">
          <cell r="AD1700" t="str"/>
          <cell r="AE1700" t="str"/>
          <cell r="AF1700">
            <v>0</v>
          </cell>
          <cell r="AG1700">
            <v>0</v>
          </cell>
        </row>
        <row r="1701">
          <cell r="AD1701" t="str"/>
          <cell r="AE1701" t="str"/>
          <cell r="AF1701">
            <v>0</v>
          </cell>
          <cell r="AG1701">
            <v>0</v>
          </cell>
        </row>
        <row r="1702">
          <cell r="AD1702" t="str"/>
          <cell r="AE1702" t="str"/>
          <cell r="AF1702">
            <v>0</v>
          </cell>
          <cell r="AG1702">
            <v>0</v>
          </cell>
        </row>
        <row r="1703">
          <cell r="AD1703" t="str"/>
          <cell r="AE1703" t="str"/>
          <cell r="AF1703">
            <v>0</v>
          </cell>
          <cell r="AG1703">
            <v>0</v>
          </cell>
        </row>
        <row r="1704">
          <cell r="AD1704" t="str"/>
          <cell r="AE1704" t="str"/>
          <cell r="AF1704">
            <v>0</v>
          </cell>
          <cell r="AG1704">
            <v>0</v>
          </cell>
        </row>
        <row r="1705">
          <cell r="AD1705" t="str"/>
          <cell r="AE1705" t="str"/>
          <cell r="AF1705">
            <v>0</v>
          </cell>
          <cell r="AG1705">
            <v>0</v>
          </cell>
        </row>
        <row r="1706">
          <cell r="AD1706" t="str"/>
          <cell r="AE1706" t="str"/>
          <cell r="AF1706">
            <v>0</v>
          </cell>
          <cell r="AG1706">
            <v>0</v>
          </cell>
        </row>
        <row r="1707">
          <cell r="AD1707" t="str"/>
          <cell r="AE1707" t="str"/>
          <cell r="AF1707">
            <v>0</v>
          </cell>
          <cell r="AG1707">
            <v>0</v>
          </cell>
        </row>
        <row r="1708">
          <cell r="AD1708" t="str"/>
          <cell r="AE1708" t="str"/>
          <cell r="AF1708">
            <v>0</v>
          </cell>
          <cell r="AG1708">
            <v>0</v>
          </cell>
        </row>
        <row r="1709">
          <cell r="AD1709" t="str"/>
          <cell r="AE1709" t="str"/>
          <cell r="AF1709">
            <v>0</v>
          </cell>
          <cell r="AG1709">
            <v>0</v>
          </cell>
        </row>
        <row r="1710">
          <cell r="AD1710" t="str"/>
          <cell r="AE1710" t="str"/>
          <cell r="AF1710">
            <v>0</v>
          </cell>
          <cell r="AG1710">
            <v>0</v>
          </cell>
        </row>
        <row r="1711">
          <cell r="AD1711" t="str"/>
          <cell r="AE1711" t="str"/>
          <cell r="AF1711">
            <v>0</v>
          </cell>
          <cell r="AG1711">
            <v>0</v>
          </cell>
        </row>
        <row r="1712">
          <cell r="AD1712" t="str"/>
          <cell r="AE1712" t="str"/>
          <cell r="AF1712">
            <v>0</v>
          </cell>
          <cell r="AG1712">
            <v>0</v>
          </cell>
        </row>
        <row r="1713">
          <cell r="AD1713" t="str"/>
          <cell r="AE1713" t="str"/>
          <cell r="AF1713">
            <v>0</v>
          </cell>
          <cell r="AG1713">
            <v>0</v>
          </cell>
        </row>
        <row r="1714">
          <cell r="AD1714" t="str"/>
          <cell r="AE1714" t="str"/>
          <cell r="AF1714">
            <v>0</v>
          </cell>
          <cell r="AG1714">
            <v>0</v>
          </cell>
        </row>
        <row r="1715">
          <cell r="AD1715" t="str"/>
          <cell r="AE1715" t="str"/>
          <cell r="AF1715">
            <v>0</v>
          </cell>
          <cell r="AG1715">
            <v>0</v>
          </cell>
        </row>
        <row r="1716">
          <cell r="AD1716" t="str"/>
          <cell r="AE1716" t="str"/>
          <cell r="AF1716">
            <v>0</v>
          </cell>
          <cell r="AG1716">
            <v>0</v>
          </cell>
        </row>
        <row r="1717">
          <cell r="AD1717" t="str"/>
          <cell r="AE1717" t="str"/>
          <cell r="AF1717">
            <v>0</v>
          </cell>
          <cell r="AG1717">
            <v>0</v>
          </cell>
        </row>
        <row r="1718">
          <cell r="AD1718" t="str"/>
          <cell r="AE1718" t="str"/>
          <cell r="AF1718">
            <v>0</v>
          </cell>
          <cell r="AG1718">
            <v>0</v>
          </cell>
        </row>
        <row r="1719">
          <cell r="AD1719" t="str"/>
          <cell r="AE1719" t="str"/>
          <cell r="AF1719">
            <v>0</v>
          </cell>
          <cell r="AG1719">
            <v>0</v>
          </cell>
        </row>
        <row r="1720">
          <cell r="AD1720" t="str"/>
          <cell r="AE1720" t="str"/>
          <cell r="AF1720">
            <v>0</v>
          </cell>
          <cell r="AG1720">
            <v>0</v>
          </cell>
        </row>
        <row r="1721">
          <cell r="AD1721" t="str"/>
          <cell r="AE1721" t="str"/>
          <cell r="AF1721">
            <v>0</v>
          </cell>
          <cell r="AG1721">
            <v>0</v>
          </cell>
        </row>
        <row r="1722">
          <cell r="AD1722" t="str"/>
          <cell r="AE1722" t="str"/>
          <cell r="AF1722">
            <v>0</v>
          </cell>
          <cell r="AG1722">
            <v>0</v>
          </cell>
        </row>
        <row r="1723">
          <cell r="AD1723" t="str"/>
          <cell r="AE1723" t="str"/>
          <cell r="AF1723">
            <v>0</v>
          </cell>
          <cell r="AG1723">
            <v>0</v>
          </cell>
        </row>
        <row r="1724">
          <cell r="AD1724" t="str"/>
          <cell r="AE1724" t="str"/>
          <cell r="AF1724">
            <v>0</v>
          </cell>
          <cell r="AG1724">
            <v>0</v>
          </cell>
        </row>
        <row r="1725">
          <cell r="AD1725" t="str"/>
          <cell r="AE1725" t="str"/>
          <cell r="AF1725">
            <v>0</v>
          </cell>
          <cell r="AG1725">
            <v>0</v>
          </cell>
        </row>
        <row r="1726">
          <cell r="AD1726" t="str"/>
          <cell r="AE1726" t="str"/>
          <cell r="AF1726">
            <v>0</v>
          </cell>
          <cell r="AG1726">
            <v>0</v>
          </cell>
        </row>
        <row r="1727">
          <cell r="AD1727" t="str"/>
          <cell r="AE1727" t="str"/>
          <cell r="AF1727">
            <v>0</v>
          </cell>
          <cell r="AG1727">
            <v>0</v>
          </cell>
        </row>
        <row r="1728">
          <cell r="AD1728" t="str"/>
          <cell r="AE1728" t="str"/>
          <cell r="AF1728">
            <v>0</v>
          </cell>
          <cell r="AG1728">
            <v>0</v>
          </cell>
        </row>
        <row r="1729">
          <cell r="AD1729" t="str"/>
          <cell r="AE1729" t="str"/>
          <cell r="AF1729">
            <v>0</v>
          </cell>
          <cell r="AG1729">
            <v>0</v>
          </cell>
        </row>
        <row r="1730">
          <cell r="AD1730" t="str"/>
          <cell r="AE1730" t="str"/>
          <cell r="AF1730">
            <v>0</v>
          </cell>
          <cell r="AG1730">
            <v>0</v>
          </cell>
        </row>
        <row r="1731">
          <cell r="AD1731" t="str"/>
          <cell r="AE1731" t="str"/>
          <cell r="AF1731">
            <v>0</v>
          </cell>
          <cell r="AG1731">
            <v>0</v>
          </cell>
        </row>
        <row r="1732">
          <cell r="AD1732" t="str"/>
          <cell r="AE1732" t="str"/>
          <cell r="AF1732">
            <v>0</v>
          </cell>
          <cell r="AG1732">
            <v>0</v>
          </cell>
        </row>
        <row r="1733">
          <cell r="AD1733" t="str"/>
          <cell r="AE1733" t="str"/>
          <cell r="AF1733">
            <v>0</v>
          </cell>
          <cell r="AG1733">
            <v>0</v>
          </cell>
        </row>
        <row r="1734">
          <cell r="AD1734" t="str"/>
          <cell r="AE1734" t="str"/>
          <cell r="AF1734">
            <v>0</v>
          </cell>
          <cell r="AG1734">
            <v>0</v>
          </cell>
        </row>
        <row r="1735">
          <cell r="AD1735" t="str"/>
          <cell r="AE1735" t="str"/>
          <cell r="AF1735">
            <v>0</v>
          </cell>
          <cell r="AG1735">
            <v>0</v>
          </cell>
        </row>
        <row r="1736">
          <cell r="AD1736" t="str"/>
          <cell r="AE1736" t="str"/>
          <cell r="AF1736">
            <v>0</v>
          </cell>
          <cell r="AG1736">
            <v>0</v>
          </cell>
        </row>
        <row r="1737">
          <cell r="AD1737" t="str"/>
          <cell r="AE1737" t="str"/>
          <cell r="AF1737">
            <v>0</v>
          </cell>
          <cell r="AG1737">
            <v>0</v>
          </cell>
        </row>
        <row r="1738">
          <cell r="AD1738" t="str"/>
          <cell r="AE1738" t="str"/>
          <cell r="AF1738">
            <v>0</v>
          </cell>
          <cell r="AG1738">
            <v>0</v>
          </cell>
        </row>
        <row r="1739">
          <cell r="AD1739" t="str"/>
          <cell r="AE1739" t="str"/>
          <cell r="AF1739">
            <v>0</v>
          </cell>
          <cell r="AG1739">
            <v>0</v>
          </cell>
        </row>
        <row r="1740">
          <cell r="AD1740" t="str"/>
          <cell r="AE1740" t="str"/>
          <cell r="AF1740">
            <v>0</v>
          </cell>
          <cell r="AG1740">
            <v>0</v>
          </cell>
        </row>
        <row r="1741">
          <cell r="AD1741" t="str"/>
          <cell r="AE1741" t="str"/>
          <cell r="AF1741">
            <v>0</v>
          </cell>
          <cell r="AG1741">
            <v>0</v>
          </cell>
        </row>
        <row r="1742">
          <cell r="AD1742" t="str"/>
          <cell r="AE1742" t="str"/>
          <cell r="AF1742">
            <v>0</v>
          </cell>
          <cell r="AG1742">
            <v>0</v>
          </cell>
        </row>
        <row r="1743">
          <cell r="AD1743" t="str"/>
          <cell r="AE1743" t="str"/>
          <cell r="AF1743">
            <v>0</v>
          </cell>
          <cell r="AG1743">
            <v>0</v>
          </cell>
        </row>
        <row r="1744">
          <cell r="AD1744" t="str"/>
          <cell r="AE1744" t="str"/>
          <cell r="AF1744">
            <v>0</v>
          </cell>
          <cell r="AG1744">
            <v>0</v>
          </cell>
        </row>
        <row r="1745">
          <cell r="AD1745" t="str"/>
          <cell r="AE1745" t="str"/>
          <cell r="AF1745">
            <v>0</v>
          </cell>
          <cell r="AG1745">
            <v>0</v>
          </cell>
        </row>
        <row r="1746">
          <cell r="AD1746" t="str"/>
          <cell r="AE1746" t="str"/>
          <cell r="AF1746">
            <v>0</v>
          </cell>
          <cell r="AG1746">
            <v>0</v>
          </cell>
        </row>
        <row r="1747">
          <cell r="AD1747" t="str"/>
          <cell r="AE1747" t="str"/>
          <cell r="AF1747">
            <v>0</v>
          </cell>
          <cell r="AG1747">
            <v>0</v>
          </cell>
        </row>
        <row r="1748">
          <cell r="AD1748" t="str"/>
          <cell r="AE1748" t="str"/>
          <cell r="AF1748">
            <v>0</v>
          </cell>
          <cell r="AG1748">
            <v>0</v>
          </cell>
        </row>
        <row r="1749">
          <cell r="AD1749" t="str"/>
          <cell r="AE1749" t="str"/>
          <cell r="AF1749">
            <v>0</v>
          </cell>
          <cell r="AG1749">
            <v>0</v>
          </cell>
        </row>
        <row r="1750">
          <cell r="AD1750" t="str"/>
          <cell r="AE1750" t="str"/>
          <cell r="AF1750">
            <v>0</v>
          </cell>
          <cell r="AG1750">
            <v>0</v>
          </cell>
        </row>
        <row r="1751">
          <cell r="AD1751" t="str"/>
          <cell r="AE1751" t="str"/>
          <cell r="AF1751">
            <v>0</v>
          </cell>
          <cell r="AG1751">
            <v>0</v>
          </cell>
        </row>
        <row r="1752">
          <cell r="AD1752" t="str"/>
          <cell r="AE1752" t="str"/>
          <cell r="AF1752">
            <v>0</v>
          </cell>
          <cell r="AG1752">
            <v>0</v>
          </cell>
        </row>
        <row r="1753">
          <cell r="AD1753" t="str"/>
          <cell r="AE1753" t="str"/>
          <cell r="AF1753">
            <v>0</v>
          </cell>
          <cell r="AG1753">
            <v>0</v>
          </cell>
        </row>
        <row r="1754">
          <cell r="AD1754" t="str"/>
          <cell r="AE1754" t="str"/>
          <cell r="AF1754">
            <v>0</v>
          </cell>
          <cell r="AG1754">
            <v>0</v>
          </cell>
        </row>
        <row r="1755">
          <cell r="AD1755" t="str"/>
          <cell r="AE1755" t="str"/>
          <cell r="AF1755">
            <v>0</v>
          </cell>
          <cell r="AG1755">
            <v>0</v>
          </cell>
        </row>
        <row r="1756">
          <cell r="AD1756" t="str"/>
          <cell r="AE1756" t="str"/>
          <cell r="AF1756">
            <v>0</v>
          </cell>
          <cell r="AG1756">
            <v>0</v>
          </cell>
        </row>
        <row r="1757">
          <cell r="AD1757" t="str"/>
          <cell r="AE1757" t="str"/>
          <cell r="AF1757">
            <v>0</v>
          </cell>
          <cell r="AG1757">
            <v>0</v>
          </cell>
        </row>
        <row r="1758">
          <cell r="AD1758" t="str"/>
          <cell r="AE1758" t="str"/>
          <cell r="AF1758">
            <v>0</v>
          </cell>
          <cell r="AG1758">
            <v>0</v>
          </cell>
        </row>
        <row r="1759">
          <cell r="AD1759" t="str"/>
          <cell r="AE1759" t="str"/>
          <cell r="AF1759">
            <v>0</v>
          </cell>
          <cell r="AG1759">
            <v>0</v>
          </cell>
        </row>
        <row r="1760">
          <cell r="AD1760" t="str"/>
          <cell r="AE1760" t="str"/>
          <cell r="AF1760">
            <v>0</v>
          </cell>
          <cell r="AG1760">
            <v>0</v>
          </cell>
        </row>
        <row r="1761">
          <cell r="AD1761" t="str"/>
          <cell r="AE1761" t="str"/>
          <cell r="AF1761">
            <v>0</v>
          </cell>
          <cell r="AG1761">
            <v>0</v>
          </cell>
        </row>
        <row r="1762">
          <cell r="AD1762" t="str"/>
          <cell r="AE1762" t="str"/>
          <cell r="AF1762">
            <v>0</v>
          </cell>
          <cell r="AG1762">
            <v>0</v>
          </cell>
        </row>
        <row r="1763">
          <cell r="AD1763" t="str"/>
          <cell r="AE1763" t="str"/>
          <cell r="AF1763">
            <v>0</v>
          </cell>
          <cell r="AG1763">
            <v>0</v>
          </cell>
        </row>
        <row r="1764">
          <cell r="AD1764" t="str"/>
          <cell r="AE1764" t="str"/>
          <cell r="AF1764">
            <v>0</v>
          </cell>
          <cell r="AG1764">
            <v>0</v>
          </cell>
        </row>
        <row r="1765">
          <cell r="AD1765" t="str"/>
          <cell r="AE1765" t="str"/>
          <cell r="AF1765">
            <v>0</v>
          </cell>
          <cell r="AG1765">
            <v>0</v>
          </cell>
        </row>
        <row r="1766">
          <cell r="AD1766" t="str"/>
          <cell r="AE1766" t="str"/>
          <cell r="AF1766">
            <v>0</v>
          </cell>
          <cell r="AG1766">
            <v>0</v>
          </cell>
        </row>
        <row r="1767">
          <cell r="AD1767" t="str"/>
          <cell r="AE1767" t="str"/>
          <cell r="AF1767">
            <v>0</v>
          </cell>
          <cell r="AG1767">
            <v>0</v>
          </cell>
        </row>
        <row r="1768">
          <cell r="AD1768" t="str"/>
          <cell r="AE1768" t="str"/>
          <cell r="AF1768">
            <v>0</v>
          </cell>
          <cell r="AG1768">
            <v>0</v>
          </cell>
        </row>
        <row r="1769">
          <cell r="AD1769" t="str"/>
          <cell r="AE1769" t="str"/>
          <cell r="AF1769">
            <v>0</v>
          </cell>
          <cell r="AG1769">
            <v>0</v>
          </cell>
        </row>
        <row r="1770">
          <cell r="AD1770" t="str"/>
          <cell r="AE1770" t="str"/>
          <cell r="AF1770">
            <v>0</v>
          </cell>
          <cell r="AG1770">
            <v>0</v>
          </cell>
        </row>
        <row r="1771">
          <cell r="AD1771" t="str"/>
          <cell r="AE1771" t="str"/>
          <cell r="AF1771">
            <v>0</v>
          </cell>
          <cell r="AG1771">
            <v>0</v>
          </cell>
        </row>
        <row r="1772">
          <cell r="AD1772" t="str"/>
          <cell r="AE1772" t="str"/>
          <cell r="AF1772">
            <v>0</v>
          </cell>
          <cell r="AG1772">
            <v>0</v>
          </cell>
        </row>
        <row r="1773">
          <cell r="AD1773" t="str"/>
          <cell r="AE1773" t="str"/>
          <cell r="AF1773">
            <v>0</v>
          </cell>
          <cell r="AG1773">
            <v>0</v>
          </cell>
        </row>
        <row r="1774">
          <cell r="AD1774" t="str"/>
          <cell r="AE1774" t="str"/>
          <cell r="AF1774">
            <v>0</v>
          </cell>
          <cell r="AG1774">
            <v>0</v>
          </cell>
        </row>
        <row r="1775">
          <cell r="AD1775" t="str"/>
          <cell r="AE1775" t="str"/>
          <cell r="AF1775">
            <v>0</v>
          </cell>
          <cell r="AG1775">
            <v>0</v>
          </cell>
        </row>
        <row r="1776">
          <cell r="AD1776" t="str"/>
          <cell r="AE1776" t="str"/>
          <cell r="AF1776">
            <v>0</v>
          </cell>
          <cell r="AG1776">
            <v>0</v>
          </cell>
        </row>
        <row r="1777">
          <cell r="AD1777" t="str"/>
          <cell r="AE1777" t="str"/>
          <cell r="AF1777">
            <v>0</v>
          </cell>
          <cell r="AG1777">
            <v>0</v>
          </cell>
        </row>
        <row r="1778">
          <cell r="AD1778" t="str"/>
          <cell r="AE1778" t="str"/>
          <cell r="AF1778">
            <v>0</v>
          </cell>
          <cell r="AG1778">
            <v>0</v>
          </cell>
        </row>
        <row r="1779">
          <cell r="AD1779" t="str"/>
          <cell r="AE1779" t="str"/>
          <cell r="AF1779">
            <v>0</v>
          </cell>
          <cell r="AG1779">
            <v>0</v>
          </cell>
        </row>
        <row r="1780">
          <cell r="AD1780" t="str"/>
          <cell r="AE1780" t="str"/>
          <cell r="AF1780">
            <v>0</v>
          </cell>
          <cell r="AG1780">
            <v>0</v>
          </cell>
        </row>
        <row r="1781">
          <cell r="AD1781" t="str"/>
          <cell r="AE1781" t="str"/>
          <cell r="AF1781">
            <v>0</v>
          </cell>
          <cell r="AG1781">
            <v>0</v>
          </cell>
        </row>
        <row r="1782">
          <cell r="AD1782" t="str"/>
          <cell r="AE1782" t="str"/>
          <cell r="AF1782">
            <v>0</v>
          </cell>
          <cell r="AG1782">
            <v>0</v>
          </cell>
        </row>
        <row r="1783">
          <cell r="AD1783" t="str"/>
          <cell r="AE1783" t="str"/>
          <cell r="AF1783">
            <v>0</v>
          </cell>
          <cell r="AG1783">
            <v>0</v>
          </cell>
        </row>
        <row r="1784">
          <cell r="AD1784" t="str"/>
          <cell r="AE1784" t="str"/>
          <cell r="AF1784">
            <v>0</v>
          </cell>
          <cell r="AG1784">
            <v>0</v>
          </cell>
        </row>
        <row r="1785">
          <cell r="AD1785" t="str"/>
          <cell r="AE1785" t="str"/>
          <cell r="AF1785">
            <v>0</v>
          </cell>
          <cell r="AG1785">
            <v>0</v>
          </cell>
        </row>
        <row r="1786">
          <cell r="AD1786" t="str"/>
          <cell r="AE1786" t="str"/>
          <cell r="AF1786">
            <v>0</v>
          </cell>
          <cell r="AG1786">
            <v>0</v>
          </cell>
        </row>
        <row r="1787">
          <cell r="AD1787" t="str"/>
          <cell r="AE1787" t="str"/>
          <cell r="AF1787">
            <v>0</v>
          </cell>
          <cell r="AG1787">
            <v>0</v>
          </cell>
        </row>
        <row r="1788">
          <cell r="AD1788" t="str"/>
          <cell r="AE1788" t="str"/>
          <cell r="AF1788">
            <v>0</v>
          </cell>
          <cell r="AG1788">
            <v>0</v>
          </cell>
        </row>
        <row r="1789">
          <cell r="AD1789" t="str"/>
          <cell r="AE1789" t="str"/>
          <cell r="AF1789">
            <v>0</v>
          </cell>
          <cell r="AG1789">
            <v>0</v>
          </cell>
        </row>
        <row r="1790">
          <cell r="AD1790" t="str"/>
          <cell r="AE1790" t="str"/>
          <cell r="AF1790">
            <v>0</v>
          </cell>
          <cell r="AG1790">
            <v>0</v>
          </cell>
        </row>
        <row r="1791">
          <cell r="AD1791" t="str"/>
          <cell r="AE1791" t="str"/>
          <cell r="AF1791">
            <v>0</v>
          </cell>
          <cell r="AG1791">
            <v>0</v>
          </cell>
        </row>
        <row r="1792">
          <cell r="AD1792" t="str"/>
          <cell r="AE1792" t="str"/>
          <cell r="AF1792">
            <v>0</v>
          </cell>
          <cell r="AG1792">
            <v>0</v>
          </cell>
        </row>
        <row r="1793">
          <cell r="AD1793" t="str"/>
          <cell r="AE1793" t="str"/>
          <cell r="AF1793">
            <v>0</v>
          </cell>
          <cell r="AG1793">
            <v>0</v>
          </cell>
        </row>
        <row r="1794">
          <cell r="AD1794" t="str"/>
          <cell r="AE1794" t="str"/>
          <cell r="AF1794">
            <v>0</v>
          </cell>
          <cell r="AG1794">
            <v>0</v>
          </cell>
        </row>
        <row r="1795">
          <cell r="AD1795" t="str"/>
          <cell r="AE1795" t="str"/>
          <cell r="AF1795">
            <v>0</v>
          </cell>
          <cell r="AG1795">
            <v>0</v>
          </cell>
        </row>
        <row r="1796">
          <cell r="AD1796" t="str"/>
          <cell r="AE1796" t="str"/>
          <cell r="AF1796">
            <v>0</v>
          </cell>
          <cell r="AG1796">
            <v>0</v>
          </cell>
        </row>
        <row r="1797">
          <cell r="AD1797" t="str"/>
          <cell r="AE1797" t="str"/>
          <cell r="AF1797">
            <v>0</v>
          </cell>
          <cell r="AG1797">
            <v>0</v>
          </cell>
        </row>
        <row r="1798">
          <cell r="AD1798" t="str"/>
          <cell r="AE1798" t="str"/>
          <cell r="AF1798">
            <v>0</v>
          </cell>
          <cell r="AG1798">
            <v>0</v>
          </cell>
        </row>
        <row r="1799">
          <cell r="AD1799" t="str"/>
          <cell r="AE1799" t="str"/>
          <cell r="AF1799">
            <v>0</v>
          </cell>
          <cell r="AG1799">
            <v>0</v>
          </cell>
        </row>
        <row r="1800">
          <cell r="AD1800" t="str"/>
          <cell r="AE1800" t="str"/>
          <cell r="AF1800">
            <v>0</v>
          </cell>
          <cell r="AG1800">
            <v>0</v>
          </cell>
        </row>
        <row r="1801">
          <cell r="AD1801" t="str"/>
          <cell r="AE1801" t="str"/>
          <cell r="AF1801">
            <v>0</v>
          </cell>
          <cell r="AG1801">
            <v>0</v>
          </cell>
        </row>
        <row r="1802">
          <cell r="AD1802" t="str"/>
          <cell r="AE1802" t="str"/>
          <cell r="AF1802">
            <v>0</v>
          </cell>
          <cell r="AG1802">
            <v>0</v>
          </cell>
        </row>
        <row r="1803">
          <cell r="AD1803" t="str"/>
          <cell r="AE1803" t="str"/>
          <cell r="AF1803">
            <v>0</v>
          </cell>
          <cell r="AG1803">
            <v>0</v>
          </cell>
        </row>
        <row r="1804">
          <cell r="AD1804" t="str"/>
          <cell r="AE1804" t="str"/>
          <cell r="AF1804">
            <v>0</v>
          </cell>
          <cell r="AG1804">
            <v>0</v>
          </cell>
        </row>
        <row r="1805">
          <cell r="AD1805" t="str"/>
          <cell r="AE1805" t="str"/>
          <cell r="AF1805">
            <v>0</v>
          </cell>
          <cell r="AG1805">
            <v>0</v>
          </cell>
        </row>
        <row r="1806">
          <cell r="AD1806" t="str"/>
          <cell r="AE1806" t="str"/>
          <cell r="AF1806">
            <v>0</v>
          </cell>
          <cell r="AG1806">
            <v>0</v>
          </cell>
        </row>
        <row r="1807">
          <cell r="AD1807" t="str"/>
          <cell r="AE1807" t="str"/>
          <cell r="AF1807">
            <v>0</v>
          </cell>
          <cell r="AG1807">
            <v>0</v>
          </cell>
        </row>
        <row r="1808">
          <cell r="AD1808" t="str"/>
          <cell r="AE1808" t="str"/>
          <cell r="AF1808">
            <v>0</v>
          </cell>
          <cell r="AG1808">
            <v>0</v>
          </cell>
        </row>
        <row r="1809">
          <cell r="AD1809" t="str"/>
          <cell r="AE1809" t="str"/>
          <cell r="AF1809">
            <v>0</v>
          </cell>
          <cell r="AG1809">
            <v>0</v>
          </cell>
        </row>
        <row r="1810">
          <cell r="AD1810" t="str"/>
          <cell r="AE1810" t="str"/>
          <cell r="AF1810">
            <v>0</v>
          </cell>
          <cell r="AG1810">
            <v>0</v>
          </cell>
        </row>
        <row r="1811">
          <cell r="AD1811" t="str"/>
          <cell r="AE1811" t="str"/>
          <cell r="AF1811">
            <v>0</v>
          </cell>
          <cell r="AG1811">
            <v>0</v>
          </cell>
        </row>
        <row r="1812">
          <cell r="AD1812" t="str"/>
          <cell r="AE1812" t="str"/>
          <cell r="AF1812">
            <v>0</v>
          </cell>
          <cell r="AG1812">
            <v>0</v>
          </cell>
        </row>
        <row r="1813">
          <cell r="AD1813" t="str"/>
          <cell r="AE1813" t="str"/>
          <cell r="AF1813">
            <v>0</v>
          </cell>
          <cell r="AG1813">
            <v>0</v>
          </cell>
        </row>
        <row r="1814">
          <cell r="AD1814" t="str"/>
          <cell r="AE1814" t="str"/>
          <cell r="AF1814">
            <v>0</v>
          </cell>
          <cell r="AG1814">
            <v>0</v>
          </cell>
        </row>
        <row r="1815">
          <cell r="AD1815" t="str"/>
          <cell r="AE1815" t="str"/>
          <cell r="AF1815">
            <v>0</v>
          </cell>
          <cell r="AG1815">
            <v>0</v>
          </cell>
        </row>
        <row r="1816">
          <cell r="AD1816" t="str"/>
          <cell r="AE1816" t="str"/>
          <cell r="AF1816">
            <v>0</v>
          </cell>
          <cell r="AG1816">
            <v>0</v>
          </cell>
        </row>
        <row r="1817">
          <cell r="AD1817" t="str"/>
          <cell r="AE1817" t="str"/>
          <cell r="AF1817">
            <v>0</v>
          </cell>
          <cell r="AG1817">
            <v>0</v>
          </cell>
        </row>
        <row r="1818">
          <cell r="AD1818" t="str"/>
          <cell r="AE1818" t="str"/>
          <cell r="AF1818">
            <v>0</v>
          </cell>
          <cell r="AG1818">
            <v>0</v>
          </cell>
        </row>
        <row r="1819">
          <cell r="AD1819" t="str"/>
          <cell r="AE1819" t="str"/>
          <cell r="AF1819">
            <v>0</v>
          </cell>
          <cell r="AG1819">
            <v>0</v>
          </cell>
        </row>
        <row r="1820">
          <cell r="AD1820" t="str"/>
          <cell r="AE1820" t="str"/>
          <cell r="AF1820">
            <v>0</v>
          </cell>
          <cell r="AG1820">
            <v>0</v>
          </cell>
        </row>
        <row r="1821">
          <cell r="AD1821" t="str"/>
          <cell r="AE1821" t="str"/>
          <cell r="AF1821">
            <v>0</v>
          </cell>
          <cell r="AG1821">
            <v>0</v>
          </cell>
        </row>
        <row r="1822">
          <cell r="AD1822" t="str"/>
          <cell r="AE1822" t="str"/>
          <cell r="AF1822">
            <v>0</v>
          </cell>
          <cell r="AG1822">
            <v>0</v>
          </cell>
        </row>
        <row r="1823">
          <cell r="AD1823" t="str"/>
          <cell r="AE1823" t="str"/>
          <cell r="AF1823">
            <v>0</v>
          </cell>
          <cell r="AG1823">
            <v>0</v>
          </cell>
        </row>
        <row r="1824">
          <cell r="AD1824" t="str"/>
          <cell r="AE1824" t="str"/>
          <cell r="AF1824">
            <v>0</v>
          </cell>
          <cell r="AG1824">
            <v>0</v>
          </cell>
        </row>
        <row r="1825">
          <cell r="AD1825" t="str"/>
          <cell r="AE1825" t="str"/>
          <cell r="AF1825">
            <v>0</v>
          </cell>
          <cell r="AG1825">
            <v>0</v>
          </cell>
        </row>
        <row r="1826">
          <cell r="AD1826" t="str"/>
          <cell r="AE1826" t="str"/>
          <cell r="AF1826">
            <v>0</v>
          </cell>
          <cell r="AG1826">
            <v>0</v>
          </cell>
        </row>
        <row r="1827">
          <cell r="AD1827" t="str"/>
          <cell r="AE1827" t="str"/>
          <cell r="AF1827">
            <v>0</v>
          </cell>
          <cell r="AG1827">
            <v>0</v>
          </cell>
        </row>
        <row r="1828">
          <cell r="AD1828" t="str"/>
          <cell r="AE1828" t="str"/>
          <cell r="AF1828">
            <v>0</v>
          </cell>
          <cell r="AG1828">
            <v>0</v>
          </cell>
        </row>
        <row r="1829">
          <cell r="AD1829" t="str"/>
          <cell r="AE1829" t="str"/>
          <cell r="AF1829">
            <v>0</v>
          </cell>
          <cell r="AG1829">
            <v>0</v>
          </cell>
        </row>
        <row r="1830">
          <cell r="AD1830" t="str"/>
          <cell r="AE1830" t="str"/>
          <cell r="AF1830">
            <v>0</v>
          </cell>
          <cell r="AG1830">
            <v>0</v>
          </cell>
        </row>
        <row r="1831">
          <cell r="AD1831" t="str"/>
          <cell r="AE1831" t="str"/>
          <cell r="AF1831">
            <v>0</v>
          </cell>
          <cell r="AG1831">
            <v>0</v>
          </cell>
        </row>
        <row r="1832">
          <cell r="AD1832" t="str"/>
          <cell r="AE1832" t="str"/>
          <cell r="AF1832">
            <v>0</v>
          </cell>
          <cell r="AG1832">
            <v>0</v>
          </cell>
        </row>
        <row r="1833">
          <cell r="AD1833" t="str"/>
          <cell r="AE1833" t="str"/>
          <cell r="AF1833">
            <v>0</v>
          </cell>
          <cell r="AG1833">
            <v>0</v>
          </cell>
        </row>
        <row r="1834">
          <cell r="AD1834" t="str"/>
          <cell r="AE1834" t="str"/>
          <cell r="AF1834">
            <v>0</v>
          </cell>
          <cell r="AG1834">
            <v>0</v>
          </cell>
        </row>
        <row r="1835">
          <cell r="AD1835" t="str"/>
          <cell r="AE1835" t="str"/>
          <cell r="AF1835">
            <v>0</v>
          </cell>
          <cell r="AG1835">
            <v>0</v>
          </cell>
        </row>
        <row r="1836">
          <cell r="AD1836" t="str"/>
          <cell r="AE1836" t="str"/>
          <cell r="AF1836">
            <v>0</v>
          </cell>
          <cell r="AG1836">
            <v>0</v>
          </cell>
        </row>
        <row r="1837">
          <cell r="AD1837" t="str"/>
          <cell r="AE1837" t="str"/>
          <cell r="AF1837">
            <v>0</v>
          </cell>
          <cell r="AG1837">
            <v>0</v>
          </cell>
        </row>
        <row r="1838">
          <cell r="AD1838" t="str"/>
          <cell r="AE1838" t="str"/>
          <cell r="AF1838">
            <v>0</v>
          </cell>
          <cell r="AG1838">
            <v>0</v>
          </cell>
        </row>
        <row r="1839">
          <cell r="AD1839" t="str"/>
          <cell r="AE1839" t="str"/>
          <cell r="AF1839">
            <v>0</v>
          </cell>
          <cell r="AG1839">
            <v>0</v>
          </cell>
        </row>
        <row r="1840">
          <cell r="AD1840" t="str"/>
          <cell r="AE1840" t="str"/>
          <cell r="AF1840">
            <v>0</v>
          </cell>
          <cell r="AG1840">
            <v>0</v>
          </cell>
        </row>
        <row r="1841">
          <cell r="AD1841" t="str"/>
          <cell r="AE1841" t="str"/>
          <cell r="AF1841">
            <v>0</v>
          </cell>
          <cell r="AG1841">
            <v>0</v>
          </cell>
        </row>
        <row r="1842">
          <cell r="AD1842" t="str"/>
          <cell r="AE1842" t="str"/>
          <cell r="AF1842">
            <v>0</v>
          </cell>
          <cell r="AG1842">
            <v>0</v>
          </cell>
        </row>
        <row r="1843">
          <cell r="AD1843" t="str"/>
          <cell r="AE1843" t="str"/>
          <cell r="AF1843">
            <v>0</v>
          </cell>
          <cell r="AG1843">
            <v>0</v>
          </cell>
        </row>
        <row r="1844">
          <cell r="AD1844" t="str"/>
          <cell r="AE1844" t="str"/>
          <cell r="AF1844">
            <v>0</v>
          </cell>
          <cell r="AG1844">
            <v>0</v>
          </cell>
        </row>
        <row r="1845">
          <cell r="AD1845" t="str"/>
          <cell r="AE1845" t="str"/>
          <cell r="AF1845">
            <v>0</v>
          </cell>
          <cell r="AG1845">
            <v>0</v>
          </cell>
        </row>
        <row r="1846">
          <cell r="AD1846" t="str"/>
          <cell r="AE1846" t="str"/>
          <cell r="AF1846">
            <v>0</v>
          </cell>
          <cell r="AG1846">
            <v>0</v>
          </cell>
        </row>
        <row r="1847">
          <cell r="AD1847" t="str"/>
          <cell r="AE1847" t="str"/>
          <cell r="AF1847">
            <v>0</v>
          </cell>
          <cell r="AG1847">
            <v>0</v>
          </cell>
        </row>
        <row r="1848">
          <cell r="AD1848" t="str"/>
          <cell r="AE1848" t="str"/>
          <cell r="AF1848">
            <v>0</v>
          </cell>
          <cell r="AG1848">
            <v>0</v>
          </cell>
        </row>
        <row r="1849">
          <cell r="AD1849" t="str"/>
          <cell r="AE1849" t="str"/>
          <cell r="AF1849">
            <v>0</v>
          </cell>
          <cell r="AG1849">
            <v>0</v>
          </cell>
        </row>
        <row r="1850">
          <cell r="AD1850" t="str"/>
          <cell r="AE1850" t="str"/>
          <cell r="AF1850">
            <v>0</v>
          </cell>
          <cell r="AG1850">
            <v>0</v>
          </cell>
        </row>
        <row r="1851">
          <cell r="AD1851" t="str"/>
          <cell r="AE1851" t="str"/>
          <cell r="AF1851">
            <v>0</v>
          </cell>
          <cell r="AG1851">
            <v>0</v>
          </cell>
        </row>
        <row r="1852">
          <cell r="AD1852" t="str"/>
          <cell r="AE1852" t="str"/>
          <cell r="AF1852">
            <v>0</v>
          </cell>
          <cell r="AG1852">
            <v>0</v>
          </cell>
        </row>
        <row r="1853">
          <cell r="AD1853" t="str"/>
          <cell r="AE1853" t="str"/>
          <cell r="AF1853">
            <v>0</v>
          </cell>
          <cell r="AG1853">
            <v>0</v>
          </cell>
        </row>
        <row r="1854">
          <cell r="AD1854" t="str"/>
          <cell r="AE1854" t="str"/>
          <cell r="AF1854">
            <v>0</v>
          </cell>
          <cell r="AG1854">
            <v>0</v>
          </cell>
        </row>
        <row r="1855">
          <cell r="AD1855" t="str"/>
          <cell r="AE1855" t="str"/>
          <cell r="AF1855">
            <v>0</v>
          </cell>
          <cell r="AG1855">
            <v>0</v>
          </cell>
        </row>
        <row r="1856">
          <cell r="AD1856" t="str"/>
          <cell r="AE1856" t="str"/>
          <cell r="AF1856">
            <v>0</v>
          </cell>
          <cell r="AG1856">
            <v>0</v>
          </cell>
        </row>
        <row r="1857">
          <cell r="AD1857" t="str"/>
          <cell r="AE1857" t="str"/>
          <cell r="AF1857">
            <v>0</v>
          </cell>
          <cell r="AG1857">
            <v>0</v>
          </cell>
        </row>
        <row r="1858">
          <cell r="AD1858" t="str"/>
          <cell r="AE1858" t="str"/>
          <cell r="AF1858">
            <v>0</v>
          </cell>
          <cell r="AG1858">
            <v>0</v>
          </cell>
        </row>
        <row r="1859">
          <cell r="AD1859" t="str"/>
          <cell r="AE1859" t="str"/>
          <cell r="AF1859">
            <v>0</v>
          </cell>
          <cell r="AG1859">
            <v>0</v>
          </cell>
        </row>
        <row r="1860">
          <cell r="AD1860" t="str"/>
          <cell r="AE1860" t="str"/>
          <cell r="AF1860">
            <v>0</v>
          </cell>
          <cell r="AG1860">
            <v>0</v>
          </cell>
        </row>
        <row r="1861">
          <cell r="AD1861" t="str"/>
          <cell r="AE1861" t="str"/>
          <cell r="AF1861">
            <v>0</v>
          </cell>
          <cell r="AG1861">
            <v>0</v>
          </cell>
        </row>
        <row r="1862">
          <cell r="AD1862" t="str"/>
          <cell r="AE1862" t="str"/>
          <cell r="AF1862">
            <v>0</v>
          </cell>
          <cell r="AG1862">
            <v>0</v>
          </cell>
        </row>
        <row r="1863">
          <cell r="AD1863" t="str"/>
          <cell r="AE1863" t="str"/>
          <cell r="AF1863">
            <v>0</v>
          </cell>
          <cell r="AG1863">
            <v>0</v>
          </cell>
        </row>
        <row r="1864">
          <cell r="AD1864" t="str"/>
          <cell r="AE1864" t="str"/>
          <cell r="AF1864">
            <v>0</v>
          </cell>
          <cell r="AG1864">
            <v>0</v>
          </cell>
        </row>
        <row r="1865">
          <cell r="AD1865" t="str"/>
          <cell r="AE1865" t="str"/>
          <cell r="AF1865">
            <v>0</v>
          </cell>
          <cell r="AG1865">
            <v>0</v>
          </cell>
        </row>
        <row r="1866">
          <cell r="AD1866" t="str"/>
          <cell r="AE1866" t="str"/>
          <cell r="AF1866">
            <v>0</v>
          </cell>
          <cell r="AG1866">
            <v>0</v>
          </cell>
        </row>
        <row r="1867">
          <cell r="AD1867" t="str"/>
          <cell r="AE1867" t="str"/>
          <cell r="AF1867">
            <v>0</v>
          </cell>
          <cell r="AG1867">
            <v>0</v>
          </cell>
        </row>
        <row r="1868">
          <cell r="AD1868" t="str"/>
          <cell r="AE1868" t="str"/>
          <cell r="AF1868">
            <v>0</v>
          </cell>
          <cell r="AG1868">
            <v>0</v>
          </cell>
        </row>
        <row r="1869">
          <cell r="AD1869" t="str"/>
          <cell r="AE1869" t="str"/>
          <cell r="AF1869">
            <v>0</v>
          </cell>
          <cell r="AG1869">
            <v>0</v>
          </cell>
        </row>
        <row r="1870">
          <cell r="AD1870" t="str"/>
          <cell r="AE1870" t="str"/>
          <cell r="AF1870">
            <v>0</v>
          </cell>
          <cell r="AG1870">
            <v>0</v>
          </cell>
        </row>
        <row r="1871">
          <cell r="AD1871" t="str"/>
          <cell r="AE1871" t="str"/>
          <cell r="AF1871">
            <v>0</v>
          </cell>
          <cell r="AG1871">
            <v>0</v>
          </cell>
        </row>
        <row r="1872">
          <cell r="AD1872" t="str"/>
          <cell r="AE1872" t="str"/>
          <cell r="AF1872">
            <v>0</v>
          </cell>
          <cell r="AG1872">
            <v>0</v>
          </cell>
        </row>
        <row r="1873">
          <cell r="AD1873" t="str"/>
          <cell r="AE1873" t="str"/>
          <cell r="AF1873">
            <v>0</v>
          </cell>
          <cell r="AG1873">
            <v>0</v>
          </cell>
        </row>
        <row r="1874">
          <cell r="AD1874" t="str"/>
          <cell r="AE1874" t="str"/>
          <cell r="AF1874">
            <v>0</v>
          </cell>
          <cell r="AG1874">
            <v>0</v>
          </cell>
        </row>
        <row r="1875">
          <cell r="AD1875" t="str"/>
          <cell r="AE1875" t="str"/>
          <cell r="AF1875">
            <v>0</v>
          </cell>
          <cell r="AG1875">
            <v>0</v>
          </cell>
        </row>
        <row r="1876">
          <cell r="AD1876" t="str"/>
          <cell r="AE1876" t="str"/>
          <cell r="AF1876">
            <v>0</v>
          </cell>
          <cell r="AG1876">
            <v>0</v>
          </cell>
        </row>
        <row r="1877">
          <cell r="AD1877" t="str"/>
          <cell r="AE1877" t="str"/>
          <cell r="AF1877">
            <v>0</v>
          </cell>
          <cell r="AG1877">
            <v>0</v>
          </cell>
        </row>
        <row r="1878">
          <cell r="AD1878" t="str"/>
          <cell r="AE1878" t="str"/>
          <cell r="AF1878">
            <v>0</v>
          </cell>
          <cell r="AG1878">
            <v>0</v>
          </cell>
        </row>
        <row r="1879">
          <cell r="AD1879" t="str"/>
          <cell r="AE1879" t="str"/>
          <cell r="AF1879">
            <v>0</v>
          </cell>
          <cell r="AG1879">
            <v>0</v>
          </cell>
        </row>
        <row r="1880">
          <cell r="AD1880" t="str"/>
          <cell r="AE1880" t="str"/>
          <cell r="AF1880">
            <v>0</v>
          </cell>
          <cell r="AG1880">
            <v>0</v>
          </cell>
        </row>
        <row r="1881">
          <cell r="AD1881" t="str"/>
          <cell r="AE1881" t="str"/>
          <cell r="AF1881">
            <v>0</v>
          </cell>
          <cell r="AG1881">
            <v>0</v>
          </cell>
        </row>
        <row r="1882">
          <cell r="AD1882" t="str"/>
          <cell r="AE1882" t="str"/>
          <cell r="AF1882">
            <v>0</v>
          </cell>
          <cell r="AG1882">
            <v>0</v>
          </cell>
        </row>
        <row r="1883">
          <cell r="AD1883" t="str"/>
          <cell r="AE1883" t="str"/>
          <cell r="AF1883">
            <v>0</v>
          </cell>
          <cell r="AG1883">
            <v>0</v>
          </cell>
        </row>
        <row r="1884">
          <cell r="AD1884" t="str"/>
          <cell r="AE1884" t="str"/>
          <cell r="AF1884">
            <v>0</v>
          </cell>
          <cell r="AG1884">
            <v>0</v>
          </cell>
        </row>
        <row r="1885">
          <cell r="AD1885" t="str"/>
          <cell r="AE1885" t="str"/>
          <cell r="AF1885">
            <v>0</v>
          </cell>
          <cell r="AG1885">
            <v>0</v>
          </cell>
        </row>
        <row r="1886">
          <cell r="AD1886" t="str"/>
          <cell r="AE1886" t="str"/>
          <cell r="AF1886">
            <v>0</v>
          </cell>
          <cell r="AG1886">
            <v>0</v>
          </cell>
        </row>
        <row r="1887">
          <cell r="AD1887" t="str"/>
          <cell r="AE1887" t="str"/>
          <cell r="AF1887">
            <v>0</v>
          </cell>
          <cell r="AG1887">
            <v>0</v>
          </cell>
        </row>
        <row r="1888">
          <cell r="AD1888" t="str"/>
          <cell r="AE1888" t="str"/>
          <cell r="AF1888">
            <v>0</v>
          </cell>
          <cell r="AG1888">
            <v>0</v>
          </cell>
        </row>
        <row r="1889">
          <cell r="AD1889" t="str"/>
          <cell r="AE1889" t="str"/>
          <cell r="AF1889">
            <v>0</v>
          </cell>
          <cell r="AG1889">
            <v>0</v>
          </cell>
        </row>
        <row r="1890">
          <cell r="AD1890" t="str"/>
          <cell r="AE1890" t="str"/>
          <cell r="AF1890">
            <v>0</v>
          </cell>
          <cell r="AG1890">
            <v>0</v>
          </cell>
        </row>
        <row r="1891">
          <cell r="AD1891" t="str"/>
          <cell r="AE1891" t="str"/>
          <cell r="AF1891">
            <v>0</v>
          </cell>
          <cell r="AG1891">
            <v>0</v>
          </cell>
        </row>
        <row r="1892">
          <cell r="AD1892" t="str"/>
          <cell r="AE1892" t="str"/>
          <cell r="AF1892">
            <v>0</v>
          </cell>
          <cell r="AG1892">
            <v>0</v>
          </cell>
        </row>
        <row r="1893">
          <cell r="AD1893" t="str"/>
          <cell r="AE1893" t="str"/>
          <cell r="AF1893">
            <v>0</v>
          </cell>
          <cell r="AG1893">
            <v>0</v>
          </cell>
        </row>
        <row r="1894">
          <cell r="AD1894" t="str"/>
          <cell r="AE1894" t="str"/>
          <cell r="AF1894">
            <v>0</v>
          </cell>
          <cell r="AG1894">
            <v>0</v>
          </cell>
        </row>
        <row r="1895">
          <cell r="AD1895" t="str"/>
          <cell r="AE1895" t="str"/>
          <cell r="AF1895">
            <v>0</v>
          </cell>
          <cell r="AG1895">
            <v>0</v>
          </cell>
        </row>
        <row r="1896">
          <cell r="AD1896" t="str"/>
          <cell r="AE1896" t="str"/>
          <cell r="AF1896">
            <v>0</v>
          </cell>
          <cell r="AG1896">
            <v>0</v>
          </cell>
        </row>
        <row r="1897">
          <cell r="AD1897" t="str"/>
          <cell r="AE1897" t="str"/>
          <cell r="AF1897">
            <v>0</v>
          </cell>
          <cell r="AG1897">
            <v>0</v>
          </cell>
        </row>
        <row r="1898">
          <cell r="AD1898" t="str"/>
          <cell r="AE1898" t="str"/>
          <cell r="AF1898">
            <v>0</v>
          </cell>
          <cell r="AG1898">
            <v>0</v>
          </cell>
        </row>
        <row r="1899">
          <cell r="AD1899" t="str"/>
          <cell r="AE1899" t="str"/>
          <cell r="AF1899">
            <v>0</v>
          </cell>
          <cell r="AG1899">
            <v>0</v>
          </cell>
        </row>
        <row r="1900">
          <cell r="AD1900" t="str"/>
          <cell r="AE1900" t="str"/>
          <cell r="AF1900">
            <v>0</v>
          </cell>
          <cell r="AG1900">
            <v>0</v>
          </cell>
        </row>
        <row r="1901">
          <cell r="AD1901" t="str"/>
          <cell r="AE1901" t="str"/>
          <cell r="AF1901">
            <v>0</v>
          </cell>
          <cell r="AG1901">
            <v>0</v>
          </cell>
        </row>
        <row r="1902">
          <cell r="AD1902" t="str"/>
          <cell r="AE1902" t="str"/>
          <cell r="AF1902">
            <v>0</v>
          </cell>
          <cell r="AG1902">
            <v>0</v>
          </cell>
        </row>
        <row r="1903">
          <cell r="AD1903" t="str"/>
          <cell r="AE1903" t="str"/>
          <cell r="AF1903">
            <v>0</v>
          </cell>
          <cell r="AG1903">
            <v>0</v>
          </cell>
        </row>
        <row r="1904">
          <cell r="AD1904" t="str"/>
          <cell r="AE1904" t="str"/>
          <cell r="AF1904">
            <v>0</v>
          </cell>
          <cell r="AG1904">
            <v>0</v>
          </cell>
        </row>
        <row r="1905">
          <cell r="AD1905" t="str"/>
          <cell r="AE1905" t="str"/>
          <cell r="AF1905">
            <v>0</v>
          </cell>
          <cell r="AG1905">
            <v>0</v>
          </cell>
        </row>
        <row r="1906">
          <cell r="AD1906" t="str"/>
          <cell r="AE1906" t="str"/>
          <cell r="AF1906">
            <v>0</v>
          </cell>
          <cell r="AG1906">
            <v>0</v>
          </cell>
        </row>
        <row r="1907">
          <cell r="AD1907" t="str"/>
          <cell r="AE1907" t="str"/>
          <cell r="AF1907">
            <v>0</v>
          </cell>
          <cell r="AG1907">
            <v>0</v>
          </cell>
        </row>
        <row r="1908">
          <cell r="AD1908" t="str"/>
          <cell r="AE1908" t="str"/>
          <cell r="AF1908">
            <v>0</v>
          </cell>
          <cell r="AG1908">
            <v>0</v>
          </cell>
        </row>
        <row r="1909">
          <cell r="AD1909" t="str"/>
          <cell r="AE1909" t="str"/>
          <cell r="AF1909">
            <v>0</v>
          </cell>
          <cell r="AG1909">
            <v>0</v>
          </cell>
        </row>
        <row r="1910">
          <cell r="AD1910" t="str"/>
          <cell r="AE1910" t="str"/>
          <cell r="AF1910">
            <v>0</v>
          </cell>
          <cell r="AG1910">
            <v>0</v>
          </cell>
        </row>
        <row r="1911">
          <cell r="AD1911" t="str"/>
          <cell r="AE1911" t="str"/>
          <cell r="AF1911">
            <v>0</v>
          </cell>
          <cell r="AG1911">
            <v>0</v>
          </cell>
        </row>
        <row r="1912">
          <cell r="AD1912" t="str"/>
          <cell r="AE1912" t="str"/>
          <cell r="AF1912">
            <v>0</v>
          </cell>
          <cell r="AG1912">
            <v>0</v>
          </cell>
        </row>
        <row r="1913">
          <cell r="AD1913" t="str"/>
          <cell r="AE1913" t="str"/>
          <cell r="AF1913">
            <v>0</v>
          </cell>
          <cell r="AG1913">
            <v>0</v>
          </cell>
        </row>
        <row r="1914">
          <cell r="AD1914" t="str"/>
          <cell r="AE1914" t="str"/>
          <cell r="AF1914">
            <v>0</v>
          </cell>
          <cell r="AG1914">
            <v>0</v>
          </cell>
        </row>
        <row r="1915">
          <cell r="AD1915" t="str"/>
          <cell r="AE1915" t="str"/>
          <cell r="AF1915">
            <v>0</v>
          </cell>
          <cell r="AG1915">
            <v>0</v>
          </cell>
        </row>
        <row r="1916">
          <cell r="AD1916" t="str"/>
          <cell r="AE1916" t="str"/>
          <cell r="AF1916">
            <v>0</v>
          </cell>
          <cell r="AG1916">
            <v>0</v>
          </cell>
        </row>
        <row r="1917">
          <cell r="AD1917" t="str"/>
          <cell r="AE1917" t="str"/>
          <cell r="AF1917">
            <v>0</v>
          </cell>
          <cell r="AG1917">
            <v>0</v>
          </cell>
        </row>
        <row r="1918">
          <cell r="AD1918" t="str"/>
          <cell r="AE1918" t="str"/>
          <cell r="AF1918">
            <v>0</v>
          </cell>
          <cell r="AG1918">
            <v>0</v>
          </cell>
        </row>
        <row r="1919">
          <cell r="AD1919" t="str"/>
          <cell r="AE1919" t="str"/>
          <cell r="AF1919">
            <v>0</v>
          </cell>
          <cell r="AG1919">
            <v>0</v>
          </cell>
        </row>
        <row r="1920">
          <cell r="AD1920" t="str"/>
          <cell r="AE1920" t="str"/>
          <cell r="AF1920">
            <v>0</v>
          </cell>
          <cell r="AG1920">
            <v>0</v>
          </cell>
        </row>
        <row r="1921">
          <cell r="AD1921" t="str"/>
          <cell r="AE1921" t="str"/>
          <cell r="AF1921">
            <v>0</v>
          </cell>
          <cell r="AG1921">
            <v>0</v>
          </cell>
        </row>
        <row r="1922">
          <cell r="AD1922" t="str"/>
          <cell r="AE1922" t="str"/>
          <cell r="AF1922">
            <v>0</v>
          </cell>
          <cell r="AG1922">
            <v>0</v>
          </cell>
        </row>
        <row r="1923">
          <cell r="AD1923" t="str"/>
          <cell r="AE1923" t="str"/>
          <cell r="AF1923">
            <v>0</v>
          </cell>
          <cell r="AG1923">
            <v>0</v>
          </cell>
        </row>
        <row r="1924">
          <cell r="AD1924" t="str"/>
          <cell r="AE1924" t="str"/>
          <cell r="AF1924">
            <v>0</v>
          </cell>
          <cell r="AG1924">
            <v>0</v>
          </cell>
        </row>
        <row r="1925">
          <cell r="AD1925" t="str"/>
          <cell r="AE1925" t="str"/>
          <cell r="AF1925">
            <v>0</v>
          </cell>
          <cell r="AG1925">
            <v>0</v>
          </cell>
        </row>
        <row r="1926">
          <cell r="AD1926" t="str"/>
          <cell r="AE1926" t="str"/>
          <cell r="AF1926">
            <v>0</v>
          </cell>
          <cell r="AG1926">
            <v>0</v>
          </cell>
        </row>
        <row r="1927">
          <cell r="AD1927" t="str"/>
          <cell r="AE1927" t="str"/>
          <cell r="AF1927">
            <v>0</v>
          </cell>
          <cell r="AG1927">
            <v>0</v>
          </cell>
        </row>
        <row r="1928">
          <cell r="AD1928" t="str"/>
          <cell r="AE1928" t="str"/>
          <cell r="AF1928">
            <v>0</v>
          </cell>
          <cell r="AG1928">
            <v>0</v>
          </cell>
        </row>
        <row r="1929">
          <cell r="AD1929" t="str"/>
          <cell r="AE1929" t="str"/>
          <cell r="AF1929">
            <v>0</v>
          </cell>
          <cell r="AG1929">
            <v>0</v>
          </cell>
        </row>
        <row r="1930">
          <cell r="AD1930" t="str"/>
          <cell r="AE1930" t="str"/>
          <cell r="AF1930">
            <v>0</v>
          </cell>
          <cell r="AG1930">
            <v>0</v>
          </cell>
        </row>
        <row r="1931">
          <cell r="AD1931" t="str"/>
          <cell r="AE1931" t="str"/>
          <cell r="AF1931">
            <v>0</v>
          </cell>
          <cell r="AG1931">
            <v>0</v>
          </cell>
        </row>
        <row r="1932">
          <cell r="AD1932" t="str"/>
          <cell r="AE1932" t="str"/>
          <cell r="AF1932">
            <v>0</v>
          </cell>
          <cell r="AG1932">
            <v>0</v>
          </cell>
        </row>
        <row r="1933">
          <cell r="AD1933" t="str"/>
          <cell r="AE1933" t="str"/>
          <cell r="AF1933">
            <v>0</v>
          </cell>
          <cell r="AG1933">
            <v>0</v>
          </cell>
        </row>
        <row r="1934">
          <cell r="AD1934" t="str"/>
          <cell r="AE1934" t="str"/>
          <cell r="AF1934">
            <v>0</v>
          </cell>
          <cell r="AG1934">
            <v>0</v>
          </cell>
        </row>
        <row r="1935">
          <cell r="AD1935" t="str"/>
          <cell r="AE1935" t="str"/>
          <cell r="AF1935">
            <v>0</v>
          </cell>
          <cell r="AG1935">
            <v>0</v>
          </cell>
        </row>
        <row r="1936">
          <cell r="AD1936" t="str"/>
          <cell r="AE1936" t="str"/>
          <cell r="AF1936">
            <v>0</v>
          </cell>
          <cell r="AG1936">
            <v>0</v>
          </cell>
        </row>
        <row r="1937">
          <cell r="AD1937" t="str"/>
          <cell r="AE1937" t="str"/>
          <cell r="AF1937">
            <v>0</v>
          </cell>
          <cell r="AG1937">
            <v>0</v>
          </cell>
        </row>
        <row r="1938">
          <cell r="AD1938" t="str"/>
          <cell r="AE1938" t="str"/>
          <cell r="AF1938">
            <v>0</v>
          </cell>
          <cell r="AG1938">
            <v>0</v>
          </cell>
        </row>
        <row r="1939">
          <cell r="AD1939" t="str"/>
          <cell r="AE1939" t="str"/>
          <cell r="AF1939">
            <v>0</v>
          </cell>
          <cell r="AG1939">
            <v>0</v>
          </cell>
        </row>
        <row r="1940">
          <cell r="AD1940" t="str"/>
          <cell r="AE1940" t="str"/>
          <cell r="AF1940">
            <v>0</v>
          </cell>
          <cell r="AG1940">
            <v>0</v>
          </cell>
        </row>
        <row r="1941">
          <cell r="AD1941" t="str"/>
          <cell r="AE1941" t="str"/>
          <cell r="AF1941">
            <v>0</v>
          </cell>
          <cell r="AG1941">
            <v>0</v>
          </cell>
        </row>
        <row r="1942">
          <cell r="AD1942" t="str"/>
          <cell r="AE1942" t="str"/>
          <cell r="AF1942">
            <v>0</v>
          </cell>
          <cell r="AG1942">
            <v>0</v>
          </cell>
        </row>
        <row r="1943">
          <cell r="AD1943" t="str"/>
          <cell r="AE1943" t="str"/>
          <cell r="AF1943">
            <v>0</v>
          </cell>
          <cell r="AG1943">
            <v>0</v>
          </cell>
        </row>
        <row r="1944">
          <cell r="AD1944" t="str"/>
          <cell r="AE1944" t="str"/>
          <cell r="AF1944">
            <v>0</v>
          </cell>
          <cell r="AG1944">
            <v>0</v>
          </cell>
        </row>
        <row r="1945">
          <cell r="AD1945" t="str"/>
          <cell r="AE1945" t="str"/>
          <cell r="AF1945">
            <v>0</v>
          </cell>
          <cell r="AG1945">
            <v>0</v>
          </cell>
        </row>
        <row r="1946">
          <cell r="AD1946" t="str"/>
          <cell r="AE1946" t="str"/>
          <cell r="AF1946">
            <v>0</v>
          </cell>
          <cell r="AG1946">
            <v>0</v>
          </cell>
        </row>
        <row r="1947">
          <cell r="AD1947" t="str"/>
          <cell r="AE1947" t="str"/>
          <cell r="AF1947">
            <v>0</v>
          </cell>
          <cell r="AG1947">
            <v>0</v>
          </cell>
        </row>
        <row r="1948">
          <cell r="AD1948" t="str"/>
          <cell r="AE1948" t="str"/>
          <cell r="AF1948">
            <v>0</v>
          </cell>
          <cell r="AG1948">
            <v>0</v>
          </cell>
        </row>
        <row r="1949">
          <cell r="AD1949" t="str"/>
          <cell r="AE1949" t="str"/>
          <cell r="AF1949">
            <v>0</v>
          </cell>
          <cell r="AG1949">
            <v>0</v>
          </cell>
        </row>
        <row r="1950">
          <cell r="AD1950" t="str"/>
          <cell r="AE1950" t="str"/>
          <cell r="AF1950">
            <v>0</v>
          </cell>
          <cell r="AG1950">
            <v>0</v>
          </cell>
        </row>
        <row r="1951">
          <cell r="AD1951" t="str"/>
          <cell r="AE1951" t="str"/>
          <cell r="AF1951">
            <v>0</v>
          </cell>
          <cell r="AG1951">
            <v>0</v>
          </cell>
        </row>
        <row r="1952">
          <cell r="AD1952" t="str"/>
          <cell r="AE1952" t="str"/>
          <cell r="AF1952">
            <v>0</v>
          </cell>
          <cell r="AG1952">
            <v>0</v>
          </cell>
        </row>
        <row r="1953">
          <cell r="AD1953" t="str"/>
          <cell r="AE1953" t="str"/>
          <cell r="AF1953">
            <v>0</v>
          </cell>
          <cell r="AG1953">
            <v>0</v>
          </cell>
        </row>
        <row r="1954">
          <cell r="AD1954" t="str"/>
          <cell r="AE1954" t="str"/>
          <cell r="AF1954">
            <v>0</v>
          </cell>
          <cell r="AG1954">
            <v>0</v>
          </cell>
        </row>
        <row r="1955">
          <cell r="AD1955" t="str"/>
          <cell r="AE1955" t="str"/>
          <cell r="AF1955">
            <v>0</v>
          </cell>
          <cell r="AG1955">
            <v>0</v>
          </cell>
        </row>
        <row r="1956">
          <cell r="AD1956" t="str"/>
          <cell r="AE1956" t="str"/>
          <cell r="AF1956">
            <v>0</v>
          </cell>
          <cell r="AG1956">
            <v>0</v>
          </cell>
        </row>
        <row r="1957">
          <cell r="AD1957" t="str"/>
          <cell r="AE1957" t="str"/>
          <cell r="AF1957">
            <v>0</v>
          </cell>
          <cell r="AG1957">
            <v>0</v>
          </cell>
        </row>
        <row r="1958">
          <cell r="AD1958" t="str"/>
          <cell r="AE1958" t="str"/>
          <cell r="AF1958">
            <v>0</v>
          </cell>
          <cell r="AG1958">
            <v>0</v>
          </cell>
        </row>
        <row r="1959">
          <cell r="AD1959" t="str"/>
          <cell r="AE1959" t="str"/>
          <cell r="AF1959">
            <v>0</v>
          </cell>
          <cell r="AG1959">
            <v>0</v>
          </cell>
        </row>
        <row r="1960">
          <cell r="AD1960" t="str"/>
          <cell r="AE1960" t="str"/>
          <cell r="AF1960">
            <v>0</v>
          </cell>
          <cell r="AG1960">
            <v>0</v>
          </cell>
        </row>
        <row r="1961">
          <cell r="AD1961" t="str"/>
          <cell r="AE1961" t="str"/>
          <cell r="AF1961">
            <v>0</v>
          </cell>
          <cell r="AG1961">
            <v>0</v>
          </cell>
        </row>
        <row r="1962">
          <cell r="AD1962" t="str"/>
          <cell r="AE1962" t="str"/>
          <cell r="AF1962">
            <v>0</v>
          </cell>
          <cell r="AG1962">
            <v>0</v>
          </cell>
        </row>
        <row r="1963">
          <cell r="AD1963" t="str"/>
          <cell r="AE1963" t="str"/>
          <cell r="AF1963">
            <v>0</v>
          </cell>
          <cell r="AG1963">
            <v>0</v>
          </cell>
        </row>
        <row r="1964">
          <cell r="AD1964" t="str"/>
          <cell r="AE1964" t="str"/>
          <cell r="AF1964">
            <v>0</v>
          </cell>
          <cell r="AG1964">
            <v>0</v>
          </cell>
        </row>
        <row r="1965">
          <cell r="AD1965" t="str"/>
          <cell r="AE1965" t="str"/>
          <cell r="AF1965">
            <v>0</v>
          </cell>
          <cell r="AG1965">
            <v>0</v>
          </cell>
        </row>
        <row r="1966">
          <cell r="AD1966" t="str"/>
          <cell r="AE1966" t="str"/>
          <cell r="AF1966">
            <v>0</v>
          </cell>
          <cell r="AG1966">
            <v>0</v>
          </cell>
        </row>
        <row r="1967">
          <cell r="AD1967" t="str"/>
          <cell r="AE1967" t="str"/>
          <cell r="AF1967">
            <v>0</v>
          </cell>
          <cell r="AG1967">
            <v>0</v>
          </cell>
        </row>
        <row r="1968">
          <cell r="AD1968" t="str"/>
          <cell r="AE1968" t="str"/>
          <cell r="AF1968">
            <v>0</v>
          </cell>
          <cell r="AG1968">
            <v>0</v>
          </cell>
        </row>
        <row r="1969">
          <cell r="AD1969" t="str"/>
          <cell r="AE1969" t="str"/>
          <cell r="AF1969">
            <v>0</v>
          </cell>
          <cell r="AG1969">
            <v>0</v>
          </cell>
        </row>
        <row r="1970">
          <cell r="AD1970" t="str"/>
          <cell r="AE1970" t="str"/>
          <cell r="AF1970">
            <v>0</v>
          </cell>
          <cell r="AG1970">
            <v>0</v>
          </cell>
        </row>
        <row r="1971">
          <cell r="AD1971" t="str"/>
          <cell r="AE1971" t="str"/>
          <cell r="AF1971">
            <v>0</v>
          </cell>
          <cell r="AG1971">
            <v>0</v>
          </cell>
        </row>
        <row r="1972">
          <cell r="AD1972" t="str"/>
          <cell r="AE1972" t="str"/>
          <cell r="AF1972">
            <v>0</v>
          </cell>
          <cell r="AG1972">
            <v>0</v>
          </cell>
        </row>
        <row r="1973">
          <cell r="AD1973" t="str"/>
          <cell r="AE1973" t="str"/>
          <cell r="AF1973">
            <v>0</v>
          </cell>
          <cell r="AG1973">
            <v>0</v>
          </cell>
        </row>
        <row r="1974">
          <cell r="AD1974" t="str"/>
          <cell r="AE1974" t="str"/>
          <cell r="AF1974">
            <v>0</v>
          </cell>
          <cell r="AG1974">
            <v>0</v>
          </cell>
        </row>
        <row r="1975">
          <cell r="AD1975" t="str"/>
          <cell r="AE1975" t="str"/>
          <cell r="AF1975">
            <v>0</v>
          </cell>
          <cell r="AG1975">
            <v>0</v>
          </cell>
        </row>
        <row r="1976">
          <cell r="AD1976" t="str"/>
          <cell r="AE1976" t="str"/>
          <cell r="AF1976">
            <v>0</v>
          </cell>
          <cell r="AG1976">
            <v>0</v>
          </cell>
        </row>
        <row r="1977">
          <cell r="AD1977" t="str"/>
          <cell r="AE1977" t="str"/>
          <cell r="AF1977">
            <v>0</v>
          </cell>
          <cell r="AG1977">
            <v>0</v>
          </cell>
        </row>
        <row r="1978">
          <cell r="AD1978" t="str"/>
          <cell r="AE1978" t="str"/>
          <cell r="AF1978">
            <v>0</v>
          </cell>
          <cell r="AG1978">
            <v>0</v>
          </cell>
        </row>
        <row r="1979">
          <cell r="AD1979" t="str"/>
          <cell r="AE1979" t="str"/>
          <cell r="AF1979">
            <v>0</v>
          </cell>
          <cell r="AG1979">
            <v>0</v>
          </cell>
        </row>
        <row r="1980">
          <cell r="AD1980" t="str"/>
          <cell r="AE1980" t="str"/>
          <cell r="AF1980">
            <v>0</v>
          </cell>
          <cell r="AG1980">
            <v>0</v>
          </cell>
        </row>
        <row r="1981">
          <cell r="AD1981" t="str"/>
          <cell r="AE1981" t="str"/>
          <cell r="AF1981">
            <v>0</v>
          </cell>
          <cell r="AG1981">
            <v>0</v>
          </cell>
        </row>
        <row r="1982">
          <cell r="AD1982" t="str"/>
          <cell r="AE1982" t="str"/>
          <cell r="AF1982">
            <v>0</v>
          </cell>
          <cell r="AG1982">
            <v>0</v>
          </cell>
        </row>
        <row r="1983">
          <cell r="AD1983" t="str"/>
          <cell r="AE1983" t="str"/>
          <cell r="AF1983">
            <v>0</v>
          </cell>
          <cell r="AG1983">
            <v>0</v>
          </cell>
        </row>
        <row r="1984">
          <cell r="AD1984" t="str"/>
          <cell r="AE1984" t="str"/>
          <cell r="AF1984">
            <v>0</v>
          </cell>
          <cell r="AG1984">
            <v>0</v>
          </cell>
        </row>
        <row r="1985">
          <cell r="AD1985" t="str"/>
          <cell r="AE1985" t="str"/>
          <cell r="AF1985">
            <v>0</v>
          </cell>
          <cell r="AG1985">
            <v>0</v>
          </cell>
        </row>
        <row r="1986">
          <cell r="AD1986" t="str"/>
          <cell r="AE1986" t="str"/>
          <cell r="AF1986">
            <v>0</v>
          </cell>
          <cell r="AG1986">
            <v>0</v>
          </cell>
        </row>
        <row r="1987">
          <cell r="AD1987" t="str"/>
          <cell r="AE1987" t="str"/>
          <cell r="AF1987">
            <v>0</v>
          </cell>
          <cell r="AG1987">
            <v>0</v>
          </cell>
        </row>
        <row r="1988">
          <cell r="AD1988" t="str"/>
          <cell r="AE1988" t="str"/>
          <cell r="AF1988">
            <v>0</v>
          </cell>
          <cell r="AG1988">
            <v>0</v>
          </cell>
        </row>
        <row r="1989">
          <cell r="AD1989" t="str"/>
          <cell r="AE1989" t="str"/>
          <cell r="AF1989">
            <v>0</v>
          </cell>
          <cell r="AG1989">
            <v>0</v>
          </cell>
        </row>
        <row r="1990">
          <cell r="AD1990" t="str"/>
          <cell r="AE1990" t="str"/>
          <cell r="AF1990">
            <v>0</v>
          </cell>
          <cell r="AG1990">
            <v>0</v>
          </cell>
        </row>
        <row r="1991">
          <cell r="AD1991" t="str"/>
          <cell r="AE1991" t="str"/>
          <cell r="AF1991">
            <v>0</v>
          </cell>
          <cell r="AG1991">
            <v>0</v>
          </cell>
        </row>
        <row r="1992">
          <cell r="AD1992" t="str"/>
          <cell r="AE1992" t="str"/>
          <cell r="AF1992">
            <v>0</v>
          </cell>
          <cell r="AG1992">
            <v>0</v>
          </cell>
        </row>
        <row r="1993">
          <cell r="AD1993" t="str"/>
          <cell r="AE1993" t="str"/>
          <cell r="AF1993">
            <v>0</v>
          </cell>
          <cell r="AG1993">
            <v>0</v>
          </cell>
        </row>
        <row r="1994">
          <cell r="AD1994" t="str"/>
          <cell r="AE1994" t="str"/>
          <cell r="AF1994">
            <v>0</v>
          </cell>
          <cell r="AG1994">
            <v>0</v>
          </cell>
        </row>
        <row r="1995">
          <cell r="AD1995" t="str"/>
          <cell r="AE1995" t="str"/>
          <cell r="AF1995">
            <v>0</v>
          </cell>
          <cell r="AG1995">
            <v>0</v>
          </cell>
        </row>
        <row r="1996">
          <cell r="AD1996" t="str"/>
          <cell r="AE1996" t="str"/>
          <cell r="AF1996">
            <v>0</v>
          </cell>
          <cell r="AG1996">
            <v>0</v>
          </cell>
        </row>
        <row r="1997">
          <cell r="AD1997" t="str"/>
          <cell r="AE1997" t="str"/>
          <cell r="AF1997">
            <v>0</v>
          </cell>
          <cell r="AG1997">
            <v>0</v>
          </cell>
        </row>
        <row r="1998">
          <cell r="AD1998" t="str"/>
          <cell r="AE1998" t="str"/>
          <cell r="AF1998">
            <v>0</v>
          </cell>
          <cell r="AG1998">
            <v>0</v>
          </cell>
        </row>
        <row r="1999">
          <cell r="AD1999" t="str"/>
          <cell r="AE1999" t="str"/>
          <cell r="AF1999">
            <v>0</v>
          </cell>
          <cell r="AG1999">
            <v>0</v>
          </cell>
        </row>
        <row r="2000">
          <cell r="AD2000" t="str"/>
          <cell r="AE2000" t="str"/>
          <cell r="AF2000">
            <v>0</v>
          </cell>
          <cell r="AG2000">
            <v>0</v>
          </cell>
        </row>
        <row r="2001">
          <cell r="AD2001" t="str"/>
          <cell r="AE2001" t="str"/>
          <cell r="AF2001">
            <v>0</v>
          </cell>
          <cell r="AG2001">
            <v>0</v>
          </cell>
        </row>
        <row r="2002">
          <cell r="AD2002" t="str"/>
          <cell r="AE2002" t="str"/>
          <cell r="AF2002">
            <v>0</v>
          </cell>
          <cell r="AG2002">
            <v>0</v>
          </cell>
        </row>
        <row r="2003">
          <cell r="AD2003" t="str"/>
          <cell r="AE2003" t="str"/>
          <cell r="AF2003">
            <v>0</v>
          </cell>
          <cell r="AG2003">
            <v>0</v>
          </cell>
        </row>
        <row r="2004">
          <cell r="AD2004" t="str"/>
          <cell r="AE2004" t="str"/>
          <cell r="AF2004">
            <v>0</v>
          </cell>
          <cell r="AG2004">
            <v>0</v>
          </cell>
        </row>
        <row r="2005">
          <cell r="AD2005" t="str"/>
          <cell r="AE2005" t="str"/>
          <cell r="AF2005">
            <v>0</v>
          </cell>
          <cell r="AG2005">
            <v>0</v>
          </cell>
        </row>
        <row r="2006">
          <cell r="AD2006" t="str"/>
          <cell r="AE2006" t="str"/>
          <cell r="AF2006">
            <v>0</v>
          </cell>
          <cell r="AG2006">
            <v>0</v>
          </cell>
        </row>
        <row r="2007">
          <cell r="AD2007" t="str"/>
          <cell r="AE2007" t="str"/>
          <cell r="AF2007">
            <v>0</v>
          </cell>
          <cell r="AG2007">
            <v>0</v>
          </cell>
        </row>
        <row r="2008">
          <cell r="AD2008" t="str"/>
          <cell r="AE2008" t="str"/>
          <cell r="AF2008">
            <v>0</v>
          </cell>
          <cell r="AG2008">
            <v>0</v>
          </cell>
        </row>
        <row r="2009">
          <cell r="AD2009" t="str"/>
          <cell r="AE2009" t="str"/>
          <cell r="AF2009">
            <v>0</v>
          </cell>
          <cell r="AG2009">
            <v>0</v>
          </cell>
        </row>
        <row r="2010">
          <cell r="AD2010" t="str"/>
          <cell r="AE2010" t="str"/>
          <cell r="AF2010">
            <v>0</v>
          </cell>
          <cell r="AG2010">
            <v>0</v>
          </cell>
        </row>
        <row r="2011">
          <cell r="AD2011" t="str"/>
          <cell r="AE2011" t="str"/>
          <cell r="AF2011">
            <v>0</v>
          </cell>
          <cell r="AG2011">
            <v>0</v>
          </cell>
        </row>
        <row r="2012">
          <cell r="AD2012" t="str"/>
          <cell r="AE2012" t="str"/>
          <cell r="AF2012">
            <v>0</v>
          </cell>
          <cell r="AG2012">
            <v>0</v>
          </cell>
        </row>
        <row r="2013">
          <cell r="AD2013" t="str"/>
          <cell r="AE2013" t="str"/>
          <cell r="AF2013">
            <v>0</v>
          </cell>
          <cell r="AG2013">
            <v>0</v>
          </cell>
        </row>
        <row r="2014">
          <cell r="AD2014" t="str"/>
          <cell r="AE2014" t="str"/>
          <cell r="AF2014">
            <v>0</v>
          </cell>
          <cell r="AG2014">
            <v>0</v>
          </cell>
        </row>
        <row r="2015">
          <cell r="AD2015" t="str"/>
          <cell r="AE2015" t="str"/>
          <cell r="AF2015">
            <v>0</v>
          </cell>
          <cell r="AG2015">
            <v>0</v>
          </cell>
        </row>
        <row r="2016">
          <cell r="AD2016" t="str"/>
          <cell r="AE2016" t="str"/>
          <cell r="AF2016">
            <v>0</v>
          </cell>
          <cell r="AG2016">
            <v>0</v>
          </cell>
        </row>
        <row r="2017">
          <cell r="AD2017" t="str"/>
          <cell r="AE2017" t="str"/>
          <cell r="AF2017">
            <v>0</v>
          </cell>
          <cell r="AG2017">
            <v>0</v>
          </cell>
        </row>
        <row r="2018">
          <cell r="AD2018" t="str"/>
          <cell r="AE2018" t="str"/>
          <cell r="AF2018">
            <v>0</v>
          </cell>
          <cell r="AG2018">
            <v>0</v>
          </cell>
        </row>
        <row r="2019">
          <cell r="AD2019" t="str"/>
          <cell r="AE2019" t="str"/>
          <cell r="AF2019">
            <v>0</v>
          </cell>
          <cell r="AG2019">
            <v>0</v>
          </cell>
        </row>
        <row r="2020">
          <cell r="AD2020" t="str"/>
          <cell r="AE2020" t="str"/>
          <cell r="AF2020">
            <v>0</v>
          </cell>
          <cell r="AG2020">
            <v>0</v>
          </cell>
        </row>
        <row r="2021">
          <cell r="AD2021" t="str"/>
          <cell r="AE2021" t="str"/>
          <cell r="AF2021">
            <v>0</v>
          </cell>
          <cell r="AG2021">
            <v>0</v>
          </cell>
        </row>
        <row r="2022">
          <cell r="AD2022" t="str"/>
          <cell r="AE2022" t="str"/>
          <cell r="AF2022">
            <v>0</v>
          </cell>
          <cell r="AG2022">
            <v>0</v>
          </cell>
        </row>
        <row r="2023">
          <cell r="AD2023" t="str"/>
          <cell r="AE2023" t="str"/>
          <cell r="AF2023">
            <v>0</v>
          </cell>
          <cell r="AG2023">
            <v>0</v>
          </cell>
        </row>
        <row r="2024">
          <cell r="AD2024" t="str"/>
          <cell r="AE2024" t="str"/>
          <cell r="AF2024">
            <v>0</v>
          </cell>
          <cell r="AG2024">
            <v>0</v>
          </cell>
        </row>
        <row r="2025">
          <cell r="AD2025" t="str"/>
          <cell r="AE2025" t="str"/>
          <cell r="AF2025">
            <v>0</v>
          </cell>
          <cell r="AG2025">
            <v>0</v>
          </cell>
        </row>
        <row r="2026">
          <cell r="AD2026" t="str"/>
          <cell r="AE2026" t="str"/>
          <cell r="AF2026">
            <v>0</v>
          </cell>
          <cell r="AG2026">
            <v>0</v>
          </cell>
        </row>
        <row r="2027">
          <cell r="AD2027" t="str"/>
          <cell r="AE2027" t="str"/>
          <cell r="AF2027">
            <v>0</v>
          </cell>
          <cell r="AG2027">
            <v>0</v>
          </cell>
        </row>
        <row r="2028">
          <cell r="AD2028" t="str"/>
          <cell r="AE2028" t="str"/>
          <cell r="AF2028">
            <v>0</v>
          </cell>
          <cell r="AG2028">
            <v>0</v>
          </cell>
        </row>
        <row r="2029">
          <cell r="AD2029" t="str"/>
          <cell r="AE2029" t="str"/>
          <cell r="AF2029">
            <v>0</v>
          </cell>
          <cell r="AG2029">
            <v>0</v>
          </cell>
        </row>
        <row r="2030">
          <cell r="AD2030" t="str"/>
          <cell r="AE2030" t="str"/>
          <cell r="AF2030">
            <v>0</v>
          </cell>
          <cell r="AG2030">
            <v>0</v>
          </cell>
        </row>
        <row r="2031">
          <cell r="AD2031" t="str"/>
          <cell r="AE2031" t="str"/>
          <cell r="AF2031">
            <v>0</v>
          </cell>
          <cell r="AG2031">
            <v>0</v>
          </cell>
        </row>
        <row r="2032">
          <cell r="AD2032" t="str"/>
          <cell r="AE2032" t="str"/>
          <cell r="AF2032">
            <v>0</v>
          </cell>
          <cell r="AG2032">
            <v>0</v>
          </cell>
        </row>
        <row r="2033">
          <cell r="AD2033" t="str"/>
          <cell r="AE2033" t="str"/>
          <cell r="AF2033">
            <v>0</v>
          </cell>
          <cell r="AG2033">
            <v>0</v>
          </cell>
        </row>
        <row r="2034">
          <cell r="AD2034" t="str"/>
          <cell r="AE2034" t="str"/>
          <cell r="AF2034">
            <v>0</v>
          </cell>
          <cell r="AG2034">
            <v>0</v>
          </cell>
        </row>
        <row r="2035">
          <cell r="AD2035" t="str"/>
          <cell r="AE2035" t="str"/>
          <cell r="AF2035">
            <v>0</v>
          </cell>
          <cell r="AG2035">
            <v>0</v>
          </cell>
        </row>
        <row r="2036">
          <cell r="AD2036" t="str"/>
          <cell r="AE2036" t="str"/>
          <cell r="AF2036">
            <v>0</v>
          </cell>
          <cell r="AG2036">
            <v>0</v>
          </cell>
        </row>
        <row r="2037">
          <cell r="AD2037" t="str"/>
          <cell r="AE2037" t="str"/>
          <cell r="AF2037">
            <v>0</v>
          </cell>
          <cell r="AG2037">
            <v>0</v>
          </cell>
        </row>
        <row r="2038">
          <cell r="AD2038" t="str"/>
          <cell r="AE2038" t="str"/>
          <cell r="AF2038">
            <v>0</v>
          </cell>
          <cell r="AG2038">
            <v>0</v>
          </cell>
        </row>
        <row r="2039">
          <cell r="AD2039" t="str"/>
          <cell r="AE2039" t="str"/>
          <cell r="AF2039">
            <v>0</v>
          </cell>
          <cell r="AG2039">
            <v>0</v>
          </cell>
        </row>
        <row r="2040">
          <cell r="AD2040" t="str"/>
          <cell r="AE2040" t="str"/>
          <cell r="AF2040">
            <v>0</v>
          </cell>
          <cell r="AG2040">
            <v>0</v>
          </cell>
        </row>
        <row r="2041">
          <cell r="AD2041" t="str"/>
          <cell r="AE2041" t="str"/>
          <cell r="AF2041">
            <v>0</v>
          </cell>
          <cell r="AG2041">
            <v>0</v>
          </cell>
        </row>
        <row r="2042">
          <cell r="AD2042" t="str"/>
          <cell r="AE2042" t="str"/>
          <cell r="AF2042">
            <v>0</v>
          </cell>
          <cell r="AG2042">
            <v>0</v>
          </cell>
        </row>
        <row r="2043">
          <cell r="AD2043" t="str"/>
          <cell r="AE2043" t="str"/>
          <cell r="AF2043">
            <v>0</v>
          </cell>
          <cell r="AG2043">
            <v>0</v>
          </cell>
        </row>
        <row r="2044">
          <cell r="AD2044" t="str"/>
          <cell r="AE2044" t="str"/>
          <cell r="AF2044">
            <v>0</v>
          </cell>
          <cell r="AG2044">
            <v>0</v>
          </cell>
        </row>
        <row r="2045">
          <cell r="AD2045" t="str"/>
          <cell r="AE2045" t="str"/>
          <cell r="AF2045">
            <v>0</v>
          </cell>
          <cell r="AG2045">
            <v>0</v>
          </cell>
        </row>
        <row r="2046">
          <cell r="AD2046" t="str"/>
          <cell r="AE2046" t="str"/>
          <cell r="AF2046">
            <v>0</v>
          </cell>
          <cell r="AG2046">
            <v>0</v>
          </cell>
        </row>
        <row r="2047">
          <cell r="AD2047" t="str"/>
          <cell r="AE2047" t="str"/>
          <cell r="AF2047">
            <v>0</v>
          </cell>
          <cell r="AG2047">
            <v>0</v>
          </cell>
        </row>
        <row r="2048">
          <cell r="AD2048" t="str"/>
          <cell r="AE2048" t="str"/>
          <cell r="AF2048">
            <v>0</v>
          </cell>
          <cell r="AG2048">
            <v>0</v>
          </cell>
        </row>
        <row r="2049">
          <cell r="AD2049" t="str"/>
          <cell r="AE2049" t="str"/>
          <cell r="AF2049">
            <v>0</v>
          </cell>
          <cell r="AG2049">
            <v>0</v>
          </cell>
        </row>
        <row r="2050">
          <cell r="AD2050" t="str"/>
          <cell r="AE2050" t="str"/>
          <cell r="AF2050">
            <v>0</v>
          </cell>
          <cell r="AG2050">
            <v>0</v>
          </cell>
        </row>
        <row r="2051">
          <cell r="AD2051" t="str"/>
          <cell r="AE2051" t="str"/>
          <cell r="AF2051">
            <v>0</v>
          </cell>
          <cell r="AG2051">
            <v>0</v>
          </cell>
        </row>
        <row r="2052">
          <cell r="AD2052" t="str"/>
          <cell r="AE2052" t="str"/>
          <cell r="AF2052">
            <v>0</v>
          </cell>
          <cell r="AG2052">
            <v>0</v>
          </cell>
        </row>
        <row r="2053">
          <cell r="AD2053" t="str"/>
          <cell r="AE2053" t="str"/>
          <cell r="AF2053">
            <v>0</v>
          </cell>
          <cell r="AG2053">
            <v>0</v>
          </cell>
        </row>
        <row r="2054">
          <cell r="AD2054" t="str"/>
          <cell r="AE2054" t="str"/>
          <cell r="AF2054">
            <v>0</v>
          </cell>
          <cell r="AG2054">
            <v>0</v>
          </cell>
        </row>
        <row r="2055">
          <cell r="AD2055" t="str"/>
          <cell r="AE2055" t="str"/>
          <cell r="AF2055">
            <v>0</v>
          </cell>
          <cell r="AG2055">
            <v>0</v>
          </cell>
        </row>
        <row r="2056">
          <cell r="AD2056" t="str"/>
          <cell r="AE2056" t="str"/>
          <cell r="AF2056">
            <v>0</v>
          </cell>
          <cell r="AG2056">
            <v>0</v>
          </cell>
        </row>
        <row r="2057">
          <cell r="AD2057" t="str"/>
          <cell r="AE2057" t="str"/>
          <cell r="AF2057">
            <v>0</v>
          </cell>
          <cell r="AG2057">
            <v>0</v>
          </cell>
        </row>
        <row r="2058">
          <cell r="AD2058" t="str"/>
          <cell r="AE2058" t="str"/>
          <cell r="AF2058">
            <v>0</v>
          </cell>
          <cell r="AG2058">
            <v>0</v>
          </cell>
        </row>
        <row r="2059">
          <cell r="AD2059" t="str"/>
          <cell r="AE2059" t="str"/>
          <cell r="AF2059">
            <v>0</v>
          </cell>
          <cell r="AG2059">
            <v>0</v>
          </cell>
        </row>
        <row r="2060">
          <cell r="AD2060" t="str"/>
          <cell r="AE2060" t="str"/>
          <cell r="AF2060">
            <v>0</v>
          </cell>
          <cell r="AG2060">
            <v>0</v>
          </cell>
        </row>
        <row r="2061">
          <cell r="AD2061" t="str"/>
          <cell r="AE2061" t="str"/>
          <cell r="AF2061">
            <v>0</v>
          </cell>
          <cell r="AG2061">
            <v>0</v>
          </cell>
        </row>
        <row r="2062">
          <cell r="AD2062" t="str"/>
          <cell r="AE2062" t="str"/>
          <cell r="AF2062">
            <v>0</v>
          </cell>
          <cell r="AG2062">
            <v>0</v>
          </cell>
        </row>
        <row r="2063">
          <cell r="AD2063" t="str"/>
          <cell r="AE2063" t="str"/>
          <cell r="AF2063">
            <v>0</v>
          </cell>
          <cell r="AG2063">
            <v>0</v>
          </cell>
        </row>
        <row r="2064">
          <cell r="AD2064" t="str"/>
          <cell r="AE2064" t="str"/>
          <cell r="AF2064">
            <v>0</v>
          </cell>
          <cell r="AG2064">
            <v>0</v>
          </cell>
        </row>
        <row r="2065">
          <cell r="AD2065" t="str"/>
          <cell r="AE2065" t="str"/>
          <cell r="AF2065">
            <v>0</v>
          </cell>
          <cell r="AG2065">
            <v>0</v>
          </cell>
        </row>
        <row r="2066">
          <cell r="AD2066" t="str"/>
          <cell r="AE2066" t="str"/>
          <cell r="AF2066">
            <v>0</v>
          </cell>
          <cell r="AG2066">
            <v>0</v>
          </cell>
        </row>
        <row r="2067">
          <cell r="AD2067" t="str"/>
          <cell r="AE2067" t="str"/>
          <cell r="AF2067">
            <v>0</v>
          </cell>
          <cell r="AG2067">
            <v>0</v>
          </cell>
        </row>
        <row r="2068">
          <cell r="AD2068" t="str"/>
          <cell r="AE2068" t="str"/>
          <cell r="AF2068">
            <v>0</v>
          </cell>
          <cell r="AG2068">
            <v>0</v>
          </cell>
        </row>
        <row r="2069">
          <cell r="AD2069" t="str"/>
          <cell r="AE2069" t="str"/>
          <cell r="AF2069">
            <v>0</v>
          </cell>
          <cell r="AG2069">
            <v>0</v>
          </cell>
        </row>
        <row r="2070">
          <cell r="AD2070" t="str"/>
          <cell r="AE2070" t="str"/>
          <cell r="AF2070">
            <v>0</v>
          </cell>
          <cell r="AG2070">
            <v>0</v>
          </cell>
        </row>
        <row r="2071">
          <cell r="AD2071" t="str"/>
          <cell r="AE2071" t="str"/>
          <cell r="AF2071">
            <v>0</v>
          </cell>
          <cell r="AG2071">
            <v>0</v>
          </cell>
        </row>
        <row r="2072">
          <cell r="AD2072" t="str"/>
          <cell r="AE2072" t="str"/>
          <cell r="AF2072">
            <v>0</v>
          </cell>
          <cell r="AG2072">
            <v>0</v>
          </cell>
        </row>
        <row r="2073">
          <cell r="AD2073" t="str"/>
          <cell r="AE2073" t="str"/>
          <cell r="AF2073">
            <v>0</v>
          </cell>
          <cell r="AG2073">
            <v>0</v>
          </cell>
        </row>
        <row r="2074">
          <cell r="AD2074" t="str"/>
          <cell r="AE2074" t="str"/>
          <cell r="AF2074">
            <v>0</v>
          </cell>
          <cell r="AG2074">
            <v>0</v>
          </cell>
        </row>
        <row r="2075">
          <cell r="AD2075" t="str"/>
          <cell r="AE2075" t="str"/>
          <cell r="AF2075">
            <v>0</v>
          </cell>
          <cell r="AG2075">
            <v>0</v>
          </cell>
        </row>
        <row r="2076">
          <cell r="AD2076" t="str"/>
          <cell r="AE2076" t="str"/>
          <cell r="AF2076">
            <v>0</v>
          </cell>
          <cell r="AG2076">
            <v>0</v>
          </cell>
        </row>
        <row r="2077">
          <cell r="AD2077" t="str"/>
          <cell r="AE2077" t="str"/>
          <cell r="AF2077">
            <v>0</v>
          </cell>
          <cell r="AG2077">
            <v>0</v>
          </cell>
        </row>
        <row r="2078">
          <cell r="AD2078" t="str"/>
          <cell r="AE2078" t="str"/>
          <cell r="AF2078">
            <v>0</v>
          </cell>
          <cell r="AG2078">
            <v>0</v>
          </cell>
        </row>
        <row r="2079">
          <cell r="AD2079" t="str"/>
          <cell r="AE2079" t="str"/>
          <cell r="AF2079">
            <v>0</v>
          </cell>
          <cell r="AG2079">
            <v>0</v>
          </cell>
        </row>
        <row r="2080">
          <cell r="AD2080" t="str"/>
          <cell r="AE2080" t="str"/>
          <cell r="AF2080">
            <v>0</v>
          </cell>
          <cell r="AG2080">
            <v>0</v>
          </cell>
        </row>
        <row r="2081">
          <cell r="AD2081" t="str"/>
          <cell r="AE2081" t="str"/>
          <cell r="AF2081">
            <v>0</v>
          </cell>
          <cell r="AG2081">
            <v>0</v>
          </cell>
        </row>
        <row r="2082">
          <cell r="AD2082" t="str"/>
          <cell r="AE2082" t="str"/>
          <cell r="AF2082">
            <v>0</v>
          </cell>
          <cell r="AG2082">
            <v>0</v>
          </cell>
        </row>
        <row r="2083">
          <cell r="AD2083" t="str"/>
          <cell r="AE2083" t="str"/>
          <cell r="AF2083">
            <v>0</v>
          </cell>
          <cell r="AG2083">
            <v>0</v>
          </cell>
        </row>
        <row r="2084">
          <cell r="AD2084" t="str"/>
          <cell r="AE2084" t="str"/>
          <cell r="AF2084">
            <v>0</v>
          </cell>
          <cell r="AG2084">
            <v>0</v>
          </cell>
        </row>
        <row r="2085">
          <cell r="AD2085" t="str"/>
          <cell r="AE2085" t="str"/>
          <cell r="AF2085">
            <v>0</v>
          </cell>
          <cell r="AG2085">
            <v>0</v>
          </cell>
        </row>
        <row r="2086">
          <cell r="AD2086" t="str"/>
          <cell r="AE2086" t="str"/>
          <cell r="AF2086">
            <v>0</v>
          </cell>
          <cell r="AG2086">
            <v>0</v>
          </cell>
        </row>
        <row r="2087">
          <cell r="AD2087" t="str"/>
          <cell r="AE2087" t="str"/>
          <cell r="AF2087">
            <v>0</v>
          </cell>
          <cell r="AG2087">
            <v>0</v>
          </cell>
        </row>
        <row r="2088">
          <cell r="AD2088" t="str"/>
          <cell r="AE2088" t="str"/>
          <cell r="AF2088">
            <v>0</v>
          </cell>
          <cell r="AG2088">
            <v>0</v>
          </cell>
        </row>
        <row r="2089">
          <cell r="AD2089" t="str"/>
          <cell r="AE2089" t="str"/>
          <cell r="AF2089">
            <v>0</v>
          </cell>
          <cell r="AG2089">
            <v>0</v>
          </cell>
        </row>
        <row r="2090">
          <cell r="AD2090" t="str"/>
          <cell r="AE2090" t="str"/>
          <cell r="AF2090">
            <v>0</v>
          </cell>
          <cell r="AG2090">
            <v>0</v>
          </cell>
        </row>
        <row r="2091">
          <cell r="AD2091" t="str"/>
          <cell r="AE2091" t="str"/>
          <cell r="AF2091">
            <v>0</v>
          </cell>
          <cell r="AG2091">
            <v>0</v>
          </cell>
        </row>
        <row r="2092">
          <cell r="AD2092" t="str"/>
          <cell r="AE2092" t="str"/>
          <cell r="AF2092">
            <v>0</v>
          </cell>
          <cell r="AG2092">
            <v>0</v>
          </cell>
        </row>
        <row r="2093">
          <cell r="AD2093" t="str"/>
          <cell r="AE2093" t="str"/>
          <cell r="AF2093">
            <v>0</v>
          </cell>
          <cell r="AG2093">
            <v>0</v>
          </cell>
        </row>
        <row r="2094">
          <cell r="AD2094" t="str"/>
          <cell r="AE2094" t="str"/>
          <cell r="AF2094">
            <v>0</v>
          </cell>
          <cell r="AG2094">
            <v>0</v>
          </cell>
        </row>
        <row r="2095">
          <cell r="AD2095" t="str"/>
          <cell r="AE2095" t="str"/>
          <cell r="AF2095">
            <v>0</v>
          </cell>
          <cell r="AG2095">
            <v>0</v>
          </cell>
        </row>
        <row r="2096">
          <cell r="AD2096" t="str"/>
          <cell r="AE2096" t="str"/>
          <cell r="AF2096">
            <v>0</v>
          </cell>
          <cell r="AG2096">
            <v>0</v>
          </cell>
        </row>
        <row r="2097">
          <cell r="AD2097" t="str"/>
          <cell r="AE2097" t="str"/>
          <cell r="AF2097">
            <v>0</v>
          </cell>
          <cell r="AG2097">
            <v>0</v>
          </cell>
        </row>
        <row r="2098">
          <cell r="AD2098" t="str"/>
          <cell r="AE2098" t="str"/>
          <cell r="AF2098">
            <v>0</v>
          </cell>
          <cell r="AG2098">
            <v>0</v>
          </cell>
        </row>
        <row r="2099">
          <cell r="AD2099" t="str"/>
          <cell r="AE2099" t="str"/>
          <cell r="AF2099">
            <v>0</v>
          </cell>
          <cell r="AG2099">
            <v>0</v>
          </cell>
        </row>
        <row r="2100">
          <cell r="AD2100" t="str"/>
          <cell r="AE2100" t="str"/>
          <cell r="AF2100">
            <v>0</v>
          </cell>
          <cell r="AG2100">
            <v>0</v>
          </cell>
        </row>
        <row r="2101">
          <cell r="AD2101" t="str"/>
          <cell r="AE2101" t="str"/>
          <cell r="AF2101">
            <v>0</v>
          </cell>
          <cell r="AG2101">
            <v>0</v>
          </cell>
        </row>
        <row r="2102">
          <cell r="AD2102" t="str"/>
          <cell r="AE2102" t="str"/>
          <cell r="AF2102">
            <v>0</v>
          </cell>
          <cell r="AG2102">
            <v>0</v>
          </cell>
        </row>
        <row r="2103">
          <cell r="AD2103" t="str"/>
          <cell r="AE2103" t="str"/>
          <cell r="AF2103">
            <v>0</v>
          </cell>
          <cell r="AG2103">
            <v>0</v>
          </cell>
        </row>
        <row r="2104">
          <cell r="AD2104" t="str"/>
          <cell r="AE2104" t="str"/>
          <cell r="AF2104">
            <v>0</v>
          </cell>
          <cell r="AG2104">
            <v>0</v>
          </cell>
        </row>
        <row r="2105">
          <cell r="AD2105" t="str"/>
          <cell r="AE2105" t="str"/>
          <cell r="AF2105">
            <v>0</v>
          </cell>
          <cell r="AG2105">
            <v>0</v>
          </cell>
        </row>
        <row r="2106">
          <cell r="AD2106" t="str"/>
          <cell r="AE2106" t="str"/>
          <cell r="AF2106">
            <v>0</v>
          </cell>
          <cell r="AG2106">
            <v>0</v>
          </cell>
        </row>
        <row r="2107">
          <cell r="AD2107" t="str"/>
          <cell r="AE2107" t="str"/>
          <cell r="AF2107">
            <v>0</v>
          </cell>
          <cell r="AG2107">
            <v>0</v>
          </cell>
        </row>
        <row r="2108">
          <cell r="AD2108" t="str"/>
          <cell r="AE2108" t="str"/>
          <cell r="AF2108">
            <v>0</v>
          </cell>
          <cell r="AG2108">
            <v>0</v>
          </cell>
        </row>
        <row r="2109">
          <cell r="AD2109" t="str"/>
          <cell r="AE2109" t="str"/>
          <cell r="AF2109">
            <v>0</v>
          </cell>
          <cell r="AG2109">
            <v>0</v>
          </cell>
        </row>
        <row r="2110">
          <cell r="AD2110" t="str"/>
          <cell r="AE2110" t="str"/>
          <cell r="AF2110">
            <v>0</v>
          </cell>
          <cell r="AG2110">
            <v>0</v>
          </cell>
        </row>
        <row r="2111">
          <cell r="AD2111" t="str"/>
          <cell r="AE2111" t="str"/>
          <cell r="AF2111">
            <v>0</v>
          </cell>
          <cell r="AG2111">
            <v>0</v>
          </cell>
        </row>
        <row r="2112">
          <cell r="AD2112" t="str"/>
          <cell r="AE2112" t="str"/>
          <cell r="AF2112">
            <v>0</v>
          </cell>
          <cell r="AG2112">
            <v>0</v>
          </cell>
        </row>
        <row r="2113">
          <cell r="AD2113" t="str"/>
          <cell r="AE2113" t="str"/>
          <cell r="AF2113">
            <v>0</v>
          </cell>
          <cell r="AG2113">
            <v>0</v>
          </cell>
        </row>
        <row r="2114">
          <cell r="AD2114" t="str"/>
          <cell r="AE2114" t="str"/>
          <cell r="AF2114">
            <v>0</v>
          </cell>
          <cell r="AG2114">
            <v>0</v>
          </cell>
        </row>
        <row r="2115">
          <cell r="AD2115" t="str"/>
          <cell r="AE2115" t="str"/>
          <cell r="AF2115">
            <v>0</v>
          </cell>
          <cell r="AG2115">
            <v>0</v>
          </cell>
        </row>
        <row r="2116">
          <cell r="AD2116" t="str"/>
          <cell r="AE2116" t="str"/>
          <cell r="AF2116">
            <v>0</v>
          </cell>
          <cell r="AG2116">
            <v>0</v>
          </cell>
        </row>
        <row r="2117">
          <cell r="AD2117" t="str"/>
          <cell r="AE2117" t="str"/>
          <cell r="AF2117">
            <v>0</v>
          </cell>
          <cell r="AG2117">
            <v>0</v>
          </cell>
        </row>
        <row r="2118">
          <cell r="AD2118" t="str"/>
          <cell r="AE2118" t="str"/>
          <cell r="AF2118">
            <v>0</v>
          </cell>
          <cell r="AG2118">
            <v>0</v>
          </cell>
        </row>
        <row r="2119">
          <cell r="AD2119" t="str"/>
          <cell r="AE2119" t="str"/>
          <cell r="AF2119">
            <v>0</v>
          </cell>
          <cell r="AG2119">
            <v>0</v>
          </cell>
        </row>
        <row r="2120">
          <cell r="AD2120" t="str"/>
          <cell r="AE2120" t="str"/>
          <cell r="AF2120">
            <v>0</v>
          </cell>
          <cell r="AG2120">
            <v>0</v>
          </cell>
        </row>
        <row r="2121">
          <cell r="AD2121" t="str"/>
          <cell r="AE2121" t="str"/>
          <cell r="AF2121">
            <v>0</v>
          </cell>
          <cell r="AG2121">
            <v>0</v>
          </cell>
        </row>
        <row r="2122">
          <cell r="AD2122" t="str"/>
          <cell r="AE2122" t="str"/>
          <cell r="AF2122">
            <v>0</v>
          </cell>
          <cell r="AG2122">
            <v>0</v>
          </cell>
        </row>
        <row r="2123">
          <cell r="AD2123" t="str"/>
          <cell r="AE2123" t="str"/>
          <cell r="AF2123">
            <v>0</v>
          </cell>
          <cell r="AG2123">
            <v>0</v>
          </cell>
        </row>
        <row r="2124">
          <cell r="AD2124" t="str"/>
          <cell r="AE2124" t="str"/>
          <cell r="AF2124">
            <v>0</v>
          </cell>
          <cell r="AG2124">
            <v>0</v>
          </cell>
        </row>
        <row r="2125">
          <cell r="AD2125" t="str"/>
          <cell r="AE2125" t="str"/>
          <cell r="AF2125">
            <v>0</v>
          </cell>
          <cell r="AG2125">
            <v>0</v>
          </cell>
        </row>
        <row r="2126">
          <cell r="AD2126" t="str"/>
          <cell r="AE2126" t="str"/>
          <cell r="AF2126">
            <v>0</v>
          </cell>
          <cell r="AG2126">
            <v>0</v>
          </cell>
        </row>
        <row r="2127">
          <cell r="AD2127" t="str"/>
          <cell r="AE2127" t="str"/>
          <cell r="AF2127">
            <v>0</v>
          </cell>
          <cell r="AG2127">
            <v>0</v>
          </cell>
        </row>
        <row r="2128">
          <cell r="AD2128" t="str"/>
          <cell r="AE2128" t="str"/>
          <cell r="AF2128">
            <v>0</v>
          </cell>
          <cell r="AG2128">
            <v>0</v>
          </cell>
        </row>
        <row r="2129">
          <cell r="AD2129" t="str"/>
          <cell r="AE2129" t="str"/>
          <cell r="AF2129">
            <v>0</v>
          </cell>
          <cell r="AG2129">
            <v>0</v>
          </cell>
        </row>
        <row r="2130">
          <cell r="AD2130" t="str"/>
          <cell r="AE2130" t="str"/>
          <cell r="AF2130">
            <v>0</v>
          </cell>
          <cell r="AG2130">
            <v>0</v>
          </cell>
        </row>
        <row r="2131">
          <cell r="AD2131" t="str"/>
          <cell r="AE2131" t="str"/>
          <cell r="AF2131">
            <v>0</v>
          </cell>
          <cell r="AG2131">
            <v>0</v>
          </cell>
        </row>
        <row r="2132">
          <cell r="AD2132" t="str"/>
          <cell r="AE2132" t="str"/>
          <cell r="AF2132">
            <v>0</v>
          </cell>
          <cell r="AG2132">
            <v>0</v>
          </cell>
        </row>
        <row r="2133">
          <cell r="AD2133" t="str"/>
          <cell r="AE2133" t="str"/>
          <cell r="AF2133">
            <v>0</v>
          </cell>
          <cell r="AG2133">
            <v>0</v>
          </cell>
        </row>
        <row r="2134">
          <cell r="AD2134" t="str"/>
          <cell r="AE2134" t="str"/>
          <cell r="AF2134">
            <v>0</v>
          </cell>
          <cell r="AG2134">
            <v>0</v>
          </cell>
        </row>
        <row r="2135">
          <cell r="AD2135" t="str"/>
          <cell r="AE2135" t="str"/>
          <cell r="AF2135">
            <v>0</v>
          </cell>
          <cell r="AG2135">
            <v>0</v>
          </cell>
        </row>
        <row r="2136">
          <cell r="AD2136" t="str"/>
          <cell r="AE2136" t="str"/>
          <cell r="AF2136">
            <v>0</v>
          </cell>
          <cell r="AG2136">
            <v>0</v>
          </cell>
        </row>
        <row r="2137">
          <cell r="AD2137" t="str"/>
          <cell r="AE2137" t="str"/>
          <cell r="AF2137">
            <v>0</v>
          </cell>
          <cell r="AG2137">
            <v>0</v>
          </cell>
        </row>
        <row r="2138">
          <cell r="AD2138" t="str"/>
          <cell r="AE2138" t="str"/>
          <cell r="AF2138">
            <v>0</v>
          </cell>
          <cell r="AG2138">
            <v>0</v>
          </cell>
        </row>
        <row r="2139">
          <cell r="AD2139" t="str"/>
          <cell r="AE2139" t="str"/>
          <cell r="AF2139">
            <v>0</v>
          </cell>
          <cell r="AG2139">
            <v>0</v>
          </cell>
        </row>
        <row r="2140">
          <cell r="AD2140" t="str"/>
          <cell r="AE2140" t="str"/>
          <cell r="AF2140">
            <v>0</v>
          </cell>
          <cell r="AG2140">
            <v>0</v>
          </cell>
        </row>
        <row r="2141">
          <cell r="AD2141" t="str"/>
          <cell r="AE2141" t="str"/>
          <cell r="AF2141">
            <v>0</v>
          </cell>
          <cell r="AG2141">
            <v>0</v>
          </cell>
        </row>
        <row r="2142">
          <cell r="AD2142" t="str"/>
          <cell r="AE2142" t="str"/>
          <cell r="AF2142">
            <v>0</v>
          </cell>
          <cell r="AG2142">
            <v>0</v>
          </cell>
        </row>
        <row r="2143">
          <cell r="AD2143" t="str"/>
          <cell r="AE2143" t="str"/>
          <cell r="AF2143">
            <v>0</v>
          </cell>
          <cell r="AG2143">
            <v>0</v>
          </cell>
        </row>
        <row r="2144">
          <cell r="AD2144" t="str"/>
          <cell r="AE2144" t="str"/>
          <cell r="AF2144">
            <v>0</v>
          </cell>
          <cell r="AG2144">
            <v>0</v>
          </cell>
        </row>
        <row r="2145">
          <cell r="AD2145" t="str"/>
          <cell r="AE2145" t="str"/>
          <cell r="AF2145">
            <v>0</v>
          </cell>
          <cell r="AG2145">
            <v>0</v>
          </cell>
        </row>
        <row r="2146">
          <cell r="AD2146" t="str"/>
          <cell r="AE2146" t="str"/>
          <cell r="AF2146">
            <v>0</v>
          </cell>
          <cell r="AG2146">
            <v>0</v>
          </cell>
        </row>
        <row r="2147">
          <cell r="AD2147" t="str"/>
          <cell r="AE2147" t="str"/>
          <cell r="AF2147">
            <v>0</v>
          </cell>
          <cell r="AG2147">
            <v>0</v>
          </cell>
        </row>
        <row r="2148">
          <cell r="AD2148" t="str"/>
          <cell r="AE2148" t="str"/>
          <cell r="AF2148">
            <v>0</v>
          </cell>
          <cell r="AG2148">
            <v>0</v>
          </cell>
        </row>
        <row r="2149">
          <cell r="AD2149" t="str"/>
          <cell r="AE2149" t="str"/>
          <cell r="AF2149">
            <v>0</v>
          </cell>
          <cell r="AG2149">
            <v>0</v>
          </cell>
        </row>
        <row r="2150">
          <cell r="AD2150" t="str"/>
          <cell r="AE2150" t="str"/>
          <cell r="AF2150">
            <v>0</v>
          </cell>
          <cell r="AG2150">
            <v>0</v>
          </cell>
        </row>
        <row r="2151">
          <cell r="AD2151" t="str"/>
          <cell r="AE2151" t="str"/>
          <cell r="AF2151">
            <v>0</v>
          </cell>
          <cell r="AG2151">
            <v>0</v>
          </cell>
        </row>
        <row r="2152">
          <cell r="AD2152" t="str"/>
          <cell r="AE2152" t="str"/>
          <cell r="AF2152">
            <v>0</v>
          </cell>
          <cell r="AG2152">
            <v>0</v>
          </cell>
        </row>
        <row r="2153">
          <cell r="AD2153" t="str"/>
          <cell r="AE2153" t="str"/>
          <cell r="AF2153">
            <v>0</v>
          </cell>
          <cell r="AG2153">
            <v>0</v>
          </cell>
        </row>
        <row r="2154">
          <cell r="AD2154" t="str"/>
          <cell r="AE2154" t="str"/>
          <cell r="AF2154">
            <v>0</v>
          </cell>
          <cell r="AG2154">
            <v>0</v>
          </cell>
        </row>
        <row r="2155">
          <cell r="AD2155" t="str"/>
          <cell r="AE2155" t="str"/>
          <cell r="AF2155">
            <v>0</v>
          </cell>
          <cell r="AG2155">
            <v>0</v>
          </cell>
        </row>
        <row r="2156">
          <cell r="AD2156" t="str"/>
          <cell r="AE2156" t="str"/>
          <cell r="AF2156">
            <v>0</v>
          </cell>
          <cell r="AG2156">
            <v>0</v>
          </cell>
        </row>
        <row r="2157">
          <cell r="AD2157" t="str"/>
          <cell r="AE2157" t="str"/>
          <cell r="AF2157">
            <v>0</v>
          </cell>
          <cell r="AG2157">
            <v>0</v>
          </cell>
        </row>
        <row r="2158">
          <cell r="AD2158" t="str"/>
          <cell r="AE2158" t="str"/>
          <cell r="AF2158">
            <v>0</v>
          </cell>
          <cell r="AG2158">
            <v>0</v>
          </cell>
        </row>
        <row r="2159">
          <cell r="AD2159" t="str"/>
          <cell r="AE2159" t="str"/>
          <cell r="AF2159">
            <v>0</v>
          </cell>
          <cell r="AG2159">
            <v>0</v>
          </cell>
        </row>
        <row r="2160">
          <cell r="AD2160" t="str"/>
          <cell r="AE2160" t="str"/>
          <cell r="AF2160">
            <v>0</v>
          </cell>
          <cell r="AG2160">
            <v>0</v>
          </cell>
        </row>
        <row r="2161">
          <cell r="AD2161" t="str"/>
          <cell r="AE2161" t="str"/>
          <cell r="AF2161">
            <v>0</v>
          </cell>
          <cell r="AG2161">
            <v>0</v>
          </cell>
        </row>
        <row r="2162">
          <cell r="AD2162" t="str"/>
          <cell r="AE2162" t="str"/>
          <cell r="AF2162">
            <v>0</v>
          </cell>
          <cell r="AG2162">
            <v>0</v>
          </cell>
        </row>
        <row r="2163">
          <cell r="AD2163" t="str"/>
          <cell r="AE2163" t="str"/>
          <cell r="AF2163">
            <v>0</v>
          </cell>
          <cell r="AG2163">
            <v>0</v>
          </cell>
        </row>
        <row r="2164">
          <cell r="AD2164" t="str"/>
          <cell r="AE2164" t="str"/>
          <cell r="AF2164">
            <v>0</v>
          </cell>
          <cell r="AG2164">
            <v>0</v>
          </cell>
        </row>
        <row r="2165">
          <cell r="AD2165" t="str"/>
          <cell r="AE2165" t="str"/>
          <cell r="AF2165">
            <v>0</v>
          </cell>
          <cell r="AG2165">
            <v>0</v>
          </cell>
        </row>
        <row r="2166">
          <cell r="AD2166" t="str"/>
          <cell r="AE2166" t="str"/>
          <cell r="AF2166">
            <v>0</v>
          </cell>
          <cell r="AG2166">
            <v>0</v>
          </cell>
        </row>
        <row r="2167">
          <cell r="AD2167" t="str"/>
          <cell r="AE2167" t="str"/>
          <cell r="AF2167">
            <v>0</v>
          </cell>
          <cell r="AG2167">
            <v>0</v>
          </cell>
        </row>
        <row r="2168">
          <cell r="AD2168" t="str"/>
          <cell r="AE2168" t="str"/>
          <cell r="AF2168">
            <v>0</v>
          </cell>
          <cell r="AG2168">
            <v>0</v>
          </cell>
        </row>
        <row r="2169">
          <cell r="AD2169" t="str"/>
          <cell r="AE2169" t="str"/>
          <cell r="AF2169">
            <v>0</v>
          </cell>
          <cell r="AG2169">
            <v>0</v>
          </cell>
        </row>
        <row r="2170">
          <cell r="AD2170" t="str"/>
          <cell r="AE2170" t="str"/>
          <cell r="AF2170">
            <v>0</v>
          </cell>
          <cell r="AG2170">
            <v>0</v>
          </cell>
        </row>
        <row r="2171">
          <cell r="AD2171" t="str"/>
          <cell r="AE2171" t="str"/>
          <cell r="AF2171">
            <v>0</v>
          </cell>
          <cell r="AG2171">
            <v>0</v>
          </cell>
        </row>
        <row r="2172">
          <cell r="AD2172" t="str"/>
          <cell r="AE2172" t="str"/>
          <cell r="AF2172">
            <v>0</v>
          </cell>
          <cell r="AG2172">
            <v>0</v>
          </cell>
        </row>
        <row r="2173">
          <cell r="AD2173" t="str"/>
          <cell r="AE2173" t="str"/>
          <cell r="AF2173">
            <v>0</v>
          </cell>
          <cell r="AG2173">
            <v>0</v>
          </cell>
        </row>
        <row r="2174">
          <cell r="AD2174" t="str"/>
          <cell r="AE2174" t="str"/>
          <cell r="AF2174">
            <v>0</v>
          </cell>
          <cell r="AG2174">
            <v>0</v>
          </cell>
        </row>
        <row r="2175">
          <cell r="AD2175" t="str"/>
          <cell r="AE2175" t="str"/>
          <cell r="AF2175">
            <v>0</v>
          </cell>
          <cell r="AG2175">
            <v>0</v>
          </cell>
        </row>
        <row r="2176">
          <cell r="AD2176" t="str"/>
          <cell r="AE2176" t="str"/>
          <cell r="AF2176">
            <v>0</v>
          </cell>
          <cell r="AG2176">
            <v>0</v>
          </cell>
        </row>
        <row r="2177">
          <cell r="AD2177" t="str"/>
          <cell r="AE2177" t="str"/>
          <cell r="AF2177">
            <v>0</v>
          </cell>
          <cell r="AG2177">
            <v>0</v>
          </cell>
        </row>
        <row r="2178">
          <cell r="AD2178" t="str"/>
          <cell r="AE2178" t="str"/>
          <cell r="AF2178">
            <v>0</v>
          </cell>
          <cell r="AG2178">
            <v>0</v>
          </cell>
        </row>
        <row r="2179">
          <cell r="AD2179" t="str"/>
          <cell r="AE2179" t="str"/>
          <cell r="AF2179">
            <v>0</v>
          </cell>
          <cell r="AG2179">
            <v>0</v>
          </cell>
        </row>
        <row r="2180">
          <cell r="AD2180" t="str"/>
          <cell r="AE2180" t="str"/>
          <cell r="AF2180">
            <v>0</v>
          </cell>
          <cell r="AG2180">
            <v>0</v>
          </cell>
        </row>
        <row r="2181">
          <cell r="AD2181" t="str"/>
          <cell r="AE2181" t="str"/>
          <cell r="AF2181">
            <v>0</v>
          </cell>
          <cell r="AG2181">
            <v>0</v>
          </cell>
        </row>
        <row r="2182">
          <cell r="AD2182" t="str"/>
          <cell r="AE2182" t="str"/>
          <cell r="AF2182">
            <v>0</v>
          </cell>
          <cell r="AG2182">
            <v>0</v>
          </cell>
        </row>
        <row r="2183">
          <cell r="AD2183" t="str"/>
          <cell r="AE2183" t="str"/>
          <cell r="AF2183">
            <v>0</v>
          </cell>
          <cell r="AG2183">
            <v>0</v>
          </cell>
        </row>
        <row r="2184">
          <cell r="AD2184" t="str"/>
          <cell r="AE2184" t="str"/>
          <cell r="AF2184">
            <v>0</v>
          </cell>
          <cell r="AG2184">
            <v>0</v>
          </cell>
        </row>
        <row r="2185">
          <cell r="AD2185" t="str"/>
          <cell r="AE2185" t="str"/>
          <cell r="AF2185">
            <v>0</v>
          </cell>
          <cell r="AG2185">
            <v>0</v>
          </cell>
        </row>
        <row r="2186">
          <cell r="AD2186" t="str"/>
          <cell r="AE2186" t="str"/>
          <cell r="AF2186">
            <v>0</v>
          </cell>
          <cell r="AG2186">
            <v>0</v>
          </cell>
        </row>
        <row r="2187">
          <cell r="AD2187" t="str"/>
          <cell r="AE2187" t="str"/>
          <cell r="AF2187">
            <v>0</v>
          </cell>
          <cell r="AG2187">
            <v>0</v>
          </cell>
        </row>
        <row r="2188">
          <cell r="AD2188" t="str"/>
          <cell r="AE2188" t="str"/>
          <cell r="AF2188">
            <v>0</v>
          </cell>
          <cell r="AG2188">
            <v>0</v>
          </cell>
        </row>
        <row r="2189">
          <cell r="AD2189" t="str"/>
          <cell r="AE2189" t="str"/>
          <cell r="AF2189">
            <v>0</v>
          </cell>
          <cell r="AG2189">
            <v>0</v>
          </cell>
        </row>
        <row r="2190">
          <cell r="AD2190" t="str"/>
          <cell r="AE2190" t="str"/>
          <cell r="AF2190">
            <v>0</v>
          </cell>
          <cell r="AG2190">
            <v>0</v>
          </cell>
        </row>
        <row r="2191">
          <cell r="AD2191" t="str"/>
          <cell r="AE2191" t="str"/>
          <cell r="AF2191">
            <v>0</v>
          </cell>
          <cell r="AG2191">
            <v>0</v>
          </cell>
        </row>
        <row r="2192">
          <cell r="AD2192" t="str"/>
          <cell r="AE2192" t="str"/>
          <cell r="AF2192">
            <v>0</v>
          </cell>
          <cell r="AG2192">
            <v>0</v>
          </cell>
        </row>
        <row r="2193">
          <cell r="AD2193" t="str"/>
          <cell r="AE2193" t="str"/>
          <cell r="AF2193">
            <v>0</v>
          </cell>
          <cell r="AG2193">
            <v>0</v>
          </cell>
        </row>
        <row r="2194">
          <cell r="AD2194" t="str"/>
          <cell r="AE2194" t="str"/>
          <cell r="AF2194">
            <v>0</v>
          </cell>
          <cell r="AG2194">
            <v>0</v>
          </cell>
        </row>
        <row r="2195">
          <cell r="AD2195" t="str"/>
          <cell r="AE2195" t="str"/>
          <cell r="AF2195">
            <v>0</v>
          </cell>
          <cell r="AG2195">
            <v>0</v>
          </cell>
        </row>
        <row r="2196">
          <cell r="AD2196" t="str"/>
          <cell r="AE2196" t="str"/>
          <cell r="AF2196">
            <v>0</v>
          </cell>
          <cell r="AG2196">
            <v>0</v>
          </cell>
        </row>
        <row r="2197">
          <cell r="AD2197" t="str"/>
          <cell r="AE2197" t="str"/>
          <cell r="AF2197">
            <v>0</v>
          </cell>
          <cell r="AG2197">
            <v>0</v>
          </cell>
        </row>
        <row r="2198">
          <cell r="AD2198" t="str"/>
          <cell r="AE2198" t="str"/>
          <cell r="AF2198">
            <v>0</v>
          </cell>
          <cell r="AG2198">
            <v>0</v>
          </cell>
        </row>
        <row r="2199">
          <cell r="AD2199" t="str"/>
          <cell r="AE2199" t="str"/>
          <cell r="AF2199">
            <v>0</v>
          </cell>
          <cell r="AG2199">
            <v>0</v>
          </cell>
        </row>
        <row r="2200">
          <cell r="AD2200" t="str"/>
          <cell r="AE2200" t="str"/>
          <cell r="AF2200">
            <v>0</v>
          </cell>
          <cell r="AG2200">
            <v>0</v>
          </cell>
        </row>
        <row r="2201">
          <cell r="AD2201" t="str"/>
          <cell r="AE2201" t="str"/>
          <cell r="AF2201">
            <v>0</v>
          </cell>
          <cell r="AG2201">
            <v>0</v>
          </cell>
        </row>
        <row r="2202">
          <cell r="AD2202" t="str"/>
          <cell r="AE2202" t="str"/>
          <cell r="AF2202">
            <v>0</v>
          </cell>
          <cell r="AG2202">
            <v>0</v>
          </cell>
        </row>
        <row r="2203">
          <cell r="AD2203" t="str"/>
          <cell r="AE2203" t="str"/>
          <cell r="AF2203">
            <v>0</v>
          </cell>
          <cell r="AG2203">
            <v>0</v>
          </cell>
        </row>
        <row r="2204">
          <cell r="AD2204" t="str"/>
          <cell r="AE2204" t="str"/>
          <cell r="AF2204">
            <v>0</v>
          </cell>
          <cell r="AG2204">
            <v>0</v>
          </cell>
        </row>
        <row r="2205">
          <cell r="AD2205" t="str"/>
          <cell r="AE2205" t="str"/>
          <cell r="AF2205">
            <v>0</v>
          </cell>
          <cell r="AG2205">
            <v>0</v>
          </cell>
        </row>
        <row r="2206">
          <cell r="AD2206" t="str"/>
          <cell r="AE2206" t="str"/>
          <cell r="AF2206">
            <v>0</v>
          </cell>
          <cell r="AG2206">
            <v>0</v>
          </cell>
        </row>
        <row r="2207">
          <cell r="AD2207" t="str"/>
          <cell r="AE2207" t="str"/>
          <cell r="AF2207">
            <v>0</v>
          </cell>
          <cell r="AG2207">
            <v>0</v>
          </cell>
        </row>
        <row r="2208">
          <cell r="AD2208" t="str"/>
          <cell r="AE2208" t="str"/>
          <cell r="AF2208">
            <v>0</v>
          </cell>
          <cell r="AG2208">
            <v>0</v>
          </cell>
        </row>
        <row r="2209">
          <cell r="AD2209" t="str"/>
          <cell r="AE2209" t="str"/>
          <cell r="AF2209">
            <v>0</v>
          </cell>
          <cell r="AG2209">
            <v>0</v>
          </cell>
        </row>
        <row r="2210">
          <cell r="AD2210" t="str"/>
          <cell r="AE2210" t="str"/>
          <cell r="AF2210">
            <v>0</v>
          </cell>
          <cell r="AG2210">
            <v>0</v>
          </cell>
        </row>
        <row r="2211">
          <cell r="AD2211" t="str"/>
          <cell r="AE2211" t="str"/>
          <cell r="AF2211">
            <v>0</v>
          </cell>
          <cell r="AG2211">
            <v>0</v>
          </cell>
        </row>
        <row r="2212">
          <cell r="AD2212" t="str"/>
          <cell r="AE2212" t="str"/>
          <cell r="AF2212">
            <v>0</v>
          </cell>
          <cell r="AG2212">
            <v>0</v>
          </cell>
        </row>
        <row r="2213">
          <cell r="AD2213" t="str"/>
          <cell r="AE2213" t="str"/>
          <cell r="AF2213">
            <v>0</v>
          </cell>
          <cell r="AG2213">
            <v>0</v>
          </cell>
        </row>
        <row r="2214">
          <cell r="AD2214" t="str"/>
          <cell r="AE2214" t="str"/>
          <cell r="AF2214">
            <v>0</v>
          </cell>
          <cell r="AG2214">
            <v>0</v>
          </cell>
        </row>
        <row r="2215">
          <cell r="AD2215" t="str"/>
          <cell r="AE2215" t="str"/>
          <cell r="AF2215">
            <v>0</v>
          </cell>
          <cell r="AG2215">
            <v>0</v>
          </cell>
        </row>
        <row r="2216">
          <cell r="AD2216" t="str"/>
          <cell r="AE2216" t="str"/>
          <cell r="AF2216">
            <v>0</v>
          </cell>
          <cell r="AG2216">
            <v>0</v>
          </cell>
        </row>
        <row r="2217">
          <cell r="AD2217" t="str"/>
          <cell r="AE2217" t="str"/>
          <cell r="AF2217">
            <v>0</v>
          </cell>
          <cell r="AG2217">
            <v>0</v>
          </cell>
        </row>
        <row r="2218">
          <cell r="AD2218" t="str"/>
          <cell r="AE2218" t="str"/>
          <cell r="AF2218">
            <v>0</v>
          </cell>
          <cell r="AG2218">
            <v>0</v>
          </cell>
        </row>
        <row r="2219">
          <cell r="AD2219" t="str"/>
          <cell r="AE2219" t="str"/>
          <cell r="AF2219">
            <v>0</v>
          </cell>
          <cell r="AG2219">
            <v>0</v>
          </cell>
        </row>
        <row r="2220">
          <cell r="AD2220" t="str"/>
          <cell r="AE2220" t="str"/>
          <cell r="AF2220">
            <v>0</v>
          </cell>
          <cell r="AG2220">
            <v>0</v>
          </cell>
        </row>
        <row r="2221">
          <cell r="AD2221" t="str"/>
          <cell r="AE2221" t="str"/>
          <cell r="AF2221">
            <v>0</v>
          </cell>
          <cell r="AG2221">
            <v>0</v>
          </cell>
        </row>
        <row r="2222">
          <cell r="AD2222" t="str"/>
          <cell r="AE2222" t="str"/>
          <cell r="AF2222">
            <v>0</v>
          </cell>
          <cell r="AG2222">
            <v>0</v>
          </cell>
        </row>
        <row r="2223">
          <cell r="AD2223" t="str"/>
          <cell r="AE2223" t="str"/>
          <cell r="AF2223">
            <v>0</v>
          </cell>
          <cell r="AG2223">
            <v>0</v>
          </cell>
        </row>
        <row r="2224">
          <cell r="AD2224" t="str"/>
          <cell r="AE2224" t="str"/>
          <cell r="AF2224">
            <v>0</v>
          </cell>
          <cell r="AG2224">
            <v>0</v>
          </cell>
        </row>
        <row r="2225">
          <cell r="AD2225" t="str"/>
          <cell r="AE2225" t="str"/>
          <cell r="AF2225">
            <v>0</v>
          </cell>
          <cell r="AG2225">
            <v>0</v>
          </cell>
        </row>
        <row r="2226">
          <cell r="AD2226" t="str"/>
          <cell r="AE2226" t="str"/>
          <cell r="AF2226">
            <v>0</v>
          </cell>
          <cell r="AG2226">
            <v>0</v>
          </cell>
        </row>
        <row r="2227">
          <cell r="AD2227" t="str"/>
          <cell r="AE2227" t="str"/>
          <cell r="AF2227">
            <v>0</v>
          </cell>
          <cell r="AG2227">
            <v>0</v>
          </cell>
        </row>
        <row r="2228">
          <cell r="AD2228" t="str"/>
          <cell r="AE2228" t="str"/>
          <cell r="AF2228">
            <v>0</v>
          </cell>
          <cell r="AG2228">
            <v>0</v>
          </cell>
        </row>
        <row r="2229">
          <cell r="AD2229" t="str"/>
          <cell r="AE2229" t="str"/>
          <cell r="AF2229">
            <v>0</v>
          </cell>
          <cell r="AG2229">
            <v>0</v>
          </cell>
        </row>
        <row r="2230">
          <cell r="AD2230" t="str"/>
          <cell r="AE2230" t="str"/>
          <cell r="AF2230">
            <v>0</v>
          </cell>
          <cell r="AG2230">
            <v>0</v>
          </cell>
        </row>
        <row r="2231">
          <cell r="AD2231" t="str"/>
          <cell r="AE2231" t="str"/>
          <cell r="AF2231">
            <v>0</v>
          </cell>
          <cell r="AG2231">
            <v>0</v>
          </cell>
        </row>
        <row r="2232">
          <cell r="AD2232" t="str"/>
          <cell r="AE2232" t="str"/>
          <cell r="AF2232">
            <v>0</v>
          </cell>
          <cell r="AG2232">
            <v>0</v>
          </cell>
        </row>
        <row r="2233">
          <cell r="AD2233" t="str"/>
          <cell r="AE2233" t="str"/>
          <cell r="AF2233">
            <v>0</v>
          </cell>
          <cell r="AG2233">
            <v>0</v>
          </cell>
        </row>
        <row r="2234">
          <cell r="AD2234" t="str"/>
          <cell r="AE2234" t="str"/>
          <cell r="AF2234">
            <v>0</v>
          </cell>
          <cell r="AG2234">
            <v>0</v>
          </cell>
        </row>
        <row r="2235">
          <cell r="AD2235" t="str"/>
          <cell r="AE2235" t="str"/>
          <cell r="AF2235">
            <v>0</v>
          </cell>
          <cell r="AG2235">
            <v>0</v>
          </cell>
        </row>
        <row r="2236">
          <cell r="AD2236" t="str"/>
          <cell r="AE2236" t="str"/>
          <cell r="AF2236">
            <v>0</v>
          </cell>
          <cell r="AG2236">
            <v>0</v>
          </cell>
        </row>
        <row r="2237">
          <cell r="AD2237" t="str"/>
          <cell r="AE2237" t="str"/>
          <cell r="AF2237">
            <v>0</v>
          </cell>
          <cell r="AG2237">
            <v>0</v>
          </cell>
        </row>
        <row r="2238">
          <cell r="AD2238" t="str"/>
          <cell r="AE2238" t="str"/>
          <cell r="AF2238">
            <v>0</v>
          </cell>
          <cell r="AG2238">
            <v>0</v>
          </cell>
        </row>
        <row r="2239">
          <cell r="AD2239" t="str"/>
          <cell r="AE2239" t="str"/>
          <cell r="AF2239">
            <v>0</v>
          </cell>
          <cell r="AG2239">
            <v>0</v>
          </cell>
        </row>
        <row r="2240">
          <cell r="AD2240" t="str"/>
          <cell r="AE2240" t="str"/>
          <cell r="AF2240">
            <v>0</v>
          </cell>
          <cell r="AG2240">
            <v>0</v>
          </cell>
        </row>
        <row r="2241">
          <cell r="AD2241" t="str"/>
          <cell r="AE2241" t="str"/>
          <cell r="AF2241">
            <v>0</v>
          </cell>
          <cell r="AG2241">
            <v>0</v>
          </cell>
        </row>
        <row r="2242">
          <cell r="AD2242" t="str"/>
          <cell r="AE2242" t="str"/>
          <cell r="AF2242">
            <v>0</v>
          </cell>
          <cell r="AG2242">
            <v>0</v>
          </cell>
        </row>
        <row r="2243">
          <cell r="AD2243" t="str"/>
          <cell r="AE2243" t="str"/>
          <cell r="AF2243">
            <v>0</v>
          </cell>
          <cell r="AG2243">
            <v>0</v>
          </cell>
        </row>
        <row r="2244">
          <cell r="AD2244" t="str"/>
          <cell r="AE2244" t="str"/>
          <cell r="AF2244">
            <v>0</v>
          </cell>
          <cell r="AG2244">
            <v>0</v>
          </cell>
        </row>
        <row r="2245">
          <cell r="AD2245" t="str"/>
          <cell r="AE2245" t="str"/>
          <cell r="AF2245">
            <v>0</v>
          </cell>
          <cell r="AG2245">
            <v>0</v>
          </cell>
        </row>
        <row r="2246">
          <cell r="AD2246" t="str"/>
          <cell r="AE2246" t="str"/>
          <cell r="AF2246">
            <v>0</v>
          </cell>
          <cell r="AG2246">
            <v>0</v>
          </cell>
        </row>
        <row r="2247">
          <cell r="AD2247" t="str"/>
          <cell r="AE2247" t="str"/>
          <cell r="AF2247">
            <v>0</v>
          </cell>
          <cell r="AG2247">
            <v>0</v>
          </cell>
        </row>
        <row r="2248">
          <cell r="AD2248" t="str"/>
          <cell r="AE2248" t="str"/>
          <cell r="AF2248">
            <v>0</v>
          </cell>
          <cell r="AG2248">
            <v>0</v>
          </cell>
        </row>
        <row r="2249">
          <cell r="AD2249" t="str"/>
          <cell r="AE2249" t="str"/>
          <cell r="AF2249">
            <v>0</v>
          </cell>
          <cell r="AG2249">
            <v>0</v>
          </cell>
        </row>
        <row r="2250">
          <cell r="AD2250" t="str"/>
          <cell r="AE2250" t="str"/>
          <cell r="AF2250">
            <v>0</v>
          </cell>
          <cell r="AG2250">
            <v>0</v>
          </cell>
        </row>
        <row r="2251">
          <cell r="AD2251" t="str"/>
          <cell r="AE2251" t="str"/>
          <cell r="AF2251">
            <v>0</v>
          </cell>
          <cell r="AG2251">
            <v>0</v>
          </cell>
        </row>
        <row r="2252">
          <cell r="AD2252" t="str"/>
          <cell r="AE2252" t="str"/>
          <cell r="AF2252">
            <v>0</v>
          </cell>
          <cell r="AG2252">
            <v>0</v>
          </cell>
        </row>
        <row r="2253">
          <cell r="AD2253" t="str"/>
          <cell r="AE2253" t="str"/>
          <cell r="AF2253">
            <v>0</v>
          </cell>
          <cell r="AG2253">
            <v>0</v>
          </cell>
        </row>
        <row r="2254">
          <cell r="AD2254" t="str"/>
          <cell r="AE2254" t="str"/>
          <cell r="AF2254">
            <v>0</v>
          </cell>
          <cell r="AG2254">
            <v>0</v>
          </cell>
        </row>
        <row r="2255">
          <cell r="AD2255" t="str"/>
          <cell r="AE2255" t="str"/>
          <cell r="AF2255">
            <v>0</v>
          </cell>
          <cell r="AG2255">
            <v>0</v>
          </cell>
        </row>
        <row r="2256">
          <cell r="AD2256" t="str"/>
          <cell r="AE2256" t="str"/>
          <cell r="AF2256">
            <v>0</v>
          </cell>
          <cell r="AG2256">
            <v>0</v>
          </cell>
        </row>
        <row r="2257">
          <cell r="AD2257" t="str"/>
          <cell r="AE2257" t="str"/>
          <cell r="AF2257">
            <v>0</v>
          </cell>
          <cell r="AG2257">
            <v>0</v>
          </cell>
        </row>
        <row r="2258">
          <cell r="AD2258" t="str"/>
          <cell r="AE2258" t="str"/>
          <cell r="AF2258">
            <v>0</v>
          </cell>
          <cell r="AG2258">
            <v>0</v>
          </cell>
        </row>
        <row r="2259">
          <cell r="AD2259" t="str"/>
          <cell r="AE2259" t="str"/>
          <cell r="AF2259">
            <v>0</v>
          </cell>
          <cell r="AG2259">
            <v>0</v>
          </cell>
        </row>
        <row r="2260">
          <cell r="AD2260" t="str"/>
          <cell r="AE2260" t="str"/>
          <cell r="AF2260">
            <v>0</v>
          </cell>
          <cell r="AG2260">
            <v>0</v>
          </cell>
        </row>
        <row r="2261">
          <cell r="AD2261" t="str"/>
          <cell r="AE2261" t="str"/>
          <cell r="AF2261">
            <v>0</v>
          </cell>
          <cell r="AG2261">
            <v>0</v>
          </cell>
        </row>
        <row r="2262">
          <cell r="AD2262" t="str"/>
          <cell r="AE2262" t="str"/>
          <cell r="AF2262">
            <v>0</v>
          </cell>
          <cell r="AG2262">
            <v>0</v>
          </cell>
        </row>
        <row r="2263">
          <cell r="AD2263" t="str"/>
          <cell r="AE2263" t="str"/>
          <cell r="AF2263">
            <v>0</v>
          </cell>
          <cell r="AG2263">
            <v>0</v>
          </cell>
        </row>
        <row r="2264">
          <cell r="AD2264" t="str"/>
          <cell r="AE2264" t="str"/>
          <cell r="AF2264">
            <v>0</v>
          </cell>
          <cell r="AG2264">
            <v>0</v>
          </cell>
        </row>
        <row r="2265">
          <cell r="AD2265" t="str"/>
          <cell r="AE2265" t="str"/>
          <cell r="AF2265">
            <v>0</v>
          </cell>
          <cell r="AG2265">
            <v>0</v>
          </cell>
        </row>
        <row r="2266">
          <cell r="AD2266" t="str"/>
          <cell r="AE2266" t="str"/>
          <cell r="AF2266">
            <v>0</v>
          </cell>
          <cell r="AG2266">
            <v>0</v>
          </cell>
        </row>
        <row r="2267">
          <cell r="AD2267" t="str"/>
          <cell r="AE2267" t="str"/>
          <cell r="AF2267">
            <v>0</v>
          </cell>
          <cell r="AG2267">
            <v>0</v>
          </cell>
        </row>
        <row r="2268">
          <cell r="AD2268" t="str"/>
          <cell r="AE2268" t="str"/>
          <cell r="AF2268">
            <v>0</v>
          </cell>
          <cell r="AG2268">
            <v>0</v>
          </cell>
        </row>
        <row r="2269">
          <cell r="AD2269" t="str"/>
          <cell r="AE2269" t="str"/>
          <cell r="AF2269">
            <v>0</v>
          </cell>
          <cell r="AG2269">
            <v>0</v>
          </cell>
        </row>
        <row r="2270">
          <cell r="AD2270" t="str"/>
          <cell r="AE2270" t="str"/>
          <cell r="AF2270">
            <v>0</v>
          </cell>
          <cell r="AG2270">
            <v>0</v>
          </cell>
        </row>
        <row r="2271">
          <cell r="AD2271" t="str"/>
          <cell r="AE2271" t="str"/>
          <cell r="AF2271">
            <v>0</v>
          </cell>
          <cell r="AG2271">
            <v>0</v>
          </cell>
        </row>
        <row r="2272">
          <cell r="AD2272" t="str"/>
          <cell r="AE2272" t="str"/>
          <cell r="AF2272">
            <v>0</v>
          </cell>
          <cell r="AG2272">
            <v>0</v>
          </cell>
        </row>
        <row r="2273">
          <cell r="AD2273" t="str"/>
          <cell r="AE2273" t="str"/>
          <cell r="AF2273">
            <v>0</v>
          </cell>
          <cell r="AG2273">
            <v>0</v>
          </cell>
        </row>
        <row r="2274">
          <cell r="AD2274" t="str"/>
          <cell r="AE2274" t="str"/>
          <cell r="AF2274">
            <v>0</v>
          </cell>
          <cell r="AG2274">
            <v>0</v>
          </cell>
        </row>
        <row r="2275">
          <cell r="AD2275" t="str"/>
          <cell r="AE2275" t="str"/>
          <cell r="AF2275">
            <v>0</v>
          </cell>
          <cell r="AG2275">
            <v>0</v>
          </cell>
        </row>
        <row r="2276">
          <cell r="AD2276" t="str"/>
          <cell r="AE2276" t="str"/>
          <cell r="AF2276">
            <v>0</v>
          </cell>
          <cell r="AG2276">
            <v>0</v>
          </cell>
        </row>
        <row r="2277">
          <cell r="AD2277" t="str"/>
          <cell r="AE2277" t="str"/>
          <cell r="AF2277">
            <v>0</v>
          </cell>
          <cell r="AG2277">
            <v>0</v>
          </cell>
        </row>
        <row r="2278">
          <cell r="AD2278" t="str"/>
          <cell r="AE2278" t="str"/>
          <cell r="AF2278">
            <v>0</v>
          </cell>
          <cell r="AG2278">
            <v>0</v>
          </cell>
        </row>
        <row r="2279">
          <cell r="AD2279" t="str"/>
          <cell r="AE2279" t="str"/>
          <cell r="AF2279">
            <v>0</v>
          </cell>
          <cell r="AG2279">
            <v>0</v>
          </cell>
        </row>
        <row r="2280">
          <cell r="AD2280" t="str"/>
          <cell r="AE2280" t="str"/>
          <cell r="AF2280">
            <v>0</v>
          </cell>
          <cell r="AG2280">
            <v>0</v>
          </cell>
        </row>
        <row r="2281">
          <cell r="AD2281" t="str"/>
          <cell r="AE2281" t="str"/>
          <cell r="AF2281">
            <v>0</v>
          </cell>
          <cell r="AG2281">
            <v>0</v>
          </cell>
        </row>
        <row r="2282">
          <cell r="AD2282" t="str"/>
          <cell r="AE2282" t="str"/>
          <cell r="AF2282">
            <v>0</v>
          </cell>
          <cell r="AG2282">
            <v>0</v>
          </cell>
        </row>
        <row r="2283">
          <cell r="AD2283" t="str"/>
          <cell r="AE2283" t="str"/>
          <cell r="AF2283">
            <v>0</v>
          </cell>
          <cell r="AG2283">
            <v>0</v>
          </cell>
        </row>
        <row r="2284">
          <cell r="AD2284" t="str"/>
          <cell r="AE2284" t="str"/>
          <cell r="AF2284">
            <v>0</v>
          </cell>
          <cell r="AG2284">
            <v>0</v>
          </cell>
        </row>
        <row r="2285">
          <cell r="AD2285" t="str"/>
          <cell r="AE2285" t="str"/>
          <cell r="AF2285">
            <v>0</v>
          </cell>
          <cell r="AG2285">
            <v>0</v>
          </cell>
        </row>
        <row r="2286">
          <cell r="AD2286" t="str"/>
          <cell r="AE2286" t="str"/>
          <cell r="AF2286">
            <v>0</v>
          </cell>
          <cell r="AG2286">
            <v>0</v>
          </cell>
        </row>
        <row r="2287">
          <cell r="AD2287" t="str"/>
          <cell r="AE2287" t="str"/>
          <cell r="AF2287">
            <v>0</v>
          </cell>
          <cell r="AG2287">
            <v>0</v>
          </cell>
        </row>
        <row r="2288">
          <cell r="AD2288" t="str"/>
          <cell r="AE2288" t="str"/>
          <cell r="AF2288">
            <v>0</v>
          </cell>
          <cell r="AG2288">
            <v>0</v>
          </cell>
        </row>
        <row r="2289">
          <cell r="AD2289" t="str"/>
          <cell r="AE2289" t="str"/>
          <cell r="AF2289">
            <v>0</v>
          </cell>
          <cell r="AG2289">
            <v>0</v>
          </cell>
        </row>
        <row r="2290">
          <cell r="AD2290" t="str"/>
          <cell r="AE2290" t="str"/>
          <cell r="AF2290">
            <v>0</v>
          </cell>
          <cell r="AG2290">
            <v>0</v>
          </cell>
        </row>
        <row r="2291">
          <cell r="AD2291" t="str"/>
          <cell r="AE2291" t="str"/>
          <cell r="AF2291">
            <v>0</v>
          </cell>
          <cell r="AG2291">
            <v>0</v>
          </cell>
        </row>
        <row r="2292">
          <cell r="AD2292" t="str"/>
          <cell r="AE2292" t="str"/>
          <cell r="AF2292">
            <v>0</v>
          </cell>
          <cell r="AG2292">
            <v>0</v>
          </cell>
        </row>
        <row r="2293">
          <cell r="AD2293" t="str"/>
          <cell r="AE2293" t="str"/>
          <cell r="AF2293">
            <v>0</v>
          </cell>
          <cell r="AG2293">
            <v>0</v>
          </cell>
        </row>
        <row r="2294">
          <cell r="AD2294" t="str"/>
          <cell r="AE2294" t="str"/>
          <cell r="AF2294">
            <v>0</v>
          </cell>
          <cell r="AG2294">
            <v>0</v>
          </cell>
        </row>
        <row r="2295">
          <cell r="AD2295" t="str"/>
          <cell r="AE2295" t="str"/>
          <cell r="AF2295">
            <v>0</v>
          </cell>
          <cell r="AG2295">
            <v>0</v>
          </cell>
        </row>
        <row r="2296">
          <cell r="AD2296" t="str"/>
          <cell r="AE2296" t="str"/>
          <cell r="AF2296">
            <v>0</v>
          </cell>
          <cell r="AG2296">
            <v>0</v>
          </cell>
        </row>
        <row r="2297">
          <cell r="AD2297" t="str"/>
          <cell r="AE2297" t="str"/>
          <cell r="AF2297">
            <v>0</v>
          </cell>
          <cell r="AG2297">
            <v>0</v>
          </cell>
        </row>
        <row r="2298">
          <cell r="AD2298" t="str"/>
          <cell r="AE2298" t="str"/>
          <cell r="AF2298">
            <v>0</v>
          </cell>
          <cell r="AG2298">
            <v>0</v>
          </cell>
        </row>
        <row r="2299">
          <cell r="AD2299" t="str"/>
          <cell r="AE2299" t="str"/>
          <cell r="AF2299">
            <v>0</v>
          </cell>
          <cell r="AG2299">
            <v>0</v>
          </cell>
        </row>
        <row r="2300">
          <cell r="AD2300" t="str"/>
          <cell r="AE2300" t="str"/>
          <cell r="AF2300">
            <v>0</v>
          </cell>
          <cell r="AG2300">
            <v>0</v>
          </cell>
        </row>
        <row r="2301">
          <cell r="AD2301" t="str"/>
          <cell r="AE2301" t="str"/>
          <cell r="AF2301">
            <v>0</v>
          </cell>
          <cell r="AG2301">
            <v>0</v>
          </cell>
        </row>
        <row r="2302">
          <cell r="AD2302" t="str"/>
          <cell r="AE2302" t="str"/>
          <cell r="AF2302">
            <v>0</v>
          </cell>
          <cell r="AG2302">
            <v>0</v>
          </cell>
        </row>
        <row r="2303">
          <cell r="AD2303" t="str"/>
          <cell r="AE2303" t="str"/>
          <cell r="AF2303">
            <v>0</v>
          </cell>
          <cell r="AG2303">
            <v>0</v>
          </cell>
        </row>
        <row r="2304">
          <cell r="AD2304" t="str"/>
          <cell r="AE2304" t="str"/>
          <cell r="AF2304">
            <v>0</v>
          </cell>
          <cell r="AG2304">
            <v>0</v>
          </cell>
        </row>
        <row r="2305">
          <cell r="AD2305" t="str"/>
          <cell r="AE2305" t="str"/>
          <cell r="AF2305">
            <v>0</v>
          </cell>
          <cell r="AG2305">
            <v>0</v>
          </cell>
        </row>
        <row r="2306">
          <cell r="AD2306" t="str"/>
          <cell r="AE2306" t="str"/>
          <cell r="AF2306">
            <v>0</v>
          </cell>
          <cell r="AG2306">
            <v>0</v>
          </cell>
        </row>
        <row r="2307">
          <cell r="AD2307" t="str"/>
          <cell r="AE2307" t="str"/>
          <cell r="AF2307">
            <v>0</v>
          </cell>
          <cell r="AG2307">
            <v>0</v>
          </cell>
        </row>
        <row r="2308">
          <cell r="AD2308" t="str"/>
          <cell r="AE2308" t="str"/>
          <cell r="AF2308">
            <v>0</v>
          </cell>
          <cell r="AG2308">
            <v>0</v>
          </cell>
        </row>
        <row r="2309">
          <cell r="AD2309" t="str"/>
          <cell r="AE2309" t="str"/>
          <cell r="AF2309">
            <v>0</v>
          </cell>
          <cell r="AG2309">
            <v>0</v>
          </cell>
        </row>
        <row r="2310">
          <cell r="AD2310" t="str"/>
          <cell r="AE2310" t="str"/>
          <cell r="AF2310">
            <v>0</v>
          </cell>
          <cell r="AG2310">
            <v>0</v>
          </cell>
        </row>
        <row r="2311">
          <cell r="AD2311" t="str"/>
          <cell r="AE2311" t="str"/>
          <cell r="AF2311">
            <v>0</v>
          </cell>
          <cell r="AG2311">
            <v>0</v>
          </cell>
        </row>
        <row r="2312">
          <cell r="AD2312" t="str"/>
          <cell r="AE2312" t="str"/>
          <cell r="AF2312">
            <v>0</v>
          </cell>
          <cell r="AG2312">
            <v>0</v>
          </cell>
        </row>
        <row r="2313">
          <cell r="AD2313" t="str"/>
          <cell r="AE2313" t="str"/>
          <cell r="AF2313">
            <v>0</v>
          </cell>
          <cell r="AG2313">
            <v>0</v>
          </cell>
        </row>
        <row r="2314">
          <cell r="AD2314" t="str"/>
          <cell r="AE2314" t="str"/>
          <cell r="AF2314">
            <v>0</v>
          </cell>
          <cell r="AG2314">
            <v>0</v>
          </cell>
        </row>
        <row r="2315">
          <cell r="AD2315" t="str"/>
          <cell r="AE2315" t="str"/>
          <cell r="AF2315">
            <v>0</v>
          </cell>
          <cell r="AG2315">
            <v>0</v>
          </cell>
        </row>
        <row r="2316">
          <cell r="AD2316" t="str"/>
          <cell r="AE2316" t="str"/>
          <cell r="AF2316">
            <v>0</v>
          </cell>
          <cell r="AG2316">
            <v>0</v>
          </cell>
        </row>
        <row r="2317">
          <cell r="AD2317" t="str"/>
          <cell r="AE2317" t="str"/>
          <cell r="AF2317">
            <v>0</v>
          </cell>
          <cell r="AG2317">
            <v>0</v>
          </cell>
        </row>
        <row r="2318">
          <cell r="AD2318" t="str"/>
          <cell r="AE2318" t="str"/>
          <cell r="AF2318">
            <v>0</v>
          </cell>
          <cell r="AG2318">
            <v>0</v>
          </cell>
        </row>
        <row r="2319">
          <cell r="AD2319" t="str"/>
          <cell r="AE2319" t="str"/>
          <cell r="AF2319">
            <v>0</v>
          </cell>
          <cell r="AG2319">
            <v>0</v>
          </cell>
        </row>
        <row r="2320">
          <cell r="AD2320" t="str"/>
          <cell r="AE2320" t="str"/>
          <cell r="AF2320">
            <v>0</v>
          </cell>
          <cell r="AG2320">
            <v>0</v>
          </cell>
        </row>
        <row r="2321">
          <cell r="AD2321" t="str"/>
          <cell r="AE2321" t="str"/>
          <cell r="AF2321">
            <v>0</v>
          </cell>
          <cell r="AG2321">
            <v>0</v>
          </cell>
        </row>
        <row r="2322">
          <cell r="AD2322" t="str"/>
          <cell r="AE2322" t="str"/>
          <cell r="AF2322">
            <v>0</v>
          </cell>
          <cell r="AG2322">
            <v>0</v>
          </cell>
        </row>
        <row r="2323">
          <cell r="AD2323" t="str"/>
          <cell r="AE2323" t="str"/>
          <cell r="AF2323">
            <v>0</v>
          </cell>
          <cell r="AG2323">
            <v>0</v>
          </cell>
        </row>
        <row r="2324">
          <cell r="AD2324" t="str"/>
          <cell r="AE2324" t="str"/>
          <cell r="AF2324">
            <v>0</v>
          </cell>
          <cell r="AG2324">
            <v>0</v>
          </cell>
        </row>
        <row r="2325">
          <cell r="AD2325" t="str"/>
          <cell r="AE2325" t="str"/>
          <cell r="AF2325">
            <v>0</v>
          </cell>
          <cell r="AG2325">
            <v>0</v>
          </cell>
        </row>
        <row r="2326">
          <cell r="AD2326" t="str"/>
          <cell r="AE2326" t="str"/>
          <cell r="AF2326">
            <v>0</v>
          </cell>
          <cell r="AG2326">
            <v>0</v>
          </cell>
        </row>
        <row r="2327">
          <cell r="AD2327" t="str"/>
          <cell r="AE2327" t="str"/>
          <cell r="AF2327">
            <v>0</v>
          </cell>
          <cell r="AG2327">
            <v>0</v>
          </cell>
        </row>
        <row r="2328">
          <cell r="AD2328" t="str"/>
          <cell r="AE2328" t="str"/>
          <cell r="AF2328">
            <v>0</v>
          </cell>
          <cell r="AG2328">
            <v>0</v>
          </cell>
        </row>
        <row r="2329">
          <cell r="AD2329" t="str"/>
          <cell r="AE2329" t="str"/>
          <cell r="AF2329">
            <v>0</v>
          </cell>
          <cell r="AG2329">
            <v>0</v>
          </cell>
        </row>
        <row r="2330">
          <cell r="AD2330" t="str"/>
          <cell r="AE2330" t="str"/>
          <cell r="AF2330">
            <v>0</v>
          </cell>
          <cell r="AG2330">
            <v>0</v>
          </cell>
        </row>
        <row r="2331">
          <cell r="AD2331" t="str"/>
          <cell r="AE2331" t="str"/>
          <cell r="AF2331">
            <v>0</v>
          </cell>
          <cell r="AG2331">
            <v>0</v>
          </cell>
        </row>
        <row r="2332">
          <cell r="AD2332" t="str"/>
          <cell r="AE2332" t="str"/>
          <cell r="AF2332">
            <v>0</v>
          </cell>
          <cell r="AG2332">
            <v>0</v>
          </cell>
        </row>
        <row r="2333">
          <cell r="AD2333" t="str"/>
          <cell r="AE2333" t="str"/>
          <cell r="AF2333">
            <v>0</v>
          </cell>
          <cell r="AG2333">
            <v>0</v>
          </cell>
        </row>
        <row r="2334">
          <cell r="AD2334" t="str"/>
          <cell r="AE2334" t="str"/>
          <cell r="AF2334">
            <v>0</v>
          </cell>
          <cell r="AG2334">
            <v>0</v>
          </cell>
        </row>
        <row r="2335">
          <cell r="AD2335" t="str"/>
          <cell r="AE2335" t="str"/>
          <cell r="AF2335">
            <v>0</v>
          </cell>
          <cell r="AG2335">
            <v>0</v>
          </cell>
        </row>
        <row r="2336">
          <cell r="AD2336" t="str"/>
          <cell r="AE2336" t="str"/>
          <cell r="AF2336">
            <v>0</v>
          </cell>
          <cell r="AG2336">
            <v>0</v>
          </cell>
        </row>
        <row r="2337">
          <cell r="AD2337" t="str"/>
          <cell r="AE2337" t="str"/>
          <cell r="AF2337">
            <v>0</v>
          </cell>
          <cell r="AG2337">
            <v>0</v>
          </cell>
        </row>
        <row r="2338">
          <cell r="AD2338" t="str"/>
          <cell r="AE2338" t="str"/>
          <cell r="AF2338">
            <v>0</v>
          </cell>
          <cell r="AG2338">
            <v>0</v>
          </cell>
        </row>
        <row r="2339">
          <cell r="AD2339" t="str"/>
          <cell r="AE2339" t="str"/>
          <cell r="AF2339">
            <v>0</v>
          </cell>
          <cell r="AG2339">
            <v>0</v>
          </cell>
        </row>
        <row r="2340">
          <cell r="AD2340" t="str"/>
          <cell r="AE2340" t="str"/>
          <cell r="AF2340">
            <v>0</v>
          </cell>
          <cell r="AG2340">
            <v>0</v>
          </cell>
        </row>
        <row r="2341">
          <cell r="AD2341" t="str"/>
          <cell r="AE2341" t="str"/>
          <cell r="AF2341">
            <v>0</v>
          </cell>
          <cell r="AG2341">
            <v>0</v>
          </cell>
        </row>
        <row r="2342">
          <cell r="AD2342" t="str"/>
          <cell r="AE2342" t="str"/>
          <cell r="AF2342">
            <v>0</v>
          </cell>
          <cell r="AG2342">
            <v>0</v>
          </cell>
        </row>
        <row r="2343">
          <cell r="AD2343" t="str"/>
          <cell r="AE2343" t="str"/>
          <cell r="AF2343">
            <v>0</v>
          </cell>
          <cell r="AG2343">
            <v>0</v>
          </cell>
        </row>
        <row r="2344">
          <cell r="AD2344" t="str"/>
          <cell r="AE2344" t="str"/>
          <cell r="AF2344">
            <v>0</v>
          </cell>
          <cell r="AG2344">
            <v>0</v>
          </cell>
        </row>
        <row r="2345">
          <cell r="AD2345" t="str"/>
          <cell r="AE2345" t="str"/>
          <cell r="AF2345">
            <v>0</v>
          </cell>
          <cell r="AG2345">
            <v>0</v>
          </cell>
        </row>
        <row r="2346">
          <cell r="AD2346" t="str"/>
          <cell r="AE2346" t="str"/>
          <cell r="AF2346">
            <v>0</v>
          </cell>
          <cell r="AG2346">
            <v>0</v>
          </cell>
        </row>
        <row r="2347">
          <cell r="AD2347" t="str"/>
          <cell r="AE2347" t="str"/>
          <cell r="AF2347">
            <v>0</v>
          </cell>
          <cell r="AG2347">
            <v>0</v>
          </cell>
        </row>
        <row r="2348">
          <cell r="AD2348" t="str"/>
          <cell r="AE2348" t="str"/>
          <cell r="AF2348">
            <v>0</v>
          </cell>
          <cell r="AG2348">
            <v>0</v>
          </cell>
        </row>
        <row r="2349">
          <cell r="AD2349" t="str"/>
          <cell r="AE2349" t="str"/>
          <cell r="AF2349">
            <v>0</v>
          </cell>
          <cell r="AG2349">
            <v>0</v>
          </cell>
        </row>
        <row r="2350">
          <cell r="AD2350" t="str"/>
          <cell r="AE2350" t="str"/>
          <cell r="AF2350">
            <v>0</v>
          </cell>
          <cell r="AG2350">
            <v>0</v>
          </cell>
        </row>
        <row r="2351">
          <cell r="AD2351" t="str"/>
          <cell r="AE2351" t="str"/>
          <cell r="AF2351">
            <v>0</v>
          </cell>
          <cell r="AG2351">
            <v>0</v>
          </cell>
        </row>
        <row r="2352">
          <cell r="AD2352" t="str"/>
          <cell r="AE2352" t="str"/>
          <cell r="AF2352">
            <v>0</v>
          </cell>
          <cell r="AG2352">
            <v>0</v>
          </cell>
        </row>
        <row r="2353">
          <cell r="AD2353" t="str"/>
          <cell r="AE2353" t="str"/>
          <cell r="AF2353">
            <v>0</v>
          </cell>
          <cell r="AG2353">
            <v>0</v>
          </cell>
        </row>
        <row r="2354">
          <cell r="AD2354" t="str"/>
          <cell r="AE2354" t="str"/>
          <cell r="AF2354">
            <v>0</v>
          </cell>
          <cell r="AG2354">
            <v>0</v>
          </cell>
        </row>
        <row r="2355">
          <cell r="AD2355" t="str"/>
          <cell r="AE2355" t="str"/>
          <cell r="AF2355">
            <v>0</v>
          </cell>
          <cell r="AG2355">
            <v>0</v>
          </cell>
        </row>
        <row r="2356">
          <cell r="AD2356" t="str"/>
          <cell r="AE2356" t="str"/>
          <cell r="AF2356">
            <v>0</v>
          </cell>
          <cell r="AG2356">
            <v>0</v>
          </cell>
        </row>
        <row r="2357">
          <cell r="AD2357" t="str"/>
          <cell r="AE2357" t="str"/>
          <cell r="AF2357">
            <v>0</v>
          </cell>
          <cell r="AG2357">
            <v>0</v>
          </cell>
        </row>
        <row r="2358">
          <cell r="AD2358" t="str"/>
          <cell r="AE2358" t="str"/>
          <cell r="AF2358">
            <v>0</v>
          </cell>
          <cell r="AG2358">
            <v>0</v>
          </cell>
        </row>
        <row r="2359">
          <cell r="AD2359" t="str"/>
          <cell r="AE2359" t="str"/>
          <cell r="AF2359">
            <v>0</v>
          </cell>
          <cell r="AG2359">
            <v>0</v>
          </cell>
        </row>
        <row r="2360">
          <cell r="AD2360" t="str"/>
          <cell r="AE2360" t="str"/>
          <cell r="AF2360">
            <v>0</v>
          </cell>
          <cell r="AG2360">
            <v>0</v>
          </cell>
        </row>
        <row r="2361">
          <cell r="AD2361" t="str"/>
          <cell r="AE2361" t="str"/>
          <cell r="AF2361">
            <v>0</v>
          </cell>
          <cell r="AG2361">
            <v>0</v>
          </cell>
        </row>
        <row r="2362">
          <cell r="AD2362" t="str"/>
          <cell r="AE2362" t="str"/>
          <cell r="AF2362">
            <v>0</v>
          </cell>
          <cell r="AG2362">
            <v>0</v>
          </cell>
        </row>
        <row r="2363">
          <cell r="AD2363" t="str"/>
          <cell r="AE2363" t="str"/>
          <cell r="AF2363">
            <v>0</v>
          </cell>
          <cell r="AG2363">
            <v>0</v>
          </cell>
        </row>
        <row r="2364">
          <cell r="AD2364" t="str"/>
          <cell r="AE2364" t="str"/>
          <cell r="AF2364">
            <v>0</v>
          </cell>
          <cell r="AG2364">
            <v>0</v>
          </cell>
        </row>
        <row r="2365">
          <cell r="AD2365" t="str"/>
          <cell r="AE2365" t="str"/>
          <cell r="AF2365">
            <v>0</v>
          </cell>
          <cell r="AG2365">
            <v>0</v>
          </cell>
        </row>
        <row r="2366">
          <cell r="AD2366" t="str"/>
          <cell r="AE2366" t="str"/>
          <cell r="AF2366">
            <v>0</v>
          </cell>
          <cell r="AG2366">
            <v>0</v>
          </cell>
        </row>
        <row r="2367">
          <cell r="AD2367" t="str"/>
          <cell r="AE2367" t="str"/>
          <cell r="AF2367">
            <v>0</v>
          </cell>
          <cell r="AG2367">
            <v>0</v>
          </cell>
        </row>
        <row r="2368">
          <cell r="AD2368" t="str"/>
          <cell r="AE2368" t="str"/>
          <cell r="AF2368">
            <v>0</v>
          </cell>
          <cell r="AG2368">
            <v>0</v>
          </cell>
        </row>
        <row r="2369">
          <cell r="AD2369" t="str"/>
          <cell r="AE2369" t="str"/>
          <cell r="AF2369">
            <v>0</v>
          </cell>
          <cell r="AG2369">
            <v>0</v>
          </cell>
        </row>
        <row r="2370">
          <cell r="AD2370" t="str"/>
          <cell r="AE2370" t="str"/>
          <cell r="AF2370">
            <v>0</v>
          </cell>
          <cell r="AG2370">
            <v>0</v>
          </cell>
        </row>
        <row r="2371">
          <cell r="AD2371" t="str"/>
          <cell r="AE2371" t="str"/>
          <cell r="AF2371">
            <v>0</v>
          </cell>
          <cell r="AG2371">
            <v>0</v>
          </cell>
        </row>
        <row r="2372">
          <cell r="AD2372" t="str"/>
          <cell r="AE2372" t="str"/>
          <cell r="AF2372">
            <v>0</v>
          </cell>
          <cell r="AG2372">
            <v>0</v>
          </cell>
        </row>
        <row r="2373">
          <cell r="AD2373" t="str"/>
          <cell r="AE2373" t="str"/>
          <cell r="AF2373">
            <v>0</v>
          </cell>
          <cell r="AG2373">
            <v>0</v>
          </cell>
        </row>
        <row r="2374">
          <cell r="AD2374" t="str"/>
          <cell r="AE2374" t="str"/>
          <cell r="AF2374">
            <v>0</v>
          </cell>
          <cell r="AG2374">
            <v>0</v>
          </cell>
        </row>
        <row r="2375">
          <cell r="AD2375" t="str"/>
          <cell r="AE2375" t="str"/>
          <cell r="AF2375">
            <v>0</v>
          </cell>
          <cell r="AG2375">
            <v>0</v>
          </cell>
        </row>
        <row r="2376">
          <cell r="AD2376" t="str"/>
          <cell r="AE2376" t="str"/>
          <cell r="AF2376">
            <v>0</v>
          </cell>
          <cell r="AG2376">
            <v>0</v>
          </cell>
        </row>
        <row r="2377">
          <cell r="AD2377" t="str"/>
          <cell r="AE2377" t="str"/>
          <cell r="AF2377">
            <v>0</v>
          </cell>
          <cell r="AG2377">
            <v>0</v>
          </cell>
        </row>
        <row r="2378">
          <cell r="AD2378" t="str"/>
          <cell r="AE2378" t="str"/>
          <cell r="AF2378">
            <v>0</v>
          </cell>
          <cell r="AG2378">
            <v>0</v>
          </cell>
        </row>
        <row r="2379">
          <cell r="AD2379" t="str"/>
          <cell r="AE2379" t="str"/>
          <cell r="AF2379">
            <v>0</v>
          </cell>
          <cell r="AG2379">
            <v>0</v>
          </cell>
        </row>
        <row r="2380">
          <cell r="AD2380" t="str"/>
          <cell r="AE2380" t="str"/>
          <cell r="AF2380">
            <v>0</v>
          </cell>
          <cell r="AG2380">
            <v>0</v>
          </cell>
        </row>
        <row r="2381">
          <cell r="AD2381" t="str"/>
          <cell r="AE2381" t="str"/>
          <cell r="AF2381">
            <v>0</v>
          </cell>
          <cell r="AG2381">
            <v>0</v>
          </cell>
        </row>
        <row r="2382">
          <cell r="AD2382" t="str"/>
          <cell r="AE2382" t="str"/>
          <cell r="AF2382">
            <v>0</v>
          </cell>
          <cell r="AG2382">
            <v>0</v>
          </cell>
        </row>
        <row r="2383">
          <cell r="AD2383" t="str"/>
          <cell r="AE2383" t="str"/>
          <cell r="AF2383">
            <v>0</v>
          </cell>
          <cell r="AG2383">
            <v>0</v>
          </cell>
        </row>
        <row r="2384">
          <cell r="AD2384" t="str"/>
          <cell r="AE2384" t="str"/>
          <cell r="AF2384">
            <v>0</v>
          </cell>
          <cell r="AG2384">
            <v>0</v>
          </cell>
        </row>
        <row r="2385">
          <cell r="AD2385" t="str"/>
          <cell r="AE2385" t="str"/>
          <cell r="AF2385">
            <v>0</v>
          </cell>
          <cell r="AG2385">
            <v>0</v>
          </cell>
        </row>
        <row r="2386">
          <cell r="AD2386" t="str"/>
          <cell r="AE2386" t="str"/>
          <cell r="AF2386">
            <v>0</v>
          </cell>
          <cell r="AG2386">
            <v>0</v>
          </cell>
        </row>
        <row r="2387">
          <cell r="AD2387" t="str"/>
          <cell r="AE2387" t="str"/>
          <cell r="AF2387">
            <v>0</v>
          </cell>
          <cell r="AG2387">
            <v>0</v>
          </cell>
        </row>
        <row r="2388">
          <cell r="AD2388" t="str"/>
          <cell r="AE2388" t="str"/>
          <cell r="AF2388">
            <v>0</v>
          </cell>
          <cell r="AG2388">
            <v>0</v>
          </cell>
        </row>
        <row r="2389">
          <cell r="AD2389" t="str"/>
          <cell r="AE2389" t="str"/>
          <cell r="AF2389">
            <v>0</v>
          </cell>
          <cell r="AG2389">
            <v>0</v>
          </cell>
        </row>
        <row r="2390">
          <cell r="AD2390" t="str"/>
          <cell r="AE2390" t="str"/>
          <cell r="AF2390">
            <v>0</v>
          </cell>
          <cell r="AG2390">
            <v>0</v>
          </cell>
        </row>
        <row r="2391">
          <cell r="AD2391" t="str"/>
          <cell r="AE2391" t="str"/>
          <cell r="AF2391">
            <v>0</v>
          </cell>
          <cell r="AG2391">
            <v>0</v>
          </cell>
        </row>
        <row r="2392">
          <cell r="AD2392" t="str"/>
          <cell r="AE2392" t="str"/>
          <cell r="AF2392">
            <v>0</v>
          </cell>
          <cell r="AG2392">
            <v>0</v>
          </cell>
        </row>
        <row r="2393">
          <cell r="AD2393" t="str"/>
          <cell r="AE2393" t="str"/>
          <cell r="AF2393">
            <v>0</v>
          </cell>
          <cell r="AG2393">
            <v>0</v>
          </cell>
        </row>
        <row r="2394">
          <cell r="AD2394" t="str"/>
          <cell r="AE2394" t="str"/>
          <cell r="AF2394">
            <v>0</v>
          </cell>
          <cell r="AG2394">
            <v>0</v>
          </cell>
        </row>
        <row r="2395">
          <cell r="AD2395" t="str"/>
          <cell r="AE2395" t="str"/>
          <cell r="AF2395">
            <v>0</v>
          </cell>
          <cell r="AG2395">
            <v>0</v>
          </cell>
        </row>
        <row r="2396">
          <cell r="AD2396" t="str"/>
          <cell r="AE2396" t="str"/>
          <cell r="AF2396">
            <v>0</v>
          </cell>
          <cell r="AG2396">
            <v>0</v>
          </cell>
        </row>
        <row r="2397">
          <cell r="AD2397" t="str"/>
          <cell r="AE2397" t="str"/>
          <cell r="AF2397">
            <v>0</v>
          </cell>
          <cell r="AG2397">
            <v>0</v>
          </cell>
        </row>
        <row r="2398">
          <cell r="AD2398" t="str"/>
          <cell r="AE2398" t="str"/>
          <cell r="AF2398">
            <v>0</v>
          </cell>
          <cell r="AG2398">
            <v>0</v>
          </cell>
        </row>
        <row r="2399">
          <cell r="AD2399" t="str"/>
          <cell r="AE2399" t="str"/>
          <cell r="AF2399">
            <v>0</v>
          </cell>
          <cell r="AG2399">
            <v>0</v>
          </cell>
        </row>
        <row r="2400">
          <cell r="AD2400" t="str"/>
          <cell r="AE2400" t="str"/>
          <cell r="AF2400">
            <v>0</v>
          </cell>
          <cell r="AG2400">
            <v>0</v>
          </cell>
        </row>
        <row r="2401">
          <cell r="AD2401" t="str"/>
          <cell r="AE2401" t="str"/>
          <cell r="AF2401">
            <v>0</v>
          </cell>
          <cell r="AG2401">
            <v>0</v>
          </cell>
        </row>
        <row r="2402">
          <cell r="AD2402" t="str"/>
          <cell r="AE2402" t="str"/>
          <cell r="AF2402">
            <v>0</v>
          </cell>
          <cell r="AG2402">
            <v>0</v>
          </cell>
        </row>
        <row r="2403">
          <cell r="AD2403" t="str"/>
          <cell r="AE2403" t="str"/>
          <cell r="AF2403">
            <v>0</v>
          </cell>
          <cell r="AG2403">
            <v>0</v>
          </cell>
        </row>
        <row r="2404">
          <cell r="AD2404" t="str"/>
          <cell r="AE2404" t="str"/>
          <cell r="AF2404">
            <v>0</v>
          </cell>
          <cell r="AG2404">
            <v>0</v>
          </cell>
        </row>
        <row r="2405">
          <cell r="AD2405" t="str"/>
          <cell r="AE2405" t="str"/>
          <cell r="AF2405">
            <v>0</v>
          </cell>
          <cell r="AG2405">
            <v>0</v>
          </cell>
        </row>
        <row r="2406">
          <cell r="AD2406" t="str"/>
          <cell r="AE2406" t="str"/>
          <cell r="AF2406">
            <v>0</v>
          </cell>
          <cell r="AG2406">
            <v>0</v>
          </cell>
        </row>
        <row r="2407">
          <cell r="AD2407" t="str"/>
          <cell r="AE2407" t="str"/>
          <cell r="AF2407">
            <v>0</v>
          </cell>
          <cell r="AG2407">
            <v>0</v>
          </cell>
        </row>
        <row r="2408">
          <cell r="AD2408" t="str"/>
          <cell r="AE2408" t="str"/>
          <cell r="AF2408">
            <v>0</v>
          </cell>
          <cell r="AG2408">
            <v>0</v>
          </cell>
        </row>
        <row r="2409">
          <cell r="AD2409" t="str"/>
          <cell r="AE2409" t="str"/>
          <cell r="AF2409">
            <v>0</v>
          </cell>
          <cell r="AG2409">
            <v>0</v>
          </cell>
        </row>
        <row r="2410">
          <cell r="AD2410" t="str"/>
          <cell r="AE2410" t="str"/>
          <cell r="AF2410">
            <v>0</v>
          </cell>
          <cell r="AG2410">
            <v>0</v>
          </cell>
        </row>
        <row r="2411">
          <cell r="AD2411" t="str"/>
          <cell r="AE2411" t="str"/>
          <cell r="AF2411">
            <v>0</v>
          </cell>
          <cell r="AG2411">
            <v>0</v>
          </cell>
        </row>
        <row r="2412">
          <cell r="AD2412" t="str"/>
          <cell r="AE2412" t="str"/>
          <cell r="AF2412">
            <v>0</v>
          </cell>
          <cell r="AG2412">
            <v>0</v>
          </cell>
        </row>
        <row r="2413">
          <cell r="AD2413" t="str"/>
          <cell r="AE2413" t="str"/>
          <cell r="AF2413">
            <v>0</v>
          </cell>
          <cell r="AG2413">
            <v>0</v>
          </cell>
        </row>
        <row r="2414">
          <cell r="AD2414" t="str"/>
          <cell r="AE2414" t="str"/>
          <cell r="AF2414">
            <v>0</v>
          </cell>
          <cell r="AG2414">
            <v>0</v>
          </cell>
        </row>
        <row r="2415">
          <cell r="AD2415" t="str"/>
          <cell r="AE2415" t="str"/>
          <cell r="AF2415">
            <v>0</v>
          </cell>
          <cell r="AG2415">
            <v>0</v>
          </cell>
        </row>
        <row r="2416">
          <cell r="AD2416" t="str"/>
          <cell r="AE2416" t="str"/>
          <cell r="AF2416">
            <v>0</v>
          </cell>
          <cell r="AG2416">
            <v>0</v>
          </cell>
        </row>
        <row r="2417">
          <cell r="AD2417" t="str"/>
          <cell r="AE2417" t="str"/>
          <cell r="AF2417">
            <v>0</v>
          </cell>
          <cell r="AG2417">
            <v>0</v>
          </cell>
        </row>
        <row r="2418">
          <cell r="AD2418" t="str"/>
          <cell r="AE2418" t="str"/>
          <cell r="AF2418">
            <v>0</v>
          </cell>
          <cell r="AG2418">
            <v>0</v>
          </cell>
        </row>
        <row r="2419">
          <cell r="AD2419" t="str"/>
          <cell r="AE2419" t="str"/>
          <cell r="AF2419">
            <v>0</v>
          </cell>
          <cell r="AG2419">
            <v>0</v>
          </cell>
        </row>
        <row r="2420">
          <cell r="AD2420" t="str"/>
          <cell r="AE2420" t="str"/>
          <cell r="AF2420">
            <v>0</v>
          </cell>
          <cell r="AG2420">
            <v>0</v>
          </cell>
        </row>
        <row r="2421">
          <cell r="AD2421" t="str"/>
          <cell r="AE2421" t="str"/>
          <cell r="AF2421">
            <v>0</v>
          </cell>
          <cell r="AG2421">
            <v>0</v>
          </cell>
        </row>
        <row r="2422">
          <cell r="AD2422" t="str"/>
          <cell r="AE2422" t="str"/>
          <cell r="AF2422">
            <v>0</v>
          </cell>
          <cell r="AG2422">
            <v>0</v>
          </cell>
        </row>
        <row r="2423">
          <cell r="AD2423" t="str"/>
          <cell r="AE2423" t="str"/>
          <cell r="AF2423">
            <v>0</v>
          </cell>
          <cell r="AG2423">
            <v>0</v>
          </cell>
        </row>
        <row r="2424">
          <cell r="AD2424" t="str"/>
          <cell r="AE2424" t="str"/>
          <cell r="AF2424">
            <v>0</v>
          </cell>
          <cell r="AG2424">
            <v>0</v>
          </cell>
        </row>
        <row r="2425">
          <cell r="AD2425" t="str"/>
          <cell r="AE2425" t="str"/>
          <cell r="AF2425">
            <v>0</v>
          </cell>
          <cell r="AG2425">
            <v>0</v>
          </cell>
        </row>
        <row r="2426">
          <cell r="AD2426" t="str"/>
          <cell r="AE2426" t="str"/>
          <cell r="AF2426">
            <v>0</v>
          </cell>
          <cell r="AG2426">
            <v>0</v>
          </cell>
        </row>
        <row r="2427">
          <cell r="AD2427" t="str"/>
          <cell r="AE2427" t="str"/>
          <cell r="AF2427">
            <v>0</v>
          </cell>
          <cell r="AG2427">
            <v>0</v>
          </cell>
        </row>
        <row r="2428">
          <cell r="AD2428" t="str"/>
          <cell r="AE2428" t="str"/>
          <cell r="AF2428">
            <v>0</v>
          </cell>
          <cell r="AG2428">
            <v>0</v>
          </cell>
        </row>
        <row r="2429">
          <cell r="AD2429" t="str"/>
          <cell r="AE2429" t="str"/>
          <cell r="AF2429">
            <v>0</v>
          </cell>
          <cell r="AG2429">
            <v>0</v>
          </cell>
        </row>
        <row r="2430">
          <cell r="AD2430" t="str"/>
          <cell r="AE2430" t="str"/>
          <cell r="AF2430">
            <v>0</v>
          </cell>
          <cell r="AG2430">
            <v>0</v>
          </cell>
        </row>
        <row r="2431">
          <cell r="AD2431" t="str"/>
          <cell r="AE2431" t="str"/>
          <cell r="AF2431">
            <v>0</v>
          </cell>
          <cell r="AG2431">
            <v>0</v>
          </cell>
        </row>
        <row r="2432">
          <cell r="AD2432" t="str"/>
          <cell r="AE2432" t="str"/>
          <cell r="AF2432">
            <v>0</v>
          </cell>
          <cell r="AG2432">
            <v>0</v>
          </cell>
        </row>
        <row r="2433">
          <cell r="AD2433" t="str"/>
          <cell r="AE2433" t="str"/>
          <cell r="AF2433">
            <v>0</v>
          </cell>
          <cell r="AG2433">
            <v>0</v>
          </cell>
        </row>
        <row r="2434">
          <cell r="AD2434" t="str"/>
          <cell r="AE2434" t="str"/>
          <cell r="AF2434">
            <v>0</v>
          </cell>
          <cell r="AG2434">
            <v>0</v>
          </cell>
        </row>
        <row r="2435">
          <cell r="AD2435" t="str"/>
          <cell r="AE2435" t="str"/>
          <cell r="AF2435">
            <v>0</v>
          </cell>
          <cell r="AG2435">
            <v>0</v>
          </cell>
        </row>
        <row r="2436">
          <cell r="AD2436" t="str"/>
          <cell r="AE2436" t="str"/>
          <cell r="AF2436">
            <v>0</v>
          </cell>
          <cell r="AG2436">
            <v>0</v>
          </cell>
        </row>
        <row r="2437">
          <cell r="AD2437" t="str"/>
          <cell r="AE2437" t="str"/>
          <cell r="AF2437">
            <v>0</v>
          </cell>
          <cell r="AG2437">
            <v>0</v>
          </cell>
        </row>
        <row r="2438">
          <cell r="AD2438" t="str"/>
          <cell r="AE2438" t="str"/>
          <cell r="AF2438">
            <v>0</v>
          </cell>
          <cell r="AG2438">
            <v>0</v>
          </cell>
        </row>
        <row r="2439">
          <cell r="AD2439" t="str"/>
          <cell r="AE2439" t="str"/>
          <cell r="AF2439">
            <v>0</v>
          </cell>
          <cell r="AG2439">
            <v>0</v>
          </cell>
        </row>
        <row r="2440">
          <cell r="AD2440" t="str"/>
          <cell r="AE2440" t="str"/>
          <cell r="AF2440">
            <v>0</v>
          </cell>
          <cell r="AG2440">
            <v>0</v>
          </cell>
        </row>
        <row r="2441">
          <cell r="AD2441" t="str"/>
          <cell r="AE2441" t="str"/>
          <cell r="AF2441">
            <v>0</v>
          </cell>
          <cell r="AG2441">
            <v>0</v>
          </cell>
        </row>
        <row r="2442">
          <cell r="AD2442" t="str"/>
          <cell r="AE2442" t="str"/>
          <cell r="AF2442">
            <v>0</v>
          </cell>
          <cell r="AG2442">
            <v>0</v>
          </cell>
        </row>
        <row r="2443">
          <cell r="AD2443" t="str"/>
          <cell r="AE2443" t="str"/>
          <cell r="AF2443">
            <v>0</v>
          </cell>
          <cell r="AG2443">
            <v>0</v>
          </cell>
        </row>
        <row r="2444">
          <cell r="AD2444" t="str"/>
          <cell r="AE2444" t="str"/>
          <cell r="AF2444">
            <v>0</v>
          </cell>
          <cell r="AG2444">
            <v>0</v>
          </cell>
        </row>
        <row r="2445">
          <cell r="AD2445" t="str"/>
          <cell r="AE2445" t="str"/>
          <cell r="AF2445">
            <v>0</v>
          </cell>
          <cell r="AG2445">
            <v>0</v>
          </cell>
        </row>
        <row r="2446">
          <cell r="AD2446" t="str"/>
          <cell r="AE2446" t="str"/>
          <cell r="AF2446">
            <v>0</v>
          </cell>
          <cell r="AG2446">
            <v>0</v>
          </cell>
        </row>
        <row r="2447">
          <cell r="AD2447" t="str"/>
          <cell r="AE2447" t="str"/>
          <cell r="AF2447">
            <v>0</v>
          </cell>
          <cell r="AG2447">
            <v>0</v>
          </cell>
        </row>
        <row r="2448">
          <cell r="AD2448" t="str"/>
          <cell r="AE2448" t="str"/>
          <cell r="AF2448">
            <v>0</v>
          </cell>
          <cell r="AG2448">
            <v>0</v>
          </cell>
        </row>
        <row r="2449">
          <cell r="AD2449" t="str"/>
          <cell r="AE2449" t="str"/>
          <cell r="AF2449">
            <v>0</v>
          </cell>
          <cell r="AG2449">
            <v>0</v>
          </cell>
        </row>
        <row r="2450">
          <cell r="AD2450" t="str"/>
          <cell r="AE2450" t="str"/>
          <cell r="AF2450">
            <v>0</v>
          </cell>
          <cell r="AG2450">
            <v>0</v>
          </cell>
        </row>
        <row r="2451">
          <cell r="AD2451" t="str"/>
          <cell r="AE2451" t="str"/>
          <cell r="AF2451">
            <v>0</v>
          </cell>
          <cell r="AG2451">
            <v>0</v>
          </cell>
        </row>
        <row r="2452">
          <cell r="AD2452" t="str"/>
          <cell r="AE2452" t="str"/>
          <cell r="AF2452">
            <v>0</v>
          </cell>
          <cell r="AG2452">
            <v>0</v>
          </cell>
        </row>
        <row r="2453">
          <cell r="AD2453" t="str"/>
          <cell r="AE2453" t="str"/>
          <cell r="AF2453">
            <v>0</v>
          </cell>
          <cell r="AG2453">
            <v>0</v>
          </cell>
        </row>
        <row r="2454">
          <cell r="AD2454" t="str"/>
          <cell r="AE2454" t="str"/>
          <cell r="AF2454">
            <v>0</v>
          </cell>
          <cell r="AG2454">
            <v>0</v>
          </cell>
        </row>
        <row r="2455">
          <cell r="AD2455" t="str"/>
          <cell r="AE2455" t="str"/>
          <cell r="AF2455">
            <v>0</v>
          </cell>
          <cell r="AG2455">
            <v>0</v>
          </cell>
        </row>
        <row r="2456">
          <cell r="AD2456" t="str"/>
          <cell r="AE2456" t="str"/>
          <cell r="AF2456">
            <v>0</v>
          </cell>
          <cell r="AG2456">
            <v>0</v>
          </cell>
        </row>
        <row r="2457">
          <cell r="AD2457" t="str"/>
          <cell r="AE2457" t="str"/>
          <cell r="AF2457">
            <v>0</v>
          </cell>
          <cell r="AG2457">
            <v>0</v>
          </cell>
        </row>
        <row r="2458">
          <cell r="AD2458" t="str"/>
          <cell r="AE2458" t="str"/>
          <cell r="AF2458">
            <v>0</v>
          </cell>
          <cell r="AG2458">
            <v>0</v>
          </cell>
        </row>
        <row r="2459">
          <cell r="AD2459" t="str"/>
          <cell r="AE2459" t="str"/>
          <cell r="AF2459">
            <v>0</v>
          </cell>
          <cell r="AG2459">
            <v>0</v>
          </cell>
        </row>
        <row r="2460">
          <cell r="AD2460" t="str"/>
          <cell r="AE2460" t="str"/>
          <cell r="AF2460">
            <v>0</v>
          </cell>
          <cell r="AG2460">
            <v>0</v>
          </cell>
        </row>
        <row r="2461">
          <cell r="AD2461" t="str"/>
          <cell r="AE2461" t="str"/>
          <cell r="AF2461">
            <v>0</v>
          </cell>
          <cell r="AG2461">
            <v>0</v>
          </cell>
        </row>
        <row r="2462">
          <cell r="AD2462" t="str"/>
          <cell r="AE2462" t="str"/>
          <cell r="AF2462">
            <v>0</v>
          </cell>
          <cell r="AG2462">
            <v>0</v>
          </cell>
        </row>
        <row r="2463">
          <cell r="AD2463" t="str"/>
          <cell r="AE2463" t="str"/>
          <cell r="AF2463">
            <v>0</v>
          </cell>
          <cell r="AG2463">
            <v>0</v>
          </cell>
        </row>
        <row r="2464">
          <cell r="AD2464" t="str"/>
          <cell r="AE2464" t="str"/>
          <cell r="AF2464">
            <v>0</v>
          </cell>
          <cell r="AG2464">
            <v>0</v>
          </cell>
        </row>
        <row r="2465">
          <cell r="AD2465" t="str"/>
          <cell r="AE2465" t="str"/>
          <cell r="AF2465">
            <v>0</v>
          </cell>
          <cell r="AG2465">
            <v>0</v>
          </cell>
        </row>
        <row r="2466">
          <cell r="AD2466" t="str"/>
          <cell r="AE2466" t="str"/>
          <cell r="AF2466">
            <v>0</v>
          </cell>
          <cell r="AG2466">
            <v>0</v>
          </cell>
        </row>
        <row r="2467">
          <cell r="AD2467" t="str"/>
          <cell r="AE2467" t="str"/>
          <cell r="AF2467">
            <v>0</v>
          </cell>
          <cell r="AG2467">
            <v>0</v>
          </cell>
        </row>
        <row r="2468">
          <cell r="AD2468" t="str"/>
          <cell r="AE2468" t="str"/>
          <cell r="AF2468">
            <v>0</v>
          </cell>
          <cell r="AG2468">
            <v>0</v>
          </cell>
        </row>
        <row r="2469">
          <cell r="AD2469" t="str"/>
          <cell r="AE2469" t="str"/>
          <cell r="AF2469">
            <v>0</v>
          </cell>
          <cell r="AG2469">
            <v>0</v>
          </cell>
        </row>
        <row r="2470">
          <cell r="AD2470" t="str"/>
          <cell r="AE2470" t="str"/>
          <cell r="AF2470">
            <v>0</v>
          </cell>
          <cell r="AG2470">
            <v>0</v>
          </cell>
        </row>
        <row r="2471">
          <cell r="AD2471" t="str"/>
          <cell r="AE2471" t="str"/>
          <cell r="AF2471">
            <v>0</v>
          </cell>
          <cell r="AG2471">
            <v>0</v>
          </cell>
        </row>
        <row r="2472">
          <cell r="AD2472" t="str"/>
          <cell r="AE2472" t="str"/>
          <cell r="AF2472">
            <v>0</v>
          </cell>
          <cell r="AG2472">
            <v>0</v>
          </cell>
        </row>
        <row r="2473">
          <cell r="AD2473" t="str"/>
          <cell r="AE2473" t="str"/>
          <cell r="AF2473">
            <v>0</v>
          </cell>
          <cell r="AG2473">
            <v>0</v>
          </cell>
        </row>
        <row r="2474">
          <cell r="AD2474" t="str"/>
          <cell r="AE2474" t="str"/>
          <cell r="AF2474">
            <v>0</v>
          </cell>
          <cell r="AG2474">
            <v>0</v>
          </cell>
        </row>
        <row r="2475">
          <cell r="AD2475" t="str"/>
          <cell r="AE2475" t="str"/>
          <cell r="AF2475">
            <v>0</v>
          </cell>
          <cell r="AG2475">
            <v>0</v>
          </cell>
        </row>
        <row r="2476">
          <cell r="AD2476" t="str"/>
          <cell r="AE2476" t="str"/>
          <cell r="AF2476">
            <v>0</v>
          </cell>
          <cell r="AG2476">
            <v>0</v>
          </cell>
        </row>
        <row r="2477">
          <cell r="AD2477" t="str"/>
          <cell r="AE2477" t="str"/>
          <cell r="AF2477">
            <v>0</v>
          </cell>
          <cell r="AG2477">
            <v>0</v>
          </cell>
        </row>
        <row r="2478">
          <cell r="AD2478" t="str"/>
          <cell r="AE2478" t="str"/>
          <cell r="AF2478">
            <v>0</v>
          </cell>
          <cell r="AG2478">
            <v>0</v>
          </cell>
        </row>
        <row r="2479">
          <cell r="AD2479" t="str"/>
          <cell r="AE2479" t="str"/>
          <cell r="AF2479">
            <v>0</v>
          </cell>
          <cell r="AG2479">
            <v>0</v>
          </cell>
        </row>
        <row r="2480">
          <cell r="AD2480" t="str"/>
          <cell r="AE2480" t="str"/>
          <cell r="AF2480">
            <v>0</v>
          </cell>
          <cell r="AG2480">
            <v>0</v>
          </cell>
        </row>
        <row r="2481">
          <cell r="AD2481" t="str"/>
          <cell r="AE2481" t="str"/>
          <cell r="AF2481">
            <v>0</v>
          </cell>
          <cell r="AG2481">
            <v>0</v>
          </cell>
        </row>
        <row r="2482">
          <cell r="AD2482" t="str"/>
          <cell r="AE2482" t="str"/>
          <cell r="AF2482">
            <v>0</v>
          </cell>
          <cell r="AG2482">
            <v>0</v>
          </cell>
        </row>
        <row r="2483">
          <cell r="AD2483" t="str"/>
          <cell r="AE2483" t="str"/>
          <cell r="AF2483">
            <v>0</v>
          </cell>
          <cell r="AG2483">
            <v>0</v>
          </cell>
        </row>
        <row r="2484">
          <cell r="AD2484" t="str"/>
          <cell r="AE2484" t="str"/>
          <cell r="AF2484">
            <v>0</v>
          </cell>
          <cell r="AG2484">
            <v>0</v>
          </cell>
        </row>
        <row r="2485">
          <cell r="AD2485" t="str"/>
          <cell r="AE2485" t="str"/>
          <cell r="AF2485">
            <v>0</v>
          </cell>
          <cell r="AG2485">
            <v>0</v>
          </cell>
        </row>
        <row r="2486">
          <cell r="AD2486" t="str"/>
          <cell r="AE2486" t="str"/>
          <cell r="AF2486">
            <v>0</v>
          </cell>
          <cell r="AG2486">
            <v>0</v>
          </cell>
        </row>
        <row r="2487">
          <cell r="AD2487" t="str"/>
          <cell r="AE2487" t="str"/>
          <cell r="AF2487">
            <v>0</v>
          </cell>
          <cell r="AG2487">
            <v>0</v>
          </cell>
        </row>
        <row r="2488">
          <cell r="AD2488" t="str"/>
          <cell r="AE2488" t="str"/>
          <cell r="AF2488">
            <v>0</v>
          </cell>
          <cell r="AG2488">
            <v>0</v>
          </cell>
        </row>
        <row r="2489">
          <cell r="AD2489" t="str"/>
          <cell r="AE2489" t="str"/>
          <cell r="AF2489">
            <v>0</v>
          </cell>
          <cell r="AG2489">
            <v>0</v>
          </cell>
        </row>
        <row r="2490">
          <cell r="AD2490" t="str"/>
          <cell r="AE2490" t="str"/>
          <cell r="AF2490">
            <v>0</v>
          </cell>
          <cell r="AG2490">
            <v>0</v>
          </cell>
        </row>
        <row r="2491">
          <cell r="AD2491" t="str"/>
          <cell r="AE2491" t="str"/>
          <cell r="AF2491">
            <v>0</v>
          </cell>
          <cell r="AG2491">
            <v>0</v>
          </cell>
        </row>
        <row r="2492">
          <cell r="AD2492" t="str"/>
          <cell r="AE2492" t="str"/>
          <cell r="AF2492">
            <v>0</v>
          </cell>
          <cell r="AG2492">
            <v>0</v>
          </cell>
        </row>
        <row r="2493">
          <cell r="AD2493" t="str"/>
          <cell r="AE2493" t="str"/>
          <cell r="AF2493">
            <v>0</v>
          </cell>
          <cell r="AG2493">
            <v>0</v>
          </cell>
        </row>
        <row r="2494">
          <cell r="AD2494" t="str"/>
          <cell r="AE2494" t="str"/>
          <cell r="AF2494">
            <v>0</v>
          </cell>
          <cell r="AG2494">
            <v>0</v>
          </cell>
        </row>
        <row r="2495">
          <cell r="AD2495" t="str"/>
          <cell r="AE2495" t="str"/>
          <cell r="AF2495">
            <v>0</v>
          </cell>
          <cell r="AG2495">
            <v>0</v>
          </cell>
        </row>
        <row r="2496">
          <cell r="AD2496" t="str"/>
          <cell r="AE2496" t="str"/>
          <cell r="AF2496">
            <v>0</v>
          </cell>
          <cell r="AG2496">
            <v>0</v>
          </cell>
        </row>
        <row r="2497">
          <cell r="AD2497" t="str"/>
          <cell r="AE2497" t="str"/>
          <cell r="AF2497">
            <v>0</v>
          </cell>
          <cell r="AG2497">
            <v>0</v>
          </cell>
        </row>
        <row r="2498">
          <cell r="AD2498" t="str"/>
          <cell r="AE2498" t="str"/>
          <cell r="AF2498">
            <v>0</v>
          </cell>
          <cell r="AG2498">
            <v>0</v>
          </cell>
        </row>
        <row r="2499">
          <cell r="AD2499" t="str"/>
          <cell r="AE2499" t="str"/>
          <cell r="AF2499">
            <v>0</v>
          </cell>
          <cell r="AG2499">
            <v>0</v>
          </cell>
        </row>
        <row r="2500">
          <cell r="AD2500" t="str"/>
          <cell r="AE2500" t="str"/>
          <cell r="AF2500">
            <v>0</v>
          </cell>
          <cell r="AG2500">
            <v>0</v>
          </cell>
        </row>
        <row r="2501">
          <cell r="AD2501" t="str"/>
          <cell r="AE2501" t="str"/>
          <cell r="AF2501">
            <v>0</v>
          </cell>
          <cell r="AG2501">
            <v>0</v>
          </cell>
        </row>
        <row r="2502">
          <cell r="AD2502" t="str"/>
          <cell r="AE2502" t="str"/>
          <cell r="AF2502">
            <v>0</v>
          </cell>
          <cell r="AG2502">
            <v>0</v>
          </cell>
        </row>
        <row r="2503">
          <cell r="AD2503" t="str"/>
          <cell r="AE2503" t="str"/>
          <cell r="AF2503">
            <v>0</v>
          </cell>
          <cell r="AG2503">
            <v>0</v>
          </cell>
        </row>
        <row r="2504">
          <cell r="AD2504" t="str"/>
          <cell r="AE2504" t="str"/>
          <cell r="AF2504">
            <v>0</v>
          </cell>
          <cell r="AG2504">
            <v>0</v>
          </cell>
        </row>
        <row r="2505">
          <cell r="AD2505" t="str"/>
          <cell r="AE2505" t="str"/>
          <cell r="AF2505">
            <v>0</v>
          </cell>
          <cell r="AG2505">
            <v>0</v>
          </cell>
        </row>
        <row r="2506">
          <cell r="AD2506" t="str"/>
          <cell r="AE2506" t="str"/>
          <cell r="AF2506">
            <v>0</v>
          </cell>
          <cell r="AG2506">
            <v>0</v>
          </cell>
        </row>
        <row r="2507">
          <cell r="AD2507" t="str"/>
          <cell r="AE2507" t="str"/>
          <cell r="AF2507">
            <v>0</v>
          </cell>
          <cell r="AG2507">
            <v>0</v>
          </cell>
        </row>
        <row r="2508">
          <cell r="AD2508" t="str"/>
          <cell r="AE2508" t="str"/>
          <cell r="AF2508">
            <v>0</v>
          </cell>
          <cell r="AG2508">
            <v>0</v>
          </cell>
        </row>
        <row r="2509">
          <cell r="AD2509" t="str"/>
          <cell r="AE2509" t="str"/>
          <cell r="AF2509">
            <v>0</v>
          </cell>
          <cell r="AG2509">
            <v>0</v>
          </cell>
        </row>
        <row r="2510">
          <cell r="AD2510" t="str"/>
          <cell r="AE2510" t="str"/>
          <cell r="AF2510">
            <v>0</v>
          </cell>
          <cell r="AG2510">
            <v>0</v>
          </cell>
        </row>
        <row r="2511">
          <cell r="AD2511" t="str"/>
          <cell r="AE2511" t="str"/>
          <cell r="AF2511">
            <v>0</v>
          </cell>
          <cell r="AG2511">
            <v>0</v>
          </cell>
        </row>
        <row r="2512">
          <cell r="AD2512" t="str"/>
          <cell r="AE2512" t="str"/>
          <cell r="AF2512">
            <v>0</v>
          </cell>
          <cell r="AG2512">
            <v>0</v>
          </cell>
        </row>
        <row r="2513">
          <cell r="AD2513" t="str"/>
          <cell r="AE2513" t="str"/>
          <cell r="AF2513">
            <v>0</v>
          </cell>
          <cell r="AG2513">
            <v>0</v>
          </cell>
        </row>
        <row r="2514">
          <cell r="AD2514" t="str"/>
          <cell r="AE2514" t="str"/>
          <cell r="AF2514">
            <v>0</v>
          </cell>
          <cell r="AG2514">
            <v>0</v>
          </cell>
        </row>
        <row r="2515">
          <cell r="AD2515" t="str"/>
          <cell r="AE2515" t="str"/>
          <cell r="AF2515">
            <v>0</v>
          </cell>
          <cell r="AG2515">
            <v>0</v>
          </cell>
        </row>
        <row r="2516">
          <cell r="AD2516" t="str"/>
          <cell r="AE2516" t="str"/>
          <cell r="AF2516">
            <v>0</v>
          </cell>
          <cell r="AG2516">
            <v>0</v>
          </cell>
        </row>
        <row r="2517">
          <cell r="AD2517" t="str"/>
          <cell r="AE2517" t="str"/>
          <cell r="AF2517">
            <v>0</v>
          </cell>
          <cell r="AG2517">
            <v>0</v>
          </cell>
        </row>
        <row r="2518">
          <cell r="AD2518" t="str"/>
          <cell r="AE2518" t="str"/>
          <cell r="AF2518">
            <v>0</v>
          </cell>
          <cell r="AG2518">
            <v>0</v>
          </cell>
        </row>
        <row r="2519">
          <cell r="AD2519" t="str"/>
          <cell r="AE2519" t="str"/>
          <cell r="AF2519">
            <v>0</v>
          </cell>
          <cell r="AG2519">
            <v>0</v>
          </cell>
        </row>
        <row r="2520">
          <cell r="AD2520" t="str"/>
          <cell r="AE2520" t="str"/>
          <cell r="AF2520">
            <v>0</v>
          </cell>
          <cell r="AG2520">
            <v>0</v>
          </cell>
        </row>
        <row r="2521">
          <cell r="AD2521" t="str"/>
          <cell r="AE2521" t="str"/>
          <cell r="AF2521">
            <v>0</v>
          </cell>
          <cell r="AG2521">
            <v>0</v>
          </cell>
        </row>
        <row r="2522">
          <cell r="AD2522" t="str"/>
          <cell r="AE2522" t="str"/>
          <cell r="AF2522">
            <v>0</v>
          </cell>
          <cell r="AG2522">
            <v>0</v>
          </cell>
        </row>
        <row r="2523">
          <cell r="AD2523" t="str"/>
          <cell r="AE2523" t="str"/>
          <cell r="AF2523">
            <v>0</v>
          </cell>
          <cell r="AG2523">
            <v>0</v>
          </cell>
        </row>
        <row r="2524">
          <cell r="AD2524" t="str"/>
          <cell r="AE2524" t="str"/>
          <cell r="AF2524">
            <v>0</v>
          </cell>
          <cell r="AG2524">
            <v>0</v>
          </cell>
        </row>
        <row r="2525">
          <cell r="AD2525" t="str"/>
          <cell r="AE2525" t="str"/>
          <cell r="AF2525">
            <v>0</v>
          </cell>
          <cell r="AG2525">
            <v>0</v>
          </cell>
        </row>
        <row r="2526">
          <cell r="AD2526" t="str"/>
          <cell r="AE2526" t="str"/>
          <cell r="AF2526">
            <v>0</v>
          </cell>
          <cell r="AG2526">
            <v>0</v>
          </cell>
        </row>
        <row r="2527">
          <cell r="AD2527" t="str"/>
          <cell r="AE2527" t="str"/>
          <cell r="AF2527">
            <v>0</v>
          </cell>
          <cell r="AG2527">
            <v>0</v>
          </cell>
        </row>
        <row r="2528">
          <cell r="AD2528" t="str"/>
          <cell r="AE2528" t="str"/>
          <cell r="AF2528">
            <v>0</v>
          </cell>
          <cell r="AG2528">
            <v>0</v>
          </cell>
        </row>
        <row r="2529">
          <cell r="AD2529" t="str"/>
          <cell r="AE2529" t="str"/>
          <cell r="AF2529">
            <v>0</v>
          </cell>
          <cell r="AG2529">
            <v>0</v>
          </cell>
        </row>
        <row r="2530">
          <cell r="AD2530" t="str"/>
          <cell r="AE2530" t="str"/>
          <cell r="AF2530">
            <v>0</v>
          </cell>
          <cell r="AG2530">
            <v>0</v>
          </cell>
        </row>
        <row r="2531">
          <cell r="AD2531" t="str"/>
          <cell r="AE2531" t="str"/>
          <cell r="AF2531">
            <v>0</v>
          </cell>
          <cell r="AG2531">
            <v>0</v>
          </cell>
        </row>
        <row r="2532">
          <cell r="AD2532" t="str"/>
          <cell r="AE2532" t="str"/>
          <cell r="AF2532">
            <v>0</v>
          </cell>
          <cell r="AG2532">
            <v>0</v>
          </cell>
        </row>
        <row r="2533">
          <cell r="AD2533" t="str"/>
          <cell r="AE2533" t="str"/>
          <cell r="AF2533">
            <v>0</v>
          </cell>
          <cell r="AG2533">
            <v>0</v>
          </cell>
        </row>
        <row r="2534">
          <cell r="AD2534" t="str"/>
          <cell r="AE2534" t="str"/>
          <cell r="AF2534">
            <v>0</v>
          </cell>
          <cell r="AG2534">
            <v>0</v>
          </cell>
        </row>
        <row r="2535">
          <cell r="AD2535" t="str"/>
          <cell r="AE2535" t="str"/>
          <cell r="AF2535">
            <v>0</v>
          </cell>
          <cell r="AG2535">
            <v>0</v>
          </cell>
        </row>
        <row r="2536">
          <cell r="AD2536" t="str"/>
          <cell r="AE2536" t="str"/>
          <cell r="AF2536">
            <v>0</v>
          </cell>
          <cell r="AG2536">
            <v>0</v>
          </cell>
        </row>
        <row r="2537">
          <cell r="AD2537" t="str"/>
          <cell r="AE2537" t="str"/>
          <cell r="AF2537">
            <v>0</v>
          </cell>
          <cell r="AG2537">
            <v>0</v>
          </cell>
        </row>
        <row r="2538">
          <cell r="AD2538" t="str"/>
          <cell r="AE2538" t="str"/>
          <cell r="AF2538">
            <v>0</v>
          </cell>
          <cell r="AG2538">
            <v>0</v>
          </cell>
        </row>
        <row r="2539">
          <cell r="AD2539" t="str"/>
          <cell r="AE2539" t="str"/>
          <cell r="AF2539">
            <v>0</v>
          </cell>
          <cell r="AG2539">
            <v>0</v>
          </cell>
        </row>
        <row r="2540">
          <cell r="AD2540" t="str"/>
          <cell r="AE2540" t="str"/>
          <cell r="AF2540">
            <v>0</v>
          </cell>
          <cell r="AG2540">
            <v>0</v>
          </cell>
        </row>
        <row r="2541">
          <cell r="AD2541" t="str"/>
          <cell r="AE2541" t="str"/>
          <cell r="AF2541">
            <v>0</v>
          </cell>
          <cell r="AG2541">
            <v>0</v>
          </cell>
        </row>
        <row r="2542">
          <cell r="AD2542" t="str"/>
          <cell r="AE2542" t="str"/>
          <cell r="AF2542">
            <v>0</v>
          </cell>
          <cell r="AG2542">
            <v>0</v>
          </cell>
        </row>
        <row r="2543">
          <cell r="AD2543" t="str"/>
          <cell r="AE2543" t="str"/>
          <cell r="AF2543">
            <v>0</v>
          </cell>
          <cell r="AG2543">
            <v>0</v>
          </cell>
        </row>
        <row r="2544">
          <cell r="AD2544" t="str"/>
          <cell r="AE2544" t="str"/>
          <cell r="AF2544">
            <v>0</v>
          </cell>
          <cell r="AG2544">
            <v>0</v>
          </cell>
        </row>
        <row r="2545">
          <cell r="AD2545" t="str"/>
          <cell r="AE2545" t="str"/>
          <cell r="AF2545">
            <v>0</v>
          </cell>
          <cell r="AG2545">
            <v>0</v>
          </cell>
        </row>
        <row r="2546">
          <cell r="AD2546" t="str"/>
          <cell r="AE2546" t="str"/>
          <cell r="AF2546">
            <v>0</v>
          </cell>
          <cell r="AG2546">
            <v>0</v>
          </cell>
        </row>
        <row r="2547">
          <cell r="AD2547" t="str"/>
          <cell r="AE2547" t="str"/>
          <cell r="AF2547">
            <v>0</v>
          </cell>
          <cell r="AG2547">
            <v>0</v>
          </cell>
        </row>
        <row r="2548">
          <cell r="AD2548" t="str"/>
          <cell r="AE2548" t="str"/>
          <cell r="AF2548">
            <v>0</v>
          </cell>
          <cell r="AG2548">
            <v>0</v>
          </cell>
        </row>
        <row r="2549">
          <cell r="AD2549" t="str"/>
          <cell r="AE2549" t="str"/>
          <cell r="AF2549">
            <v>0</v>
          </cell>
          <cell r="AG2549">
            <v>0</v>
          </cell>
        </row>
        <row r="2550">
          <cell r="AD2550" t="str"/>
          <cell r="AE2550" t="str"/>
          <cell r="AF2550">
            <v>0</v>
          </cell>
          <cell r="AG2550">
            <v>0</v>
          </cell>
        </row>
        <row r="2551">
          <cell r="AD2551" t="str"/>
          <cell r="AE2551" t="str"/>
          <cell r="AF2551">
            <v>0</v>
          </cell>
          <cell r="AG2551">
            <v>0</v>
          </cell>
        </row>
        <row r="2552">
          <cell r="AD2552" t="str"/>
          <cell r="AE2552" t="str"/>
          <cell r="AF2552">
            <v>0</v>
          </cell>
          <cell r="AG2552">
            <v>0</v>
          </cell>
        </row>
        <row r="2553">
          <cell r="AD2553" t="str"/>
          <cell r="AE2553" t="str"/>
          <cell r="AF2553">
            <v>0</v>
          </cell>
          <cell r="AG2553">
            <v>0</v>
          </cell>
        </row>
        <row r="2554">
          <cell r="AD2554" t="str"/>
          <cell r="AE2554" t="str"/>
          <cell r="AF2554">
            <v>0</v>
          </cell>
          <cell r="AG2554">
            <v>0</v>
          </cell>
        </row>
        <row r="2555">
          <cell r="AD2555" t="str"/>
          <cell r="AE2555" t="str"/>
          <cell r="AF2555">
            <v>0</v>
          </cell>
          <cell r="AG2555">
            <v>0</v>
          </cell>
        </row>
        <row r="2556">
          <cell r="AD2556" t="str"/>
          <cell r="AE2556" t="str"/>
          <cell r="AF2556">
            <v>0</v>
          </cell>
          <cell r="AG2556">
            <v>0</v>
          </cell>
        </row>
        <row r="2557">
          <cell r="AD2557" t="str"/>
          <cell r="AE2557" t="str"/>
          <cell r="AF2557">
            <v>0</v>
          </cell>
          <cell r="AG2557">
            <v>0</v>
          </cell>
        </row>
        <row r="2558">
          <cell r="AD2558" t="str"/>
          <cell r="AE2558" t="str"/>
          <cell r="AF2558">
            <v>0</v>
          </cell>
          <cell r="AG2558">
            <v>0</v>
          </cell>
        </row>
        <row r="2559">
          <cell r="AD2559" t="str"/>
          <cell r="AE2559" t="str"/>
          <cell r="AF2559">
            <v>0</v>
          </cell>
          <cell r="AG2559">
            <v>0</v>
          </cell>
        </row>
        <row r="2560">
          <cell r="AD2560" t="str"/>
          <cell r="AE2560" t="str"/>
          <cell r="AF2560">
            <v>0</v>
          </cell>
          <cell r="AG2560">
            <v>0</v>
          </cell>
        </row>
        <row r="2561">
          <cell r="AD2561" t="str"/>
          <cell r="AE2561" t="str"/>
          <cell r="AF2561">
            <v>0</v>
          </cell>
          <cell r="AG2561">
            <v>0</v>
          </cell>
        </row>
        <row r="2562">
          <cell r="AD2562" t="str"/>
          <cell r="AE2562" t="str"/>
          <cell r="AF2562">
            <v>0</v>
          </cell>
          <cell r="AG2562">
            <v>0</v>
          </cell>
        </row>
        <row r="2563">
          <cell r="AD2563" t="str"/>
          <cell r="AE2563" t="str"/>
          <cell r="AF2563">
            <v>0</v>
          </cell>
          <cell r="AG2563">
            <v>0</v>
          </cell>
        </row>
        <row r="2564">
          <cell r="AD2564" t="str"/>
          <cell r="AE2564" t="str"/>
          <cell r="AF2564">
            <v>0</v>
          </cell>
          <cell r="AG2564">
            <v>0</v>
          </cell>
        </row>
        <row r="2565">
          <cell r="AD2565" t="str"/>
          <cell r="AE2565" t="str"/>
          <cell r="AF2565">
            <v>0</v>
          </cell>
          <cell r="AG2565">
            <v>0</v>
          </cell>
        </row>
        <row r="2566">
          <cell r="AD2566" t="str"/>
          <cell r="AE2566" t="str"/>
          <cell r="AF2566">
            <v>0</v>
          </cell>
          <cell r="AG2566">
            <v>0</v>
          </cell>
        </row>
        <row r="2567">
          <cell r="AD2567" t="str"/>
          <cell r="AE2567" t="str"/>
          <cell r="AF2567">
            <v>0</v>
          </cell>
          <cell r="AG2567">
            <v>0</v>
          </cell>
        </row>
        <row r="2568">
          <cell r="AD2568" t="str"/>
          <cell r="AE2568" t="str"/>
          <cell r="AF2568">
            <v>0</v>
          </cell>
          <cell r="AG2568">
            <v>0</v>
          </cell>
        </row>
        <row r="2569">
          <cell r="AD2569" t="str"/>
          <cell r="AE2569" t="str"/>
          <cell r="AF2569">
            <v>0</v>
          </cell>
          <cell r="AG2569">
            <v>0</v>
          </cell>
        </row>
        <row r="2570">
          <cell r="AD2570" t="str"/>
          <cell r="AE2570" t="str"/>
          <cell r="AF2570">
            <v>0</v>
          </cell>
          <cell r="AG2570">
            <v>0</v>
          </cell>
        </row>
        <row r="2571">
          <cell r="AD2571" t="str"/>
          <cell r="AE2571" t="str"/>
          <cell r="AF2571">
            <v>0</v>
          </cell>
          <cell r="AG2571">
            <v>0</v>
          </cell>
        </row>
        <row r="2572">
          <cell r="AD2572" t="str"/>
          <cell r="AE2572" t="str"/>
          <cell r="AF2572">
            <v>0</v>
          </cell>
          <cell r="AG2572">
            <v>0</v>
          </cell>
        </row>
        <row r="2573">
          <cell r="AD2573" t="str"/>
          <cell r="AE2573" t="str"/>
          <cell r="AF2573">
            <v>0</v>
          </cell>
          <cell r="AG2573">
            <v>0</v>
          </cell>
        </row>
        <row r="2574">
          <cell r="AD2574" t="str"/>
          <cell r="AE2574" t="str"/>
          <cell r="AF2574">
            <v>0</v>
          </cell>
          <cell r="AG2574">
            <v>0</v>
          </cell>
        </row>
        <row r="2575">
          <cell r="AD2575" t="str"/>
          <cell r="AE2575" t="str"/>
          <cell r="AF2575">
            <v>0</v>
          </cell>
          <cell r="AG2575">
            <v>0</v>
          </cell>
        </row>
        <row r="2576">
          <cell r="AD2576" t="str"/>
          <cell r="AE2576" t="str"/>
          <cell r="AF2576">
            <v>0</v>
          </cell>
          <cell r="AG2576">
            <v>0</v>
          </cell>
        </row>
        <row r="2577">
          <cell r="AD2577" t="str"/>
          <cell r="AE2577" t="str"/>
          <cell r="AF2577">
            <v>0</v>
          </cell>
          <cell r="AG2577">
            <v>0</v>
          </cell>
        </row>
        <row r="2578">
          <cell r="AD2578" t="str"/>
          <cell r="AE2578" t="str"/>
          <cell r="AF2578">
            <v>0</v>
          </cell>
          <cell r="AG2578">
            <v>0</v>
          </cell>
        </row>
        <row r="2579">
          <cell r="AD2579" t="str"/>
          <cell r="AE2579" t="str"/>
          <cell r="AF2579">
            <v>0</v>
          </cell>
          <cell r="AG2579">
            <v>0</v>
          </cell>
        </row>
        <row r="2580">
          <cell r="AD2580" t="str"/>
          <cell r="AE2580" t="str"/>
          <cell r="AF2580">
            <v>0</v>
          </cell>
          <cell r="AG2580">
            <v>0</v>
          </cell>
        </row>
        <row r="2581">
          <cell r="AD2581" t="str"/>
          <cell r="AE2581" t="str"/>
          <cell r="AF2581">
            <v>0</v>
          </cell>
          <cell r="AG2581">
            <v>0</v>
          </cell>
        </row>
        <row r="2582">
          <cell r="AD2582" t="str"/>
          <cell r="AE2582" t="str"/>
          <cell r="AF2582">
            <v>0</v>
          </cell>
          <cell r="AG2582">
            <v>0</v>
          </cell>
        </row>
        <row r="2583">
          <cell r="AD2583" t="str"/>
          <cell r="AE2583" t="str"/>
          <cell r="AF2583">
            <v>0</v>
          </cell>
          <cell r="AG2583">
            <v>0</v>
          </cell>
        </row>
        <row r="2584">
          <cell r="AD2584" t="str"/>
          <cell r="AE2584" t="str"/>
          <cell r="AF2584">
            <v>0</v>
          </cell>
          <cell r="AG2584">
            <v>0</v>
          </cell>
        </row>
        <row r="2585">
          <cell r="AD2585" t="str"/>
          <cell r="AE2585" t="str"/>
          <cell r="AF2585">
            <v>0</v>
          </cell>
          <cell r="AG2585">
            <v>0</v>
          </cell>
        </row>
        <row r="2586">
          <cell r="AD2586" t="str"/>
          <cell r="AE2586" t="str"/>
          <cell r="AF2586">
            <v>0</v>
          </cell>
          <cell r="AG2586">
            <v>0</v>
          </cell>
        </row>
        <row r="2587">
          <cell r="AD2587" t="str"/>
          <cell r="AE2587" t="str"/>
          <cell r="AF2587">
            <v>0</v>
          </cell>
          <cell r="AG2587">
            <v>0</v>
          </cell>
        </row>
        <row r="2588">
          <cell r="AD2588" t="str"/>
          <cell r="AE2588" t="str"/>
          <cell r="AF2588">
            <v>0</v>
          </cell>
          <cell r="AG2588">
            <v>0</v>
          </cell>
        </row>
        <row r="2589">
          <cell r="AD2589" t="str"/>
          <cell r="AE2589" t="str"/>
          <cell r="AF2589">
            <v>0</v>
          </cell>
          <cell r="AG2589">
            <v>0</v>
          </cell>
        </row>
        <row r="2590">
          <cell r="AD2590" t="str"/>
          <cell r="AE2590" t="str"/>
          <cell r="AF2590">
            <v>0</v>
          </cell>
          <cell r="AG2590">
            <v>0</v>
          </cell>
        </row>
        <row r="2591">
          <cell r="AD2591" t="str"/>
          <cell r="AE2591" t="str"/>
          <cell r="AF2591">
            <v>0</v>
          </cell>
          <cell r="AG2591">
            <v>0</v>
          </cell>
        </row>
        <row r="2592">
          <cell r="AD2592" t="str"/>
          <cell r="AE2592" t="str"/>
          <cell r="AF2592">
            <v>0</v>
          </cell>
          <cell r="AG2592">
            <v>0</v>
          </cell>
        </row>
        <row r="2593">
          <cell r="AD2593" t="str"/>
          <cell r="AE2593" t="str"/>
          <cell r="AF2593">
            <v>0</v>
          </cell>
          <cell r="AG2593">
            <v>0</v>
          </cell>
        </row>
        <row r="2594">
          <cell r="AD2594" t="str"/>
          <cell r="AE2594" t="str"/>
          <cell r="AF2594">
            <v>0</v>
          </cell>
          <cell r="AG2594">
            <v>0</v>
          </cell>
        </row>
        <row r="2595">
          <cell r="AD2595" t="str"/>
          <cell r="AE2595" t="str"/>
          <cell r="AF2595">
            <v>0</v>
          </cell>
          <cell r="AG2595">
            <v>0</v>
          </cell>
        </row>
        <row r="2596">
          <cell r="AD2596" t="str"/>
          <cell r="AE2596" t="str"/>
          <cell r="AF2596">
            <v>0</v>
          </cell>
          <cell r="AG2596">
            <v>0</v>
          </cell>
        </row>
        <row r="2597">
          <cell r="AD2597" t="str"/>
          <cell r="AE2597" t="str"/>
          <cell r="AF2597">
            <v>0</v>
          </cell>
          <cell r="AG2597">
            <v>0</v>
          </cell>
        </row>
        <row r="2598">
          <cell r="AD2598" t="str"/>
          <cell r="AE2598" t="str"/>
          <cell r="AF2598">
            <v>0</v>
          </cell>
          <cell r="AG2598">
            <v>0</v>
          </cell>
        </row>
        <row r="2599">
          <cell r="AD2599" t="str"/>
          <cell r="AE2599" t="str"/>
          <cell r="AF2599">
            <v>0</v>
          </cell>
          <cell r="AG2599">
            <v>0</v>
          </cell>
        </row>
        <row r="2600">
          <cell r="AD2600" t="str"/>
          <cell r="AE2600" t="str"/>
          <cell r="AF2600">
            <v>0</v>
          </cell>
          <cell r="AG2600">
            <v>0</v>
          </cell>
        </row>
        <row r="2601">
          <cell r="AD2601" t="str"/>
          <cell r="AE2601" t="str"/>
          <cell r="AF2601">
            <v>0</v>
          </cell>
          <cell r="AG2601">
            <v>0</v>
          </cell>
        </row>
        <row r="2602">
          <cell r="AD2602" t="str"/>
          <cell r="AE2602" t="str"/>
          <cell r="AF2602">
            <v>0</v>
          </cell>
          <cell r="AG2602">
            <v>0</v>
          </cell>
        </row>
        <row r="2603">
          <cell r="AD2603" t="str"/>
          <cell r="AE2603" t="str"/>
          <cell r="AF2603">
            <v>0</v>
          </cell>
          <cell r="AG2603">
            <v>0</v>
          </cell>
        </row>
        <row r="2604">
          <cell r="AD2604" t="str"/>
          <cell r="AE2604" t="str"/>
          <cell r="AF2604">
            <v>0</v>
          </cell>
          <cell r="AG2604">
            <v>0</v>
          </cell>
        </row>
        <row r="2605">
          <cell r="AD2605" t="str"/>
          <cell r="AE2605" t="str"/>
          <cell r="AF2605">
            <v>0</v>
          </cell>
          <cell r="AG2605">
            <v>0</v>
          </cell>
        </row>
        <row r="2606">
          <cell r="AD2606" t="str"/>
          <cell r="AE2606" t="str"/>
          <cell r="AF2606">
            <v>0</v>
          </cell>
          <cell r="AG2606">
            <v>0</v>
          </cell>
        </row>
        <row r="2607">
          <cell r="AD2607" t="str"/>
          <cell r="AE2607" t="str"/>
          <cell r="AF2607">
            <v>0</v>
          </cell>
          <cell r="AG2607">
            <v>0</v>
          </cell>
        </row>
        <row r="2608">
          <cell r="AD2608" t="str"/>
          <cell r="AE2608" t="str"/>
          <cell r="AF2608">
            <v>0</v>
          </cell>
          <cell r="AG2608">
            <v>0</v>
          </cell>
        </row>
        <row r="2609">
          <cell r="AD2609" t="str"/>
          <cell r="AE2609" t="str"/>
          <cell r="AF2609">
            <v>0</v>
          </cell>
          <cell r="AG2609">
            <v>0</v>
          </cell>
        </row>
        <row r="2610">
          <cell r="AD2610" t="str"/>
          <cell r="AE2610" t="str"/>
          <cell r="AF2610">
            <v>0</v>
          </cell>
          <cell r="AG2610">
            <v>0</v>
          </cell>
        </row>
        <row r="2611">
          <cell r="AD2611" t="str"/>
          <cell r="AE2611" t="str"/>
          <cell r="AF2611">
            <v>0</v>
          </cell>
          <cell r="AG2611">
            <v>0</v>
          </cell>
        </row>
        <row r="2612">
          <cell r="AD2612" t="str"/>
          <cell r="AE2612" t="str"/>
          <cell r="AF2612">
            <v>0</v>
          </cell>
          <cell r="AG2612">
            <v>0</v>
          </cell>
        </row>
        <row r="2613">
          <cell r="AD2613" t="str"/>
          <cell r="AE2613" t="str"/>
          <cell r="AF2613">
            <v>0</v>
          </cell>
          <cell r="AG2613">
            <v>0</v>
          </cell>
        </row>
        <row r="2614">
          <cell r="AD2614" t="str"/>
          <cell r="AE2614" t="str"/>
          <cell r="AF2614">
            <v>0</v>
          </cell>
          <cell r="AG2614">
            <v>0</v>
          </cell>
        </row>
        <row r="2615">
          <cell r="AD2615" t="str"/>
          <cell r="AE2615" t="str"/>
          <cell r="AF2615">
            <v>0</v>
          </cell>
          <cell r="AG2615">
            <v>0</v>
          </cell>
        </row>
        <row r="2616">
          <cell r="AD2616" t="str"/>
          <cell r="AE2616" t="str"/>
          <cell r="AF2616">
            <v>0</v>
          </cell>
          <cell r="AG2616">
            <v>0</v>
          </cell>
        </row>
        <row r="2617">
          <cell r="AD2617" t="str"/>
          <cell r="AE2617" t="str"/>
          <cell r="AF2617">
            <v>0</v>
          </cell>
          <cell r="AG2617">
            <v>0</v>
          </cell>
        </row>
        <row r="2618">
          <cell r="AD2618" t="str"/>
          <cell r="AE2618" t="str"/>
          <cell r="AF2618">
            <v>0</v>
          </cell>
          <cell r="AG2618">
            <v>0</v>
          </cell>
        </row>
        <row r="2619">
          <cell r="AD2619" t="str"/>
          <cell r="AE2619" t="str"/>
          <cell r="AF2619">
            <v>0</v>
          </cell>
          <cell r="AG2619">
            <v>0</v>
          </cell>
        </row>
        <row r="2620">
          <cell r="AD2620" t="str"/>
          <cell r="AE2620" t="str"/>
          <cell r="AF2620">
            <v>0</v>
          </cell>
          <cell r="AG2620">
            <v>0</v>
          </cell>
        </row>
        <row r="2621">
          <cell r="AD2621" t="str"/>
          <cell r="AE2621" t="str"/>
          <cell r="AF2621">
            <v>0</v>
          </cell>
          <cell r="AG2621">
            <v>0</v>
          </cell>
        </row>
        <row r="2622">
          <cell r="AD2622" t="str"/>
          <cell r="AE2622" t="str"/>
          <cell r="AF2622">
            <v>0</v>
          </cell>
          <cell r="AG2622">
            <v>0</v>
          </cell>
        </row>
        <row r="2623">
          <cell r="AD2623" t="str"/>
          <cell r="AE2623" t="str"/>
          <cell r="AF2623">
            <v>0</v>
          </cell>
          <cell r="AG2623">
            <v>0</v>
          </cell>
        </row>
        <row r="2624">
          <cell r="AD2624" t="str"/>
          <cell r="AE2624" t="str"/>
          <cell r="AF2624">
            <v>0</v>
          </cell>
          <cell r="AG2624">
            <v>0</v>
          </cell>
        </row>
        <row r="2625">
          <cell r="AD2625" t="str"/>
          <cell r="AE2625" t="str"/>
          <cell r="AF2625">
            <v>0</v>
          </cell>
          <cell r="AG2625">
            <v>0</v>
          </cell>
        </row>
        <row r="2626">
          <cell r="AD2626" t="str"/>
          <cell r="AE2626" t="str"/>
          <cell r="AF2626">
            <v>0</v>
          </cell>
          <cell r="AG2626">
            <v>0</v>
          </cell>
        </row>
        <row r="2627">
          <cell r="AD2627" t="str"/>
          <cell r="AE2627" t="str"/>
          <cell r="AF2627">
            <v>0</v>
          </cell>
          <cell r="AG2627">
            <v>0</v>
          </cell>
        </row>
        <row r="2628">
          <cell r="AD2628" t="str"/>
          <cell r="AE2628" t="str"/>
          <cell r="AF2628">
            <v>0</v>
          </cell>
          <cell r="AG2628">
            <v>0</v>
          </cell>
        </row>
        <row r="2629">
          <cell r="AD2629" t="str"/>
          <cell r="AE2629" t="str"/>
          <cell r="AF2629">
            <v>0</v>
          </cell>
          <cell r="AG2629">
            <v>0</v>
          </cell>
        </row>
        <row r="2630">
          <cell r="AD2630" t="str"/>
          <cell r="AE2630" t="str"/>
          <cell r="AF2630">
            <v>0</v>
          </cell>
          <cell r="AG2630">
            <v>0</v>
          </cell>
        </row>
        <row r="2631">
          <cell r="AD2631" t="str"/>
          <cell r="AE2631" t="str"/>
          <cell r="AF2631">
            <v>0</v>
          </cell>
          <cell r="AG2631">
            <v>0</v>
          </cell>
        </row>
        <row r="2632">
          <cell r="AD2632" t="str"/>
          <cell r="AE2632" t="str"/>
          <cell r="AF2632">
            <v>0</v>
          </cell>
          <cell r="AG2632">
            <v>0</v>
          </cell>
        </row>
        <row r="2633">
          <cell r="AD2633" t="str"/>
          <cell r="AE2633" t="str"/>
          <cell r="AF2633">
            <v>0</v>
          </cell>
          <cell r="AG2633">
            <v>0</v>
          </cell>
        </row>
        <row r="2634">
          <cell r="AD2634" t="str"/>
          <cell r="AE2634" t="str"/>
          <cell r="AF2634">
            <v>0</v>
          </cell>
          <cell r="AG2634">
            <v>0</v>
          </cell>
        </row>
        <row r="2635">
          <cell r="AD2635" t="str"/>
          <cell r="AE2635" t="str"/>
          <cell r="AF2635">
            <v>0</v>
          </cell>
          <cell r="AG2635">
            <v>0</v>
          </cell>
        </row>
        <row r="2636">
          <cell r="AD2636" t="str"/>
          <cell r="AE2636" t="str"/>
          <cell r="AF2636">
            <v>0</v>
          </cell>
          <cell r="AG2636">
            <v>0</v>
          </cell>
        </row>
        <row r="2637">
          <cell r="AD2637" t="str"/>
          <cell r="AE2637" t="str"/>
          <cell r="AF2637">
            <v>0</v>
          </cell>
          <cell r="AG2637">
            <v>0</v>
          </cell>
        </row>
        <row r="2638">
          <cell r="AD2638" t="str"/>
          <cell r="AE2638" t="str"/>
          <cell r="AF2638">
            <v>0</v>
          </cell>
          <cell r="AG2638">
            <v>0</v>
          </cell>
        </row>
        <row r="2639">
          <cell r="AD2639" t="str"/>
          <cell r="AE2639" t="str"/>
          <cell r="AF2639">
            <v>0</v>
          </cell>
          <cell r="AG2639">
            <v>0</v>
          </cell>
        </row>
        <row r="2640">
          <cell r="AD2640" t="str"/>
          <cell r="AE2640" t="str"/>
          <cell r="AF2640">
            <v>0</v>
          </cell>
          <cell r="AG2640">
            <v>0</v>
          </cell>
        </row>
        <row r="2641">
          <cell r="AD2641" t="str"/>
          <cell r="AE2641" t="str"/>
          <cell r="AF2641">
            <v>0</v>
          </cell>
          <cell r="AG2641">
            <v>0</v>
          </cell>
        </row>
        <row r="2642">
          <cell r="AD2642" t="str"/>
          <cell r="AE2642" t="str"/>
          <cell r="AF2642">
            <v>0</v>
          </cell>
          <cell r="AG2642">
            <v>0</v>
          </cell>
        </row>
        <row r="2643">
          <cell r="AD2643" t="str"/>
          <cell r="AE2643" t="str"/>
          <cell r="AF2643">
            <v>0</v>
          </cell>
          <cell r="AG2643">
            <v>0</v>
          </cell>
        </row>
        <row r="2644">
          <cell r="AD2644" t="str"/>
          <cell r="AE2644" t="str"/>
          <cell r="AF2644">
            <v>0</v>
          </cell>
          <cell r="AG2644">
            <v>0</v>
          </cell>
        </row>
        <row r="2645">
          <cell r="AD2645" t="str"/>
          <cell r="AE2645" t="str"/>
          <cell r="AF2645">
            <v>0</v>
          </cell>
          <cell r="AG2645">
            <v>0</v>
          </cell>
        </row>
        <row r="2646">
          <cell r="AD2646" t="str"/>
          <cell r="AE2646" t="str"/>
          <cell r="AF2646">
            <v>0</v>
          </cell>
          <cell r="AG2646">
            <v>0</v>
          </cell>
        </row>
        <row r="2647">
          <cell r="AD2647" t="str"/>
          <cell r="AE2647" t="str"/>
          <cell r="AF2647">
            <v>0</v>
          </cell>
          <cell r="AG2647">
            <v>0</v>
          </cell>
        </row>
        <row r="2648">
          <cell r="AD2648" t="str"/>
          <cell r="AE2648" t="str"/>
          <cell r="AF2648">
            <v>0</v>
          </cell>
          <cell r="AG2648">
            <v>0</v>
          </cell>
        </row>
        <row r="2649">
          <cell r="AD2649" t="str"/>
          <cell r="AE2649" t="str"/>
          <cell r="AF2649">
            <v>0</v>
          </cell>
          <cell r="AG2649">
            <v>0</v>
          </cell>
        </row>
        <row r="2650">
          <cell r="AD2650" t="str"/>
          <cell r="AE2650" t="str"/>
          <cell r="AF2650">
            <v>0</v>
          </cell>
          <cell r="AG2650">
            <v>0</v>
          </cell>
        </row>
        <row r="2651">
          <cell r="AD2651" t="str"/>
          <cell r="AE2651" t="str"/>
          <cell r="AF2651">
            <v>0</v>
          </cell>
          <cell r="AG2651">
            <v>0</v>
          </cell>
        </row>
        <row r="2652">
          <cell r="AD2652" t="str"/>
          <cell r="AE2652" t="str"/>
          <cell r="AF2652">
            <v>0</v>
          </cell>
          <cell r="AG2652">
            <v>0</v>
          </cell>
        </row>
        <row r="2653">
          <cell r="AD2653" t="str"/>
          <cell r="AE2653" t="str"/>
          <cell r="AF2653">
            <v>0</v>
          </cell>
          <cell r="AG2653">
            <v>0</v>
          </cell>
        </row>
        <row r="2654">
          <cell r="AD2654" t="str"/>
          <cell r="AE2654" t="str"/>
          <cell r="AF2654">
            <v>0</v>
          </cell>
          <cell r="AG2654">
            <v>0</v>
          </cell>
        </row>
        <row r="2655">
          <cell r="AD2655" t="str"/>
          <cell r="AE2655" t="str"/>
          <cell r="AF2655">
            <v>0</v>
          </cell>
          <cell r="AG2655">
            <v>0</v>
          </cell>
        </row>
        <row r="2656">
          <cell r="AD2656" t="str"/>
          <cell r="AE2656" t="str"/>
          <cell r="AF2656">
            <v>0</v>
          </cell>
          <cell r="AG2656">
            <v>0</v>
          </cell>
        </row>
        <row r="2657">
          <cell r="AD2657" t="str"/>
          <cell r="AE2657" t="str"/>
          <cell r="AF2657">
            <v>0</v>
          </cell>
          <cell r="AG2657">
            <v>0</v>
          </cell>
        </row>
        <row r="2658">
          <cell r="AD2658" t="str"/>
          <cell r="AE2658" t="str"/>
          <cell r="AF2658">
            <v>0</v>
          </cell>
          <cell r="AG2658">
            <v>0</v>
          </cell>
        </row>
        <row r="2659">
          <cell r="AD2659" t="str"/>
          <cell r="AE2659" t="str"/>
          <cell r="AF2659">
            <v>0</v>
          </cell>
          <cell r="AG2659">
            <v>0</v>
          </cell>
        </row>
        <row r="2660">
          <cell r="AD2660" t="str"/>
          <cell r="AE2660" t="str"/>
          <cell r="AF2660">
            <v>0</v>
          </cell>
          <cell r="AG2660">
            <v>0</v>
          </cell>
        </row>
        <row r="2661">
          <cell r="AD2661" t="str"/>
          <cell r="AE2661" t="str"/>
          <cell r="AF2661">
            <v>0</v>
          </cell>
          <cell r="AG2661">
            <v>0</v>
          </cell>
        </row>
        <row r="2662">
          <cell r="AD2662" t="str"/>
          <cell r="AE2662" t="str"/>
          <cell r="AF2662">
            <v>0</v>
          </cell>
          <cell r="AG2662">
            <v>0</v>
          </cell>
        </row>
        <row r="2663">
          <cell r="AD2663" t="str"/>
          <cell r="AE2663" t="str"/>
          <cell r="AF2663">
            <v>0</v>
          </cell>
          <cell r="AG2663">
            <v>0</v>
          </cell>
        </row>
        <row r="2664">
          <cell r="AD2664" t="str"/>
          <cell r="AE2664" t="str"/>
          <cell r="AF2664">
            <v>0</v>
          </cell>
          <cell r="AG2664">
            <v>0</v>
          </cell>
        </row>
        <row r="2665">
          <cell r="AD2665" t="str"/>
          <cell r="AE2665" t="str"/>
          <cell r="AF2665">
            <v>0</v>
          </cell>
          <cell r="AG2665">
            <v>0</v>
          </cell>
        </row>
        <row r="2666">
          <cell r="AD2666" t="str"/>
          <cell r="AE2666" t="str"/>
          <cell r="AF2666">
            <v>0</v>
          </cell>
          <cell r="AG2666">
            <v>0</v>
          </cell>
        </row>
        <row r="2667">
          <cell r="AD2667" t="str"/>
          <cell r="AE2667" t="str"/>
          <cell r="AF2667">
            <v>0</v>
          </cell>
          <cell r="AG2667">
            <v>0</v>
          </cell>
        </row>
        <row r="2668">
          <cell r="AD2668" t="str"/>
          <cell r="AE2668" t="str"/>
          <cell r="AF2668">
            <v>0</v>
          </cell>
          <cell r="AG2668">
            <v>0</v>
          </cell>
        </row>
        <row r="2669">
          <cell r="AD2669" t="str"/>
          <cell r="AE2669" t="str"/>
          <cell r="AF2669">
            <v>0</v>
          </cell>
          <cell r="AG2669">
            <v>0</v>
          </cell>
        </row>
        <row r="2670">
          <cell r="AD2670" t="str"/>
          <cell r="AE2670" t="str"/>
          <cell r="AF2670">
            <v>0</v>
          </cell>
          <cell r="AG2670">
            <v>0</v>
          </cell>
        </row>
        <row r="2671">
          <cell r="AD2671" t="str"/>
          <cell r="AE2671" t="str"/>
          <cell r="AF2671">
            <v>0</v>
          </cell>
          <cell r="AG2671">
            <v>0</v>
          </cell>
        </row>
        <row r="2672">
          <cell r="AD2672" t="str"/>
          <cell r="AE2672" t="str"/>
          <cell r="AF2672">
            <v>0</v>
          </cell>
          <cell r="AG2672">
            <v>0</v>
          </cell>
        </row>
        <row r="2673">
          <cell r="AD2673" t="str"/>
          <cell r="AE2673" t="str"/>
          <cell r="AF2673">
            <v>0</v>
          </cell>
          <cell r="AG2673">
            <v>0</v>
          </cell>
        </row>
        <row r="2674">
          <cell r="AD2674" t="str"/>
          <cell r="AE2674" t="str"/>
          <cell r="AF2674">
            <v>0</v>
          </cell>
          <cell r="AG2674">
            <v>0</v>
          </cell>
        </row>
        <row r="2675">
          <cell r="AD2675" t="str"/>
          <cell r="AE2675" t="str"/>
          <cell r="AF2675">
            <v>0</v>
          </cell>
          <cell r="AG2675">
            <v>0</v>
          </cell>
        </row>
        <row r="2676">
          <cell r="AD2676" t="str"/>
          <cell r="AE2676" t="str"/>
          <cell r="AF2676">
            <v>0</v>
          </cell>
          <cell r="AG2676">
            <v>0</v>
          </cell>
        </row>
        <row r="2677">
          <cell r="AD2677" t="str"/>
          <cell r="AE2677" t="str"/>
          <cell r="AF2677">
            <v>0</v>
          </cell>
          <cell r="AG2677">
            <v>0</v>
          </cell>
        </row>
        <row r="2678">
          <cell r="AD2678" t="str"/>
          <cell r="AE2678" t="str"/>
          <cell r="AF2678">
            <v>0</v>
          </cell>
          <cell r="AG2678">
            <v>0</v>
          </cell>
        </row>
        <row r="2679">
          <cell r="AD2679" t="str"/>
          <cell r="AE2679" t="str"/>
          <cell r="AF2679">
            <v>0</v>
          </cell>
          <cell r="AG2679">
            <v>0</v>
          </cell>
        </row>
        <row r="2680">
          <cell r="AD2680" t="str"/>
          <cell r="AE2680" t="str"/>
          <cell r="AF2680">
            <v>0</v>
          </cell>
          <cell r="AG2680">
            <v>0</v>
          </cell>
        </row>
        <row r="2681">
          <cell r="AD2681" t="str"/>
          <cell r="AE2681" t="str"/>
          <cell r="AF2681">
            <v>0</v>
          </cell>
          <cell r="AG2681">
            <v>0</v>
          </cell>
        </row>
        <row r="2682">
          <cell r="AD2682" t="str"/>
          <cell r="AE2682" t="str"/>
          <cell r="AF2682">
            <v>0</v>
          </cell>
          <cell r="AG2682">
            <v>0</v>
          </cell>
        </row>
        <row r="2683">
          <cell r="AD2683" t="str"/>
          <cell r="AE2683" t="str"/>
          <cell r="AF2683">
            <v>0</v>
          </cell>
          <cell r="AG2683">
            <v>0</v>
          </cell>
        </row>
        <row r="2684">
          <cell r="AD2684" t="str"/>
          <cell r="AE2684" t="str"/>
          <cell r="AF2684">
            <v>0</v>
          </cell>
          <cell r="AG2684">
            <v>0</v>
          </cell>
        </row>
        <row r="2685">
          <cell r="AD2685" t="str"/>
          <cell r="AE2685" t="str"/>
          <cell r="AF2685">
            <v>0</v>
          </cell>
          <cell r="AG2685">
            <v>0</v>
          </cell>
        </row>
        <row r="2686">
          <cell r="AD2686" t="str"/>
          <cell r="AE2686" t="str"/>
          <cell r="AF2686">
            <v>0</v>
          </cell>
          <cell r="AG2686">
            <v>0</v>
          </cell>
        </row>
        <row r="2687">
          <cell r="AD2687" t="str"/>
          <cell r="AE2687" t="str"/>
          <cell r="AF2687">
            <v>0</v>
          </cell>
          <cell r="AG2687">
            <v>0</v>
          </cell>
        </row>
        <row r="2688">
          <cell r="AD2688" t="str"/>
          <cell r="AE2688" t="str"/>
          <cell r="AF2688">
            <v>0</v>
          </cell>
          <cell r="AG2688">
            <v>0</v>
          </cell>
        </row>
        <row r="2689">
          <cell r="AD2689" t="str"/>
          <cell r="AE2689" t="str"/>
          <cell r="AF2689">
            <v>0</v>
          </cell>
          <cell r="AG2689">
            <v>0</v>
          </cell>
        </row>
        <row r="2690">
          <cell r="AD2690" t="str"/>
          <cell r="AE2690" t="str"/>
          <cell r="AF2690">
            <v>0</v>
          </cell>
          <cell r="AG2690">
            <v>0</v>
          </cell>
        </row>
        <row r="2691">
          <cell r="AD2691" t="str"/>
          <cell r="AE2691" t="str"/>
          <cell r="AF2691">
            <v>0</v>
          </cell>
          <cell r="AG2691">
            <v>0</v>
          </cell>
        </row>
        <row r="2692">
          <cell r="AD2692" t="str"/>
          <cell r="AE2692" t="str"/>
          <cell r="AF2692">
            <v>0</v>
          </cell>
          <cell r="AG2692">
            <v>0</v>
          </cell>
        </row>
        <row r="2693">
          <cell r="AD2693" t="str"/>
          <cell r="AE2693" t="str"/>
          <cell r="AF2693">
            <v>0</v>
          </cell>
          <cell r="AG2693">
            <v>0</v>
          </cell>
        </row>
        <row r="2694">
          <cell r="AD2694" t="str"/>
          <cell r="AE2694" t="str"/>
          <cell r="AF2694">
            <v>0</v>
          </cell>
          <cell r="AG2694">
            <v>0</v>
          </cell>
        </row>
        <row r="2695">
          <cell r="AD2695" t="str"/>
          <cell r="AE2695" t="str"/>
          <cell r="AF2695">
            <v>0</v>
          </cell>
          <cell r="AG2695">
            <v>0</v>
          </cell>
        </row>
        <row r="2696">
          <cell r="AD2696" t="str"/>
          <cell r="AE2696" t="str"/>
          <cell r="AF2696">
            <v>0</v>
          </cell>
          <cell r="AG2696">
            <v>0</v>
          </cell>
        </row>
        <row r="2697">
          <cell r="AD2697" t="str"/>
          <cell r="AE2697" t="str"/>
          <cell r="AF2697">
            <v>0</v>
          </cell>
          <cell r="AG2697">
            <v>0</v>
          </cell>
        </row>
        <row r="2698">
          <cell r="AD2698" t="str"/>
          <cell r="AE2698" t="str"/>
          <cell r="AF2698">
            <v>0</v>
          </cell>
          <cell r="AG2698">
            <v>0</v>
          </cell>
        </row>
        <row r="2699">
          <cell r="AD2699" t="str"/>
          <cell r="AE2699" t="str"/>
          <cell r="AF2699">
            <v>0</v>
          </cell>
          <cell r="AG2699">
            <v>0</v>
          </cell>
        </row>
        <row r="2700">
          <cell r="AD2700" t="str"/>
          <cell r="AE2700" t="str"/>
          <cell r="AF2700">
            <v>0</v>
          </cell>
          <cell r="AG2700">
            <v>0</v>
          </cell>
        </row>
        <row r="2701">
          <cell r="AD2701" t="str"/>
          <cell r="AE2701" t="str"/>
          <cell r="AF2701">
            <v>0</v>
          </cell>
          <cell r="AG2701">
            <v>0</v>
          </cell>
        </row>
        <row r="2702">
          <cell r="AD2702" t="str"/>
          <cell r="AE2702" t="str"/>
          <cell r="AF2702">
            <v>0</v>
          </cell>
          <cell r="AG2702">
            <v>0</v>
          </cell>
        </row>
        <row r="2703">
          <cell r="AD2703" t="str"/>
          <cell r="AE2703" t="str"/>
          <cell r="AF2703">
            <v>0</v>
          </cell>
          <cell r="AG2703">
            <v>0</v>
          </cell>
        </row>
        <row r="2704">
          <cell r="AD2704" t="str"/>
          <cell r="AE2704" t="str"/>
          <cell r="AF2704">
            <v>0</v>
          </cell>
          <cell r="AG2704">
            <v>0</v>
          </cell>
        </row>
        <row r="2705">
          <cell r="AD2705" t="str"/>
          <cell r="AE2705" t="str"/>
          <cell r="AF2705">
            <v>0</v>
          </cell>
          <cell r="AG2705">
            <v>0</v>
          </cell>
        </row>
        <row r="2706">
          <cell r="AD2706" t="str"/>
          <cell r="AE2706" t="str"/>
          <cell r="AF2706">
            <v>0</v>
          </cell>
          <cell r="AG2706">
            <v>0</v>
          </cell>
        </row>
        <row r="2707">
          <cell r="AD2707" t="str"/>
          <cell r="AE2707" t="str"/>
          <cell r="AF2707">
            <v>0</v>
          </cell>
          <cell r="AG2707">
            <v>0</v>
          </cell>
        </row>
        <row r="2708">
          <cell r="AD2708" t="str"/>
          <cell r="AE2708" t="str"/>
          <cell r="AF2708">
            <v>0</v>
          </cell>
          <cell r="AG2708">
            <v>0</v>
          </cell>
        </row>
        <row r="2709">
          <cell r="AD2709" t="str"/>
          <cell r="AE2709" t="str"/>
          <cell r="AF2709">
            <v>0</v>
          </cell>
          <cell r="AG2709">
            <v>0</v>
          </cell>
        </row>
        <row r="2710">
          <cell r="AD2710" t="str"/>
          <cell r="AE2710" t="str"/>
          <cell r="AF2710">
            <v>0</v>
          </cell>
          <cell r="AG2710">
            <v>0</v>
          </cell>
        </row>
        <row r="2711">
          <cell r="AD2711" t="str"/>
          <cell r="AE2711" t="str"/>
          <cell r="AF2711">
            <v>0</v>
          </cell>
          <cell r="AG2711">
            <v>0</v>
          </cell>
        </row>
        <row r="2712">
          <cell r="AD2712" t="str"/>
          <cell r="AE2712" t="str"/>
          <cell r="AF2712">
            <v>0</v>
          </cell>
          <cell r="AG2712">
            <v>0</v>
          </cell>
        </row>
        <row r="2713">
          <cell r="AD2713" t="str"/>
          <cell r="AE2713" t="str"/>
          <cell r="AF2713">
            <v>0</v>
          </cell>
          <cell r="AG2713">
            <v>0</v>
          </cell>
        </row>
        <row r="2714">
          <cell r="AD2714" t="str"/>
          <cell r="AE2714" t="str"/>
          <cell r="AF2714">
            <v>0</v>
          </cell>
          <cell r="AG2714">
            <v>0</v>
          </cell>
        </row>
        <row r="2715">
          <cell r="AD2715" t="str"/>
          <cell r="AE2715" t="str"/>
          <cell r="AF2715">
            <v>0</v>
          </cell>
          <cell r="AG2715">
            <v>0</v>
          </cell>
        </row>
        <row r="2716">
          <cell r="AD2716" t="str"/>
          <cell r="AE2716" t="str"/>
          <cell r="AF2716">
            <v>0</v>
          </cell>
          <cell r="AG2716">
            <v>0</v>
          </cell>
        </row>
        <row r="2717">
          <cell r="AD2717" t="str"/>
          <cell r="AE2717" t="str"/>
          <cell r="AF2717">
            <v>0</v>
          </cell>
          <cell r="AG2717">
            <v>0</v>
          </cell>
        </row>
        <row r="2718">
          <cell r="AD2718" t="str"/>
          <cell r="AE2718" t="str"/>
          <cell r="AF2718">
            <v>0</v>
          </cell>
          <cell r="AG2718">
            <v>0</v>
          </cell>
        </row>
        <row r="2719">
          <cell r="AD2719" t="str"/>
          <cell r="AE2719" t="str"/>
          <cell r="AF2719">
            <v>0</v>
          </cell>
          <cell r="AG2719">
            <v>0</v>
          </cell>
        </row>
        <row r="2720">
          <cell r="AD2720" t="str"/>
          <cell r="AE2720" t="str"/>
          <cell r="AF2720">
            <v>0</v>
          </cell>
          <cell r="AG2720">
            <v>0</v>
          </cell>
        </row>
        <row r="2721">
          <cell r="AD2721" t="str"/>
          <cell r="AE2721" t="str"/>
          <cell r="AF2721">
            <v>0</v>
          </cell>
          <cell r="AG2721">
            <v>0</v>
          </cell>
        </row>
        <row r="2722">
          <cell r="AD2722" t="str"/>
          <cell r="AE2722" t="str"/>
          <cell r="AF2722">
            <v>0</v>
          </cell>
          <cell r="AG2722">
            <v>0</v>
          </cell>
        </row>
        <row r="2723">
          <cell r="AD2723" t="str"/>
          <cell r="AE2723" t="str"/>
          <cell r="AF2723">
            <v>0</v>
          </cell>
          <cell r="AG2723">
            <v>0</v>
          </cell>
        </row>
        <row r="2724">
          <cell r="AD2724" t="str"/>
          <cell r="AE2724" t="str"/>
          <cell r="AF2724">
            <v>0</v>
          </cell>
          <cell r="AG2724">
            <v>0</v>
          </cell>
        </row>
        <row r="2725">
          <cell r="AD2725" t="str"/>
          <cell r="AE2725" t="str"/>
          <cell r="AF2725">
            <v>0</v>
          </cell>
          <cell r="AG2725">
            <v>0</v>
          </cell>
        </row>
        <row r="2726">
          <cell r="AD2726" t="str"/>
          <cell r="AE2726" t="str"/>
          <cell r="AF2726">
            <v>0</v>
          </cell>
          <cell r="AG2726">
            <v>0</v>
          </cell>
        </row>
        <row r="2727">
          <cell r="AD2727" t="str"/>
          <cell r="AE2727" t="str"/>
          <cell r="AF2727">
            <v>0</v>
          </cell>
          <cell r="AG2727">
            <v>0</v>
          </cell>
        </row>
        <row r="2728">
          <cell r="AD2728" t="str"/>
          <cell r="AE2728" t="str"/>
          <cell r="AF2728">
            <v>0</v>
          </cell>
          <cell r="AG2728">
            <v>0</v>
          </cell>
        </row>
        <row r="2729">
          <cell r="AD2729" t="str"/>
          <cell r="AE2729" t="str"/>
          <cell r="AF2729">
            <v>0</v>
          </cell>
          <cell r="AG2729">
            <v>0</v>
          </cell>
        </row>
        <row r="2730">
          <cell r="AD2730" t="str"/>
          <cell r="AE2730" t="str"/>
          <cell r="AF2730">
            <v>0</v>
          </cell>
          <cell r="AG2730">
            <v>0</v>
          </cell>
        </row>
        <row r="2731">
          <cell r="AD2731" t="str"/>
          <cell r="AE2731" t="str"/>
          <cell r="AF2731">
            <v>0</v>
          </cell>
          <cell r="AG2731">
            <v>0</v>
          </cell>
        </row>
        <row r="2732">
          <cell r="AD2732" t="str"/>
          <cell r="AE2732" t="str"/>
          <cell r="AF2732">
            <v>0</v>
          </cell>
          <cell r="AG2732">
            <v>0</v>
          </cell>
        </row>
        <row r="2733">
          <cell r="AD2733" t="str"/>
          <cell r="AE2733" t="str"/>
          <cell r="AF2733">
            <v>0</v>
          </cell>
          <cell r="AG2733">
            <v>0</v>
          </cell>
        </row>
        <row r="2734">
          <cell r="AD2734" t="str"/>
          <cell r="AE2734" t="str"/>
          <cell r="AF2734">
            <v>0</v>
          </cell>
          <cell r="AG2734">
            <v>0</v>
          </cell>
        </row>
        <row r="2735">
          <cell r="AD2735" t="str"/>
          <cell r="AE2735" t="str"/>
          <cell r="AF2735">
            <v>0</v>
          </cell>
          <cell r="AG2735">
            <v>0</v>
          </cell>
        </row>
        <row r="2736">
          <cell r="AD2736" t="str"/>
          <cell r="AE2736" t="str"/>
          <cell r="AF2736">
            <v>0</v>
          </cell>
          <cell r="AG2736">
            <v>0</v>
          </cell>
        </row>
        <row r="2737">
          <cell r="AD2737" t="str"/>
          <cell r="AE2737" t="str"/>
          <cell r="AF2737">
            <v>0</v>
          </cell>
          <cell r="AG2737">
            <v>0</v>
          </cell>
        </row>
        <row r="2738">
          <cell r="AD2738" t="str"/>
          <cell r="AE2738" t="str"/>
          <cell r="AF2738">
            <v>0</v>
          </cell>
          <cell r="AG2738">
            <v>0</v>
          </cell>
        </row>
        <row r="2739">
          <cell r="AD2739" t="str"/>
          <cell r="AE2739" t="str"/>
          <cell r="AF2739">
            <v>0</v>
          </cell>
          <cell r="AG2739">
            <v>0</v>
          </cell>
        </row>
        <row r="2740">
          <cell r="AD2740" t="str"/>
          <cell r="AE2740" t="str"/>
          <cell r="AF2740">
            <v>0</v>
          </cell>
          <cell r="AG2740">
            <v>0</v>
          </cell>
        </row>
        <row r="2741">
          <cell r="AD2741" t="str"/>
          <cell r="AE2741" t="str"/>
          <cell r="AF2741">
            <v>0</v>
          </cell>
          <cell r="AG2741">
            <v>0</v>
          </cell>
        </row>
        <row r="2742">
          <cell r="AD2742" t="str"/>
          <cell r="AE2742" t="str"/>
          <cell r="AF2742">
            <v>0</v>
          </cell>
          <cell r="AG2742">
            <v>0</v>
          </cell>
        </row>
        <row r="2743">
          <cell r="AD2743" t="str"/>
          <cell r="AE2743" t="str"/>
          <cell r="AF2743">
            <v>0</v>
          </cell>
          <cell r="AG2743">
            <v>0</v>
          </cell>
        </row>
        <row r="2744">
          <cell r="AD2744" t="str"/>
          <cell r="AE2744" t="str"/>
          <cell r="AF2744">
            <v>0</v>
          </cell>
          <cell r="AG2744">
            <v>0</v>
          </cell>
        </row>
        <row r="2745">
          <cell r="AD2745" t="str"/>
          <cell r="AE2745" t="str"/>
          <cell r="AF2745">
            <v>0</v>
          </cell>
          <cell r="AG2745">
            <v>0</v>
          </cell>
        </row>
        <row r="2746">
          <cell r="AD2746" t="str"/>
          <cell r="AE2746" t="str"/>
          <cell r="AF2746">
            <v>0</v>
          </cell>
          <cell r="AG2746">
            <v>0</v>
          </cell>
        </row>
        <row r="2747">
          <cell r="AD2747" t="str"/>
          <cell r="AE2747" t="str"/>
          <cell r="AF2747">
            <v>0</v>
          </cell>
          <cell r="AG2747">
            <v>0</v>
          </cell>
        </row>
        <row r="2748">
          <cell r="AD2748" t="str"/>
          <cell r="AE2748" t="str"/>
          <cell r="AF2748">
            <v>0</v>
          </cell>
          <cell r="AG2748">
            <v>0</v>
          </cell>
        </row>
        <row r="2749">
          <cell r="AD2749" t="str"/>
          <cell r="AE2749" t="str"/>
          <cell r="AF2749">
            <v>0</v>
          </cell>
          <cell r="AG2749">
            <v>0</v>
          </cell>
        </row>
        <row r="2750">
          <cell r="AD2750" t="str"/>
          <cell r="AE2750" t="str"/>
          <cell r="AF2750">
            <v>0</v>
          </cell>
          <cell r="AG2750">
            <v>0</v>
          </cell>
        </row>
        <row r="2751">
          <cell r="AD2751" t="str"/>
          <cell r="AE2751" t="str"/>
          <cell r="AF2751">
            <v>0</v>
          </cell>
          <cell r="AG2751">
            <v>0</v>
          </cell>
        </row>
        <row r="2752">
          <cell r="AD2752" t="str"/>
          <cell r="AE2752" t="str"/>
          <cell r="AF2752">
            <v>0</v>
          </cell>
          <cell r="AG2752">
            <v>0</v>
          </cell>
        </row>
        <row r="2753">
          <cell r="AD2753" t="str"/>
          <cell r="AE2753" t="str"/>
          <cell r="AF2753">
            <v>0</v>
          </cell>
          <cell r="AG2753">
            <v>0</v>
          </cell>
        </row>
        <row r="2754">
          <cell r="AD2754" t="str"/>
          <cell r="AE2754" t="str"/>
          <cell r="AF2754">
            <v>0</v>
          </cell>
          <cell r="AG2754">
            <v>0</v>
          </cell>
        </row>
        <row r="2755">
          <cell r="AD2755" t="str"/>
          <cell r="AE2755" t="str"/>
          <cell r="AF2755">
            <v>0</v>
          </cell>
          <cell r="AG2755">
            <v>0</v>
          </cell>
        </row>
        <row r="2756">
          <cell r="AD2756" t="str"/>
          <cell r="AE2756" t="str"/>
          <cell r="AF2756">
            <v>0</v>
          </cell>
          <cell r="AG2756">
            <v>0</v>
          </cell>
        </row>
        <row r="2757">
          <cell r="AD2757" t="str"/>
          <cell r="AE2757" t="str"/>
          <cell r="AF2757">
            <v>0</v>
          </cell>
          <cell r="AG2757">
            <v>0</v>
          </cell>
        </row>
        <row r="2758">
          <cell r="AD2758" t="str"/>
          <cell r="AE2758" t="str"/>
          <cell r="AF2758">
            <v>0</v>
          </cell>
          <cell r="AG2758">
            <v>0</v>
          </cell>
        </row>
        <row r="2759">
          <cell r="AD2759" t="str"/>
          <cell r="AE2759" t="str"/>
          <cell r="AF2759">
            <v>0</v>
          </cell>
          <cell r="AG2759">
            <v>0</v>
          </cell>
        </row>
        <row r="2760">
          <cell r="AD2760" t="str"/>
          <cell r="AE2760" t="str"/>
          <cell r="AF2760">
            <v>0</v>
          </cell>
          <cell r="AG2760">
            <v>0</v>
          </cell>
        </row>
        <row r="2761">
          <cell r="AD2761" t="str"/>
          <cell r="AE2761" t="str"/>
          <cell r="AF2761">
            <v>0</v>
          </cell>
          <cell r="AG2761">
            <v>0</v>
          </cell>
        </row>
        <row r="2762">
          <cell r="AD2762" t="str"/>
          <cell r="AE2762" t="str"/>
          <cell r="AF2762">
            <v>0</v>
          </cell>
          <cell r="AG2762">
            <v>0</v>
          </cell>
        </row>
        <row r="2763">
          <cell r="AD2763" t="str"/>
          <cell r="AE2763" t="str"/>
          <cell r="AF2763">
            <v>0</v>
          </cell>
          <cell r="AG2763">
            <v>0</v>
          </cell>
        </row>
        <row r="2764">
          <cell r="AD2764" t="str"/>
          <cell r="AE2764" t="str"/>
          <cell r="AF2764">
            <v>0</v>
          </cell>
          <cell r="AG2764">
            <v>0</v>
          </cell>
        </row>
        <row r="2765">
          <cell r="AD2765" t="str"/>
          <cell r="AE2765" t="str"/>
          <cell r="AF2765">
            <v>0</v>
          </cell>
          <cell r="AG2765">
            <v>0</v>
          </cell>
        </row>
        <row r="2766">
          <cell r="AD2766" t="str"/>
          <cell r="AE2766" t="str"/>
          <cell r="AF2766">
            <v>0</v>
          </cell>
          <cell r="AG2766">
            <v>0</v>
          </cell>
        </row>
        <row r="2767">
          <cell r="AD2767" t="str"/>
          <cell r="AE2767" t="str"/>
          <cell r="AF2767">
            <v>0</v>
          </cell>
          <cell r="AG2767">
            <v>0</v>
          </cell>
        </row>
        <row r="2768">
          <cell r="AD2768" t="str"/>
          <cell r="AE2768" t="str"/>
          <cell r="AF2768">
            <v>0</v>
          </cell>
          <cell r="AG2768">
            <v>0</v>
          </cell>
        </row>
        <row r="2769">
          <cell r="AD2769" t="str"/>
          <cell r="AE2769" t="str"/>
          <cell r="AF2769">
            <v>0</v>
          </cell>
          <cell r="AG2769">
            <v>0</v>
          </cell>
        </row>
        <row r="2770">
          <cell r="AD2770" t="str"/>
          <cell r="AE2770" t="str"/>
          <cell r="AF2770">
            <v>0</v>
          </cell>
          <cell r="AG2770">
            <v>0</v>
          </cell>
        </row>
        <row r="2771">
          <cell r="AD2771" t="str"/>
          <cell r="AE2771" t="str"/>
          <cell r="AF2771">
            <v>0</v>
          </cell>
          <cell r="AG2771">
            <v>0</v>
          </cell>
        </row>
        <row r="2772">
          <cell r="AD2772" t="str"/>
          <cell r="AE2772" t="str"/>
          <cell r="AF2772">
            <v>0</v>
          </cell>
          <cell r="AG2772">
            <v>0</v>
          </cell>
        </row>
        <row r="2773">
          <cell r="AD2773" t="str"/>
          <cell r="AE2773" t="str"/>
          <cell r="AF2773">
            <v>0</v>
          </cell>
          <cell r="AG2773">
            <v>0</v>
          </cell>
        </row>
        <row r="2774">
          <cell r="AD2774" t="str"/>
          <cell r="AE2774" t="str"/>
          <cell r="AF2774">
            <v>0</v>
          </cell>
          <cell r="AG2774">
            <v>0</v>
          </cell>
        </row>
        <row r="2775">
          <cell r="AD2775" t="str"/>
          <cell r="AE2775" t="str"/>
          <cell r="AF2775">
            <v>0</v>
          </cell>
          <cell r="AG2775">
            <v>0</v>
          </cell>
        </row>
        <row r="2776">
          <cell r="AD2776" t="str"/>
          <cell r="AE2776" t="str"/>
          <cell r="AF2776">
            <v>0</v>
          </cell>
          <cell r="AG2776">
            <v>0</v>
          </cell>
        </row>
        <row r="2777">
          <cell r="AD2777" t="str"/>
          <cell r="AE2777" t="str"/>
          <cell r="AF2777">
            <v>0</v>
          </cell>
          <cell r="AG2777">
            <v>0</v>
          </cell>
        </row>
        <row r="2778">
          <cell r="AD2778" t="str"/>
          <cell r="AE2778" t="str"/>
          <cell r="AF2778">
            <v>0</v>
          </cell>
          <cell r="AG2778">
            <v>0</v>
          </cell>
        </row>
        <row r="2779">
          <cell r="AD2779" t="str"/>
          <cell r="AE2779" t="str"/>
          <cell r="AF2779">
            <v>0</v>
          </cell>
          <cell r="AG2779">
            <v>0</v>
          </cell>
        </row>
        <row r="2780">
          <cell r="AD2780" t="str"/>
          <cell r="AE2780" t="str"/>
          <cell r="AF2780">
            <v>0</v>
          </cell>
          <cell r="AG2780">
            <v>0</v>
          </cell>
        </row>
        <row r="2781">
          <cell r="AD2781" t="str"/>
          <cell r="AE2781" t="str"/>
          <cell r="AF2781">
            <v>0</v>
          </cell>
          <cell r="AG2781">
            <v>0</v>
          </cell>
        </row>
        <row r="2782">
          <cell r="AD2782" t="str"/>
          <cell r="AE2782" t="str"/>
          <cell r="AF2782">
            <v>0</v>
          </cell>
          <cell r="AG2782">
            <v>0</v>
          </cell>
        </row>
        <row r="2783">
          <cell r="AD2783" t="str"/>
          <cell r="AE2783" t="str"/>
          <cell r="AF2783">
            <v>0</v>
          </cell>
          <cell r="AG2783">
            <v>0</v>
          </cell>
        </row>
        <row r="2784">
          <cell r="AD2784" t="str"/>
          <cell r="AE2784" t="str"/>
          <cell r="AF2784">
            <v>0</v>
          </cell>
          <cell r="AG2784">
            <v>0</v>
          </cell>
        </row>
        <row r="2785">
          <cell r="AD2785" t="str"/>
          <cell r="AE2785" t="str"/>
          <cell r="AF2785">
            <v>0</v>
          </cell>
          <cell r="AG2785">
            <v>0</v>
          </cell>
        </row>
        <row r="2786">
          <cell r="AD2786" t="str"/>
          <cell r="AE2786" t="str"/>
          <cell r="AF2786">
            <v>0</v>
          </cell>
          <cell r="AG2786">
            <v>0</v>
          </cell>
        </row>
        <row r="2787">
          <cell r="AD2787" t="str"/>
          <cell r="AE2787" t="str"/>
          <cell r="AF2787">
            <v>0</v>
          </cell>
          <cell r="AG2787">
            <v>0</v>
          </cell>
        </row>
        <row r="2788">
          <cell r="AD2788" t="str"/>
          <cell r="AE2788" t="str"/>
          <cell r="AF2788">
            <v>0</v>
          </cell>
          <cell r="AG2788">
            <v>0</v>
          </cell>
        </row>
        <row r="2789">
          <cell r="AD2789" t="str"/>
          <cell r="AE2789" t="str"/>
          <cell r="AF2789">
            <v>0</v>
          </cell>
          <cell r="AG2789">
            <v>0</v>
          </cell>
        </row>
        <row r="2790">
          <cell r="AD2790" t="str"/>
          <cell r="AE2790" t="str"/>
          <cell r="AF2790">
            <v>0</v>
          </cell>
          <cell r="AG2790">
            <v>0</v>
          </cell>
        </row>
        <row r="2791">
          <cell r="AD2791" t="str"/>
          <cell r="AE2791" t="str"/>
          <cell r="AF2791">
            <v>0</v>
          </cell>
          <cell r="AG2791">
            <v>0</v>
          </cell>
        </row>
        <row r="2792">
          <cell r="AD2792" t="str"/>
          <cell r="AE2792" t="str"/>
          <cell r="AF2792">
            <v>0</v>
          </cell>
          <cell r="AG2792">
            <v>0</v>
          </cell>
        </row>
        <row r="2793">
          <cell r="AD2793" t="str"/>
          <cell r="AE2793" t="str"/>
          <cell r="AF2793">
            <v>0</v>
          </cell>
          <cell r="AG2793">
            <v>0</v>
          </cell>
        </row>
        <row r="2794">
          <cell r="AD2794" t="str"/>
          <cell r="AE2794" t="str"/>
          <cell r="AF2794">
            <v>0</v>
          </cell>
          <cell r="AG2794">
            <v>0</v>
          </cell>
        </row>
        <row r="2795">
          <cell r="AD2795" t="str"/>
          <cell r="AE2795" t="str"/>
          <cell r="AF2795">
            <v>0</v>
          </cell>
          <cell r="AG2795">
            <v>0</v>
          </cell>
        </row>
        <row r="2796">
          <cell r="AD2796" t="str"/>
          <cell r="AE2796" t="str"/>
          <cell r="AF2796">
            <v>0</v>
          </cell>
          <cell r="AG2796">
            <v>0</v>
          </cell>
        </row>
        <row r="2797">
          <cell r="AD2797" t="str"/>
          <cell r="AE2797" t="str"/>
          <cell r="AF2797">
            <v>0</v>
          </cell>
          <cell r="AG2797">
            <v>0</v>
          </cell>
        </row>
        <row r="2798">
          <cell r="AD2798" t="str"/>
          <cell r="AE2798" t="str"/>
          <cell r="AF2798">
            <v>0</v>
          </cell>
          <cell r="AG2798">
            <v>0</v>
          </cell>
        </row>
        <row r="2799">
          <cell r="AD2799" t="str"/>
          <cell r="AE2799" t="str"/>
          <cell r="AF2799">
            <v>0</v>
          </cell>
          <cell r="AG2799">
            <v>0</v>
          </cell>
        </row>
        <row r="2800">
          <cell r="AD2800" t="str"/>
          <cell r="AE2800" t="str"/>
          <cell r="AF2800">
            <v>0</v>
          </cell>
          <cell r="AG2800">
            <v>0</v>
          </cell>
        </row>
        <row r="2801">
          <cell r="AD2801" t="str"/>
          <cell r="AE2801" t="str"/>
          <cell r="AF2801">
            <v>0</v>
          </cell>
          <cell r="AG2801">
            <v>0</v>
          </cell>
        </row>
        <row r="2802">
          <cell r="AD2802" t="str"/>
          <cell r="AE2802" t="str"/>
          <cell r="AF2802">
            <v>0</v>
          </cell>
          <cell r="AG2802">
            <v>0</v>
          </cell>
        </row>
        <row r="2803">
          <cell r="AD2803" t="str"/>
          <cell r="AE2803" t="str"/>
          <cell r="AF2803">
            <v>0</v>
          </cell>
          <cell r="AG2803">
            <v>0</v>
          </cell>
        </row>
        <row r="2804">
          <cell r="AD2804" t="str"/>
          <cell r="AE2804" t="str"/>
          <cell r="AF2804">
            <v>0</v>
          </cell>
          <cell r="AG2804">
            <v>0</v>
          </cell>
        </row>
        <row r="2805">
          <cell r="AD2805" t="str"/>
          <cell r="AE2805" t="str"/>
          <cell r="AF2805">
            <v>0</v>
          </cell>
          <cell r="AG2805">
            <v>0</v>
          </cell>
        </row>
        <row r="2806">
          <cell r="AD2806" t="str"/>
          <cell r="AE2806" t="str"/>
          <cell r="AF2806">
            <v>0</v>
          </cell>
          <cell r="AG2806">
            <v>0</v>
          </cell>
        </row>
        <row r="2807">
          <cell r="AD2807" t="str"/>
          <cell r="AE2807" t="str"/>
          <cell r="AF2807">
            <v>0</v>
          </cell>
          <cell r="AG2807">
            <v>0</v>
          </cell>
        </row>
        <row r="2808">
          <cell r="AD2808" t="str"/>
          <cell r="AE2808" t="str"/>
          <cell r="AF2808">
            <v>0</v>
          </cell>
          <cell r="AG2808">
            <v>0</v>
          </cell>
        </row>
        <row r="2809">
          <cell r="AD2809" t="str"/>
          <cell r="AE2809" t="str"/>
          <cell r="AF2809">
            <v>0</v>
          </cell>
          <cell r="AG2809">
            <v>0</v>
          </cell>
        </row>
        <row r="2810">
          <cell r="AD2810" t="str"/>
          <cell r="AE2810" t="str"/>
          <cell r="AF2810">
            <v>0</v>
          </cell>
          <cell r="AG2810">
            <v>0</v>
          </cell>
        </row>
        <row r="2811">
          <cell r="AD2811" t="str"/>
          <cell r="AE2811" t="str"/>
          <cell r="AF2811">
            <v>0</v>
          </cell>
          <cell r="AG2811">
            <v>0</v>
          </cell>
        </row>
        <row r="2812">
          <cell r="AD2812" t="str"/>
          <cell r="AE2812" t="str"/>
          <cell r="AF2812">
            <v>0</v>
          </cell>
          <cell r="AG2812">
            <v>0</v>
          </cell>
        </row>
        <row r="2813">
          <cell r="AD2813" t="str"/>
          <cell r="AE2813" t="str"/>
          <cell r="AF2813">
            <v>0</v>
          </cell>
          <cell r="AG2813">
            <v>0</v>
          </cell>
        </row>
        <row r="2814">
          <cell r="AD2814" t="str"/>
          <cell r="AE2814" t="str"/>
          <cell r="AF2814">
            <v>0</v>
          </cell>
          <cell r="AG2814">
            <v>0</v>
          </cell>
        </row>
        <row r="2815">
          <cell r="AD2815" t="str"/>
          <cell r="AE2815" t="str"/>
          <cell r="AF2815">
            <v>0</v>
          </cell>
          <cell r="AG2815">
            <v>0</v>
          </cell>
        </row>
        <row r="2816">
          <cell r="AD2816" t="str"/>
          <cell r="AE2816" t="str"/>
          <cell r="AF2816">
            <v>0</v>
          </cell>
          <cell r="AG2816">
            <v>0</v>
          </cell>
        </row>
        <row r="2817">
          <cell r="AD2817" t="str"/>
          <cell r="AE2817" t="str"/>
          <cell r="AF2817">
            <v>0</v>
          </cell>
          <cell r="AG2817">
            <v>0</v>
          </cell>
        </row>
        <row r="2818">
          <cell r="AD2818" t="str"/>
          <cell r="AE2818" t="str"/>
          <cell r="AF2818">
            <v>0</v>
          </cell>
          <cell r="AG2818">
            <v>0</v>
          </cell>
        </row>
        <row r="2819">
          <cell r="AD2819" t="str"/>
          <cell r="AE2819" t="str"/>
          <cell r="AF2819">
            <v>0</v>
          </cell>
          <cell r="AG2819">
            <v>0</v>
          </cell>
        </row>
        <row r="2820">
          <cell r="AD2820" t="str"/>
          <cell r="AE2820" t="str"/>
          <cell r="AF2820">
            <v>0</v>
          </cell>
          <cell r="AG2820">
            <v>0</v>
          </cell>
        </row>
        <row r="2821">
          <cell r="AD2821" t="str"/>
          <cell r="AE2821" t="str"/>
          <cell r="AF2821">
            <v>0</v>
          </cell>
          <cell r="AG2821">
            <v>0</v>
          </cell>
        </row>
        <row r="2822">
          <cell r="AD2822" t="str"/>
          <cell r="AE2822" t="str"/>
          <cell r="AF2822">
            <v>0</v>
          </cell>
          <cell r="AG2822">
            <v>0</v>
          </cell>
        </row>
        <row r="2823">
          <cell r="AD2823" t="str"/>
          <cell r="AE2823" t="str"/>
          <cell r="AF2823">
            <v>0</v>
          </cell>
          <cell r="AG2823">
            <v>0</v>
          </cell>
        </row>
        <row r="2824">
          <cell r="AD2824" t="str"/>
          <cell r="AE2824" t="str"/>
          <cell r="AF2824">
            <v>0</v>
          </cell>
          <cell r="AG2824">
            <v>0</v>
          </cell>
        </row>
        <row r="2825">
          <cell r="AD2825" t="str"/>
          <cell r="AE2825" t="str"/>
          <cell r="AF2825">
            <v>0</v>
          </cell>
          <cell r="AG2825">
            <v>0</v>
          </cell>
        </row>
        <row r="2826">
          <cell r="AD2826" t="str"/>
          <cell r="AE2826" t="str"/>
          <cell r="AF2826">
            <v>0</v>
          </cell>
          <cell r="AG2826">
            <v>0</v>
          </cell>
        </row>
        <row r="2827">
          <cell r="AD2827" t="str"/>
          <cell r="AE2827" t="str"/>
          <cell r="AF2827">
            <v>0</v>
          </cell>
          <cell r="AG2827">
            <v>0</v>
          </cell>
        </row>
        <row r="2828">
          <cell r="AD2828" t="str"/>
          <cell r="AE2828" t="str"/>
          <cell r="AF2828">
            <v>0</v>
          </cell>
          <cell r="AG2828">
            <v>0</v>
          </cell>
        </row>
        <row r="2829">
          <cell r="AD2829" t="str"/>
          <cell r="AE2829" t="str"/>
          <cell r="AF2829">
            <v>0</v>
          </cell>
          <cell r="AG2829">
            <v>0</v>
          </cell>
        </row>
        <row r="2830">
          <cell r="AD2830" t="str"/>
          <cell r="AE2830" t="str"/>
          <cell r="AF2830">
            <v>0</v>
          </cell>
          <cell r="AG2830">
            <v>0</v>
          </cell>
        </row>
        <row r="2831">
          <cell r="AD2831" t="str"/>
          <cell r="AE2831" t="str"/>
          <cell r="AF2831">
            <v>0</v>
          </cell>
          <cell r="AG2831">
            <v>0</v>
          </cell>
        </row>
        <row r="2832">
          <cell r="AD2832" t="str"/>
          <cell r="AE2832" t="str"/>
          <cell r="AF2832">
            <v>0</v>
          </cell>
          <cell r="AG2832">
            <v>0</v>
          </cell>
        </row>
        <row r="2833">
          <cell r="AD2833" t="str"/>
          <cell r="AE2833" t="str"/>
          <cell r="AF2833">
            <v>0</v>
          </cell>
          <cell r="AG2833">
            <v>0</v>
          </cell>
        </row>
        <row r="2834">
          <cell r="AD2834" t="str"/>
          <cell r="AE2834" t="str"/>
          <cell r="AF2834">
            <v>0</v>
          </cell>
          <cell r="AG2834">
            <v>0</v>
          </cell>
        </row>
        <row r="2835">
          <cell r="AD2835" t="str"/>
          <cell r="AE2835" t="str"/>
          <cell r="AF2835">
            <v>0</v>
          </cell>
          <cell r="AG2835">
            <v>0</v>
          </cell>
        </row>
        <row r="2836">
          <cell r="AD2836" t="str"/>
          <cell r="AE2836" t="str"/>
          <cell r="AF2836">
            <v>0</v>
          </cell>
          <cell r="AG2836">
            <v>0</v>
          </cell>
        </row>
        <row r="2837">
          <cell r="AD2837" t="str"/>
          <cell r="AE2837" t="str"/>
          <cell r="AF2837">
            <v>0</v>
          </cell>
          <cell r="AG2837">
            <v>0</v>
          </cell>
        </row>
        <row r="2838">
          <cell r="AD2838" t="str"/>
          <cell r="AE2838" t="str"/>
          <cell r="AF2838">
            <v>0</v>
          </cell>
          <cell r="AG2838">
            <v>0</v>
          </cell>
        </row>
        <row r="2839">
          <cell r="AD2839" t="str"/>
          <cell r="AE2839" t="str"/>
          <cell r="AF2839">
            <v>0</v>
          </cell>
          <cell r="AG2839">
            <v>0</v>
          </cell>
        </row>
        <row r="2840">
          <cell r="AD2840" t="str"/>
          <cell r="AE2840" t="str"/>
          <cell r="AF2840">
            <v>0</v>
          </cell>
          <cell r="AG2840">
            <v>0</v>
          </cell>
        </row>
        <row r="2841">
          <cell r="AD2841" t="str"/>
          <cell r="AE2841" t="str"/>
          <cell r="AF2841">
            <v>0</v>
          </cell>
          <cell r="AG2841">
            <v>0</v>
          </cell>
        </row>
        <row r="2842">
          <cell r="AD2842" t="str"/>
          <cell r="AE2842" t="str"/>
          <cell r="AF2842">
            <v>0</v>
          </cell>
          <cell r="AG2842">
            <v>0</v>
          </cell>
        </row>
        <row r="2843">
          <cell r="AD2843" t="str"/>
          <cell r="AE2843" t="str"/>
          <cell r="AF2843">
            <v>0</v>
          </cell>
          <cell r="AG2843">
            <v>0</v>
          </cell>
        </row>
        <row r="2844">
          <cell r="AD2844" t="str"/>
          <cell r="AE2844" t="str"/>
          <cell r="AF2844">
            <v>0</v>
          </cell>
          <cell r="AG2844">
            <v>0</v>
          </cell>
        </row>
        <row r="2845">
          <cell r="AD2845" t="str"/>
          <cell r="AE2845" t="str"/>
          <cell r="AF2845">
            <v>0</v>
          </cell>
          <cell r="AG2845">
            <v>0</v>
          </cell>
        </row>
        <row r="2846">
          <cell r="AD2846" t="str"/>
          <cell r="AE2846" t="str"/>
          <cell r="AF2846">
            <v>0</v>
          </cell>
          <cell r="AG2846">
            <v>0</v>
          </cell>
        </row>
        <row r="2847">
          <cell r="AD2847" t="str"/>
          <cell r="AE2847" t="str"/>
          <cell r="AF2847">
            <v>0</v>
          </cell>
          <cell r="AG2847">
            <v>0</v>
          </cell>
        </row>
        <row r="2848">
          <cell r="AD2848" t="str"/>
          <cell r="AE2848" t="str"/>
          <cell r="AF2848">
            <v>0</v>
          </cell>
          <cell r="AG2848">
            <v>0</v>
          </cell>
        </row>
        <row r="2849">
          <cell r="AD2849" t="str"/>
          <cell r="AE2849" t="str"/>
          <cell r="AF2849">
            <v>0</v>
          </cell>
          <cell r="AG2849">
            <v>0</v>
          </cell>
        </row>
        <row r="2850">
          <cell r="AD2850" t="str"/>
          <cell r="AE2850" t="str"/>
          <cell r="AF2850">
            <v>0</v>
          </cell>
          <cell r="AG2850">
            <v>0</v>
          </cell>
        </row>
        <row r="2851">
          <cell r="AD2851" t="str"/>
          <cell r="AE2851" t="str"/>
          <cell r="AF2851">
            <v>0</v>
          </cell>
          <cell r="AG2851">
            <v>0</v>
          </cell>
        </row>
        <row r="2852">
          <cell r="AD2852" t="str"/>
          <cell r="AE2852" t="str"/>
          <cell r="AF2852">
            <v>0</v>
          </cell>
          <cell r="AG2852">
            <v>0</v>
          </cell>
        </row>
        <row r="2853">
          <cell r="AD2853" t="str"/>
          <cell r="AE2853" t="str"/>
          <cell r="AF2853">
            <v>0</v>
          </cell>
          <cell r="AG2853">
            <v>0</v>
          </cell>
        </row>
        <row r="2854">
          <cell r="AD2854" t="str"/>
          <cell r="AE2854" t="str"/>
          <cell r="AF2854">
            <v>0</v>
          </cell>
          <cell r="AG2854">
            <v>0</v>
          </cell>
        </row>
        <row r="2855">
          <cell r="AD2855" t="str"/>
          <cell r="AE2855" t="str"/>
          <cell r="AF2855">
            <v>0</v>
          </cell>
          <cell r="AG2855">
            <v>0</v>
          </cell>
        </row>
        <row r="2856">
          <cell r="AD2856" t="str"/>
          <cell r="AE2856" t="str"/>
          <cell r="AF2856">
            <v>0</v>
          </cell>
          <cell r="AG2856">
            <v>0</v>
          </cell>
        </row>
        <row r="2857">
          <cell r="AD2857" t="str"/>
          <cell r="AE2857" t="str"/>
          <cell r="AF2857">
            <v>0</v>
          </cell>
          <cell r="AG2857">
            <v>0</v>
          </cell>
        </row>
        <row r="2858">
          <cell r="AD2858" t="str"/>
          <cell r="AE2858" t="str"/>
          <cell r="AF2858">
            <v>0</v>
          </cell>
          <cell r="AG2858">
            <v>0</v>
          </cell>
        </row>
        <row r="2859">
          <cell r="AD2859" t="str"/>
          <cell r="AE2859" t="str"/>
          <cell r="AF2859">
            <v>0</v>
          </cell>
          <cell r="AG2859">
            <v>0</v>
          </cell>
        </row>
        <row r="2860">
          <cell r="AD2860" t="str"/>
          <cell r="AE2860" t="str"/>
          <cell r="AF2860">
            <v>0</v>
          </cell>
          <cell r="AG2860">
            <v>0</v>
          </cell>
        </row>
        <row r="2861">
          <cell r="AD2861" t="str"/>
          <cell r="AE2861" t="str"/>
          <cell r="AF2861">
            <v>0</v>
          </cell>
          <cell r="AG2861">
            <v>0</v>
          </cell>
        </row>
        <row r="2862">
          <cell r="AD2862" t="str"/>
          <cell r="AE2862" t="str"/>
          <cell r="AF2862">
            <v>0</v>
          </cell>
          <cell r="AG2862">
            <v>0</v>
          </cell>
        </row>
        <row r="2863">
          <cell r="AD2863" t="str"/>
          <cell r="AE2863" t="str"/>
          <cell r="AF2863">
            <v>0</v>
          </cell>
          <cell r="AG2863">
            <v>0</v>
          </cell>
        </row>
        <row r="2864">
          <cell r="AD2864" t="str"/>
          <cell r="AE2864" t="str"/>
          <cell r="AF2864">
            <v>0</v>
          </cell>
          <cell r="AG2864">
            <v>0</v>
          </cell>
        </row>
        <row r="2865">
          <cell r="AD2865" t="str"/>
          <cell r="AE2865" t="str"/>
          <cell r="AF2865">
            <v>0</v>
          </cell>
          <cell r="AG2865">
            <v>0</v>
          </cell>
        </row>
        <row r="2866">
          <cell r="AD2866" t="str"/>
          <cell r="AE2866" t="str"/>
          <cell r="AF2866">
            <v>0</v>
          </cell>
          <cell r="AG2866">
            <v>0</v>
          </cell>
        </row>
        <row r="2867">
          <cell r="AD2867" t="str"/>
          <cell r="AE2867" t="str"/>
          <cell r="AF2867">
            <v>0</v>
          </cell>
          <cell r="AG2867">
            <v>0</v>
          </cell>
        </row>
        <row r="2868">
          <cell r="AD2868" t="str"/>
          <cell r="AE2868" t="str"/>
          <cell r="AF2868">
            <v>0</v>
          </cell>
          <cell r="AG2868">
            <v>0</v>
          </cell>
        </row>
        <row r="2869">
          <cell r="AD2869" t="str"/>
          <cell r="AE2869" t="str"/>
          <cell r="AF2869">
            <v>0</v>
          </cell>
          <cell r="AG2869">
            <v>0</v>
          </cell>
        </row>
        <row r="2870">
          <cell r="AD2870" t="str"/>
          <cell r="AE2870" t="str"/>
          <cell r="AF2870">
            <v>0</v>
          </cell>
          <cell r="AG2870">
            <v>0</v>
          </cell>
        </row>
        <row r="2871">
          <cell r="AD2871" t="str"/>
          <cell r="AE2871" t="str"/>
          <cell r="AF2871">
            <v>0</v>
          </cell>
          <cell r="AG2871">
            <v>0</v>
          </cell>
        </row>
        <row r="2872">
          <cell r="AD2872" t="str"/>
          <cell r="AE2872" t="str"/>
          <cell r="AF2872">
            <v>0</v>
          </cell>
          <cell r="AG2872">
            <v>0</v>
          </cell>
        </row>
        <row r="2873">
          <cell r="AD2873" t="str"/>
          <cell r="AE2873" t="str"/>
          <cell r="AF2873">
            <v>0</v>
          </cell>
          <cell r="AG2873">
            <v>0</v>
          </cell>
        </row>
        <row r="2874">
          <cell r="AD2874" t="str"/>
          <cell r="AE2874" t="str"/>
          <cell r="AF2874">
            <v>0</v>
          </cell>
          <cell r="AG2874">
            <v>0</v>
          </cell>
        </row>
        <row r="2875">
          <cell r="AD2875" t="str"/>
          <cell r="AE2875" t="str"/>
          <cell r="AF2875">
            <v>0</v>
          </cell>
          <cell r="AG2875">
            <v>0</v>
          </cell>
        </row>
        <row r="2876">
          <cell r="AD2876" t="str"/>
          <cell r="AE2876" t="str"/>
          <cell r="AF2876">
            <v>0</v>
          </cell>
          <cell r="AG2876">
            <v>0</v>
          </cell>
        </row>
        <row r="2877">
          <cell r="AD2877" t="str"/>
          <cell r="AE2877" t="str"/>
          <cell r="AF2877">
            <v>0</v>
          </cell>
          <cell r="AG2877">
            <v>0</v>
          </cell>
        </row>
        <row r="2878">
          <cell r="AD2878" t="str"/>
          <cell r="AE2878" t="str"/>
          <cell r="AF2878">
            <v>0</v>
          </cell>
          <cell r="AG2878">
            <v>0</v>
          </cell>
        </row>
        <row r="2879">
          <cell r="AD2879" t="str"/>
          <cell r="AE2879" t="str"/>
          <cell r="AF2879">
            <v>0</v>
          </cell>
          <cell r="AG2879">
            <v>0</v>
          </cell>
        </row>
        <row r="2880">
          <cell r="AD2880" t="str"/>
          <cell r="AE2880" t="str"/>
          <cell r="AF2880">
            <v>0</v>
          </cell>
          <cell r="AG2880">
            <v>0</v>
          </cell>
        </row>
        <row r="2881">
          <cell r="AD2881" t="str"/>
          <cell r="AE2881" t="str"/>
          <cell r="AF2881">
            <v>0</v>
          </cell>
          <cell r="AG2881">
            <v>0</v>
          </cell>
        </row>
        <row r="2882">
          <cell r="AD2882" t="str"/>
          <cell r="AE2882" t="str"/>
          <cell r="AF2882">
            <v>0</v>
          </cell>
          <cell r="AG2882">
            <v>0</v>
          </cell>
        </row>
        <row r="2883">
          <cell r="AD2883" t="str"/>
          <cell r="AE2883" t="str"/>
          <cell r="AF2883">
            <v>0</v>
          </cell>
          <cell r="AG2883">
            <v>0</v>
          </cell>
        </row>
        <row r="2884">
          <cell r="AD2884" t="str"/>
          <cell r="AE2884" t="str"/>
          <cell r="AF2884">
            <v>0</v>
          </cell>
          <cell r="AG2884">
            <v>0</v>
          </cell>
        </row>
        <row r="2885">
          <cell r="AD2885" t="str"/>
          <cell r="AE2885" t="str"/>
          <cell r="AF2885">
            <v>0</v>
          </cell>
          <cell r="AG2885">
            <v>0</v>
          </cell>
        </row>
        <row r="2886">
          <cell r="AD2886" t="str"/>
          <cell r="AE2886" t="str"/>
          <cell r="AF2886">
            <v>0</v>
          </cell>
          <cell r="AG2886">
            <v>0</v>
          </cell>
        </row>
        <row r="2887">
          <cell r="AD2887" t="str"/>
          <cell r="AE2887" t="str"/>
          <cell r="AF2887">
            <v>0</v>
          </cell>
          <cell r="AG2887">
            <v>0</v>
          </cell>
        </row>
        <row r="2888">
          <cell r="AD2888" t="str"/>
          <cell r="AE2888" t="str"/>
          <cell r="AF2888">
            <v>0</v>
          </cell>
          <cell r="AG2888">
            <v>0</v>
          </cell>
        </row>
        <row r="2889">
          <cell r="AD2889" t="str"/>
          <cell r="AE2889" t="str"/>
          <cell r="AF2889">
            <v>0</v>
          </cell>
          <cell r="AG2889">
            <v>0</v>
          </cell>
        </row>
        <row r="2890">
          <cell r="AD2890" t="str"/>
          <cell r="AE2890" t="str"/>
          <cell r="AF2890">
            <v>0</v>
          </cell>
          <cell r="AG2890">
            <v>0</v>
          </cell>
        </row>
        <row r="2891">
          <cell r="AD2891" t="str"/>
          <cell r="AE2891" t="str"/>
          <cell r="AF2891">
            <v>0</v>
          </cell>
          <cell r="AG2891">
            <v>0</v>
          </cell>
        </row>
        <row r="2892">
          <cell r="AD2892" t="str"/>
          <cell r="AE2892" t="str"/>
          <cell r="AF2892">
            <v>0</v>
          </cell>
          <cell r="AG2892">
            <v>0</v>
          </cell>
        </row>
        <row r="2893">
          <cell r="AD2893" t="str"/>
          <cell r="AE2893" t="str"/>
          <cell r="AF2893">
            <v>0</v>
          </cell>
          <cell r="AG2893">
            <v>0</v>
          </cell>
        </row>
        <row r="2894">
          <cell r="AD2894" t="str"/>
          <cell r="AE2894" t="str"/>
          <cell r="AF2894">
            <v>0</v>
          </cell>
          <cell r="AG2894">
            <v>0</v>
          </cell>
        </row>
        <row r="2895">
          <cell r="AD2895" t="str"/>
          <cell r="AE2895" t="str"/>
          <cell r="AF2895">
            <v>0</v>
          </cell>
          <cell r="AG2895">
            <v>0</v>
          </cell>
        </row>
        <row r="2896">
          <cell r="AD2896" t="str"/>
          <cell r="AE2896" t="str"/>
          <cell r="AF2896">
            <v>0</v>
          </cell>
          <cell r="AG2896">
            <v>0</v>
          </cell>
        </row>
        <row r="2897">
          <cell r="AD2897" t="str"/>
          <cell r="AE2897" t="str"/>
          <cell r="AF2897">
            <v>0</v>
          </cell>
          <cell r="AG2897">
            <v>0</v>
          </cell>
        </row>
        <row r="2898">
          <cell r="AD2898" t="str"/>
          <cell r="AE2898" t="str"/>
          <cell r="AF2898">
            <v>0</v>
          </cell>
          <cell r="AG2898">
            <v>0</v>
          </cell>
        </row>
        <row r="2899">
          <cell r="AD2899" t="str"/>
          <cell r="AE2899" t="str"/>
          <cell r="AF2899">
            <v>0</v>
          </cell>
          <cell r="AG2899">
            <v>0</v>
          </cell>
        </row>
        <row r="2900">
          <cell r="AD2900" t="str"/>
          <cell r="AE2900" t="str"/>
          <cell r="AF2900">
            <v>0</v>
          </cell>
          <cell r="AG2900">
            <v>0</v>
          </cell>
        </row>
        <row r="2901">
          <cell r="AD2901" t="str"/>
          <cell r="AE2901" t="str"/>
          <cell r="AF2901">
            <v>0</v>
          </cell>
          <cell r="AG2901">
            <v>0</v>
          </cell>
        </row>
        <row r="2902">
          <cell r="AD2902" t="str"/>
          <cell r="AE2902" t="str"/>
          <cell r="AF2902">
            <v>0</v>
          </cell>
          <cell r="AG2902">
            <v>0</v>
          </cell>
        </row>
        <row r="2903">
          <cell r="AD2903" t="str"/>
          <cell r="AE2903" t="str"/>
          <cell r="AF2903">
            <v>0</v>
          </cell>
          <cell r="AG2903">
            <v>0</v>
          </cell>
        </row>
        <row r="2904">
          <cell r="AD2904" t="str"/>
          <cell r="AE2904" t="str"/>
          <cell r="AF2904">
            <v>0</v>
          </cell>
          <cell r="AG2904">
            <v>0</v>
          </cell>
        </row>
        <row r="2905">
          <cell r="AD2905" t="str"/>
          <cell r="AE2905" t="str"/>
          <cell r="AF2905">
            <v>0</v>
          </cell>
          <cell r="AG2905">
            <v>0</v>
          </cell>
        </row>
        <row r="2906">
          <cell r="AD2906" t="str"/>
          <cell r="AE2906" t="str"/>
          <cell r="AF2906">
            <v>0</v>
          </cell>
          <cell r="AG2906">
            <v>0</v>
          </cell>
        </row>
        <row r="2907">
          <cell r="AD2907" t="str"/>
          <cell r="AE2907" t="str"/>
          <cell r="AF2907">
            <v>0</v>
          </cell>
          <cell r="AG2907">
            <v>0</v>
          </cell>
        </row>
        <row r="2908">
          <cell r="AD2908" t="str"/>
          <cell r="AE2908" t="str"/>
          <cell r="AF2908">
            <v>0</v>
          </cell>
          <cell r="AG2908">
            <v>0</v>
          </cell>
        </row>
        <row r="2909">
          <cell r="AD2909" t="str"/>
          <cell r="AE2909" t="str"/>
          <cell r="AF2909">
            <v>0</v>
          </cell>
          <cell r="AG2909">
            <v>0</v>
          </cell>
        </row>
        <row r="2910">
          <cell r="AD2910" t="str"/>
          <cell r="AE2910" t="str"/>
          <cell r="AF2910">
            <v>0</v>
          </cell>
          <cell r="AG2910">
            <v>0</v>
          </cell>
        </row>
        <row r="2911">
          <cell r="AD2911" t="str"/>
          <cell r="AE2911" t="str"/>
          <cell r="AF2911">
            <v>0</v>
          </cell>
          <cell r="AG2911">
            <v>0</v>
          </cell>
        </row>
        <row r="2912">
          <cell r="AD2912" t="str"/>
          <cell r="AE2912" t="str"/>
          <cell r="AF2912">
            <v>0</v>
          </cell>
          <cell r="AG2912">
            <v>0</v>
          </cell>
        </row>
        <row r="2913">
          <cell r="AD2913" t="str"/>
          <cell r="AE2913" t="str"/>
          <cell r="AF2913">
            <v>0</v>
          </cell>
          <cell r="AG2913">
            <v>0</v>
          </cell>
        </row>
        <row r="2914">
          <cell r="AD2914" t="str"/>
          <cell r="AE2914" t="str"/>
          <cell r="AF2914">
            <v>0</v>
          </cell>
          <cell r="AG2914">
            <v>0</v>
          </cell>
        </row>
        <row r="2915">
          <cell r="AD2915" t="str"/>
          <cell r="AE2915" t="str"/>
          <cell r="AF2915">
            <v>0</v>
          </cell>
          <cell r="AG2915">
            <v>0</v>
          </cell>
        </row>
        <row r="2916">
          <cell r="AD2916" t="str"/>
          <cell r="AE2916" t="str"/>
          <cell r="AF2916">
            <v>0</v>
          </cell>
          <cell r="AG2916">
            <v>0</v>
          </cell>
        </row>
        <row r="2917">
          <cell r="AD2917" t="str"/>
          <cell r="AE2917" t="str"/>
          <cell r="AF2917">
            <v>0</v>
          </cell>
          <cell r="AG2917">
            <v>0</v>
          </cell>
        </row>
        <row r="2918">
          <cell r="AD2918" t="str"/>
          <cell r="AE2918" t="str"/>
          <cell r="AF2918">
            <v>0</v>
          </cell>
          <cell r="AG2918">
            <v>0</v>
          </cell>
        </row>
        <row r="2919">
          <cell r="AD2919" t="str"/>
          <cell r="AE2919" t="str"/>
          <cell r="AF2919">
            <v>0</v>
          </cell>
          <cell r="AG2919">
            <v>0</v>
          </cell>
        </row>
        <row r="2920">
          <cell r="AD2920" t="str"/>
          <cell r="AE2920" t="str"/>
          <cell r="AF2920">
            <v>0</v>
          </cell>
          <cell r="AG2920">
            <v>0</v>
          </cell>
        </row>
        <row r="2921">
          <cell r="AD2921" t="str"/>
          <cell r="AE2921" t="str"/>
          <cell r="AF2921">
            <v>0</v>
          </cell>
          <cell r="AG2921">
            <v>0</v>
          </cell>
        </row>
        <row r="2922">
          <cell r="AD2922" t="str"/>
          <cell r="AE2922" t="str"/>
          <cell r="AF2922">
            <v>0</v>
          </cell>
          <cell r="AG2922">
            <v>0</v>
          </cell>
        </row>
        <row r="2923">
          <cell r="AD2923" t="str"/>
          <cell r="AE2923" t="str"/>
          <cell r="AF2923">
            <v>0</v>
          </cell>
          <cell r="AG2923">
            <v>0</v>
          </cell>
        </row>
        <row r="2924">
          <cell r="AD2924" t="str"/>
          <cell r="AE2924" t="str"/>
          <cell r="AF2924">
            <v>0</v>
          </cell>
          <cell r="AG2924">
            <v>0</v>
          </cell>
        </row>
        <row r="2925">
          <cell r="AD2925" t="str"/>
          <cell r="AE2925" t="str"/>
          <cell r="AF2925">
            <v>0</v>
          </cell>
          <cell r="AG2925">
            <v>0</v>
          </cell>
        </row>
        <row r="2926">
          <cell r="AD2926" t="str"/>
          <cell r="AE2926" t="str"/>
          <cell r="AF2926">
            <v>0</v>
          </cell>
          <cell r="AG2926">
            <v>0</v>
          </cell>
        </row>
        <row r="2927">
          <cell r="AD2927" t="str"/>
          <cell r="AE2927" t="str"/>
          <cell r="AF2927">
            <v>0</v>
          </cell>
          <cell r="AG2927">
            <v>0</v>
          </cell>
        </row>
        <row r="2928">
          <cell r="AD2928" t="str"/>
          <cell r="AE2928" t="str"/>
          <cell r="AF2928">
            <v>0</v>
          </cell>
          <cell r="AG2928">
            <v>0</v>
          </cell>
        </row>
        <row r="2929">
          <cell r="AD2929" t="str"/>
          <cell r="AE2929" t="str"/>
          <cell r="AF2929">
            <v>0</v>
          </cell>
          <cell r="AG2929">
            <v>0</v>
          </cell>
        </row>
        <row r="2930">
          <cell r="AD2930" t="str"/>
          <cell r="AE2930" t="str"/>
          <cell r="AF2930">
            <v>0</v>
          </cell>
          <cell r="AG2930">
            <v>0</v>
          </cell>
        </row>
        <row r="2931">
          <cell r="AD2931" t="str"/>
          <cell r="AE2931" t="str"/>
          <cell r="AF2931">
            <v>0</v>
          </cell>
          <cell r="AG2931">
            <v>0</v>
          </cell>
        </row>
        <row r="2932">
          <cell r="AD2932" t="str"/>
          <cell r="AE2932" t="str"/>
          <cell r="AF2932">
            <v>0</v>
          </cell>
          <cell r="AG2932">
            <v>0</v>
          </cell>
        </row>
        <row r="2933">
          <cell r="AD2933" t="str"/>
          <cell r="AE2933" t="str"/>
          <cell r="AF2933">
            <v>0</v>
          </cell>
          <cell r="AG2933">
            <v>0</v>
          </cell>
        </row>
        <row r="2934">
          <cell r="AD2934" t="str"/>
          <cell r="AE2934" t="str"/>
          <cell r="AF2934">
            <v>0</v>
          </cell>
          <cell r="AG2934">
            <v>0</v>
          </cell>
        </row>
        <row r="2935">
          <cell r="AD2935" t="str"/>
          <cell r="AE2935" t="str"/>
          <cell r="AF2935">
            <v>0</v>
          </cell>
          <cell r="AG2935">
            <v>0</v>
          </cell>
        </row>
        <row r="2936">
          <cell r="AD2936" t="str"/>
          <cell r="AE2936" t="str"/>
          <cell r="AF2936">
            <v>0</v>
          </cell>
          <cell r="AG2936">
            <v>0</v>
          </cell>
        </row>
        <row r="2937">
          <cell r="AD2937" t="str"/>
          <cell r="AE2937" t="str"/>
          <cell r="AF2937">
            <v>0</v>
          </cell>
          <cell r="AG2937">
            <v>0</v>
          </cell>
        </row>
        <row r="2938">
          <cell r="AD2938" t="str"/>
          <cell r="AE2938" t="str"/>
          <cell r="AF2938">
            <v>0</v>
          </cell>
          <cell r="AG2938">
            <v>0</v>
          </cell>
        </row>
        <row r="2939">
          <cell r="AD2939" t="str"/>
          <cell r="AE2939" t="str"/>
          <cell r="AF2939">
            <v>0</v>
          </cell>
          <cell r="AG2939">
            <v>0</v>
          </cell>
        </row>
        <row r="2940">
          <cell r="AD2940" t="str"/>
          <cell r="AE2940" t="str"/>
          <cell r="AF2940">
            <v>0</v>
          </cell>
          <cell r="AG2940">
            <v>0</v>
          </cell>
        </row>
        <row r="2941">
          <cell r="AD2941" t="str"/>
          <cell r="AE2941" t="str"/>
          <cell r="AF2941">
            <v>0</v>
          </cell>
          <cell r="AG2941">
            <v>0</v>
          </cell>
        </row>
        <row r="2942">
          <cell r="AD2942" t="str"/>
          <cell r="AE2942" t="str"/>
          <cell r="AF2942">
            <v>0</v>
          </cell>
          <cell r="AG2942">
            <v>0</v>
          </cell>
        </row>
        <row r="2943">
          <cell r="AD2943" t="str"/>
          <cell r="AE2943" t="str"/>
          <cell r="AF2943">
            <v>0</v>
          </cell>
          <cell r="AG2943">
            <v>0</v>
          </cell>
        </row>
        <row r="2944">
          <cell r="AD2944" t="str"/>
          <cell r="AE2944" t="str"/>
          <cell r="AF2944">
            <v>0</v>
          </cell>
          <cell r="AG2944">
            <v>0</v>
          </cell>
        </row>
        <row r="2945">
          <cell r="AD2945" t="str"/>
          <cell r="AE2945" t="str"/>
          <cell r="AF2945">
            <v>0</v>
          </cell>
          <cell r="AG2945">
            <v>0</v>
          </cell>
        </row>
        <row r="2946">
          <cell r="AD2946" t="str"/>
          <cell r="AE2946" t="str"/>
          <cell r="AF2946">
            <v>0</v>
          </cell>
          <cell r="AG2946">
            <v>0</v>
          </cell>
        </row>
        <row r="2947">
          <cell r="AD2947" t="str"/>
          <cell r="AE2947" t="str"/>
          <cell r="AF2947">
            <v>0</v>
          </cell>
          <cell r="AG2947">
            <v>0</v>
          </cell>
        </row>
        <row r="2948">
          <cell r="AD2948" t="str"/>
          <cell r="AE2948" t="str"/>
          <cell r="AF2948">
            <v>0</v>
          </cell>
          <cell r="AG2948">
            <v>0</v>
          </cell>
        </row>
        <row r="2949">
          <cell r="AD2949" t="str"/>
          <cell r="AE2949" t="str"/>
          <cell r="AF2949">
            <v>0</v>
          </cell>
          <cell r="AG2949">
            <v>0</v>
          </cell>
        </row>
        <row r="2950">
          <cell r="AD2950" t="str"/>
          <cell r="AE2950" t="str"/>
          <cell r="AF2950">
            <v>0</v>
          </cell>
          <cell r="AG2950">
            <v>0</v>
          </cell>
        </row>
        <row r="2951">
          <cell r="AD2951" t="str"/>
          <cell r="AE2951" t="str"/>
          <cell r="AF2951">
            <v>0</v>
          </cell>
          <cell r="AG2951">
            <v>0</v>
          </cell>
        </row>
        <row r="2952">
          <cell r="AD2952" t="str"/>
          <cell r="AE2952" t="str"/>
          <cell r="AF2952">
            <v>0</v>
          </cell>
          <cell r="AG2952">
            <v>0</v>
          </cell>
        </row>
        <row r="2953">
          <cell r="AD2953" t="str"/>
          <cell r="AE2953" t="str"/>
          <cell r="AF2953">
            <v>0</v>
          </cell>
          <cell r="AG2953">
            <v>0</v>
          </cell>
        </row>
        <row r="2954">
          <cell r="AD2954" t="str"/>
          <cell r="AE2954" t="str"/>
          <cell r="AF2954">
            <v>0</v>
          </cell>
          <cell r="AG2954">
            <v>0</v>
          </cell>
        </row>
        <row r="2955">
          <cell r="AD2955" t="str"/>
          <cell r="AE2955" t="str"/>
          <cell r="AF2955">
            <v>0</v>
          </cell>
          <cell r="AG2955">
            <v>0</v>
          </cell>
        </row>
        <row r="2956">
          <cell r="AD2956" t="str"/>
          <cell r="AE2956" t="str"/>
          <cell r="AF2956">
            <v>0</v>
          </cell>
          <cell r="AG2956">
            <v>0</v>
          </cell>
        </row>
        <row r="2957">
          <cell r="AD2957" t="str"/>
          <cell r="AE2957" t="str"/>
          <cell r="AF2957">
            <v>0</v>
          </cell>
          <cell r="AG2957">
            <v>0</v>
          </cell>
        </row>
        <row r="2958">
          <cell r="AD2958" t="str"/>
          <cell r="AE2958" t="str"/>
          <cell r="AF2958">
            <v>0</v>
          </cell>
          <cell r="AG2958">
            <v>0</v>
          </cell>
        </row>
        <row r="2959">
          <cell r="AD2959" t="str"/>
          <cell r="AE2959" t="str"/>
          <cell r="AF2959">
            <v>0</v>
          </cell>
          <cell r="AG2959">
            <v>0</v>
          </cell>
        </row>
        <row r="2960">
          <cell r="AD2960" t="str"/>
          <cell r="AE2960" t="str"/>
          <cell r="AF2960">
            <v>0</v>
          </cell>
          <cell r="AG2960">
            <v>0</v>
          </cell>
        </row>
        <row r="2961">
          <cell r="AD2961" t="str"/>
          <cell r="AE2961" t="str"/>
          <cell r="AF2961">
            <v>0</v>
          </cell>
          <cell r="AG2961">
            <v>0</v>
          </cell>
        </row>
        <row r="2962">
          <cell r="AD2962" t="str"/>
          <cell r="AE2962" t="str"/>
          <cell r="AF2962">
            <v>0</v>
          </cell>
          <cell r="AG2962">
            <v>0</v>
          </cell>
        </row>
        <row r="2963">
          <cell r="AD2963" t="str"/>
          <cell r="AE2963" t="str"/>
          <cell r="AF2963">
            <v>0</v>
          </cell>
          <cell r="AG2963">
            <v>0</v>
          </cell>
        </row>
        <row r="2964">
          <cell r="AD2964" t="str"/>
          <cell r="AE2964" t="str"/>
          <cell r="AF2964">
            <v>0</v>
          </cell>
          <cell r="AG2964">
            <v>0</v>
          </cell>
        </row>
        <row r="2965">
          <cell r="AD2965" t="str"/>
          <cell r="AE2965" t="str"/>
          <cell r="AF2965">
            <v>0</v>
          </cell>
          <cell r="AG2965">
            <v>0</v>
          </cell>
        </row>
        <row r="2966">
          <cell r="AD2966" t="str"/>
          <cell r="AE2966" t="str"/>
          <cell r="AF2966">
            <v>0</v>
          </cell>
          <cell r="AG2966">
            <v>0</v>
          </cell>
        </row>
        <row r="2967">
          <cell r="AD2967" t="str"/>
          <cell r="AE2967" t="str"/>
          <cell r="AF2967">
            <v>0</v>
          </cell>
          <cell r="AG2967">
            <v>0</v>
          </cell>
        </row>
        <row r="2968">
          <cell r="AD2968" t="str"/>
          <cell r="AE2968" t="str"/>
          <cell r="AF2968">
            <v>0</v>
          </cell>
          <cell r="AG2968">
            <v>0</v>
          </cell>
        </row>
        <row r="2969">
          <cell r="AD2969" t="str"/>
          <cell r="AE2969" t="str"/>
          <cell r="AF2969">
            <v>0</v>
          </cell>
          <cell r="AG2969">
            <v>0</v>
          </cell>
        </row>
        <row r="2970">
          <cell r="AD2970" t="str"/>
          <cell r="AE2970" t="str"/>
          <cell r="AF2970">
            <v>0</v>
          </cell>
          <cell r="AG2970">
            <v>0</v>
          </cell>
        </row>
        <row r="2971">
          <cell r="AD2971" t="str"/>
          <cell r="AE2971" t="str"/>
          <cell r="AF2971">
            <v>0</v>
          </cell>
          <cell r="AG2971">
            <v>0</v>
          </cell>
        </row>
        <row r="2972">
          <cell r="AD2972" t="str"/>
          <cell r="AE2972" t="str"/>
          <cell r="AF2972">
            <v>0</v>
          </cell>
          <cell r="AG2972">
            <v>0</v>
          </cell>
        </row>
        <row r="2973">
          <cell r="AD2973" t="str"/>
          <cell r="AE2973" t="str"/>
          <cell r="AF2973">
            <v>0</v>
          </cell>
          <cell r="AG2973">
            <v>0</v>
          </cell>
        </row>
        <row r="2974">
          <cell r="AD2974" t="str"/>
          <cell r="AE2974" t="str"/>
          <cell r="AF2974">
            <v>0</v>
          </cell>
          <cell r="AG2974">
            <v>0</v>
          </cell>
        </row>
        <row r="2975">
          <cell r="AD2975" t="str"/>
          <cell r="AE2975" t="str"/>
          <cell r="AF2975">
            <v>0</v>
          </cell>
          <cell r="AG2975">
            <v>0</v>
          </cell>
        </row>
        <row r="2976">
          <cell r="AD2976" t="str"/>
          <cell r="AE2976" t="str"/>
          <cell r="AF2976">
            <v>0</v>
          </cell>
          <cell r="AG2976">
            <v>0</v>
          </cell>
        </row>
        <row r="2977">
          <cell r="AD2977" t="str"/>
          <cell r="AE2977" t="str"/>
          <cell r="AF2977">
            <v>0</v>
          </cell>
          <cell r="AG2977">
            <v>0</v>
          </cell>
        </row>
        <row r="2978">
          <cell r="AD2978" t="str"/>
          <cell r="AE2978" t="str"/>
          <cell r="AF2978">
            <v>0</v>
          </cell>
          <cell r="AG2978">
            <v>0</v>
          </cell>
        </row>
        <row r="2979">
          <cell r="AD2979" t="str"/>
          <cell r="AE2979" t="str"/>
          <cell r="AF2979">
            <v>0</v>
          </cell>
          <cell r="AG2979">
            <v>0</v>
          </cell>
        </row>
        <row r="2980">
          <cell r="AD2980" t="str"/>
          <cell r="AE2980" t="str"/>
          <cell r="AF2980">
            <v>0</v>
          </cell>
          <cell r="AG2980">
            <v>0</v>
          </cell>
        </row>
        <row r="2981">
          <cell r="AD2981" t="str"/>
          <cell r="AE2981" t="str"/>
          <cell r="AF2981">
            <v>0</v>
          </cell>
          <cell r="AG2981">
            <v>0</v>
          </cell>
        </row>
        <row r="2982">
          <cell r="AD2982" t="str"/>
          <cell r="AE2982" t="str"/>
          <cell r="AF2982">
            <v>0</v>
          </cell>
          <cell r="AG2982">
            <v>0</v>
          </cell>
        </row>
        <row r="2983">
          <cell r="AD2983" t="str"/>
          <cell r="AE2983" t="str"/>
          <cell r="AF2983">
            <v>0</v>
          </cell>
          <cell r="AG2983">
            <v>0</v>
          </cell>
        </row>
        <row r="2984">
          <cell r="AD2984" t="str"/>
          <cell r="AE2984" t="str"/>
          <cell r="AF2984">
            <v>0</v>
          </cell>
          <cell r="AG2984">
            <v>0</v>
          </cell>
        </row>
        <row r="2985">
          <cell r="AD2985" t="str"/>
          <cell r="AE2985" t="str"/>
          <cell r="AF2985">
            <v>0</v>
          </cell>
          <cell r="AG2985">
            <v>0</v>
          </cell>
        </row>
        <row r="2986">
          <cell r="AD2986" t="str"/>
          <cell r="AE2986" t="str"/>
          <cell r="AF2986">
            <v>0</v>
          </cell>
          <cell r="AG2986">
            <v>0</v>
          </cell>
        </row>
        <row r="2987">
          <cell r="AD2987" t="str"/>
          <cell r="AE2987" t="str"/>
          <cell r="AF2987">
            <v>0</v>
          </cell>
          <cell r="AG2987">
            <v>0</v>
          </cell>
        </row>
        <row r="2988">
          <cell r="AD2988" t="str"/>
          <cell r="AE2988" t="str"/>
          <cell r="AF2988">
            <v>0</v>
          </cell>
          <cell r="AG2988">
            <v>0</v>
          </cell>
        </row>
        <row r="2989">
          <cell r="AD2989" t="str"/>
          <cell r="AE2989" t="str"/>
          <cell r="AF2989">
            <v>0</v>
          </cell>
          <cell r="AG2989">
            <v>0</v>
          </cell>
        </row>
        <row r="2990">
          <cell r="AD2990" t="str"/>
          <cell r="AE2990" t="str"/>
          <cell r="AF2990">
            <v>0</v>
          </cell>
          <cell r="AG2990">
            <v>0</v>
          </cell>
        </row>
        <row r="2991">
          <cell r="AD2991" t="str"/>
          <cell r="AE2991" t="str"/>
          <cell r="AF2991">
            <v>0</v>
          </cell>
          <cell r="AG2991">
            <v>0</v>
          </cell>
        </row>
        <row r="2992">
          <cell r="AD2992" t="str"/>
          <cell r="AE2992" t="str"/>
          <cell r="AF2992">
            <v>0</v>
          </cell>
          <cell r="AG2992">
            <v>0</v>
          </cell>
        </row>
        <row r="2993">
          <cell r="AD2993" t="str"/>
          <cell r="AE2993" t="str"/>
          <cell r="AF2993">
            <v>0</v>
          </cell>
          <cell r="AG2993">
            <v>0</v>
          </cell>
        </row>
        <row r="2994">
          <cell r="AD2994" t="str"/>
          <cell r="AE2994" t="str"/>
          <cell r="AF2994">
            <v>0</v>
          </cell>
          <cell r="AG2994">
            <v>0</v>
          </cell>
        </row>
        <row r="2995">
          <cell r="AD2995" t="str"/>
          <cell r="AE2995" t="str"/>
          <cell r="AF2995">
            <v>0</v>
          </cell>
          <cell r="AG2995">
            <v>0</v>
          </cell>
        </row>
        <row r="2996">
          <cell r="AD2996" t="str"/>
          <cell r="AE2996" t="str"/>
          <cell r="AF2996">
            <v>0</v>
          </cell>
          <cell r="AG2996">
            <v>0</v>
          </cell>
        </row>
        <row r="2997">
          <cell r="AD2997" t="str"/>
          <cell r="AE2997" t="str"/>
          <cell r="AF2997">
            <v>0</v>
          </cell>
          <cell r="AG2997">
            <v>0</v>
          </cell>
        </row>
        <row r="2998">
          <cell r="AD2998" t="str"/>
          <cell r="AE2998" t="str"/>
          <cell r="AF2998">
            <v>0</v>
          </cell>
          <cell r="AG2998">
            <v>0</v>
          </cell>
        </row>
        <row r="2999">
          <cell r="AD2999" t="str"/>
          <cell r="AE2999" t="str"/>
          <cell r="AF2999">
            <v>0</v>
          </cell>
          <cell r="AG2999">
            <v>0</v>
          </cell>
        </row>
        <row r="3000">
          <cell r="AD3000" t="str"/>
          <cell r="AE3000" t="str"/>
          <cell r="AF3000">
            <v>0</v>
          </cell>
          <cell r="AG3000">
            <v>0</v>
          </cell>
        </row>
        <row r="3001">
          <cell r="AD3001" t="str"/>
          <cell r="AE3001" t="str"/>
          <cell r="AF3001">
            <v>0</v>
          </cell>
          <cell r="AG3001">
            <v>0</v>
          </cell>
        </row>
        <row r="3002">
          <cell r="AD3002" t="str"/>
          <cell r="AE3002" t="str"/>
          <cell r="AF3002">
            <v>0</v>
          </cell>
          <cell r="AG3002">
            <v>0</v>
          </cell>
        </row>
        <row r="3003">
          <cell r="AD3003" t="str"/>
          <cell r="AE3003" t="str"/>
          <cell r="AF3003">
            <v>0</v>
          </cell>
          <cell r="AG3003">
            <v>0</v>
          </cell>
        </row>
        <row r="3004">
          <cell r="AD3004" t="str"/>
          <cell r="AE3004" t="str"/>
          <cell r="AF3004">
            <v>0</v>
          </cell>
          <cell r="AG3004">
            <v>0</v>
          </cell>
        </row>
        <row r="3005">
          <cell r="AD3005" t="str"/>
          <cell r="AE3005" t="str"/>
          <cell r="AF3005">
            <v>0</v>
          </cell>
          <cell r="AG3005">
            <v>0</v>
          </cell>
        </row>
        <row r="3006">
          <cell r="AD3006" t="str"/>
          <cell r="AE3006" t="str"/>
          <cell r="AF3006">
            <v>0</v>
          </cell>
          <cell r="AG3006">
            <v>0</v>
          </cell>
        </row>
        <row r="3007">
          <cell r="AD3007" t="str"/>
          <cell r="AE3007" t="str"/>
          <cell r="AF3007">
            <v>0</v>
          </cell>
          <cell r="AG3007">
            <v>0</v>
          </cell>
        </row>
        <row r="3008">
          <cell r="AD3008" t="str"/>
          <cell r="AE3008" t="str"/>
          <cell r="AF3008">
            <v>0</v>
          </cell>
          <cell r="AG3008">
            <v>0</v>
          </cell>
        </row>
        <row r="3009">
          <cell r="AD3009" t="str"/>
          <cell r="AE3009" t="str"/>
          <cell r="AF3009">
            <v>0</v>
          </cell>
          <cell r="AG3009">
            <v>0</v>
          </cell>
        </row>
        <row r="3010">
          <cell r="AD3010" t="str"/>
          <cell r="AE3010" t="str"/>
          <cell r="AF3010">
            <v>0</v>
          </cell>
          <cell r="AG3010">
            <v>0</v>
          </cell>
        </row>
        <row r="3011">
          <cell r="AD3011" t="str"/>
          <cell r="AE3011" t="str"/>
          <cell r="AF3011">
            <v>0</v>
          </cell>
          <cell r="AG3011">
            <v>0</v>
          </cell>
        </row>
        <row r="3012">
          <cell r="AD3012" t="str"/>
          <cell r="AE3012" t="str"/>
          <cell r="AF3012">
            <v>0</v>
          </cell>
          <cell r="AG3012">
            <v>0</v>
          </cell>
        </row>
        <row r="3013">
          <cell r="AD3013" t="str"/>
          <cell r="AE3013" t="str"/>
          <cell r="AF3013">
            <v>0</v>
          </cell>
          <cell r="AG3013">
            <v>0</v>
          </cell>
        </row>
        <row r="3014">
          <cell r="AD3014" t="str"/>
          <cell r="AE3014" t="str"/>
          <cell r="AF3014">
            <v>0</v>
          </cell>
          <cell r="AG3014">
            <v>0</v>
          </cell>
        </row>
        <row r="3015">
          <cell r="AD3015" t="str"/>
          <cell r="AE3015" t="str"/>
          <cell r="AF3015">
            <v>0</v>
          </cell>
          <cell r="AG3015">
            <v>0</v>
          </cell>
        </row>
        <row r="3016">
          <cell r="AD3016" t="str"/>
          <cell r="AE3016" t="str"/>
          <cell r="AF3016">
            <v>0</v>
          </cell>
          <cell r="AG3016">
            <v>0</v>
          </cell>
        </row>
        <row r="3017">
          <cell r="AD3017" t="str"/>
          <cell r="AE3017" t="str"/>
          <cell r="AF3017">
            <v>0</v>
          </cell>
          <cell r="AG3017">
            <v>0</v>
          </cell>
        </row>
        <row r="3018">
          <cell r="AD3018" t="str"/>
          <cell r="AE3018" t="str"/>
          <cell r="AF3018">
            <v>0</v>
          </cell>
          <cell r="AG3018">
            <v>0</v>
          </cell>
        </row>
        <row r="3019">
          <cell r="AD3019" t="str"/>
          <cell r="AE3019" t="str"/>
          <cell r="AF3019">
            <v>0</v>
          </cell>
          <cell r="AG3019">
            <v>0</v>
          </cell>
        </row>
        <row r="3020">
          <cell r="AD3020" t="str"/>
          <cell r="AE3020" t="str"/>
          <cell r="AF3020">
            <v>0</v>
          </cell>
          <cell r="AG3020">
            <v>0</v>
          </cell>
        </row>
        <row r="3021">
          <cell r="AD3021" t="str"/>
          <cell r="AE3021" t="str"/>
          <cell r="AF3021">
            <v>0</v>
          </cell>
          <cell r="AG3021">
            <v>0</v>
          </cell>
        </row>
        <row r="3022">
          <cell r="AD3022" t="str"/>
          <cell r="AE3022" t="str"/>
          <cell r="AF3022">
            <v>0</v>
          </cell>
          <cell r="AG3022">
            <v>0</v>
          </cell>
        </row>
        <row r="3023">
          <cell r="AD3023" t="str"/>
          <cell r="AE3023" t="str"/>
          <cell r="AF3023">
            <v>0</v>
          </cell>
          <cell r="AG3023">
            <v>0</v>
          </cell>
        </row>
        <row r="3024">
          <cell r="AD3024" t="str"/>
          <cell r="AE3024" t="str"/>
          <cell r="AF3024">
            <v>0</v>
          </cell>
          <cell r="AG3024">
            <v>0</v>
          </cell>
        </row>
        <row r="3025">
          <cell r="AD3025" t="str"/>
          <cell r="AE3025" t="str"/>
          <cell r="AF3025">
            <v>0</v>
          </cell>
          <cell r="AG3025">
            <v>0</v>
          </cell>
        </row>
        <row r="3026">
          <cell r="AD3026" t="str"/>
          <cell r="AE3026" t="str"/>
          <cell r="AF3026">
            <v>0</v>
          </cell>
          <cell r="AG3026">
            <v>0</v>
          </cell>
        </row>
        <row r="3027">
          <cell r="AD3027" t="str"/>
          <cell r="AE3027" t="str"/>
          <cell r="AF3027">
            <v>0</v>
          </cell>
          <cell r="AG3027">
            <v>0</v>
          </cell>
        </row>
        <row r="3028">
          <cell r="AD3028" t="str"/>
          <cell r="AE3028" t="str"/>
          <cell r="AF3028">
            <v>0</v>
          </cell>
          <cell r="AG3028">
            <v>0</v>
          </cell>
        </row>
        <row r="3029">
          <cell r="AD3029" t="str"/>
          <cell r="AE3029" t="str"/>
          <cell r="AF3029">
            <v>0</v>
          </cell>
          <cell r="AG3029">
            <v>0</v>
          </cell>
        </row>
        <row r="3030">
          <cell r="AD3030" t="str"/>
          <cell r="AE3030" t="str"/>
          <cell r="AF3030">
            <v>0</v>
          </cell>
          <cell r="AG3030">
            <v>0</v>
          </cell>
        </row>
        <row r="3031">
          <cell r="AD3031" t="str"/>
          <cell r="AE3031" t="str"/>
          <cell r="AF3031">
            <v>0</v>
          </cell>
          <cell r="AG3031">
            <v>0</v>
          </cell>
        </row>
        <row r="3032">
          <cell r="AD3032" t="str"/>
          <cell r="AE3032" t="str"/>
          <cell r="AF3032">
            <v>0</v>
          </cell>
          <cell r="AG3032">
            <v>0</v>
          </cell>
        </row>
        <row r="3033">
          <cell r="AD3033" t="str"/>
          <cell r="AE3033" t="str"/>
          <cell r="AF3033">
            <v>0</v>
          </cell>
          <cell r="AG3033">
            <v>0</v>
          </cell>
        </row>
        <row r="3034">
          <cell r="AD3034" t="str"/>
          <cell r="AE3034" t="str"/>
          <cell r="AF3034">
            <v>0</v>
          </cell>
          <cell r="AG3034">
            <v>0</v>
          </cell>
        </row>
        <row r="3035">
          <cell r="AD3035" t="str"/>
          <cell r="AE3035" t="str"/>
          <cell r="AF3035">
            <v>0</v>
          </cell>
          <cell r="AG3035">
            <v>0</v>
          </cell>
        </row>
        <row r="3036">
          <cell r="AD3036" t="str"/>
          <cell r="AE3036" t="str"/>
          <cell r="AF3036">
            <v>0</v>
          </cell>
          <cell r="AG3036">
            <v>0</v>
          </cell>
        </row>
        <row r="3037">
          <cell r="AD3037" t="str"/>
          <cell r="AE3037" t="str"/>
          <cell r="AF3037">
            <v>0</v>
          </cell>
          <cell r="AG3037">
            <v>0</v>
          </cell>
        </row>
        <row r="3038">
          <cell r="AD3038" t="str"/>
          <cell r="AE3038" t="str"/>
          <cell r="AF3038">
            <v>0</v>
          </cell>
          <cell r="AG3038">
            <v>0</v>
          </cell>
        </row>
        <row r="3039">
          <cell r="AD3039" t="str"/>
          <cell r="AE3039" t="str"/>
          <cell r="AF3039">
            <v>0</v>
          </cell>
          <cell r="AG3039">
            <v>0</v>
          </cell>
        </row>
        <row r="3040">
          <cell r="AD3040" t="str"/>
          <cell r="AE3040" t="str"/>
          <cell r="AF3040">
            <v>0</v>
          </cell>
          <cell r="AG3040">
            <v>0</v>
          </cell>
        </row>
        <row r="3041">
          <cell r="AD3041" t="str"/>
          <cell r="AE3041" t="str"/>
          <cell r="AF3041">
            <v>0</v>
          </cell>
          <cell r="AG3041">
            <v>0</v>
          </cell>
        </row>
        <row r="3042">
          <cell r="AD3042" t="str"/>
          <cell r="AE3042" t="str"/>
          <cell r="AF3042">
            <v>0</v>
          </cell>
          <cell r="AG3042">
            <v>0</v>
          </cell>
        </row>
        <row r="3043">
          <cell r="AD3043" t="str"/>
          <cell r="AE3043" t="str"/>
          <cell r="AF3043">
            <v>0</v>
          </cell>
          <cell r="AG3043">
            <v>0</v>
          </cell>
        </row>
        <row r="3044">
          <cell r="AD3044" t="str"/>
          <cell r="AE3044" t="str"/>
          <cell r="AF3044">
            <v>0</v>
          </cell>
          <cell r="AG3044">
            <v>0</v>
          </cell>
        </row>
        <row r="3045">
          <cell r="AD3045" t="str"/>
          <cell r="AE3045" t="str"/>
          <cell r="AF3045">
            <v>0</v>
          </cell>
          <cell r="AG3045">
            <v>0</v>
          </cell>
        </row>
        <row r="3046">
          <cell r="AD3046" t="str"/>
          <cell r="AE3046" t="str"/>
          <cell r="AF3046">
            <v>0</v>
          </cell>
          <cell r="AG3046">
            <v>0</v>
          </cell>
        </row>
        <row r="3047">
          <cell r="AD3047" t="str"/>
          <cell r="AE3047" t="str"/>
          <cell r="AF3047">
            <v>0</v>
          </cell>
          <cell r="AG3047">
            <v>0</v>
          </cell>
        </row>
        <row r="3048">
          <cell r="AD3048" t="str"/>
          <cell r="AE3048" t="str"/>
          <cell r="AF3048">
            <v>0</v>
          </cell>
          <cell r="AG3048">
            <v>0</v>
          </cell>
        </row>
        <row r="3049">
          <cell r="AD3049" t="str"/>
          <cell r="AE3049" t="str"/>
          <cell r="AF3049">
            <v>0</v>
          </cell>
          <cell r="AG3049">
            <v>0</v>
          </cell>
        </row>
        <row r="3050">
          <cell r="AD3050" t="str"/>
          <cell r="AE3050" t="str"/>
          <cell r="AF3050">
            <v>0</v>
          </cell>
          <cell r="AG3050">
            <v>0</v>
          </cell>
        </row>
        <row r="3051">
          <cell r="AD3051" t="str"/>
          <cell r="AE3051" t="str"/>
          <cell r="AF3051">
            <v>0</v>
          </cell>
          <cell r="AG3051">
            <v>0</v>
          </cell>
        </row>
        <row r="3052">
          <cell r="AD3052" t="str"/>
          <cell r="AE3052" t="str"/>
          <cell r="AF3052">
            <v>0</v>
          </cell>
          <cell r="AG3052">
            <v>0</v>
          </cell>
        </row>
        <row r="3053">
          <cell r="AD3053" t="str"/>
          <cell r="AE3053" t="str"/>
          <cell r="AF3053">
            <v>0</v>
          </cell>
          <cell r="AG3053">
            <v>0</v>
          </cell>
        </row>
        <row r="3054">
          <cell r="AD3054" t="str"/>
          <cell r="AE3054" t="str"/>
          <cell r="AF3054">
            <v>0</v>
          </cell>
          <cell r="AG3054">
            <v>0</v>
          </cell>
        </row>
        <row r="3055">
          <cell r="AD3055" t="str"/>
          <cell r="AE3055" t="str"/>
          <cell r="AF3055">
            <v>0</v>
          </cell>
          <cell r="AG3055">
            <v>0</v>
          </cell>
        </row>
        <row r="3056">
          <cell r="AD3056" t="str"/>
          <cell r="AE3056" t="str"/>
          <cell r="AF3056">
            <v>0</v>
          </cell>
          <cell r="AG3056">
            <v>0</v>
          </cell>
        </row>
        <row r="3057">
          <cell r="AD3057" t="str"/>
          <cell r="AE3057" t="str"/>
          <cell r="AF3057">
            <v>0</v>
          </cell>
          <cell r="AG3057">
            <v>0</v>
          </cell>
        </row>
        <row r="3058">
          <cell r="AD3058" t="str"/>
          <cell r="AE3058" t="str"/>
          <cell r="AF3058">
            <v>0</v>
          </cell>
          <cell r="AG3058">
            <v>0</v>
          </cell>
        </row>
        <row r="3059">
          <cell r="AD3059" t="str"/>
          <cell r="AE3059" t="str"/>
          <cell r="AF3059">
            <v>0</v>
          </cell>
          <cell r="AG3059">
            <v>0</v>
          </cell>
        </row>
        <row r="3060">
          <cell r="AD3060" t="str"/>
          <cell r="AE3060" t="str"/>
          <cell r="AF3060">
            <v>0</v>
          </cell>
          <cell r="AG3060">
            <v>0</v>
          </cell>
        </row>
        <row r="3061">
          <cell r="AD3061" t="str"/>
          <cell r="AE3061" t="str"/>
          <cell r="AF3061">
            <v>0</v>
          </cell>
          <cell r="AG3061">
            <v>0</v>
          </cell>
        </row>
        <row r="3062">
          <cell r="AD3062" t="str"/>
          <cell r="AE3062" t="str"/>
          <cell r="AF3062">
            <v>0</v>
          </cell>
          <cell r="AG3062">
            <v>0</v>
          </cell>
        </row>
        <row r="3063">
          <cell r="AD3063" t="str"/>
          <cell r="AE3063" t="str"/>
          <cell r="AF3063">
            <v>0</v>
          </cell>
          <cell r="AG3063">
            <v>0</v>
          </cell>
        </row>
        <row r="3064">
          <cell r="AD3064" t="str"/>
          <cell r="AE3064" t="str"/>
          <cell r="AF3064">
            <v>0</v>
          </cell>
          <cell r="AG3064">
            <v>0</v>
          </cell>
        </row>
        <row r="3065">
          <cell r="AD3065" t="str"/>
          <cell r="AE3065" t="str"/>
          <cell r="AF3065">
            <v>0</v>
          </cell>
          <cell r="AG3065">
            <v>0</v>
          </cell>
        </row>
        <row r="3066">
          <cell r="AD3066" t="str"/>
          <cell r="AE3066" t="str"/>
          <cell r="AF3066">
            <v>0</v>
          </cell>
          <cell r="AG3066">
            <v>0</v>
          </cell>
        </row>
        <row r="3067">
          <cell r="AD3067" t="str"/>
          <cell r="AE3067" t="str"/>
          <cell r="AF3067">
            <v>0</v>
          </cell>
          <cell r="AG3067">
            <v>0</v>
          </cell>
        </row>
        <row r="3068">
          <cell r="AD3068" t="str"/>
          <cell r="AE3068" t="str"/>
          <cell r="AF3068">
            <v>0</v>
          </cell>
          <cell r="AG3068">
            <v>0</v>
          </cell>
        </row>
        <row r="3069">
          <cell r="AD3069" t="str"/>
          <cell r="AE3069" t="str"/>
          <cell r="AF3069">
            <v>0</v>
          </cell>
          <cell r="AG3069">
            <v>0</v>
          </cell>
        </row>
        <row r="3070">
          <cell r="AD3070" t="str"/>
          <cell r="AE3070" t="str"/>
          <cell r="AF3070">
            <v>0</v>
          </cell>
          <cell r="AG3070">
            <v>0</v>
          </cell>
        </row>
        <row r="3071">
          <cell r="AD3071" t="str"/>
          <cell r="AE3071" t="str"/>
          <cell r="AF3071">
            <v>0</v>
          </cell>
          <cell r="AG3071">
            <v>0</v>
          </cell>
        </row>
        <row r="3072">
          <cell r="AD3072" t="str"/>
          <cell r="AE3072" t="str"/>
          <cell r="AF3072">
            <v>0</v>
          </cell>
          <cell r="AG3072">
            <v>0</v>
          </cell>
        </row>
        <row r="3073">
          <cell r="AD3073" t="str"/>
          <cell r="AE3073" t="str"/>
          <cell r="AF3073">
            <v>0</v>
          </cell>
          <cell r="AG3073">
            <v>0</v>
          </cell>
        </row>
        <row r="3074">
          <cell r="AD3074" t="str"/>
          <cell r="AE3074" t="str"/>
          <cell r="AF3074">
            <v>0</v>
          </cell>
          <cell r="AG3074">
            <v>0</v>
          </cell>
        </row>
        <row r="3075">
          <cell r="AD3075" t="str"/>
          <cell r="AE3075" t="str"/>
          <cell r="AF3075">
            <v>0</v>
          </cell>
          <cell r="AG3075">
            <v>0</v>
          </cell>
        </row>
        <row r="3076">
          <cell r="AD3076" t="str"/>
          <cell r="AE3076" t="str"/>
          <cell r="AF3076">
            <v>0</v>
          </cell>
          <cell r="AG3076">
            <v>0</v>
          </cell>
        </row>
        <row r="3077">
          <cell r="AD3077" t="str"/>
          <cell r="AE3077" t="str"/>
          <cell r="AF3077">
            <v>0</v>
          </cell>
          <cell r="AG3077">
            <v>0</v>
          </cell>
        </row>
        <row r="3078">
          <cell r="AD3078" t="str"/>
          <cell r="AE3078" t="str"/>
          <cell r="AF3078">
            <v>0</v>
          </cell>
          <cell r="AG3078">
            <v>0</v>
          </cell>
        </row>
        <row r="3079">
          <cell r="AD3079" t="str"/>
          <cell r="AE3079" t="str"/>
          <cell r="AF3079">
            <v>0</v>
          </cell>
          <cell r="AG3079">
            <v>0</v>
          </cell>
        </row>
        <row r="3080">
          <cell r="AD3080" t="str"/>
          <cell r="AE3080" t="str"/>
          <cell r="AF3080">
            <v>0</v>
          </cell>
          <cell r="AG3080">
            <v>0</v>
          </cell>
        </row>
        <row r="3081">
          <cell r="AD3081" t="str"/>
          <cell r="AE3081" t="str"/>
          <cell r="AF3081">
            <v>0</v>
          </cell>
          <cell r="AG3081">
            <v>0</v>
          </cell>
        </row>
        <row r="3082">
          <cell r="AD3082" t="str"/>
          <cell r="AE3082" t="str"/>
          <cell r="AF3082">
            <v>0</v>
          </cell>
          <cell r="AG3082">
            <v>0</v>
          </cell>
        </row>
        <row r="3083">
          <cell r="AD3083" t="str"/>
          <cell r="AE3083" t="str"/>
          <cell r="AF3083">
            <v>0</v>
          </cell>
          <cell r="AG3083">
            <v>0</v>
          </cell>
        </row>
        <row r="3084">
          <cell r="AD3084" t="str"/>
          <cell r="AE3084" t="str"/>
          <cell r="AF3084">
            <v>0</v>
          </cell>
          <cell r="AG3084">
            <v>0</v>
          </cell>
        </row>
        <row r="3085">
          <cell r="AD3085" t="str"/>
          <cell r="AE3085" t="str"/>
          <cell r="AF3085">
            <v>0</v>
          </cell>
          <cell r="AG3085">
            <v>0</v>
          </cell>
        </row>
        <row r="3086">
          <cell r="AD3086" t="str"/>
          <cell r="AE3086" t="str"/>
          <cell r="AF3086">
            <v>0</v>
          </cell>
          <cell r="AG3086">
            <v>0</v>
          </cell>
        </row>
        <row r="3087">
          <cell r="AD3087" t="str"/>
          <cell r="AE3087" t="str"/>
          <cell r="AF3087">
            <v>0</v>
          </cell>
          <cell r="AG3087">
            <v>0</v>
          </cell>
        </row>
        <row r="3088">
          <cell r="AD3088" t="str"/>
          <cell r="AE3088" t="str"/>
          <cell r="AF3088">
            <v>0</v>
          </cell>
          <cell r="AG3088">
            <v>0</v>
          </cell>
        </row>
        <row r="3089">
          <cell r="AD3089" t="str"/>
          <cell r="AE3089" t="str"/>
          <cell r="AF3089">
            <v>0</v>
          </cell>
          <cell r="AG3089">
            <v>0</v>
          </cell>
        </row>
        <row r="3090">
          <cell r="AD3090" t="str"/>
          <cell r="AE3090" t="str"/>
          <cell r="AF3090">
            <v>0</v>
          </cell>
          <cell r="AG3090">
            <v>0</v>
          </cell>
        </row>
        <row r="3091">
          <cell r="AD3091" t="str"/>
          <cell r="AE3091" t="str"/>
          <cell r="AF3091">
            <v>0</v>
          </cell>
          <cell r="AG3091">
            <v>0</v>
          </cell>
        </row>
        <row r="3092">
          <cell r="AD3092" t="str"/>
          <cell r="AE3092" t="str"/>
          <cell r="AF3092">
            <v>0</v>
          </cell>
          <cell r="AG3092">
            <v>0</v>
          </cell>
        </row>
        <row r="3093">
          <cell r="AD3093" t="str"/>
          <cell r="AE3093" t="str"/>
          <cell r="AF3093">
            <v>0</v>
          </cell>
          <cell r="AG3093">
            <v>0</v>
          </cell>
        </row>
        <row r="3094">
          <cell r="AD3094" t="str"/>
          <cell r="AE3094" t="str"/>
          <cell r="AF3094">
            <v>0</v>
          </cell>
          <cell r="AG3094">
            <v>0</v>
          </cell>
        </row>
        <row r="3095">
          <cell r="AD3095" t="str"/>
          <cell r="AE3095" t="str"/>
          <cell r="AF3095">
            <v>0</v>
          </cell>
          <cell r="AG3095">
            <v>0</v>
          </cell>
        </row>
        <row r="3096">
          <cell r="AD3096" t="str"/>
          <cell r="AE3096" t="str"/>
          <cell r="AF3096">
            <v>0</v>
          </cell>
          <cell r="AG3096">
            <v>0</v>
          </cell>
        </row>
        <row r="3097">
          <cell r="AD3097" t="str"/>
          <cell r="AE3097" t="str"/>
          <cell r="AF3097">
            <v>0</v>
          </cell>
          <cell r="AG3097">
            <v>0</v>
          </cell>
        </row>
        <row r="3098">
          <cell r="AD3098" t="str"/>
          <cell r="AE3098" t="str"/>
          <cell r="AF3098">
            <v>0</v>
          </cell>
          <cell r="AG3098">
            <v>0</v>
          </cell>
        </row>
        <row r="3099">
          <cell r="AD3099" t="str"/>
          <cell r="AE3099" t="str"/>
          <cell r="AF3099">
            <v>0</v>
          </cell>
          <cell r="AG3099">
            <v>0</v>
          </cell>
        </row>
        <row r="3100">
          <cell r="AD3100" t="str"/>
          <cell r="AE3100" t="str"/>
          <cell r="AF3100">
            <v>0</v>
          </cell>
          <cell r="AG3100">
            <v>0</v>
          </cell>
        </row>
        <row r="3101">
          <cell r="AD3101" t="str"/>
          <cell r="AE3101" t="str"/>
          <cell r="AF3101">
            <v>0</v>
          </cell>
          <cell r="AG3101">
            <v>0</v>
          </cell>
        </row>
        <row r="3102">
          <cell r="AD3102" t="str"/>
          <cell r="AE3102" t="str"/>
          <cell r="AF3102">
            <v>0</v>
          </cell>
          <cell r="AG3102">
            <v>0</v>
          </cell>
        </row>
        <row r="3103">
          <cell r="AD3103" t="str"/>
          <cell r="AE3103" t="str"/>
          <cell r="AF3103">
            <v>0</v>
          </cell>
          <cell r="AG3103">
            <v>0</v>
          </cell>
        </row>
        <row r="3104">
          <cell r="AD3104" t="str"/>
          <cell r="AE3104" t="str"/>
          <cell r="AF3104">
            <v>0</v>
          </cell>
          <cell r="AG3104">
            <v>0</v>
          </cell>
        </row>
        <row r="3105">
          <cell r="AD3105" t="str"/>
          <cell r="AE3105" t="str"/>
          <cell r="AF3105">
            <v>0</v>
          </cell>
          <cell r="AG3105">
            <v>0</v>
          </cell>
        </row>
        <row r="3106">
          <cell r="AD3106" t="str"/>
          <cell r="AE3106" t="str"/>
          <cell r="AF3106">
            <v>0</v>
          </cell>
          <cell r="AG3106">
            <v>0</v>
          </cell>
        </row>
        <row r="3107">
          <cell r="AD3107" t="str"/>
          <cell r="AE3107" t="str"/>
          <cell r="AF3107">
            <v>0</v>
          </cell>
          <cell r="AG3107">
            <v>0</v>
          </cell>
        </row>
        <row r="3108">
          <cell r="AD3108" t="str"/>
          <cell r="AE3108" t="str"/>
          <cell r="AF3108">
            <v>0</v>
          </cell>
          <cell r="AG3108">
            <v>0</v>
          </cell>
        </row>
        <row r="3109">
          <cell r="AD3109" t="str"/>
          <cell r="AE3109" t="str"/>
          <cell r="AF3109">
            <v>0</v>
          </cell>
          <cell r="AG3109">
            <v>0</v>
          </cell>
        </row>
        <row r="3110">
          <cell r="AD3110" t="str"/>
          <cell r="AE3110" t="str"/>
          <cell r="AF3110">
            <v>0</v>
          </cell>
          <cell r="AG3110">
            <v>0</v>
          </cell>
        </row>
        <row r="3111">
          <cell r="AD3111" t="str"/>
          <cell r="AE3111" t="str"/>
          <cell r="AF3111">
            <v>0</v>
          </cell>
          <cell r="AG3111">
            <v>0</v>
          </cell>
        </row>
        <row r="3112">
          <cell r="AD3112" t="str"/>
          <cell r="AE3112" t="str"/>
          <cell r="AF3112">
            <v>0</v>
          </cell>
          <cell r="AG3112">
            <v>0</v>
          </cell>
        </row>
        <row r="3113">
          <cell r="AD3113" t="str"/>
          <cell r="AE3113" t="str"/>
          <cell r="AF3113">
            <v>0</v>
          </cell>
          <cell r="AG3113">
            <v>0</v>
          </cell>
        </row>
        <row r="3114">
          <cell r="AD3114" t="str"/>
          <cell r="AE3114" t="str"/>
          <cell r="AF3114">
            <v>0</v>
          </cell>
          <cell r="AG3114">
            <v>0</v>
          </cell>
        </row>
        <row r="3115">
          <cell r="AD3115" t="str"/>
          <cell r="AE3115" t="str"/>
          <cell r="AF3115">
            <v>0</v>
          </cell>
          <cell r="AG3115">
            <v>0</v>
          </cell>
        </row>
        <row r="3116">
          <cell r="AD3116" t="str"/>
          <cell r="AE3116" t="str"/>
          <cell r="AF3116">
            <v>0</v>
          </cell>
          <cell r="AG3116">
            <v>0</v>
          </cell>
        </row>
        <row r="3117">
          <cell r="AD3117" t="str"/>
          <cell r="AE3117" t="str"/>
          <cell r="AF3117">
            <v>0</v>
          </cell>
          <cell r="AG3117">
            <v>0</v>
          </cell>
        </row>
        <row r="3118">
          <cell r="AD3118" t="str"/>
          <cell r="AE3118" t="str"/>
          <cell r="AF3118">
            <v>0</v>
          </cell>
          <cell r="AG3118">
            <v>0</v>
          </cell>
        </row>
        <row r="3119">
          <cell r="AD3119" t="str"/>
          <cell r="AE3119" t="str"/>
          <cell r="AF3119">
            <v>0</v>
          </cell>
          <cell r="AG3119">
            <v>0</v>
          </cell>
        </row>
        <row r="3120">
          <cell r="AD3120" t="str"/>
          <cell r="AE3120" t="str"/>
          <cell r="AF3120">
            <v>0</v>
          </cell>
          <cell r="AG3120">
            <v>0</v>
          </cell>
        </row>
        <row r="3121">
          <cell r="AD3121" t="str"/>
          <cell r="AE3121" t="str"/>
          <cell r="AF3121">
            <v>0</v>
          </cell>
          <cell r="AG3121">
            <v>0</v>
          </cell>
        </row>
        <row r="3122">
          <cell r="AD3122" t="str"/>
          <cell r="AE3122" t="str"/>
          <cell r="AF3122">
            <v>0</v>
          </cell>
          <cell r="AG3122">
            <v>0</v>
          </cell>
        </row>
        <row r="3123">
          <cell r="AD3123" t="str"/>
          <cell r="AE3123" t="str"/>
          <cell r="AF3123">
            <v>0</v>
          </cell>
          <cell r="AG3123">
            <v>0</v>
          </cell>
        </row>
        <row r="3124">
          <cell r="AD3124" t="str"/>
          <cell r="AE3124" t="str"/>
          <cell r="AF3124">
            <v>0</v>
          </cell>
          <cell r="AG3124">
            <v>0</v>
          </cell>
        </row>
        <row r="3125">
          <cell r="AD3125" t="str"/>
          <cell r="AE3125" t="str"/>
          <cell r="AF3125">
            <v>0</v>
          </cell>
          <cell r="AG3125">
            <v>0</v>
          </cell>
        </row>
        <row r="3126">
          <cell r="AD3126" t="str"/>
          <cell r="AE3126" t="str"/>
          <cell r="AF3126">
            <v>0</v>
          </cell>
          <cell r="AG3126">
            <v>0</v>
          </cell>
        </row>
        <row r="3127">
          <cell r="AD3127" t="str"/>
          <cell r="AE3127" t="str"/>
          <cell r="AF3127">
            <v>0</v>
          </cell>
          <cell r="AG3127">
            <v>0</v>
          </cell>
        </row>
        <row r="3128">
          <cell r="AD3128" t="str"/>
          <cell r="AE3128" t="str"/>
          <cell r="AF3128">
            <v>0</v>
          </cell>
          <cell r="AG3128">
            <v>0</v>
          </cell>
        </row>
        <row r="3129">
          <cell r="AD3129" t="str"/>
          <cell r="AE3129" t="str"/>
          <cell r="AF3129">
            <v>0</v>
          </cell>
          <cell r="AG3129">
            <v>0</v>
          </cell>
        </row>
        <row r="3130">
          <cell r="AD3130" t="str"/>
          <cell r="AE3130" t="str"/>
          <cell r="AF3130">
            <v>0</v>
          </cell>
          <cell r="AG3130">
            <v>0</v>
          </cell>
        </row>
        <row r="3131">
          <cell r="AD3131" t="str"/>
          <cell r="AE3131" t="str"/>
          <cell r="AF3131">
            <v>0</v>
          </cell>
          <cell r="AG3131">
            <v>0</v>
          </cell>
        </row>
        <row r="3132">
          <cell r="AD3132" t="str"/>
          <cell r="AE3132" t="str"/>
          <cell r="AF3132">
            <v>0</v>
          </cell>
          <cell r="AG3132">
            <v>0</v>
          </cell>
        </row>
        <row r="3133">
          <cell r="AD3133" t="str"/>
          <cell r="AE3133" t="str"/>
          <cell r="AF3133">
            <v>0</v>
          </cell>
          <cell r="AG3133">
            <v>0</v>
          </cell>
        </row>
        <row r="3134">
          <cell r="AD3134" t="str"/>
          <cell r="AE3134" t="str"/>
          <cell r="AF3134">
            <v>0</v>
          </cell>
          <cell r="AG3134">
            <v>0</v>
          </cell>
        </row>
        <row r="3135">
          <cell r="AD3135" t="str"/>
          <cell r="AE3135" t="str"/>
          <cell r="AF3135">
            <v>0</v>
          </cell>
          <cell r="AG3135">
            <v>0</v>
          </cell>
        </row>
        <row r="3136">
          <cell r="AD3136" t="str"/>
          <cell r="AE3136" t="str"/>
          <cell r="AF3136">
            <v>0</v>
          </cell>
          <cell r="AG3136">
            <v>0</v>
          </cell>
        </row>
        <row r="3137">
          <cell r="AD3137" t="str"/>
          <cell r="AE3137" t="str"/>
          <cell r="AF3137">
            <v>0</v>
          </cell>
          <cell r="AG3137">
            <v>0</v>
          </cell>
        </row>
        <row r="3138">
          <cell r="AD3138" t="str"/>
          <cell r="AE3138" t="str"/>
          <cell r="AF3138">
            <v>0</v>
          </cell>
          <cell r="AG3138">
            <v>0</v>
          </cell>
        </row>
        <row r="3139">
          <cell r="AD3139" t="str"/>
          <cell r="AE3139" t="str"/>
          <cell r="AF3139">
            <v>0</v>
          </cell>
          <cell r="AG3139">
            <v>0</v>
          </cell>
        </row>
        <row r="3140">
          <cell r="AD3140" t="str"/>
          <cell r="AE3140" t="str"/>
          <cell r="AF3140">
            <v>0</v>
          </cell>
          <cell r="AG3140">
            <v>0</v>
          </cell>
        </row>
        <row r="3141">
          <cell r="AD3141" t="str"/>
          <cell r="AE3141" t="str"/>
          <cell r="AF3141">
            <v>0</v>
          </cell>
          <cell r="AG3141">
            <v>0</v>
          </cell>
        </row>
        <row r="3142">
          <cell r="AD3142" t="str"/>
          <cell r="AE3142" t="str"/>
          <cell r="AF3142">
            <v>0</v>
          </cell>
          <cell r="AG3142">
            <v>0</v>
          </cell>
        </row>
        <row r="3143">
          <cell r="AD3143" t="str"/>
          <cell r="AE3143" t="str"/>
          <cell r="AF3143">
            <v>0</v>
          </cell>
          <cell r="AG3143">
            <v>0</v>
          </cell>
        </row>
        <row r="3144">
          <cell r="AD3144" t="str"/>
          <cell r="AE3144" t="str"/>
          <cell r="AF3144">
            <v>0</v>
          </cell>
          <cell r="AG3144">
            <v>0</v>
          </cell>
        </row>
        <row r="3145">
          <cell r="AD3145" t="str"/>
          <cell r="AE3145" t="str"/>
          <cell r="AF3145">
            <v>0</v>
          </cell>
          <cell r="AG3145">
            <v>0</v>
          </cell>
        </row>
        <row r="3146">
          <cell r="AD3146" t="str"/>
          <cell r="AE3146" t="str"/>
          <cell r="AF3146">
            <v>0</v>
          </cell>
          <cell r="AG3146">
            <v>0</v>
          </cell>
        </row>
        <row r="3147">
          <cell r="AD3147" t="str"/>
          <cell r="AE3147" t="str"/>
          <cell r="AF3147">
            <v>0</v>
          </cell>
          <cell r="AG3147">
            <v>0</v>
          </cell>
        </row>
        <row r="3148">
          <cell r="AD3148" t="str"/>
          <cell r="AE3148" t="str"/>
          <cell r="AF3148">
            <v>0</v>
          </cell>
          <cell r="AG3148">
            <v>0</v>
          </cell>
        </row>
        <row r="3149">
          <cell r="AD3149" t="str"/>
          <cell r="AE3149" t="str"/>
          <cell r="AF3149">
            <v>0</v>
          </cell>
          <cell r="AG3149">
            <v>0</v>
          </cell>
        </row>
        <row r="3150">
          <cell r="AD3150" t="str"/>
          <cell r="AE3150" t="str"/>
          <cell r="AF3150">
            <v>0</v>
          </cell>
          <cell r="AG3150">
            <v>0</v>
          </cell>
        </row>
        <row r="3151">
          <cell r="AD3151" t="str"/>
          <cell r="AE3151" t="str"/>
          <cell r="AF3151">
            <v>0</v>
          </cell>
          <cell r="AG3151">
            <v>0</v>
          </cell>
        </row>
        <row r="3152">
          <cell r="AD3152" t="str"/>
          <cell r="AE3152" t="str"/>
          <cell r="AF3152">
            <v>0</v>
          </cell>
          <cell r="AG3152">
            <v>0</v>
          </cell>
        </row>
        <row r="3153">
          <cell r="AD3153" t="str"/>
          <cell r="AE3153" t="str"/>
          <cell r="AF3153">
            <v>0</v>
          </cell>
          <cell r="AG3153">
            <v>0</v>
          </cell>
        </row>
        <row r="3154">
          <cell r="AD3154" t="str"/>
          <cell r="AE3154" t="str"/>
          <cell r="AF3154">
            <v>0</v>
          </cell>
          <cell r="AG3154">
            <v>0</v>
          </cell>
        </row>
        <row r="3155">
          <cell r="AD3155" t="str"/>
          <cell r="AE3155" t="str"/>
          <cell r="AF3155">
            <v>0</v>
          </cell>
          <cell r="AG3155">
            <v>0</v>
          </cell>
        </row>
        <row r="3156">
          <cell r="AD3156" t="str"/>
          <cell r="AE3156" t="str"/>
          <cell r="AF3156">
            <v>0</v>
          </cell>
          <cell r="AG3156">
            <v>0</v>
          </cell>
        </row>
        <row r="3157">
          <cell r="AD3157" t="str"/>
          <cell r="AE3157" t="str"/>
          <cell r="AF3157">
            <v>0</v>
          </cell>
          <cell r="AG3157">
            <v>0</v>
          </cell>
        </row>
        <row r="3158">
          <cell r="AD3158" t="str"/>
          <cell r="AE3158" t="str"/>
          <cell r="AF3158">
            <v>0</v>
          </cell>
          <cell r="AG3158">
            <v>0</v>
          </cell>
        </row>
        <row r="3159">
          <cell r="AD3159" t="str"/>
          <cell r="AE3159" t="str"/>
          <cell r="AF3159">
            <v>0</v>
          </cell>
          <cell r="AG3159">
            <v>0</v>
          </cell>
        </row>
        <row r="3160">
          <cell r="AD3160" t="str"/>
          <cell r="AE3160" t="str"/>
          <cell r="AF3160">
            <v>0</v>
          </cell>
          <cell r="AG3160">
            <v>0</v>
          </cell>
        </row>
        <row r="3161">
          <cell r="AD3161" t="str"/>
          <cell r="AE3161" t="str"/>
          <cell r="AF3161">
            <v>0</v>
          </cell>
          <cell r="AG3161">
            <v>0</v>
          </cell>
        </row>
        <row r="3162">
          <cell r="AD3162" t="str"/>
          <cell r="AE3162" t="str"/>
          <cell r="AF3162">
            <v>0</v>
          </cell>
          <cell r="AG3162">
            <v>0</v>
          </cell>
        </row>
        <row r="3163">
          <cell r="AD3163" t="str"/>
          <cell r="AE3163" t="str"/>
          <cell r="AF3163">
            <v>0</v>
          </cell>
          <cell r="AG3163">
            <v>0</v>
          </cell>
        </row>
        <row r="3164">
          <cell r="AD3164" t="str"/>
          <cell r="AE3164" t="str"/>
          <cell r="AF3164">
            <v>0</v>
          </cell>
          <cell r="AG3164">
            <v>0</v>
          </cell>
        </row>
        <row r="3165">
          <cell r="AD3165" t="str"/>
          <cell r="AE3165" t="str"/>
          <cell r="AF3165">
            <v>0</v>
          </cell>
          <cell r="AG3165">
            <v>0</v>
          </cell>
        </row>
        <row r="3166">
          <cell r="AD3166" t="str"/>
          <cell r="AE3166" t="str"/>
          <cell r="AF3166">
            <v>0</v>
          </cell>
          <cell r="AG3166">
            <v>0</v>
          </cell>
        </row>
        <row r="3167">
          <cell r="AD3167" t="str"/>
          <cell r="AE3167" t="str"/>
          <cell r="AF3167">
            <v>0</v>
          </cell>
          <cell r="AG3167">
            <v>0</v>
          </cell>
        </row>
        <row r="3168">
          <cell r="AD3168" t="str"/>
          <cell r="AE3168" t="str"/>
          <cell r="AF3168">
            <v>0</v>
          </cell>
          <cell r="AG3168">
            <v>0</v>
          </cell>
        </row>
        <row r="3169">
          <cell r="AD3169" t="str"/>
          <cell r="AE3169" t="str"/>
          <cell r="AF3169">
            <v>0</v>
          </cell>
          <cell r="AG3169">
            <v>0</v>
          </cell>
        </row>
        <row r="3170">
          <cell r="AD3170" t="str"/>
          <cell r="AE3170" t="str"/>
          <cell r="AF3170">
            <v>0</v>
          </cell>
          <cell r="AG3170">
            <v>0</v>
          </cell>
        </row>
        <row r="3171">
          <cell r="AD3171" t="str"/>
          <cell r="AE3171" t="str"/>
          <cell r="AF3171">
            <v>0</v>
          </cell>
          <cell r="AG3171">
            <v>0</v>
          </cell>
        </row>
        <row r="3172">
          <cell r="AD3172" t="str"/>
          <cell r="AE3172" t="str"/>
          <cell r="AF3172">
            <v>0</v>
          </cell>
          <cell r="AG3172">
            <v>0</v>
          </cell>
        </row>
        <row r="3173">
          <cell r="AD3173" t="str"/>
          <cell r="AE3173" t="str"/>
          <cell r="AF3173">
            <v>0</v>
          </cell>
          <cell r="AG3173">
            <v>0</v>
          </cell>
        </row>
        <row r="3174">
          <cell r="AD3174" t="str"/>
          <cell r="AE3174" t="str"/>
          <cell r="AF3174">
            <v>0</v>
          </cell>
          <cell r="AG3174">
            <v>0</v>
          </cell>
        </row>
        <row r="3175">
          <cell r="AD3175" t="str"/>
          <cell r="AE3175" t="str"/>
          <cell r="AF3175">
            <v>0</v>
          </cell>
          <cell r="AG3175">
            <v>0</v>
          </cell>
        </row>
        <row r="3176">
          <cell r="AD3176" t="str"/>
          <cell r="AE3176" t="str"/>
          <cell r="AF3176">
            <v>0</v>
          </cell>
          <cell r="AG3176">
            <v>0</v>
          </cell>
        </row>
        <row r="3177">
          <cell r="AD3177" t="str"/>
          <cell r="AE3177" t="str"/>
          <cell r="AF3177">
            <v>0</v>
          </cell>
          <cell r="AG3177">
            <v>0</v>
          </cell>
        </row>
        <row r="3178">
          <cell r="AD3178" t="str"/>
          <cell r="AE3178" t="str"/>
          <cell r="AF3178">
            <v>0</v>
          </cell>
          <cell r="AG3178">
            <v>0</v>
          </cell>
        </row>
        <row r="3179">
          <cell r="AD3179" t="str"/>
          <cell r="AE3179" t="str"/>
          <cell r="AF3179">
            <v>0</v>
          </cell>
          <cell r="AG3179">
            <v>0</v>
          </cell>
        </row>
        <row r="3180">
          <cell r="AD3180" t="str"/>
          <cell r="AE3180" t="str"/>
          <cell r="AF3180">
            <v>0</v>
          </cell>
          <cell r="AG3180">
            <v>0</v>
          </cell>
        </row>
        <row r="3181">
          <cell r="AD3181" t="str"/>
          <cell r="AE3181" t="str"/>
          <cell r="AF3181">
            <v>0</v>
          </cell>
          <cell r="AG3181">
            <v>0</v>
          </cell>
        </row>
        <row r="3182">
          <cell r="AD3182" t="str"/>
          <cell r="AE3182" t="str"/>
          <cell r="AF3182">
            <v>0</v>
          </cell>
          <cell r="AG3182">
            <v>0</v>
          </cell>
        </row>
        <row r="3183">
          <cell r="AD3183" t="str"/>
          <cell r="AE3183" t="str"/>
          <cell r="AF3183">
            <v>0</v>
          </cell>
          <cell r="AG3183">
            <v>0</v>
          </cell>
        </row>
        <row r="3184">
          <cell r="AD3184" t="str"/>
          <cell r="AE3184" t="str"/>
          <cell r="AF3184">
            <v>0</v>
          </cell>
          <cell r="AG3184">
            <v>0</v>
          </cell>
        </row>
        <row r="3185">
          <cell r="AD3185" t="str"/>
          <cell r="AE3185" t="str"/>
          <cell r="AF3185">
            <v>0</v>
          </cell>
          <cell r="AG3185">
            <v>0</v>
          </cell>
        </row>
        <row r="3186">
          <cell r="AD3186" t="str"/>
          <cell r="AE3186" t="str"/>
          <cell r="AF3186">
            <v>0</v>
          </cell>
          <cell r="AG3186">
            <v>0</v>
          </cell>
        </row>
        <row r="3187">
          <cell r="AD3187" t="str"/>
          <cell r="AE3187" t="str"/>
          <cell r="AF3187">
            <v>0</v>
          </cell>
          <cell r="AG3187">
            <v>0</v>
          </cell>
        </row>
        <row r="3188">
          <cell r="AD3188" t="str"/>
          <cell r="AE3188" t="str"/>
          <cell r="AF3188">
            <v>0</v>
          </cell>
          <cell r="AG3188">
            <v>0</v>
          </cell>
        </row>
        <row r="3189">
          <cell r="AD3189" t="str"/>
          <cell r="AE3189" t="str"/>
          <cell r="AF3189">
            <v>0</v>
          </cell>
          <cell r="AG3189">
            <v>0</v>
          </cell>
        </row>
        <row r="3190">
          <cell r="AD3190" t="str"/>
          <cell r="AE3190" t="str"/>
          <cell r="AF3190">
            <v>0</v>
          </cell>
          <cell r="AG3190">
            <v>0</v>
          </cell>
        </row>
        <row r="3191">
          <cell r="AD3191" t="str"/>
          <cell r="AE3191" t="str"/>
          <cell r="AF3191">
            <v>0</v>
          </cell>
          <cell r="AG3191">
            <v>0</v>
          </cell>
        </row>
        <row r="3192">
          <cell r="AD3192" t="str"/>
          <cell r="AE3192" t="str"/>
          <cell r="AF3192">
            <v>0</v>
          </cell>
          <cell r="AG3192">
            <v>0</v>
          </cell>
        </row>
        <row r="3193">
          <cell r="AD3193" t="str"/>
          <cell r="AE3193" t="str"/>
          <cell r="AF3193">
            <v>0</v>
          </cell>
          <cell r="AG3193">
            <v>0</v>
          </cell>
        </row>
        <row r="3194">
          <cell r="AD3194" t="str"/>
          <cell r="AE3194" t="str"/>
          <cell r="AF3194">
            <v>0</v>
          </cell>
          <cell r="AG3194">
            <v>0</v>
          </cell>
        </row>
        <row r="3195">
          <cell r="AD3195" t="str"/>
          <cell r="AE3195" t="str"/>
          <cell r="AF3195">
            <v>0</v>
          </cell>
          <cell r="AG3195">
            <v>0</v>
          </cell>
        </row>
        <row r="3196">
          <cell r="AD3196" t="str"/>
          <cell r="AE3196" t="str"/>
          <cell r="AF3196">
            <v>0</v>
          </cell>
          <cell r="AG3196">
            <v>0</v>
          </cell>
        </row>
        <row r="3197">
          <cell r="AD3197" t="str"/>
          <cell r="AE3197" t="str"/>
          <cell r="AF3197">
            <v>0</v>
          </cell>
          <cell r="AG3197">
            <v>0</v>
          </cell>
        </row>
        <row r="3198">
          <cell r="AD3198" t="str"/>
          <cell r="AE3198" t="str"/>
          <cell r="AF3198">
            <v>0</v>
          </cell>
          <cell r="AG3198">
            <v>0</v>
          </cell>
        </row>
        <row r="3199">
          <cell r="AD3199" t="str"/>
          <cell r="AE3199" t="str"/>
          <cell r="AF3199">
            <v>0</v>
          </cell>
          <cell r="AG3199">
            <v>0</v>
          </cell>
        </row>
        <row r="3200">
          <cell r="AD3200" t="str"/>
          <cell r="AE3200" t="str"/>
          <cell r="AF3200">
            <v>0</v>
          </cell>
          <cell r="AG3200">
            <v>0</v>
          </cell>
        </row>
        <row r="3201">
          <cell r="AD3201" t="str"/>
          <cell r="AE3201" t="str"/>
          <cell r="AF3201">
            <v>0</v>
          </cell>
          <cell r="AG3201">
            <v>0</v>
          </cell>
        </row>
        <row r="3202">
          <cell r="AD3202" t="str"/>
          <cell r="AE3202" t="str"/>
          <cell r="AF3202">
            <v>0</v>
          </cell>
          <cell r="AG3202">
            <v>0</v>
          </cell>
        </row>
        <row r="3203">
          <cell r="AD3203" t="str"/>
          <cell r="AE3203" t="str"/>
          <cell r="AF3203">
            <v>0</v>
          </cell>
          <cell r="AG3203">
            <v>0</v>
          </cell>
        </row>
        <row r="3204">
          <cell r="AD3204" t="str"/>
          <cell r="AE3204" t="str"/>
          <cell r="AF3204">
            <v>0</v>
          </cell>
          <cell r="AG3204">
            <v>0</v>
          </cell>
        </row>
        <row r="3205">
          <cell r="AD3205" t="str"/>
          <cell r="AE3205" t="str"/>
          <cell r="AF3205">
            <v>0</v>
          </cell>
          <cell r="AG3205">
            <v>0</v>
          </cell>
        </row>
        <row r="3206">
          <cell r="AD3206" t="str"/>
          <cell r="AE3206" t="str"/>
          <cell r="AF3206">
            <v>0</v>
          </cell>
          <cell r="AG3206">
            <v>0</v>
          </cell>
        </row>
        <row r="3207">
          <cell r="AD3207" t="str"/>
          <cell r="AE3207" t="str"/>
          <cell r="AF3207">
            <v>0</v>
          </cell>
          <cell r="AG3207">
            <v>0</v>
          </cell>
        </row>
        <row r="3208">
          <cell r="AD3208" t="str"/>
          <cell r="AE3208" t="str"/>
          <cell r="AF3208">
            <v>0</v>
          </cell>
          <cell r="AG3208">
            <v>0</v>
          </cell>
        </row>
        <row r="3209">
          <cell r="AD3209" t="str"/>
          <cell r="AE3209" t="str"/>
          <cell r="AF3209">
            <v>0</v>
          </cell>
          <cell r="AG3209">
            <v>0</v>
          </cell>
        </row>
        <row r="3210">
          <cell r="AD3210" t="str"/>
          <cell r="AE3210" t="str"/>
          <cell r="AF3210">
            <v>0</v>
          </cell>
          <cell r="AG3210">
            <v>0</v>
          </cell>
        </row>
        <row r="3211">
          <cell r="AD3211" t="str"/>
          <cell r="AE3211" t="str"/>
          <cell r="AF3211">
            <v>0</v>
          </cell>
          <cell r="AG3211">
            <v>0</v>
          </cell>
        </row>
        <row r="3212">
          <cell r="AD3212" t="str"/>
          <cell r="AE3212" t="str"/>
          <cell r="AF3212">
            <v>0</v>
          </cell>
          <cell r="AG3212">
            <v>0</v>
          </cell>
        </row>
        <row r="3213">
          <cell r="AD3213" t="str"/>
          <cell r="AE3213" t="str"/>
          <cell r="AF3213">
            <v>0</v>
          </cell>
          <cell r="AG3213">
            <v>0</v>
          </cell>
        </row>
        <row r="3214">
          <cell r="AD3214" t="str"/>
          <cell r="AE3214" t="str"/>
          <cell r="AF3214">
            <v>0</v>
          </cell>
          <cell r="AG3214">
            <v>0</v>
          </cell>
        </row>
        <row r="3215">
          <cell r="AD3215" t="str"/>
          <cell r="AE3215" t="str"/>
          <cell r="AF3215">
            <v>0</v>
          </cell>
          <cell r="AG3215">
            <v>0</v>
          </cell>
        </row>
        <row r="3216">
          <cell r="AD3216" t="str"/>
          <cell r="AE3216" t="str"/>
          <cell r="AF3216">
            <v>0</v>
          </cell>
          <cell r="AG3216">
            <v>0</v>
          </cell>
        </row>
        <row r="3217">
          <cell r="AD3217" t="str"/>
          <cell r="AE3217" t="str"/>
          <cell r="AF3217">
            <v>0</v>
          </cell>
          <cell r="AG3217">
            <v>0</v>
          </cell>
        </row>
        <row r="3218">
          <cell r="AD3218" t="str"/>
          <cell r="AE3218" t="str"/>
          <cell r="AF3218">
            <v>0</v>
          </cell>
          <cell r="AG3218">
            <v>0</v>
          </cell>
        </row>
        <row r="3219">
          <cell r="AD3219" t="str"/>
          <cell r="AE3219" t="str"/>
          <cell r="AF3219">
            <v>0</v>
          </cell>
          <cell r="AG3219">
            <v>0</v>
          </cell>
        </row>
        <row r="3220">
          <cell r="AD3220" t="str"/>
          <cell r="AE3220" t="str"/>
          <cell r="AF3220">
            <v>0</v>
          </cell>
          <cell r="AG3220">
            <v>0</v>
          </cell>
        </row>
        <row r="3221">
          <cell r="AD3221" t="str"/>
          <cell r="AE3221" t="str"/>
          <cell r="AF3221">
            <v>0</v>
          </cell>
          <cell r="AG3221">
            <v>0</v>
          </cell>
        </row>
        <row r="3222">
          <cell r="AD3222" t="str"/>
          <cell r="AE3222" t="str"/>
          <cell r="AF3222">
            <v>0</v>
          </cell>
          <cell r="AG3222">
            <v>0</v>
          </cell>
        </row>
        <row r="3223">
          <cell r="AD3223" t="str"/>
          <cell r="AE3223" t="str"/>
          <cell r="AF3223">
            <v>0</v>
          </cell>
          <cell r="AG3223">
            <v>0</v>
          </cell>
        </row>
        <row r="3224">
          <cell r="AD3224" t="str"/>
          <cell r="AE3224" t="str"/>
          <cell r="AF3224">
            <v>0</v>
          </cell>
          <cell r="AG3224">
            <v>0</v>
          </cell>
        </row>
        <row r="3225">
          <cell r="AD3225" t="str"/>
          <cell r="AE3225" t="str"/>
          <cell r="AF3225">
            <v>0</v>
          </cell>
          <cell r="AG3225">
            <v>0</v>
          </cell>
        </row>
        <row r="3226">
          <cell r="AD3226" t="str"/>
          <cell r="AE3226" t="str"/>
          <cell r="AF3226">
            <v>0</v>
          </cell>
          <cell r="AG3226">
            <v>0</v>
          </cell>
        </row>
        <row r="3227">
          <cell r="AD3227" t="str"/>
          <cell r="AE3227" t="str"/>
          <cell r="AF3227">
            <v>0</v>
          </cell>
          <cell r="AG3227">
            <v>0</v>
          </cell>
        </row>
        <row r="3228">
          <cell r="AD3228" t="str"/>
          <cell r="AE3228" t="str"/>
          <cell r="AF3228">
            <v>0</v>
          </cell>
          <cell r="AG3228">
            <v>0</v>
          </cell>
        </row>
        <row r="3229">
          <cell r="AD3229" t="str"/>
          <cell r="AE3229" t="str"/>
          <cell r="AF3229">
            <v>0</v>
          </cell>
          <cell r="AG3229">
            <v>0</v>
          </cell>
        </row>
        <row r="3230">
          <cell r="AD3230" t="str"/>
          <cell r="AE3230" t="str"/>
          <cell r="AF3230">
            <v>0</v>
          </cell>
          <cell r="AG3230">
            <v>0</v>
          </cell>
        </row>
        <row r="3231">
          <cell r="AD3231" t="str"/>
          <cell r="AE3231" t="str"/>
          <cell r="AF3231">
            <v>0</v>
          </cell>
          <cell r="AG3231">
            <v>0</v>
          </cell>
        </row>
        <row r="3232">
          <cell r="AD3232" t="str"/>
          <cell r="AE3232" t="str"/>
          <cell r="AF3232">
            <v>0</v>
          </cell>
          <cell r="AG3232">
            <v>0</v>
          </cell>
        </row>
        <row r="3233">
          <cell r="AD3233" t="str"/>
          <cell r="AE3233" t="str"/>
          <cell r="AF3233">
            <v>0</v>
          </cell>
          <cell r="AG3233">
            <v>0</v>
          </cell>
        </row>
        <row r="3234">
          <cell r="AD3234" t="str"/>
          <cell r="AE3234" t="str"/>
          <cell r="AF3234">
            <v>0</v>
          </cell>
          <cell r="AG3234">
            <v>0</v>
          </cell>
        </row>
        <row r="3235">
          <cell r="AD3235" t="str"/>
          <cell r="AE3235" t="str"/>
          <cell r="AF3235">
            <v>0</v>
          </cell>
          <cell r="AG3235">
            <v>0</v>
          </cell>
        </row>
        <row r="3236">
          <cell r="AD3236" t="str"/>
          <cell r="AE3236" t="str"/>
          <cell r="AF3236">
            <v>0</v>
          </cell>
          <cell r="AG3236">
            <v>0</v>
          </cell>
        </row>
        <row r="3237">
          <cell r="AD3237" t="str"/>
          <cell r="AE3237" t="str"/>
          <cell r="AF3237">
            <v>0</v>
          </cell>
          <cell r="AG3237">
            <v>0</v>
          </cell>
        </row>
        <row r="3238">
          <cell r="AD3238" t="str"/>
          <cell r="AE3238" t="str"/>
          <cell r="AF3238">
            <v>0</v>
          </cell>
          <cell r="AG3238">
            <v>0</v>
          </cell>
        </row>
        <row r="3239">
          <cell r="AD3239" t="str"/>
          <cell r="AE3239" t="str"/>
          <cell r="AF3239">
            <v>0</v>
          </cell>
          <cell r="AG3239">
            <v>0</v>
          </cell>
        </row>
        <row r="3240">
          <cell r="AD3240" t="str"/>
          <cell r="AE3240" t="str"/>
          <cell r="AF3240">
            <v>0</v>
          </cell>
          <cell r="AG3240">
            <v>0</v>
          </cell>
        </row>
        <row r="3241">
          <cell r="AD3241" t="str"/>
          <cell r="AE3241" t="str"/>
          <cell r="AF3241">
            <v>0</v>
          </cell>
          <cell r="AG3241">
            <v>0</v>
          </cell>
        </row>
        <row r="3242">
          <cell r="AD3242" t="str"/>
          <cell r="AE3242" t="str"/>
          <cell r="AF3242">
            <v>0</v>
          </cell>
          <cell r="AG3242">
            <v>0</v>
          </cell>
        </row>
        <row r="3243">
          <cell r="AD3243" t="str"/>
          <cell r="AE3243" t="str"/>
          <cell r="AF3243">
            <v>0</v>
          </cell>
          <cell r="AG3243">
            <v>0</v>
          </cell>
        </row>
        <row r="3244">
          <cell r="AD3244" t="str"/>
          <cell r="AE3244" t="str"/>
          <cell r="AF3244">
            <v>0</v>
          </cell>
          <cell r="AG3244">
            <v>0</v>
          </cell>
        </row>
        <row r="3245">
          <cell r="AD3245" t="str"/>
          <cell r="AE3245" t="str"/>
          <cell r="AF3245">
            <v>0</v>
          </cell>
          <cell r="AG3245">
            <v>0</v>
          </cell>
        </row>
        <row r="3246">
          <cell r="AD3246" t="str"/>
          <cell r="AE3246" t="str"/>
          <cell r="AF3246">
            <v>0</v>
          </cell>
          <cell r="AG3246">
            <v>0</v>
          </cell>
        </row>
        <row r="3247">
          <cell r="AD3247" t="str"/>
          <cell r="AE3247" t="str"/>
          <cell r="AF3247">
            <v>0</v>
          </cell>
          <cell r="AG3247">
            <v>0</v>
          </cell>
        </row>
        <row r="3248">
          <cell r="AD3248" t="str"/>
          <cell r="AE3248" t="str"/>
          <cell r="AF3248">
            <v>0</v>
          </cell>
          <cell r="AG3248">
            <v>0</v>
          </cell>
        </row>
        <row r="3249">
          <cell r="AD3249" t="str"/>
          <cell r="AE3249" t="str"/>
          <cell r="AF3249">
            <v>0</v>
          </cell>
          <cell r="AG3249">
            <v>0</v>
          </cell>
        </row>
        <row r="3250">
          <cell r="AD3250" t="str"/>
          <cell r="AE3250" t="str"/>
          <cell r="AF3250">
            <v>0</v>
          </cell>
          <cell r="AG3250">
            <v>0</v>
          </cell>
        </row>
        <row r="3251">
          <cell r="AD3251" t="str"/>
          <cell r="AE3251" t="str"/>
          <cell r="AF3251">
            <v>0</v>
          </cell>
          <cell r="AG3251">
            <v>0</v>
          </cell>
        </row>
        <row r="3252">
          <cell r="AD3252" t="str"/>
          <cell r="AE3252" t="str"/>
          <cell r="AF3252">
            <v>0</v>
          </cell>
          <cell r="AG3252">
            <v>0</v>
          </cell>
        </row>
        <row r="3253">
          <cell r="AD3253" t="str"/>
          <cell r="AE3253" t="str"/>
          <cell r="AF3253">
            <v>0</v>
          </cell>
          <cell r="AG3253">
            <v>0</v>
          </cell>
        </row>
        <row r="3254">
          <cell r="AD3254" t="str"/>
          <cell r="AE3254" t="str"/>
          <cell r="AF3254">
            <v>0</v>
          </cell>
          <cell r="AG3254">
            <v>0</v>
          </cell>
        </row>
        <row r="3255">
          <cell r="AD3255" t="str"/>
          <cell r="AE3255" t="str"/>
          <cell r="AF3255">
            <v>0</v>
          </cell>
          <cell r="AG3255">
            <v>0</v>
          </cell>
        </row>
        <row r="3256">
          <cell r="AD3256" t="str"/>
          <cell r="AE3256" t="str"/>
          <cell r="AF3256">
            <v>0</v>
          </cell>
          <cell r="AG3256">
            <v>0</v>
          </cell>
        </row>
        <row r="3257">
          <cell r="AD3257" t="str"/>
          <cell r="AE3257" t="str"/>
          <cell r="AF3257">
            <v>0</v>
          </cell>
          <cell r="AG3257">
            <v>0</v>
          </cell>
        </row>
        <row r="3258">
          <cell r="AD3258" t="str"/>
          <cell r="AE3258" t="str"/>
          <cell r="AF3258">
            <v>0</v>
          </cell>
          <cell r="AG3258">
            <v>0</v>
          </cell>
        </row>
        <row r="3259">
          <cell r="AD3259" t="str"/>
          <cell r="AE3259" t="str"/>
          <cell r="AF3259">
            <v>0</v>
          </cell>
          <cell r="AG3259">
            <v>0</v>
          </cell>
        </row>
        <row r="3260">
          <cell r="AD3260" t="str"/>
          <cell r="AE3260" t="str"/>
          <cell r="AF3260">
            <v>0</v>
          </cell>
          <cell r="AG3260">
            <v>0</v>
          </cell>
        </row>
        <row r="3261">
          <cell r="AD3261" t="str"/>
          <cell r="AE3261" t="str"/>
          <cell r="AF3261">
            <v>0</v>
          </cell>
          <cell r="AG3261">
            <v>0</v>
          </cell>
        </row>
        <row r="3262">
          <cell r="AD3262" t="str"/>
          <cell r="AE3262" t="str"/>
          <cell r="AF3262">
            <v>0</v>
          </cell>
          <cell r="AG3262">
            <v>0</v>
          </cell>
        </row>
        <row r="3263">
          <cell r="AD3263" t="str"/>
          <cell r="AE3263" t="str"/>
          <cell r="AF3263">
            <v>0</v>
          </cell>
          <cell r="AG3263">
            <v>0</v>
          </cell>
        </row>
        <row r="3264">
          <cell r="AD3264" t="str"/>
          <cell r="AE3264" t="str"/>
          <cell r="AF3264">
            <v>0</v>
          </cell>
          <cell r="AG3264">
            <v>0</v>
          </cell>
        </row>
        <row r="3265">
          <cell r="AD3265" t="str"/>
          <cell r="AE3265" t="str"/>
          <cell r="AF3265">
            <v>0</v>
          </cell>
          <cell r="AG3265">
            <v>0</v>
          </cell>
        </row>
        <row r="3266">
          <cell r="AD3266" t="str"/>
          <cell r="AE3266" t="str"/>
          <cell r="AF3266">
            <v>0</v>
          </cell>
          <cell r="AG3266">
            <v>0</v>
          </cell>
        </row>
        <row r="3267">
          <cell r="AD3267" t="str"/>
          <cell r="AE3267" t="str"/>
          <cell r="AF3267">
            <v>0</v>
          </cell>
          <cell r="AG3267">
            <v>0</v>
          </cell>
        </row>
        <row r="3268">
          <cell r="AD3268" t="str"/>
          <cell r="AE3268" t="str"/>
          <cell r="AF3268">
            <v>0</v>
          </cell>
          <cell r="AG3268">
            <v>0</v>
          </cell>
        </row>
        <row r="3269">
          <cell r="AD3269" t="str"/>
          <cell r="AE3269" t="str"/>
          <cell r="AF3269">
            <v>0</v>
          </cell>
          <cell r="AG3269">
            <v>0</v>
          </cell>
        </row>
        <row r="3270">
          <cell r="AD3270" t="str"/>
          <cell r="AE3270" t="str"/>
          <cell r="AF3270">
            <v>0</v>
          </cell>
          <cell r="AG3270">
            <v>0</v>
          </cell>
        </row>
        <row r="3271">
          <cell r="AD3271" t="str"/>
          <cell r="AE3271" t="str"/>
          <cell r="AF3271">
            <v>0</v>
          </cell>
          <cell r="AG3271">
            <v>0</v>
          </cell>
        </row>
        <row r="3272">
          <cell r="AD3272" t="str"/>
          <cell r="AE3272" t="str"/>
          <cell r="AF3272">
            <v>0</v>
          </cell>
          <cell r="AG3272">
            <v>0</v>
          </cell>
        </row>
        <row r="3273">
          <cell r="AD3273" t="str"/>
          <cell r="AE3273" t="str"/>
          <cell r="AF3273">
            <v>0</v>
          </cell>
          <cell r="AG3273">
            <v>0</v>
          </cell>
        </row>
        <row r="3274">
          <cell r="AD3274" t="str"/>
          <cell r="AE3274" t="str"/>
          <cell r="AF3274">
            <v>0</v>
          </cell>
          <cell r="AG3274">
            <v>0</v>
          </cell>
        </row>
        <row r="3275">
          <cell r="AD3275" t="str"/>
          <cell r="AE3275" t="str"/>
          <cell r="AF3275">
            <v>0</v>
          </cell>
          <cell r="AG3275">
            <v>0</v>
          </cell>
        </row>
        <row r="3276">
          <cell r="AD3276" t="str"/>
          <cell r="AE3276" t="str"/>
          <cell r="AF3276">
            <v>0</v>
          </cell>
          <cell r="AG3276">
            <v>0</v>
          </cell>
        </row>
        <row r="3277">
          <cell r="AD3277" t="str"/>
          <cell r="AE3277" t="str"/>
          <cell r="AF3277">
            <v>0</v>
          </cell>
          <cell r="AG3277">
            <v>0</v>
          </cell>
        </row>
        <row r="3278">
          <cell r="AD3278" t="str"/>
          <cell r="AE3278" t="str"/>
          <cell r="AF3278">
            <v>0</v>
          </cell>
          <cell r="AG3278">
            <v>0</v>
          </cell>
        </row>
        <row r="3279">
          <cell r="AD3279" t="str"/>
          <cell r="AE3279" t="str"/>
          <cell r="AF3279">
            <v>0</v>
          </cell>
          <cell r="AG3279">
            <v>0</v>
          </cell>
        </row>
        <row r="3280">
          <cell r="AD3280" t="str"/>
          <cell r="AE3280" t="str"/>
          <cell r="AF3280">
            <v>0</v>
          </cell>
          <cell r="AG3280">
            <v>0</v>
          </cell>
        </row>
        <row r="3281">
          <cell r="AD3281" t="str"/>
          <cell r="AE3281" t="str"/>
          <cell r="AF3281">
            <v>0</v>
          </cell>
          <cell r="AG3281">
            <v>0</v>
          </cell>
        </row>
        <row r="3282">
          <cell r="AD3282" t="str"/>
          <cell r="AE3282" t="str"/>
          <cell r="AF3282">
            <v>0</v>
          </cell>
          <cell r="AG3282">
            <v>0</v>
          </cell>
        </row>
        <row r="3283">
          <cell r="AD3283" t="str"/>
          <cell r="AE3283" t="str"/>
          <cell r="AF3283">
            <v>0</v>
          </cell>
          <cell r="AG3283">
            <v>0</v>
          </cell>
        </row>
        <row r="3284">
          <cell r="AD3284" t="str"/>
          <cell r="AE3284" t="str"/>
          <cell r="AF3284">
            <v>0</v>
          </cell>
          <cell r="AG3284">
            <v>0</v>
          </cell>
        </row>
        <row r="3285">
          <cell r="AD3285" t="str"/>
          <cell r="AE3285" t="str"/>
          <cell r="AF3285">
            <v>0</v>
          </cell>
          <cell r="AG3285">
            <v>0</v>
          </cell>
        </row>
        <row r="3286">
          <cell r="AD3286" t="str"/>
          <cell r="AE3286" t="str"/>
          <cell r="AF3286">
            <v>0</v>
          </cell>
          <cell r="AG3286">
            <v>0</v>
          </cell>
        </row>
        <row r="3287">
          <cell r="AD3287" t="str"/>
          <cell r="AE3287" t="str"/>
          <cell r="AF3287">
            <v>0</v>
          </cell>
          <cell r="AG3287">
            <v>0</v>
          </cell>
        </row>
        <row r="3288">
          <cell r="AD3288" t="str"/>
          <cell r="AE3288" t="str"/>
          <cell r="AF3288">
            <v>0</v>
          </cell>
          <cell r="AG3288">
            <v>0</v>
          </cell>
        </row>
        <row r="3289">
          <cell r="AD3289" t="str"/>
          <cell r="AE3289" t="str"/>
          <cell r="AF3289">
            <v>0</v>
          </cell>
          <cell r="AG3289">
            <v>0</v>
          </cell>
        </row>
        <row r="3290">
          <cell r="AD3290" t="str"/>
          <cell r="AE3290" t="str"/>
          <cell r="AF3290">
            <v>0</v>
          </cell>
          <cell r="AG3290">
            <v>0</v>
          </cell>
        </row>
        <row r="3291">
          <cell r="AD3291" t="str"/>
          <cell r="AE3291" t="str"/>
          <cell r="AF3291">
            <v>0</v>
          </cell>
          <cell r="AG3291">
            <v>0</v>
          </cell>
        </row>
        <row r="3292">
          <cell r="AD3292" t="str"/>
          <cell r="AE3292" t="str"/>
          <cell r="AF3292">
            <v>0</v>
          </cell>
          <cell r="AG3292">
            <v>0</v>
          </cell>
        </row>
        <row r="3293">
          <cell r="AD3293" t="str"/>
          <cell r="AE3293" t="str"/>
          <cell r="AF3293">
            <v>0</v>
          </cell>
          <cell r="AG3293">
            <v>0</v>
          </cell>
        </row>
        <row r="3294">
          <cell r="AD3294" t="str"/>
          <cell r="AE3294" t="str"/>
          <cell r="AF3294">
            <v>0</v>
          </cell>
          <cell r="AG3294">
            <v>0</v>
          </cell>
        </row>
        <row r="3295">
          <cell r="AD3295" t="str"/>
          <cell r="AE3295" t="str"/>
          <cell r="AF3295">
            <v>0</v>
          </cell>
          <cell r="AG3295">
            <v>0</v>
          </cell>
        </row>
        <row r="3296">
          <cell r="AD3296" t="str"/>
          <cell r="AE3296" t="str"/>
          <cell r="AF3296">
            <v>0</v>
          </cell>
          <cell r="AG3296">
            <v>0</v>
          </cell>
        </row>
        <row r="3297">
          <cell r="AD3297" t="str"/>
          <cell r="AE3297" t="str"/>
          <cell r="AF3297">
            <v>0</v>
          </cell>
          <cell r="AG3297">
            <v>0</v>
          </cell>
        </row>
        <row r="3298">
          <cell r="AD3298" t="str"/>
          <cell r="AE3298" t="str"/>
          <cell r="AF3298">
            <v>0</v>
          </cell>
          <cell r="AG3298">
            <v>0</v>
          </cell>
        </row>
        <row r="3299">
          <cell r="AD3299" t="str"/>
          <cell r="AE3299" t="str"/>
          <cell r="AF3299">
            <v>0</v>
          </cell>
          <cell r="AG3299">
            <v>0</v>
          </cell>
        </row>
        <row r="3300">
          <cell r="AD3300" t="str"/>
          <cell r="AE3300" t="str"/>
          <cell r="AF3300">
            <v>0</v>
          </cell>
          <cell r="AG3300">
            <v>0</v>
          </cell>
        </row>
        <row r="3301">
          <cell r="AD3301" t="str"/>
          <cell r="AE3301" t="str"/>
          <cell r="AF3301">
            <v>0</v>
          </cell>
          <cell r="AG3301">
            <v>0</v>
          </cell>
        </row>
        <row r="3302">
          <cell r="AD3302" t="str"/>
          <cell r="AE3302" t="str"/>
          <cell r="AF3302">
            <v>0</v>
          </cell>
          <cell r="AG3302">
            <v>0</v>
          </cell>
        </row>
        <row r="3303">
          <cell r="AD3303" t="str"/>
          <cell r="AE3303" t="str"/>
          <cell r="AF3303">
            <v>0</v>
          </cell>
          <cell r="AG3303">
            <v>0</v>
          </cell>
        </row>
        <row r="3304">
          <cell r="AD3304" t="str"/>
          <cell r="AE3304" t="str"/>
          <cell r="AF3304">
            <v>0</v>
          </cell>
          <cell r="AG3304">
            <v>0</v>
          </cell>
        </row>
        <row r="3305">
          <cell r="AD3305" t="str"/>
          <cell r="AE3305" t="str"/>
          <cell r="AF3305">
            <v>0</v>
          </cell>
          <cell r="AG3305">
            <v>0</v>
          </cell>
        </row>
        <row r="3306">
          <cell r="AD3306" t="str"/>
          <cell r="AE3306" t="str"/>
          <cell r="AF3306">
            <v>0</v>
          </cell>
          <cell r="AG3306">
            <v>0</v>
          </cell>
        </row>
        <row r="3307">
          <cell r="AD3307" t="str"/>
          <cell r="AE3307" t="str"/>
          <cell r="AF3307">
            <v>0</v>
          </cell>
          <cell r="AG3307">
            <v>0</v>
          </cell>
        </row>
        <row r="3308">
          <cell r="AD3308" t="str"/>
          <cell r="AE3308" t="str"/>
          <cell r="AF3308">
            <v>0</v>
          </cell>
          <cell r="AG3308">
            <v>0</v>
          </cell>
        </row>
        <row r="3309">
          <cell r="AD3309" t="str"/>
          <cell r="AE3309" t="str"/>
          <cell r="AF3309">
            <v>0</v>
          </cell>
          <cell r="AG3309">
            <v>0</v>
          </cell>
        </row>
        <row r="3310">
          <cell r="AD3310" t="str"/>
          <cell r="AE3310" t="str"/>
          <cell r="AF3310">
            <v>0</v>
          </cell>
          <cell r="AG3310">
            <v>0</v>
          </cell>
        </row>
        <row r="3311">
          <cell r="AD3311" t="str"/>
          <cell r="AE3311" t="str"/>
          <cell r="AF3311">
            <v>0</v>
          </cell>
          <cell r="AG3311">
            <v>0</v>
          </cell>
        </row>
        <row r="3312">
          <cell r="AD3312" t="str"/>
          <cell r="AE3312" t="str"/>
          <cell r="AF3312">
            <v>0</v>
          </cell>
          <cell r="AG3312">
            <v>0</v>
          </cell>
        </row>
        <row r="3313">
          <cell r="AD3313" t="str"/>
          <cell r="AE3313" t="str"/>
          <cell r="AF3313">
            <v>0</v>
          </cell>
          <cell r="AG3313">
            <v>0</v>
          </cell>
        </row>
        <row r="3314">
          <cell r="AD3314" t="str"/>
          <cell r="AE3314" t="str"/>
          <cell r="AF3314">
            <v>0</v>
          </cell>
          <cell r="AG3314">
            <v>0</v>
          </cell>
        </row>
        <row r="3315">
          <cell r="AD3315" t="str"/>
          <cell r="AE3315" t="str"/>
          <cell r="AF3315">
            <v>0</v>
          </cell>
          <cell r="AG3315">
            <v>0</v>
          </cell>
        </row>
        <row r="3316">
          <cell r="AD3316" t="str"/>
          <cell r="AE3316" t="str"/>
          <cell r="AF3316">
            <v>0</v>
          </cell>
          <cell r="AG3316">
            <v>0</v>
          </cell>
        </row>
        <row r="3317">
          <cell r="AD3317" t="str"/>
          <cell r="AE3317" t="str"/>
          <cell r="AF3317">
            <v>0</v>
          </cell>
          <cell r="AG3317">
            <v>0</v>
          </cell>
        </row>
        <row r="3318">
          <cell r="AD3318" t="str"/>
          <cell r="AE3318" t="str"/>
          <cell r="AF3318">
            <v>0</v>
          </cell>
          <cell r="AG3318">
            <v>0</v>
          </cell>
        </row>
        <row r="3319">
          <cell r="AD3319" t="str"/>
          <cell r="AE3319" t="str"/>
          <cell r="AF3319">
            <v>0</v>
          </cell>
          <cell r="AG3319">
            <v>0</v>
          </cell>
        </row>
        <row r="3320">
          <cell r="AD3320" t="str"/>
          <cell r="AE3320" t="str"/>
          <cell r="AF3320">
            <v>0</v>
          </cell>
          <cell r="AG3320">
            <v>0</v>
          </cell>
        </row>
        <row r="3321">
          <cell r="AD3321" t="str"/>
          <cell r="AE3321" t="str"/>
          <cell r="AF3321">
            <v>0</v>
          </cell>
          <cell r="AG3321">
            <v>0</v>
          </cell>
        </row>
        <row r="3322">
          <cell r="AD3322" t="str"/>
          <cell r="AE3322" t="str"/>
          <cell r="AF3322">
            <v>0</v>
          </cell>
          <cell r="AG3322">
            <v>0</v>
          </cell>
        </row>
        <row r="3323">
          <cell r="AD3323" t="str"/>
          <cell r="AE3323" t="str"/>
          <cell r="AF3323">
            <v>0</v>
          </cell>
          <cell r="AG3323">
            <v>0</v>
          </cell>
        </row>
        <row r="3324">
          <cell r="AD3324" t="str"/>
          <cell r="AE3324" t="str"/>
          <cell r="AF3324">
            <v>0</v>
          </cell>
          <cell r="AG3324">
            <v>0</v>
          </cell>
        </row>
        <row r="3325">
          <cell r="AD3325" t="str"/>
          <cell r="AE3325" t="str"/>
          <cell r="AF3325">
            <v>0</v>
          </cell>
          <cell r="AG3325">
            <v>0</v>
          </cell>
        </row>
        <row r="3326">
          <cell r="AD3326" t="str"/>
          <cell r="AE3326" t="str"/>
          <cell r="AF3326">
            <v>0</v>
          </cell>
          <cell r="AG3326">
            <v>0</v>
          </cell>
        </row>
        <row r="3327">
          <cell r="AD3327" t="str"/>
          <cell r="AE3327" t="str"/>
          <cell r="AF3327">
            <v>0</v>
          </cell>
          <cell r="AG3327">
            <v>0</v>
          </cell>
        </row>
        <row r="3328">
          <cell r="AD3328" t="str"/>
          <cell r="AE3328" t="str"/>
          <cell r="AF3328">
            <v>0</v>
          </cell>
          <cell r="AG3328">
            <v>0</v>
          </cell>
        </row>
        <row r="3329">
          <cell r="AD3329" t="str"/>
          <cell r="AE3329" t="str"/>
          <cell r="AF3329">
            <v>0</v>
          </cell>
          <cell r="AG3329">
            <v>0</v>
          </cell>
        </row>
        <row r="3330">
          <cell r="AD3330" t="str"/>
          <cell r="AE3330" t="str"/>
          <cell r="AF3330">
            <v>0</v>
          </cell>
          <cell r="AG3330">
            <v>0</v>
          </cell>
        </row>
        <row r="3331">
          <cell r="AD3331" t="str"/>
          <cell r="AE3331" t="str"/>
          <cell r="AF3331">
            <v>0</v>
          </cell>
          <cell r="AG3331">
            <v>0</v>
          </cell>
        </row>
        <row r="3332">
          <cell r="AD3332" t="str"/>
          <cell r="AE3332" t="str"/>
          <cell r="AF3332">
            <v>0</v>
          </cell>
          <cell r="AG3332">
            <v>0</v>
          </cell>
        </row>
        <row r="3333">
          <cell r="AD3333" t="str"/>
          <cell r="AE3333" t="str"/>
          <cell r="AF3333">
            <v>0</v>
          </cell>
          <cell r="AG3333">
            <v>0</v>
          </cell>
        </row>
        <row r="3334">
          <cell r="AD3334" t="str"/>
          <cell r="AE3334" t="str"/>
          <cell r="AF3334">
            <v>0</v>
          </cell>
          <cell r="AG3334">
            <v>0</v>
          </cell>
        </row>
        <row r="3335">
          <cell r="AD3335" t="str"/>
          <cell r="AE3335" t="str"/>
          <cell r="AF3335">
            <v>0</v>
          </cell>
          <cell r="AG3335">
            <v>0</v>
          </cell>
        </row>
        <row r="3336">
          <cell r="AD3336" t="str"/>
          <cell r="AE3336" t="str"/>
          <cell r="AF3336">
            <v>0</v>
          </cell>
          <cell r="AG3336">
            <v>0</v>
          </cell>
        </row>
        <row r="3337">
          <cell r="AD3337" t="str"/>
          <cell r="AE3337" t="str"/>
          <cell r="AF3337">
            <v>0</v>
          </cell>
          <cell r="AG3337">
            <v>0</v>
          </cell>
        </row>
        <row r="3338">
          <cell r="AD3338" t="str"/>
          <cell r="AE3338" t="str"/>
          <cell r="AF3338">
            <v>0</v>
          </cell>
          <cell r="AG3338">
            <v>0</v>
          </cell>
        </row>
        <row r="3339">
          <cell r="AD3339" t="str"/>
          <cell r="AE3339" t="str"/>
          <cell r="AF3339">
            <v>0</v>
          </cell>
          <cell r="AG3339">
            <v>0</v>
          </cell>
        </row>
        <row r="3340">
          <cell r="AD3340" t="str"/>
          <cell r="AE3340" t="str"/>
          <cell r="AF3340">
            <v>0</v>
          </cell>
          <cell r="AG3340">
            <v>0</v>
          </cell>
        </row>
        <row r="3341">
          <cell r="AD3341" t="str"/>
          <cell r="AE3341" t="str"/>
          <cell r="AF3341">
            <v>0</v>
          </cell>
          <cell r="AG3341">
            <v>0</v>
          </cell>
        </row>
        <row r="3342">
          <cell r="AD3342" t="str"/>
          <cell r="AE3342" t="str"/>
          <cell r="AF3342">
            <v>0</v>
          </cell>
          <cell r="AG3342">
            <v>0</v>
          </cell>
        </row>
        <row r="3343">
          <cell r="AD3343" t="str"/>
          <cell r="AE3343" t="str"/>
          <cell r="AF3343">
            <v>0</v>
          </cell>
          <cell r="AG3343">
            <v>0</v>
          </cell>
        </row>
        <row r="3344">
          <cell r="AD3344" t="str"/>
          <cell r="AE3344" t="str"/>
          <cell r="AF3344">
            <v>0</v>
          </cell>
          <cell r="AG3344">
            <v>0</v>
          </cell>
        </row>
        <row r="3345">
          <cell r="AD3345" t="str"/>
          <cell r="AE3345" t="str"/>
          <cell r="AF3345">
            <v>0</v>
          </cell>
          <cell r="AG3345">
            <v>0</v>
          </cell>
        </row>
        <row r="3346">
          <cell r="AD3346" t="str"/>
          <cell r="AE3346" t="str"/>
          <cell r="AF3346">
            <v>0</v>
          </cell>
          <cell r="AG3346">
            <v>0</v>
          </cell>
        </row>
        <row r="3347">
          <cell r="AD3347" t="str"/>
          <cell r="AE3347" t="str"/>
          <cell r="AF3347">
            <v>0</v>
          </cell>
          <cell r="AG3347">
            <v>0</v>
          </cell>
        </row>
        <row r="3348">
          <cell r="AD3348" t="str"/>
          <cell r="AE3348" t="str"/>
          <cell r="AF3348">
            <v>0</v>
          </cell>
          <cell r="AG3348">
            <v>0</v>
          </cell>
        </row>
        <row r="3349">
          <cell r="AD3349" t="str"/>
          <cell r="AE3349" t="str"/>
          <cell r="AF3349">
            <v>0</v>
          </cell>
          <cell r="AG3349">
            <v>0</v>
          </cell>
        </row>
        <row r="3350">
          <cell r="AD3350" t="str"/>
          <cell r="AE3350" t="str"/>
          <cell r="AF3350">
            <v>0</v>
          </cell>
          <cell r="AG3350">
            <v>0</v>
          </cell>
        </row>
        <row r="3351">
          <cell r="AD3351" t="str"/>
          <cell r="AE3351" t="str"/>
          <cell r="AF3351">
            <v>0</v>
          </cell>
          <cell r="AG3351">
            <v>0</v>
          </cell>
        </row>
        <row r="3352">
          <cell r="AD3352" t="e">
            <v>#REF!</v>
          </cell>
          <cell r="AE3352" t="e">
            <v>#REF!</v>
          </cell>
          <cell r="AF3352" t="e">
            <v>#REF!</v>
          </cell>
          <cell r="AG3352" t="e">
            <v>#REF!</v>
          </cell>
        </row>
        <row r="3353">
          <cell r="AD3353" t="str"/>
          <cell r="AE3353" t="str"/>
          <cell r="AF3353">
            <v>0</v>
          </cell>
          <cell r="AG3353">
            <v>0</v>
          </cell>
        </row>
        <row r="3354">
          <cell r="AD3354" t="str"/>
          <cell r="AE3354" t="str"/>
          <cell r="AF3354">
            <v>0</v>
          </cell>
          <cell r="AG3354">
            <v>0</v>
          </cell>
        </row>
        <row r="3355">
          <cell r="AD3355" t="str"/>
          <cell r="AE3355" t="str"/>
          <cell r="AF3355">
            <v>0</v>
          </cell>
          <cell r="AG3355">
            <v>0</v>
          </cell>
        </row>
        <row r="3356">
          <cell r="AD3356" t="str"/>
          <cell r="AE3356" t="str"/>
          <cell r="AF3356">
            <v>0</v>
          </cell>
          <cell r="AG3356">
            <v>0</v>
          </cell>
        </row>
        <row r="3357">
          <cell r="AD3357" t="str"/>
          <cell r="AE3357" t="str"/>
          <cell r="AF3357">
            <v>0</v>
          </cell>
          <cell r="AG3357">
            <v>0</v>
          </cell>
        </row>
        <row r="3358">
          <cell r="AD3358" t="str"/>
          <cell r="AE3358" t="str"/>
          <cell r="AF3358">
            <v>0</v>
          </cell>
          <cell r="AG3358">
            <v>0</v>
          </cell>
        </row>
        <row r="3359">
          <cell r="AD3359" t="str"/>
          <cell r="AE3359" t="str"/>
          <cell r="AF3359">
            <v>0</v>
          </cell>
          <cell r="AG3359">
            <v>0</v>
          </cell>
        </row>
        <row r="3360">
          <cell r="AD3360" t="str"/>
          <cell r="AE3360" t="str"/>
          <cell r="AF3360">
            <v>0</v>
          </cell>
          <cell r="AG3360">
            <v>0</v>
          </cell>
        </row>
        <row r="3361">
          <cell r="AD3361" t="str"/>
          <cell r="AE3361" t="str"/>
          <cell r="AF3361">
            <v>0</v>
          </cell>
          <cell r="AG3361">
            <v>0</v>
          </cell>
        </row>
        <row r="3362">
          <cell r="AD3362" t="str"/>
          <cell r="AE3362" t="str"/>
          <cell r="AF3362">
            <v>0</v>
          </cell>
          <cell r="AG3362">
            <v>0</v>
          </cell>
        </row>
        <row r="3363">
          <cell r="AD3363" t="str"/>
          <cell r="AE3363" t="str"/>
          <cell r="AF3363">
            <v>0</v>
          </cell>
          <cell r="AG3363">
            <v>0</v>
          </cell>
        </row>
        <row r="3364">
          <cell r="AD3364" t="str"/>
          <cell r="AE3364" t="str"/>
          <cell r="AF3364">
            <v>0</v>
          </cell>
          <cell r="AG3364">
            <v>0</v>
          </cell>
        </row>
        <row r="3365">
          <cell r="AD3365" t="str"/>
          <cell r="AE3365" t="str"/>
          <cell r="AF3365">
            <v>0</v>
          </cell>
          <cell r="AG3365">
            <v>0</v>
          </cell>
        </row>
        <row r="3366">
          <cell r="AD3366" t="str"/>
          <cell r="AE3366" t="str"/>
          <cell r="AF3366">
            <v>0</v>
          </cell>
          <cell r="AG3366">
            <v>0</v>
          </cell>
        </row>
        <row r="3367">
          <cell r="AD3367" t="str"/>
          <cell r="AE3367" t="str"/>
          <cell r="AF3367">
            <v>0</v>
          </cell>
          <cell r="AG3367">
            <v>0</v>
          </cell>
        </row>
        <row r="3368">
          <cell r="AD3368" t="str"/>
          <cell r="AE3368" t="str"/>
          <cell r="AF3368">
            <v>0</v>
          </cell>
          <cell r="AG3368">
            <v>0</v>
          </cell>
        </row>
        <row r="3369">
          <cell r="AD3369" t="str"/>
          <cell r="AE3369" t="str"/>
          <cell r="AF3369">
            <v>0</v>
          </cell>
          <cell r="AG3369">
            <v>0</v>
          </cell>
        </row>
        <row r="3370">
          <cell r="AD3370" t="str"/>
          <cell r="AE3370" t="str"/>
          <cell r="AF3370">
            <v>0</v>
          </cell>
          <cell r="AG3370">
            <v>0</v>
          </cell>
        </row>
        <row r="3371">
          <cell r="AD3371" t="str"/>
          <cell r="AE3371" t="str"/>
          <cell r="AF3371">
            <v>0</v>
          </cell>
          <cell r="AG3371">
            <v>0</v>
          </cell>
        </row>
        <row r="3372">
          <cell r="AD3372" t="str"/>
          <cell r="AE3372" t="str"/>
          <cell r="AF3372">
            <v>0</v>
          </cell>
          <cell r="AG3372">
            <v>0</v>
          </cell>
        </row>
        <row r="3373">
          <cell r="AD3373" t="str"/>
          <cell r="AE3373" t="str"/>
          <cell r="AF3373">
            <v>0</v>
          </cell>
          <cell r="AG3373">
            <v>0</v>
          </cell>
        </row>
        <row r="3374">
          <cell r="AD3374" t="str"/>
          <cell r="AE3374" t="str"/>
          <cell r="AF3374">
            <v>0</v>
          </cell>
          <cell r="AG3374">
            <v>0</v>
          </cell>
        </row>
        <row r="3375">
          <cell r="AD3375" t="str"/>
          <cell r="AE3375" t="str"/>
          <cell r="AF3375">
            <v>0</v>
          </cell>
          <cell r="AG3375">
            <v>0</v>
          </cell>
        </row>
        <row r="3376">
          <cell r="AD3376" t="str"/>
          <cell r="AE3376" t="str"/>
          <cell r="AF3376">
            <v>0</v>
          </cell>
          <cell r="AG3376">
            <v>0</v>
          </cell>
        </row>
        <row r="3377">
          <cell r="AD3377" t="str"/>
          <cell r="AE3377" t="str"/>
          <cell r="AF3377">
            <v>0</v>
          </cell>
          <cell r="AG3377">
            <v>0</v>
          </cell>
        </row>
        <row r="3378">
          <cell r="AD3378" t="str"/>
          <cell r="AE3378" t="str"/>
          <cell r="AF3378">
            <v>0</v>
          </cell>
          <cell r="AG3378">
            <v>0</v>
          </cell>
        </row>
        <row r="3379">
          <cell r="AD3379" t="str"/>
          <cell r="AE3379" t="str"/>
          <cell r="AF3379">
            <v>0</v>
          </cell>
          <cell r="AG3379">
            <v>0</v>
          </cell>
        </row>
        <row r="3380">
          <cell r="AD3380" t="str"/>
          <cell r="AE3380" t="str"/>
          <cell r="AF3380">
            <v>0</v>
          </cell>
          <cell r="AG3380">
            <v>0</v>
          </cell>
        </row>
        <row r="3381">
          <cell r="AD3381" t="str"/>
          <cell r="AE3381" t="str"/>
          <cell r="AF3381">
            <v>0</v>
          </cell>
          <cell r="AG3381">
            <v>0</v>
          </cell>
        </row>
        <row r="3382">
          <cell r="AD3382" t="str"/>
          <cell r="AE3382" t="str"/>
          <cell r="AF3382">
            <v>0</v>
          </cell>
          <cell r="AG3382">
            <v>0</v>
          </cell>
        </row>
        <row r="3383">
          <cell r="AD3383" t="str"/>
          <cell r="AE3383" t="str"/>
          <cell r="AF3383">
            <v>0</v>
          </cell>
          <cell r="AG3383">
            <v>0</v>
          </cell>
        </row>
        <row r="3384">
          <cell r="AD3384" t="str"/>
          <cell r="AE3384" t="str"/>
          <cell r="AF3384">
            <v>0</v>
          </cell>
          <cell r="AG3384">
            <v>0</v>
          </cell>
        </row>
        <row r="3385">
          <cell r="AD3385" t="str"/>
          <cell r="AE3385" t="str"/>
          <cell r="AF3385">
            <v>0</v>
          </cell>
          <cell r="AG3385">
            <v>0</v>
          </cell>
        </row>
        <row r="3386">
          <cell r="AD3386" t="str"/>
          <cell r="AE3386" t="str"/>
          <cell r="AF3386">
            <v>0</v>
          </cell>
          <cell r="AG3386">
            <v>0</v>
          </cell>
        </row>
        <row r="3387">
          <cell r="AD3387" t="str"/>
          <cell r="AE3387" t="str"/>
          <cell r="AF3387">
            <v>0</v>
          </cell>
          <cell r="AG3387">
            <v>0</v>
          </cell>
        </row>
        <row r="3388">
          <cell r="AD3388" t="str"/>
          <cell r="AE3388" t="str"/>
          <cell r="AF3388">
            <v>0</v>
          </cell>
          <cell r="AG3388">
            <v>0</v>
          </cell>
        </row>
        <row r="3389">
          <cell r="AD3389" t="str"/>
          <cell r="AE3389" t="str"/>
          <cell r="AF3389">
            <v>0</v>
          </cell>
          <cell r="AG3389">
            <v>0</v>
          </cell>
        </row>
        <row r="3390">
          <cell r="AD3390" t="str"/>
          <cell r="AE3390" t="str"/>
          <cell r="AF3390">
            <v>0</v>
          </cell>
          <cell r="AG3390">
            <v>0</v>
          </cell>
        </row>
        <row r="3391">
          <cell r="AD3391" t="str"/>
          <cell r="AE3391" t="str"/>
          <cell r="AF3391">
            <v>0</v>
          </cell>
          <cell r="AG3391">
            <v>0</v>
          </cell>
        </row>
        <row r="3392">
          <cell r="AD3392" t="str"/>
          <cell r="AE3392" t="str"/>
          <cell r="AF3392">
            <v>0</v>
          </cell>
          <cell r="AG3392">
            <v>0</v>
          </cell>
        </row>
        <row r="3393">
          <cell r="AD3393" t="str"/>
          <cell r="AE3393" t="str"/>
          <cell r="AF3393">
            <v>0</v>
          </cell>
          <cell r="AG3393">
            <v>0</v>
          </cell>
        </row>
        <row r="3394">
          <cell r="AD3394" t="str"/>
          <cell r="AE3394" t="str"/>
          <cell r="AF3394">
            <v>0</v>
          </cell>
          <cell r="AG3394">
            <v>0</v>
          </cell>
        </row>
        <row r="3395">
          <cell r="AD3395" t="str"/>
          <cell r="AE3395" t="str"/>
          <cell r="AF3395">
            <v>0</v>
          </cell>
          <cell r="AG3395">
            <v>0</v>
          </cell>
        </row>
        <row r="3396">
          <cell r="AD3396" t="str"/>
          <cell r="AE3396" t="str"/>
          <cell r="AF3396">
            <v>0</v>
          </cell>
          <cell r="AG3396">
            <v>0</v>
          </cell>
        </row>
        <row r="3397">
          <cell r="AD3397" t="str"/>
          <cell r="AE3397" t="str"/>
          <cell r="AF3397">
            <v>0</v>
          </cell>
          <cell r="AG3397">
            <v>0</v>
          </cell>
        </row>
        <row r="3398">
          <cell r="AD3398" t="str"/>
          <cell r="AE3398" t="str"/>
          <cell r="AF3398">
            <v>0</v>
          </cell>
          <cell r="AG3398">
            <v>0</v>
          </cell>
        </row>
        <row r="3399">
          <cell r="AD3399" t="str"/>
          <cell r="AE3399" t="str"/>
          <cell r="AF3399">
            <v>0</v>
          </cell>
          <cell r="AG3399">
            <v>0</v>
          </cell>
        </row>
        <row r="3400">
          <cell r="AD3400" t="str"/>
          <cell r="AE3400" t="str"/>
          <cell r="AF3400">
            <v>0</v>
          </cell>
          <cell r="AG3400">
            <v>0</v>
          </cell>
        </row>
        <row r="3401">
          <cell r="AD3401" t="str"/>
          <cell r="AE3401" t="str"/>
          <cell r="AF3401">
            <v>0</v>
          </cell>
          <cell r="AG3401">
            <v>0</v>
          </cell>
        </row>
        <row r="3402">
          <cell r="AD3402" t="str"/>
          <cell r="AE3402" t="str"/>
          <cell r="AF3402">
            <v>0</v>
          </cell>
          <cell r="AG3402">
            <v>0</v>
          </cell>
        </row>
        <row r="3403">
          <cell r="AD3403" t="str"/>
          <cell r="AE3403" t="str"/>
          <cell r="AF3403">
            <v>0</v>
          </cell>
          <cell r="AG3403">
            <v>0</v>
          </cell>
        </row>
        <row r="3404">
          <cell r="AD3404" t="str"/>
          <cell r="AE3404" t="str"/>
          <cell r="AF3404">
            <v>0</v>
          </cell>
          <cell r="AG3404">
            <v>0</v>
          </cell>
        </row>
        <row r="3405">
          <cell r="AD3405" t="str"/>
          <cell r="AE3405" t="str"/>
          <cell r="AF3405">
            <v>0</v>
          </cell>
          <cell r="AG3405">
            <v>0</v>
          </cell>
        </row>
        <row r="3406">
          <cell r="AD3406" t="str"/>
          <cell r="AE3406" t="str"/>
          <cell r="AF3406">
            <v>0</v>
          </cell>
          <cell r="AG3406">
            <v>0</v>
          </cell>
        </row>
        <row r="3407">
          <cell r="AD3407" t="str"/>
          <cell r="AE3407" t="str"/>
          <cell r="AF3407">
            <v>0</v>
          </cell>
          <cell r="AG3407">
            <v>0</v>
          </cell>
        </row>
        <row r="3408">
          <cell r="AD3408" t="str"/>
          <cell r="AE3408" t="str"/>
          <cell r="AF3408">
            <v>0</v>
          </cell>
          <cell r="AG3408">
            <v>0</v>
          </cell>
        </row>
        <row r="3409">
          <cell r="AD3409" t="str"/>
          <cell r="AE3409" t="str"/>
          <cell r="AF3409">
            <v>0</v>
          </cell>
          <cell r="AG3409">
            <v>0</v>
          </cell>
        </row>
        <row r="3410">
          <cell r="AD3410" t="str"/>
          <cell r="AE3410" t="str"/>
          <cell r="AF3410">
            <v>0</v>
          </cell>
          <cell r="AG3410">
            <v>0</v>
          </cell>
        </row>
        <row r="3411">
          <cell r="AD3411" t="str"/>
          <cell r="AE3411" t="str"/>
          <cell r="AF3411">
            <v>0</v>
          </cell>
          <cell r="AG3411">
            <v>0</v>
          </cell>
        </row>
        <row r="3412">
          <cell r="AD3412" t="str"/>
          <cell r="AE3412" t="str"/>
          <cell r="AF3412">
            <v>0</v>
          </cell>
          <cell r="AG3412">
            <v>0</v>
          </cell>
        </row>
        <row r="3413">
          <cell r="AD3413" t="str"/>
          <cell r="AE3413" t="str"/>
          <cell r="AF3413">
            <v>0</v>
          </cell>
          <cell r="AG3413">
            <v>0</v>
          </cell>
        </row>
        <row r="3414">
          <cell r="AD3414" t="str"/>
          <cell r="AE3414" t="str"/>
          <cell r="AF3414">
            <v>0</v>
          </cell>
          <cell r="AG3414">
            <v>0</v>
          </cell>
        </row>
        <row r="3415">
          <cell r="AD3415" t="str"/>
          <cell r="AE3415" t="str"/>
          <cell r="AF3415">
            <v>0</v>
          </cell>
          <cell r="AG3415">
            <v>0</v>
          </cell>
        </row>
        <row r="3416">
          <cell r="AD3416" t="str"/>
          <cell r="AE3416" t="str"/>
          <cell r="AF3416">
            <v>0</v>
          </cell>
          <cell r="AG3416">
            <v>0</v>
          </cell>
        </row>
        <row r="3417">
          <cell r="AD3417" t="str"/>
          <cell r="AE3417" t="str"/>
          <cell r="AF3417">
            <v>0</v>
          </cell>
          <cell r="AG3417">
            <v>0</v>
          </cell>
        </row>
        <row r="3418">
          <cell r="AD3418" t="str"/>
          <cell r="AE3418" t="str"/>
          <cell r="AF3418">
            <v>0</v>
          </cell>
          <cell r="AG3418">
            <v>0</v>
          </cell>
        </row>
        <row r="3419">
          <cell r="AD3419" t="str"/>
          <cell r="AE3419" t="str"/>
          <cell r="AF3419">
            <v>0</v>
          </cell>
          <cell r="AG3419">
            <v>0</v>
          </cell>
        </row>
        <row r="3420">
          <cell r="AD3420" t="str"/>
          <cell r="AE3420" t="str"/>
          <cell r="AF3420">
            <v>0</v>
          </cell>
          <cell r="AG3420">
            <v>0</v>
          </cell>
        </row>
        <row r="3421">
          <cell r="AD3421" t="str"/>
          <cell r="AE3421" t="str"/>
          <cell r="AF3421">
            <v>0</v>
          </cell>
          <cell r="AG3421">
            <v>0</v>
          </cell>
        </row>
        <row r="3422">
          <cell r="AD3422" t="str"/>
          <cell r="AE3422" t="str"/>
          <cell r="AF3422">
            <v>0</v>
          </cell>
          <cell r="AG3422">
            <v>0</v>
          </cell>
        </row>
        <row r="3423">
          <cell r="AD3423" t="str"/>
          <cell r="AE3423" t="str"/>
          <cell r="AF3423">
            <v>0</v>
          </cell>
          <cell r="AG3423">
            <v>0</v>
          </cell>
        </row>
        <row r="3424">
          <cell r="AD3424" t="str"/>
          <cell r="AE3424" t="str"/>
          <cell r="AF3424">
            <v>0</v>
          </cell>
          <cell r="AG3424">
            <v>0</v>
          </cell>
        </row>
        <row r="3425">
          <cell r="AD3425" t="str"/>
          <cell r="AE3425" t="str"/>
          <cell r="AF3425">
            <v>0</v>
          </cell>
          <cell r="AG3425">
            <v>0</v>
          </cell>
        </row>
        <row r="3426">
          <cell r="AD3426" t="str"/>
          <cell r="AE3426" t="str"/>
          <cell r="AF3426">
            <v>0</v>
          </cell>
          <cell r="AG3426">
            <v>0</v>
          </cell>
        </row>
        <row r="3427">
          <cell r="AD3427" t="str"/>
          <cell r="AE3427" t="str"/>
          <cell r="AF3427">
            <v>0</v>
          </cell>
          <cell r="AG3427">
            <v>0</v>
          </cell>
        </row>
        <row r="3428">
          <cell r="AD3428" t="str"/>
          <cell r="AE3428" t="str"/>
          <cell r="AF3428">
            <v>0</v>
          </cell>
          <cell r="AG3428">
            <v>0</v>
          </cell>
        </row>
        <row r="3429">
          <cell r="AD3429" t="str"/>
          <cell r="AE3429" t="str"/>
          <cell r="AF3429">
            <v>0</v>
          </cell>
          <cell r="AG3429">
            <v>0</v>
          </cell>
        </row>
        <row r="3430">
          <cell r="AD3430" t="str"/>
          <cell r="AE3430" t="str"/>
          <cell r="AF3430">
            <v>0</v>
          </cell>
          <cell r="AG3430">
            <v>0</v>
          </cell>
        </row>
        <row r="3431">
          <cell r="AD3431" t="str"/>
          <cell r="AE3431" t="str"/>
          <cell r="AF3431">
            <v>0</v>
          </cell>
          <cell r="AG3431">
            <v>0</v>
          </cell>
        </row>
        <row r="3432">
          <cell r="AD3432" t="str"/>
          <cell r="AE3432" t="str"/>
          <cell r="AF3432">
            <v>0</v>
          </cell>
          <cell r="AG3432">
            <v>0</v>
          </cell>
        </row>
        <row r="3433">
          <cell r="AD3433" t="str"/>
          <cell r="AE3433" t="str"/>
          <cell r="AF3433">
            <v>0</v>
          </cell>
          <cell r="AG3433">
            <v>0</v>
          </cell>
        </row>
        <row r="3434">
          <cell r="AD3434" t="str"/>
          <cell r="AE3434" t="str"/>
          <cell r="AF3434">
            <v>0</v>
          </cell>
          <cell r="AG3434">
            <v>0</v>
          </cell>
        </row>
        <row r="3435">
          <cell r="AD3435" t="str"/>
          <cell r="AE3435" t="str"/>
          <cell r="AF3435">
            <v>0</v>
          </cell>
          <cell r="AG3435">
            <v>0</v>
          </cell>
        </row>
        <row r="3436">
          <cell r="AD3436" t="str"/>
          <cell r="AE3436" t="str"/>
          <cell r="AF3436">
            <v>0</v>
          </cell>
          <cell r="AG3436">
            <v>0</v>
          </cell>
        </row>
        <row r="3437">
          <cell r="AD3437" t="str"/>
          <cell r="AE3437" t="str"/>
          <cell r="AF3437">
            <v>0</v>
          </cell>
          <cell r="AG3437">
            <v>0</v>
          </cell>
        </row>
        <row r="3438">
          <cell r="AD3438" t="str"/>
          <cell r="AE3438" t="str"/>
          <cell r="AF3438">
            <v>0</v>
          </cell>
          <cell r="AG3438">
            <v>0</v>
          </cell>
        </row>
        <row r="3439">
          <cell r="AD3439" t="str"/>
          <cell r="AE3439" t="str"/>
          <cell r="AF3439">
            <v>0</v>
          </cell>
          <cell r="AG3439">
            <v>0</v>
          </cell>
        </row>
        <row r="3440">
          <cell r="AD3440" t="str"/>
          <cell r="AE3440" t="str"/>
          <cell r="AF3440">
            <v>0</v>
          </cell>
          <cell r="AG3440">
            <v>0</v>
          </cell>
        </row>
        <row r="3441">
          <cell r="AD3441" t="str"/>
          <cell r="AE3441" t="str"/>
          <cell r="AF3441">
            <v>0</v>
          </cell>
          <cell r="AG3441">
            <v>0</v>
          </cell>
        </row>
        <row r="3442">
          <cell r="AD3442" t="str"/>
          <cell r="AE3442" t="str"/>
          <cell r="AF3442">
            <v>0</v>
          </cell>
          <cell r="AG3442">
            <v>0</v>
          </cell>
        </row>
        <row r="3443">
          <cell r="AD3443" t="str"/>
          <cell r="AE3443" t="str"/>
          <cell r="AF3443">
            <v>0</v>
          </cell>
          <cell r="AG3443">
            <v>0</v>
          </cell>
        </row>
        <row r="3444">
          <cell r="AD3444" t="str"/>
          <cell r="AE3444" t="str"/>
          <cell r="AF3444">
            <v>0</v>
          </cell>
          <cell r="AG3444">
            <v>0</v>
          </cell>
        </row>
        <row r="3445">
          <cell r="AD3445" t="str"/>
          <cell r="AE3445" t="str"/>
          <cell r="AF3445">
            <v>0</v>
          </cell>
          <cell r="AG3445">
            <v>0</v>
          </cell>
        </row>
        <row r="3446">
          <cell r="AD3446" t="str"/>
          <cell r="AE3446" t="str"/>
          <cell r="AF3446">
            <v>0</v>
          </cell>
          <cell r="AG3446">
            <v>0</v>
          </cell>
        </row>
        <row r="3447">
          <cell r="AD3447" t="str"/>
          <cell r="AE3447" t="str"/>
          <cell r="AF3447">
            <v>0</v>
          </cell>
          <cell r="AG3447">
            <v>0</v>
          </cell>
        </row>
        <row r="3448">
          <cell r="AD3448" t="str"/>
          <cell r="AE3448" t="str"/>
          <cell r="AF3448">
            <v>0</v>
          </cell>
          <cell r="AG3448">
            <v>0</v>
          </cell>
        </row>
        <row r="3449">
          <cell r="AD3449" t="str"/>
          <cell r="AE3449" t="str"/>
          <cell r="AF3449">
            <v>0</v>
          </cell>
          <cell r="AG3449">
            <v>0</v>
          </cell>
        </row>
        <row r="3450">
          <cell r="AD3450" t="str"/>
          <cell r="AE3450" t="str"/>
          <cell r="AF3450">
            <v>0</v>
          </cell>
          <cell r="AG3450">
            <v>0</v>
          </cell>
        </row>
        <row r="3451">
          <cell r="AD3451" t="str"/>
          <cell r="AE3451" t="str"/>
          <cell r="AF3451">
            <v>0</v>
          </cell>
          <cell r="AG3451">
            <v>0</v>
          </cell>
        </row>
        <row r="3452">
          <cell r="AD3452" t="str"/>
          <cell r="AE3452" t="str"/>
          <cell r="AF3452">
            <v>0</v>
          </cell>
          <cell r="AG3452">
            <v>0</v>
          </cell>
        </row>
        <row r="3453">
          <cell r="AD3453" t="str"/>
          <cell r="AE3453" t="str"/>
          <cell r="AF3453">
            <v>0</v>
          </cell>
          <cell r="AG3453">
            <v>0</v>
          </cell>
        </row>
        <row r="3454">
          <cell r="AD3454" t="str"/>
          <cell r="AE3454" t="str"/>
          <cell r="AF3454">
            <v>0</v>
          </cell>
          <cell r="AG3454">
            <v>0</v>
          </cell>
        </row>
        <row r="3455">
          <cell r="AD3455" t="str"/>
          <cell r="AE3455" t="str"/>
          <cell r="AF3455">
            <v>0</v>
          </cell>
          <cell r="AG3455">
            <v>0</v>
          </cell>
        </row>
        <row r="3456">
          <cell r="AD3456" t="str"/>
          <cell r="AE3456" t="str"/>
          <cell r="AF3456">
            <v>0</v>
          </cell>
          <cell r="AG3456">
            <v>0</v>
          </cell>
        </row>
        <row r="3457">
          <cell r="AD3457" t="str"/>
          <cell r="AE3457" t="str"/>
          <cell r="AF3457">
            <v>0</v>
          </cell>
          <cell r="AG3457">
            <v>0</v>
          </cell>
        </row>
        <row r="3458">
          <cell r="AD3458" t="str"/>
          <cell r="AE3458" t="str"/>
          <cell r="AF3458">
            <v>0</v>
          </cell>
          <cell r="AG3458">
            <v>0</v>
          </cell>
        </row>
        <row r="3459">
          <cell r="AD3459" t="str"/>
          <cell r="AE3459" t="str"/>
          <cell r="AF3459">
            <v>0</v>
          </cell>
          <cell r="AG3459">
            <v>0</v>
          </cell>
        </row>
        <row r="3460">
          <cell r="AD3460" t="str"/>
          <cell r="AE3460" t="str"/>
          <cell r="AF3460">
            <v>0</v>
          </cell>
          <cell r="AG3460">
            <v>0</v>
          </cell>
        </row>
        <row r="3461">
          <cell r="AD3461" t="str"/>
          <cell r="AE3461" t="str"/>
          <cell r="AF3461">
            <v>0</v>
          </cell>
          <cell r="AG3461">
            <v>0</v>
          </cell>
        </row>
        <row r="3462">
          <cell r="AD3462" t="str"/>
          <cell r="AE3462" t="str"/>
          <cell r="AF3462">
            <v>0</v>
          </cell>
          <cell r="AG3462">
            <v>0</v>
          </cell>
        </row>
        <row r="3463">
          <cell r="AD3463" t="str"/>
          <cell r="AE3463" t="str"/>
          <cell r="AF3463">
            <v>0</v>
          </cell>
          <cell r="AG3463">
            <v>0</v>
          </cell>
        </row>
        <row r="3464">
          <cell r="AD3464" t="str"/>
          <cell r="AE3464" t="str"/>
          <cell r="AF3464">
            <v>0</v>
          </cell>
          <cell r="AG3464">
            <v>0</v>
          </cell>
        </row>
        <row r="3465">
          <cell r="AD3465" t="str"/>
          <cell r="AE3465" t="str"/>
          <cell r="AF3465">
            <v>0</v>
          </cell>
          <cell r="AG3465">
            <v>0</v>
          </cell>
        </row>
        <row r="3466">
          <cell r="AD3466" t="str"/>
          <cell r="AE3466" t="str"/>
          <cell r="AF3466">
            <v>0</v>
          </cell>
          <cell r="AG3466">
            <v>0</v>
          </cell>
        </row>
        <row r="3467">
          <cell r="AD3467" t="str"/>
          <cell r="AE3467" t="str"/>
          <cell r="AF3467">
            <v>0</v>
          </cell>
          <cell r="AG3467">
            <v>0</v>
          </cell>
        </row>
        <row r="3468">
          <cell r="AD3468" t="str"/>
          <cell r="AE3468" t="str"/>
          <cell r="AF3468">
            <v>0</v>
          </cell>
          <cell r="AG3468">
            <v>0</v>
          </cell>
        </row>
        <row r="3469">
          <cell r="AD3469" t="str"/>
          <cell r="AE3469" t="str"/>
          <cell r="AF3469">
            <v>0</v>
          </cell>
          <cell r="AG3469">
            <v>0</v>
          </cell>
        </row>
        <row r="3470">
          <cell r="AD3470" t="str"/>
          <cell r="AE3470" t="str"/>
          <cell r="AF3470">
            <v>0</v>
          </cell>
          <cell r="AG3470">
            <v>0</v>
          </cell>
        </row>
        <row r="3471">
          <cell r="AD3471" t="str"/>
          <cell r="AE3471" t="str"/>
          <cell r="AF3471">
            <v>0</v>
          </cell>
          <cell r="AG3471">
            <v>0</v>
          </cell>
        </row>
        <row r="3472">
          <cell r="AD3472" t="str"/>
          <cell r="AE3472" t="str"/>
          <cell r="AF3472">
            <v>0</v>
          </cell>
          <cell r="AG3472">
            <v>0</v>
          </cell>
        </row>
        <row r="3473">
          <cell r="AD3473" t="str"/>
          <cell r="AE3473" t="str"/>
          <cell r="AF3473">
            <v>0</v>
          </cell>
          <cell r="AG3473">
            <v>0</v>
          </cell>
        </row>
        <row r="3474">
          <cell r="AD3474" t="str"/>
          <cell r="AE3474" t="str"/>
          <cell r="AF3474">
            <v>0</v>
          </cell>
          <cell r="AG3474">
            <v>0</v>
          </cell>
        </row>
        <row r="3475">
          <cell r="AD3475" t="str"/>
          <cell r="AE3475" t="str"/>
          <cell r="AF3475">
            <v>0</v>
          </cell>
          <cell r="AG3475">
            <v>0</v>
          </cell>
        </row>
        <row r="3476">
          <cell r="AD3476" t="str"/>
          <cell r="AE3476" t="str"/>
          <cell r="AF3476">
            <v>0</v>
          </cell>
          <cell r="AG3476">
            <v>0</v>
          </cell>
        </row>
        <row r="3477">
          <cell r="AD3477" t="str"/>
          <cell r="AE3477" t="str"/>
          <cell r="AF3477">
            <v>0</v>
          </cell>
          <cell r="AG3477">
            <v>0</v>
          </cell>
        </row>
        <row r="3478">
          <cell r="AD3478" t="str"/>
          <cell r="AE3478" t="str"/>
          <cell r="AF3478">
            <v>0</v>
          </cell>
          <cell r="AG3478">
            <v>0</v>
          </cell>
        </row>
        <row r="3479">
          <cell r="AD3479" t="str"/>
          <cell r="AE3479" t="str"/>
          <cell r="AF3479">
            <v>0</v>
          </cell>
          <cell r="AG3479">
            <v>0</v>
          </cell>
        </row>
        <row r="3480">
          <cell r="AD3480" t="str"/>
          <cell r="AE3480" t="str"/>
          <cell r="AF3480">
            <v>0</v>
          </cell>
          <cell r="AG3480">
            <v>0</v>
          </cell>
        </row>
        <row r="3481">
          <cell r="AD3481" t="str"/>
          <cell r="AE3481" t="str"/>
          <cell r="AF3481">
            <v>0</v>
          </cell>
          <cell r="AG3481">
            <v>0</v>
          </cell>
        </row>
        <row r="3482">
          <cell r="AD3482" t="str"/>
          <cell r="AE3482" t="str"/>
          <cell r="AF3482">
            <v>0</v>
          </cell>
          <cell r="AG3482">
            <v>0</v>
          </cell>
        </row>
        <row r="3483">
          <cell r="AD3483" t="str"/>
          <cell r="AE3483" t="str"/>
          <cell r="AF3483">
            <v>0</v>
          </cell>
          <cell r="AG3483">
            <v>0</v>
          </cell>
        </row>
        <row r="3484">
          <cell r="AD3484" t="str"/>
          <cell r="AE3484" t="str"/>
          <cell r="AF3484">
            <v>0</v>
          </cell>
          <cell r="AG3484">
            <v>0</v>
          </cell>
        </row>
        <row r="3485">
          <cell r="AD3485" t="str"/>
          <cell r="AE3485" t="str"/>
          <cell r="AF3485">
            <v>0</v>
          </cell>
          <cell r="AG3485">
            <v>0</v>
          </cell>
        </row>
        <row r="3486">
          <cell r="AD3486" t="str"/>
          <cell r="AE3486" t="str"/>
          <cell r="AF3486">
            <v>0</v>
          </cell>
          <cell r="AG3486">
            <v>0</v>
          </cell>
        </row>
        <row r="3487">
          <cell r="AD3487" t="str"/>
          <cell r="AE3487" t="str"/>
          <cell r="AF3487">
            <v>0</v>
          </cell>
          <cell r="AG3487">
            <v>0</v>
          </cell>
        </row>
        <row r="3488">
          <cell r="AD3488" t="str"/>
          <cell r="AE3488" t="str"/>
          <cell r="AF3488">
            <v>0</v>
          </cell>
          <cell r="AG3488">
            <v>0</v>
          </cell>
        </row>
        <row r="3489">
          <cell r="AD3489" t="str"/>
          <cell r="AE3489" t="str"/>
          <cell r="AF3489">
            <v>0</v>
          </cell>
          <cell r="AG3489">
            <v>0</v>
          </cell>
        </row>
        <row r="3490">
          <cell r="AD3490" t="str"/>
          <cell r="AE3490" t="str"/>
          <cell r="AF3490">
            <v>0</v>
          </cell>
          <cell r="AG3490">
            <v>0</v>
          </cell>
        </row>
        <row r="3491">
          <cell r="AD3491" t="str"/>
          <cell r="AE3491" t="str"/>
          <cell r="AF3491">
            <v>0</v>
          </cell>
          <cell r="AG3491">
            <v>0</v>
          </cell>
        </row>
        <row r="3492">
          <cell r="AD3492" t="str"/>
          <cell r="AE3492" t="str"/>
          <cell r="AF3492">
            <v>0</v>
          </cell>
          <cell r="AG3492">
            <v>0</v>
          </cell>
        </row>
        <row r="3493">
          <cell r="AD3493" t="str"/>
          <cell r="AE3493" t="str"/>
          <cell r="AF3493">
            <v>0</v>
          </cell>
          <cell r="AG3493">
            <v>0</v>
          </cell>
        </row>
        <row r="3494">
          <cell r="AD3494" t="str"/>
          <cell r="AE3494" t="str"/>
          <cell r="AF3494">
            <v>0</v>
          </cell>
          <cell r="AG3494">
            <v>0</v>
          </cell>
        </row>
        <row r="3495">
          <cell r="AD3495" t="str"/>
          <cell r="AE3495" t="str"/>
          <cell r="AF3495">
            <v>0</v>
          </cell>
          <cell r="AG3495">
            <v>0</v>
          </cell>
        </row>
        <row r="3496">
          <cell r="AD3496" t="str"/>
          <cell r="AE3496" t="str"/>
          <cell r="AF3496">
            <v>0</v>
          </cell>
          <cell r="AG3496">
            <v>0</v>
          </cell>
        </row>
        <row r="3497">
          <cell r="AD3497" t="str"/>
          <cell r="AE3497" t="str"/>
          <cell r="AF3497">
            <v>0</v>
          </cell>
          <cell r="AG3497">
            <v>0</v>
          </cell>
        </row>
        <row r="3498">
          <cell r="AD3498" t="str"/>
          <cell r="AE3498" t="str"/>
          <cell r="AF3498">
            <v>0</v>
          </cell>
          <cell r="AG3498">
            <v>0</v>
          </cell>
        </row>
        <row r="3499">
          <cell r="AD3499" t="str"/>
          <cell r="AE3499" t="str"/>
          <cell r="AF3499">
            <v>0</v>
          </cell>
          <cell r="AG3499">
            <v>0</v>
          </cell>
        </row>
        <row r="3500">
          <cell r="AD3500" t="str"/>
          <cell r="AE3500" t="str"/>
          <cell r="AF3500">
            <v>0</v>
          </cell>
          <cell r="AG3500">
            <v>0</v>
          </cell>
        </row>
        <row r="3501">
          <cell r="AD3501" t="str"/>
          <cell r="AE3501" t="str"/>
          <cell r="AF3501">
            <v>0</v>
          </cell>
          <cell r="AG3501">
            <v>0</v>
          </cell>
        </row>
        <row r="3502">
          <cell r="AD3502" t="str"/>
          <cell r="AE3502" t="str"/>
          <cell r="AF3502">
            <v>0</v>
          </cell>
          <cell r="AG3502">
            <v>0</v>
          </cell>
        </row>
        <row r="3503">
          <cell r="AD3503" t="str"/>
          <cell r="AE3503" t="str"/>
          <cell r="AF3503">
            <v>0</v>
          </cell>
          <cell r="AG3503">
            <v>0</v>
          </cell>
        </row>
        <row r="3504">
          <cell r="AD3504" t="str"/>
          <cell r="AE3504" t="str"/>
          <cell r="AF3504">
            <v>0</v>
          </cell>
          <cell r="AG3504">
            <v>0</v>
          </cell>
        </row>
        <row r="3505">
          <cell r="AD3505" t="str"/>
          <cell r="AE3505" t="str"/>
          <cell r="AF3505">
            <v>0</v>
          </cell>
          <cell r="AG3505">
            <v>0</v>
          </cell>
        </row>
        <row r="3506">
          <cell r="AD3506" t="str"/>
          <cell r="AE3506" t="str"/>
          <cell r="AF3506">
            <v>0</v>
          </cell>
          <cell r="AG3506">
            <v>0</v>
          </cell>
        </row>
        <row r="3507">
          <cell r="AD3507" t="str"/>
          <cell r="AE3507" t="str"/>
          <cell r="AF3507">
            <v>0</v>
          </cell>
          <cell r="AG3507">
            <v>0</v>
          </cell>
        </row>
        <row r="3508">
          <cell r="AD3508" t="str"/>
          <cell r="AE3508" t="str"/>
          <cell r="AF3508">
            <v>0</v>
          </cell>
          <cell r="AG3508">
            <v>0</v>
          </cell>
        </row>
        <row r="3509">
          <cell r="AD3509" t="str"/>
          <cell r="AE3509" t="str"/>
          <cell r="AF3509">
            <v>0</v>
          </cell>
          <cell r="AG3509">
            <v>0</v>
          </cell>
        </row>
        <row r="3510">
          <cell r="AD3510" t="str"/>
          <cell r="AE3510" t="str"/>
          <cell r="AF3510">
            <v>0</v>
          </cell>
          <cell r="AG3510">
            <v>0</v>
          </cell>
        </row>
        <row r="3511">
          <cell r="AD3511" t="str"/>
          <cell r="AE3511" t="str"/>
          <cell r="AF3511">
            <v>0</v>
          </cell>
          <cell r="AG3511">
            <v>0</v>
          </cell>
        </row>
        <row r="3512">
          <cell r="AD3512" t="str"/>
          <cell r="AE3512" t="str"/>
          <cell r="AF3512">
            <v>0</v>
          </cell>
          <cell r="AG3512">
            <v>0</v>
          </cell>
        </row>
        <row r="3513">
          <cell r="AD3513" t="str"/>
          <cell r="AE3513" t="str"/>
          <cell r="AF3513">
            <v>0</v>
          </cell>
          <cell r="AG3513">
            <v>0</v>
          </cell>
        </row>
        <row r="3514">
          <cell r="AD3514" t="str"/>
          <cell r="AE3514" t="str"/>
          <cell r="AF3514">
            <v>0</v>
          </cell>
          <cell r="AG3514">
            <v>0</v>
          </cell>
        </row>
        <row r="3515">
          <cell r="AD3515" t="str"/>
          <cell r="AE3515" t="str"/>
          <cell r="AF3515">
            <v>0</v>
          </cell>
          <cell r="AG3515">
            <v>0</v>
          </cell>
        </row>
        <row r="3516">
          <cell r="AD3516" t="str"/>
          <cell r="AE3516" t="str"/>
          <cell r="AF3516">
            <v>0</v>
          </cell>
          <cell r="AG3516">
            <v>0</v>
          </cell>
        </row>
        <row r="3517">
          <cell r="AD3517" t="str"/>
          <cell r="AE3517" t="str"/>
          <cell r="AF3517">
            <v>0</v>
          </cell>
          <cell r="AG3517">
            <v>0</v>
          </cell>
        </row>
        <row r="3518">
          <cell r="AD3518" t="str"/>
          <cell r="AE3518" t="str"/>
          <cell r="AF3518">
            <v>0</v>
          </cell>
          <cell r="AG3518">
            <v>0</v>
          </cell>
        </row>
        <row r="3519">
          <cell r="AD3519" t="str"/>
          <cell r="AE3519" t="str"/>
          <cell r="AF3519">
            <v>0</v>
          </cell>
          <cell r="AG3519">
            <v>0</v>
          </cell>
        </row>
        <row r="3520">
          <cell r="AD3520" t="str"/>
          <cell r="AE3520" t="str"/>
          <cell r="AF3520">
            <v>0</v>
          </cell>
          <cell r="AG3520">
            <v>0</v>
          </cell>
        </row>
        <row r="3521">
          <cell r="AD3521" t="str"/>
          <cell r="AE3521" t="str"/>
          <cell r="AF3521">
            <v>0</v>
          </cell>
          <cell r="AG3521">
            <v>0</v>
          </cell>
        </row>
        <row r="3522">
          <cell r="AD3522" t="str"/>
          <cell r="AE3522" t="str"/>
          <cell r="AF3522">
            <v>0</v>
          </cell>
          <cell r="AG3522">
            <v>0</v>
          </cell>
        </row>
        <row r="3523">
          <cell r="AD3523" t="str"/>
          <cell r="AE3523" t="str"/>
          <cell r="AF3523">
            <v>0</v>
          </cell>
          <cell r="AG3523">
            <v>0</v>
          </cell>
        </row>
        <row r="3524">
          <cell r="AD3524" t="str"/>
          <cell r="AE3524" t="str"/>
          <cell r="AF3524">
            <v>0</v>
          </cell>
          <cell r="AG3524">
            <v>0</v>
          </cell>
        </row>
        <row r="3525">
          <cell r="AD3525" t="str"/>
          <cell r="AE3525" t="str"/>
          <cell r="AF3525">
            <v>0</v>
          </cell>
          <cell r="AG3525">
            <v>0</v>
          </cell>
        </row>
        <row r="3526">
          <cell r="AD3526" t="str"/>
          <cell r="AE3526" t="str"/>
          <cell r="AF3526">
            <v>0</v>
          </cell>
          <cell r="AG3526">
            <v>0</v>
          </cell>
        </row>
        <row r="3527">
          <cell r="AD3527" t="str"/>
          <cell r="AE3527" t="str"/>
          <cell r="AF3527">
            <v>0</v>
          </cell>
          <cell r="AG3527">
            <v>0</v>
          </cell>
        </row>
        <row r="3528">
          <cell r="AD3528" t="str"/>
          <cell r="AE3528" t="str"/>
          <cell r="AF3528">
            <v>0</v>
          </cell>
          <cell r="AG3528">
            <v>0</v>
          </cell>
        </row>
        <row r="3529">
          <cell r="AD3529" t="str"/>
          <cell r="AE3529" t="str"/>
          <cell r="AF3529">
            <v>0</v>
          </cell>
          <cell r="AG3529">
            <v>0</v>
          </cell>
        </row>
        <row r="3530">
          <cell r="AD3530" t="str"/>
          <cell r="AE3530" t="str"/>
          <cell r="AF3530">
            <v>0</v>
          </cell>
          <cell r="AG3530">
            <v>0</v>
          </cell>
        </row>
        <row r="3531">
          <cell r="AD3531" t="str"/>
          <cell r="AE3531" t="str"/>
          <cell r="AF3531">
            <v>0</v>
          </cell>
          <cell r="AG3531">
            <v>0</v>
          </cell>
        </row>
        <row r="3532">
          <cell r="AD3532" t="str"/>
          <cell r="AE3532" t="str"/>
          <cell r="AF3532">
            <v>0</v>
          </cell>
          <cell r="AG3532">
            <v>0</v>
          </cell>
        </row>
        <row r="3533">
          <cell r="AD3533" t="str"/>
          <cell r="AE3533" t="str"/>
          <cell r="AF3533">
            <v>0</v>
          </cell>
          <cell r="AG3533">
            <v>0</v>
          </cell>
        </row>
        <row r="3534">
          <cell r="AD3534" t="str"/>
          <cell r="AE3534" t="str"/>
          <cell r="AF3534">
            <v>0</v>
          </cell>
          <cell r="AG3534">
            <v>0</v>
          </cell>
        </row>
        <row r="3535">
          <cell r="AD3535" t="str"/>
          <cell r="AE3535" t="str"/>
          <cell r="AF3535">
            <v>0</v>
          </cell>
          <cell r="AG3535">
            <v>0</v>
          </cell>
        </row>
        <row r="3536">
          <cell r="AD3536" t="str"/>
          <cell r="AE3536" t="str"/>
          <cell r="AF3536">
            <v>0</v>
          </cell>
          <cell r="AG3536">
            <v>0</v>
          </cell>
        </row>
        <row r="3537">
          <cell r="AD3537" t="str"/>
          <cell r="AE3537" t="str"/>
          <cell r="AF3537">
            <v>0</v>
          </cell>
          <cell r="AG3537">
            <v>0</v>
          </cell>
        </row>
        <row r="3538">
          <cell r="AD3538" t="str"/>
          <cell r="AE3538" t="str"/>
          <cell r="AF3538">
            <v>0</v>
          </cell>
          <cell r="AG3538">
            <v>0</v>
          </cell>
        </row>
        <row r="3539">
          <cell r="AD3539" t="str"/>
          <cell r="AE3539" t="str"/>
          <cell r="AF3539">
            <v>0</v>
          </cell>
          <cell r="AG3539">
            <v>0</v>
          </cell>
        </row>
        <row r="3540">
          <cell r="AD3540" t="str"/>
          <cell r="AE3540" t="str"/>
          <cell r="AF3540">
            <v>0</v>
          </cell>
          <cell r="AG3540">
            <v>0</v>
          </cell>
        </row>
        <row r="3541">
          <cell r="AD3541" t="str"/>
          <cell r="AE3541" t="str"/>
          <cell r="AF3541">
            <v>0</v>
          </cell>
          <cell r="AG3541">
            <v>0</v>
          </cell>
        </row>
        <row r="3542">
          <cell r="AD3542" t="str"/>
          <cell r="AE3542" t="str"/>
          <cell r="AF3542">
            <v>0</v>
          </cell>
          <cell r="AG3542">
            <v>0</v>
          </cell>
        </row>
        <row r="3543">
          <cell r="AD3543" t="str"/>
          <cell r="AE3543" t="str"/>
          <cell r="AF3543">
            <v>0</v>
          </cell>
          <cell r="AG3543">
            <v>0</v>
          </cell>
        </row>
        <row r="3544">
          <cell r="AD3544" t="str"/>
          <cell r="AE3544" t="str"/>
          <cell r="AF3544">
            <v>0</v>
          </cell>
          <cell r="AG3544">
            <v>0</v>
          </cell>
        </row>
        <row r="3545">
          <cell r="AD3545" t="str"/>
          <cell r="AE3545" t="str"/>
          <cell r="AF3545">
            <v>0</v>
          </cell>
          <cell r="AG3545">
            <v>0</v>
          </cell>
        </row>
        <row r="3546">
          <cell r="AD3546" t="str"/>
          <cell r="AE3546" t="str"/>
          <cell r="AF3546">
            <v>0</v>
          </cell>
          <cell r="AG3546">
            <v>0</v>
          </cell>
        </row>
        <row r="3547">
          <cell r="AD3547" t="str"/>
          <cell r="AE3547" t="str"/>
          <cell r="AF3547">
            <v>0</v>
          </cell>
          <cell r="AG3547">
            <v>0</v>
          </cell>
        </row>
        <row r="3548">
          <cell r="AD3548" t="str"/>
          <cell r="AE3548" t="str"/>
          <cell r="AF3548">
            <v>0</v>
          </cell>
          <cell r="AG3548">
            <v>0</v>
          </cell>
        </row>
        <row r="3549">
          <cell r="AD3549" t="str"/>
          <cell r="AE3549" t="str"/>
          <cell r="AF3549">
            <v>0</v>
          </cell>
          <cell r="AG3549">
            <v>0</v>
          </cell>
        </row>
        <row r="3550">
          <cell r="AD3550" t="str"/>
          <cell r="AE3550" t="str"/>
          <cell r="AF3550">
            <v>0</v>
          </cell>
          <cell r="AG3550">
            <v>0</v>
          </cell>
        </row>
        <row r="3551">
          <cell r="AD3551" t="str"/>
          <cell r="AE3551" t="str"/>
          <cell r="AF3551">
            <v>0</v>
          </cell>
          <cell r="AG3551">
            <v>0</v>
          </cell>
        </row>
        <row r="3552">
          <cell r="AD3552" t="str"/>
          <cell r="AE3552" t="str"/>
          <cell r="AF3552">
            <v>0</v>
          </cell>
          <cell r="AG3552">
            <v>0</v>
          </cell>
        </row>
        <row r="3553">
          <cell r="AD3553" t="str"/>
          <cell r="AE3553" t="str"/>
          <cell r="AF3553">
            <v>0</v>
          </cell>
          <cell r="AG3553">
            <v>0</v>
          </cell>
        </row>
        <row r="3554">
          <cell r="AD3554" t="str"/>
          <cell r="AE3554" t="str"/>
          <cell r="AF3554">
            <v>0</v>
          </cell>
          <cell r="AG3554">
            <v>0</v>
          </cell>
        </row>
        <row r="3555">
          <cell r="AD3555" t="str"/>
          <cell r="AE3555" t="str"/>
          <cell r="AF3555">
            <v>0</v>
          </cell>
          <cell r="AG3555">
            <v>0</v>
          </cell>
        </row>
        <row r="3556">
          <cell r="AD3556" t="str"/>
          <cell r="AE3556" t="str"/>
          <cell r="AF3556">
            <v>0</v>
          </cell>
          <cell r="AG3556">
            <v>0</v>
          </cell>
        </row>
        <row r="3557">
          <cell r="AD3557" t="str"/>
          <cell r="AE3557" t="str"/>
          <cell r="AF3557">
            <v>0</v>
          </cell>
          <cell r="AG3557">
            <v>0</v>
          </cell>
        </row>
        <row r="3558">
          <cell r="AD3558" t="str"/>
          <cell r="AE3558" t="str"/>
          <cell r="AF3558">
            <v>0</v>
          </cell>
          <cell r="AG3558">
            <v>0</v>
          </cell>
        </row>
        <row r="3559">
          <cell r="AD3559" t="str"/>
          <cell r="AE3559" t="str"/>
          <cell r="AF3559">
            <v>0</v>
          </cell>
          <cell r="AG3559">
            <v>0</v>
          </cell>
        </row>
        <row r="3560">
          <cell r="AD3560" t="str"/>
          <cell r="AE3560" t="str"/>
          <cell r="AF3560">
            <v>0</v>
          </cell>
          <cell r="AG3560">
            <v>0</v>
          </cell>
        </row>
        <row r="3561">
          <cell r="AD3561" t="str"/>
          <cell r="AE3561" t="str"/>
          <cell r="AF3561">
            <v>0</v>
          </cell>
          <cell r="AG3561">
            <v>0</v>
          </cell>
        </row>
        <row r="3562">
          <cell r="AD3562" t="str"/>
          <cell r="AE3562" t="str"/>
          <cell r="AF3562">
            <v>0</v>
          </cell>
          <cell r="AG3562">
            <v>0</v>
          </cell>
        </row>
        <row r="3563">
          <cell r="AD3563" t="str"/>
          <cell r="AE3563" t="str"/>
          <cell r="AF3563">
            <v>0</v>
          </cell>
          <cell r="AG3563">
            <v>0</v>
          </cell>
        </row>
        <row r="3564">
          <cell r="AD3564" t="str"/>
          <cell r="AE3564" t="str"/>
          <cell r="AF3564">
            <v>0</v>
          </cell>
          <cell r="AG3564">
            <v>0</v>
          </cell>
        </row>
        <row r="3565">
          <cell r="AD3565" t="str"/>
          <cell r="AE3565" t="str"/>
          <cell r="AF3565">
            <v>0</v>
          </cell>
          <cell r="AG3565">
            <v>0</v>
          </cell>
        </row>
        <row r="3566">
          <cell r="AD3566" t="str"/>
          <cell r="AE3566" t="str"/>
          <cell r="AF3566">
            <v>0</v>
          </cell>
          <cell r="AG3566">
            <v>0</v>
          </cell>
        </row>
        <row r="3567">
          <cell r="AD3567" t="str"/>
          <cell r="AE3567" t="str"/>
          <cell r="AF3567">
            <v>0</v>
          </cell>
          <cell r="AG3567">
            <v>0</v>
          </cell>
        </row>
        <row r="3568">
          <cell r="AD3568" t="str"/>
          <cell r="AE3568" t="str"/>
          <cell r="AF3568">
            <v>0</v>
          </cell>
          <cell r="AG3568">
            <v>0</v>
          </cell>
        </row>
        <row r="3569">
          <cell r="AD3569" t="str"/>
          <cell r="AE3569" t="str"/>
          <cell r="AF3569">
            <v>0</v>
          </cell>
          <cell r="AG3569">
            <v>0</v>
          </cell>
        </row>
        <row r="3570">
          <cell r="AD3570" t="str"/>
          <cell r="AE3570" t="str"/>
          <cell r="AF3570">
            <v>0</v>
          </cell>
          <cell r="AG3570">
            <v>0</v>
          </cell>
        </row>
        <row r="3571">
          <cell r="AD3571" t="str"/>
          <cell r="AE3571" t="str"/>
          <cell r="AF3571">
            <v>0</v>
          </cell>
          <cell r="AG3571">
            <v>0</v>
          </cell>
        </row>
        <row r="3572">
          <cell r="AD3572" t="str"/>
          <cell r="AE3572" t="str"/>
          <cell r="AF3572">
            <v>0</v>
          </cell>
          <cell r="AG3572">
            <v>0</v>
          </cell>
        </row>
        <row r="3573">
          <cell r="AD3573" t="str"/>
          <cell r="AE3573" t="str"/>
          <cell r="AF3573">
            <v>0</v>
          </cell>
          <cell r="AG3573">
            <v>0</v>
          </cell>
        </row>
        <row r="3574">
          <cell r="AD3574" t="str"/>
          <cell r="AE3574" t="str"/>
          <cell r="AF3574">
            <v>0</v>
          </cell>
          <cell r="AG3574">
            <v>0</v>
          </cell>
        </row>
        <row r="3575">
          <cell r="AD3575" t="str"/>
          <cell r="AE3575" t="str"/>
          <cell r="AF3575">
            <v>0</v>
          </cell>
          <cell r="AG3575">
            <v>0</v>
          </cell>
        </row>
        <row r="3576">
          <cell r="AD3576" t="str"/>
          <cell r="AE3576" t="str"/>
          <cell r="AF3576">
            <v>0</v>
          </cell>
          <cell r="AG3576">
            <v>0</v>
          </cell>
        </row>
        <row r="3577">
          <cell r="AD3577" t="str"/>
          <cell r="AE3577" t="str"/>
          <cell r="AF3577">
            <v>0</v>
          </cell>
          <cell r="AG3577">
            <v>0</v>
          </cell>
        </row>
        <row r="3578">
          <cell r="AD3578" t="str"/>
          <cell r="AE3578" t="str"/>
          <cell r="AF3578">
            <v>0</v>
          </cell>
          <cell r="AG3578">
            <v>0</v>
          </cell>
        </row>
        <row r="3579">
          <cell r="AD3579" t="str"/>
          <cell r="AE3579" t="str"/>
          <cell r="AF3579">
            <v>0</v>
          </cell>
          <cell r="AG3579">
            <v>0</v>
          </cell>
        </row>
        <row r="3580">
          <cell r="AD3580" t="str"/>
          <cell r="AE3580" t="str"/>
          <cell r="AF3580">
            <v>0</v>
          </cell>
          <cell r="AG3580">
            <v>0</v>
          </cell>
        </row>
        <row r="3581">
          <cell r="AD3581" t="str"/>
          <cell r="AE3581" t="str"/>
          <cell r="AF3581">
            <v>0</v>
          </cell>
          <cell r="AG3581">
            <v>0</v>
          </cell>
        </row>
        <row r="3582">
          <cell r="AD3582" t="str"/>
          <cell r="AE3582" t="str"/>
          <cell r="AF3582">
            <v>0</v>
          </cell>
          <cell r="AG3582">
            <v>0</v>
          </cell>
        </row>
        <row r="3583">
          <cell r="AD3583" t="str"/>
          <cell r="AE3583" t="str"/>
          <cell r="AF3583">
            <v>0</v>
          </cell>
          <cell r="AG3583">
            <v>0</v>
          </cell>
        </row>
        <row r="3584">
          <cell r="AD3584" t="str"/>
          <cell r="AE3584" t="str"/>
          <cell r="AF3584">
            <v>0</v>
          </cell>
          <cell r="AG3584">
            <v>0</v>
          </cell>
        </row>
        <row r="3585">
          <cell r="AD3585" t="str"/>
          <cell r="AE3585" t="str"/>
          <cell r="AF3585">
            <v>0</v>
          </cell>
          <cell r="AG3585">
            <v>0</v>
          </cell>
        </row>
        <row r="3586">
          <cell r="AD3586" t="str"/>
          <cell r="AE3586" t="str"/>
          <cell r="AF3586">
            <v>0</v>
          </cell>
          <cell r="AG3586">
            <v>0</v>
          </cell>
        </row>
        <row r="3587">
          <cell r="AD3587" t="str"/>
          <cell r="AE3587" t="str"/>
          <cell r="AF3587">
            <v>0</v>
          </cell>
          <cell r="AG3587">
            <v>0</v>
          </cell>
        </row>
        <row r="3588">
          <cell r="AD3588" t="str"/>
          <cell r="AE3588" t="str"/>
          <cell r="AF3588">
            <v>0</v>
          </cell>
          <cell r="AG3588">
            <v>0</v>
          </cell>
        </row>
        <row r="3589">
          <cell r="AD3589" t="str"/>
          <cell r="AE3589" t="str"/>
          <cell r="AF3589">
            <v>0</v>
          </cell>
          <cell r="AG3589">
            <v>0</v>
          </cell>
        </row>
        <row r="3590">
          <cell r="AD3590" t="str"/>
          <cell r="AE3590" t="str"/>
          <cell r="AF3590">
            <v>0</v>
          </cell>
          <cell r="AG3590">
            <v>0</v>
          </cell>
        </row>
        <row r="3591">
          <cell r="AD3591" t="str"/>
          <cell r="AE3591" t="str"/>
          <cell r="AF3591">
            <v>0</v>
          </cell>
          <cell r="AG3591">
            <v>0</v>
          </cell>
        </row>
        <row r="3592">
          <cell r="AD3592" t="str"/>
          <cell r="AE3592" t="str"/>
          <cell r="AF3592">
            <v>0</v>
          </cell>
          <cell r="AG3592">
            <v>0</v>
          </cell>
        </row>
        <row r="3593">
          <cell r="AD3593" t="str"/>
          <cell r="AE3593" t="str"/>
          <cell r="AF3593">
            <v>0</v>
          </cell>
          <cell r="AG3593">
            <v>0</v>
          </cell>
        </row>
        <row r="3594">
          <cell r="AD3594" t="str"/>
          <cell r="AE3594" t="str"/>
          <cell r="AF3594">
            <v>0</v>
          </cell>
          <cell r="AG3594">
            <v>0</v>
          </cell>
        </row>
        <row r="3595">
          <cell r="AD3595" t="str"/>
          <cell r="AE3595" t="str"/>
          <cell r="AF3595">
            <v>0</v>
          </cell>
          <cell r="AG3595">
            <v>0</v>
          </cell>
        </row>
        <row r="3596">
          <cell r="AD3596" t="str"/>
          <cell r="AE3596" t="str"/>
          <cell r="AF3596">
            <v>0</v>
          </cell>
          <cell r="AG3596">
            <v>0</v>
          </cell>
        </row>
        <row r="3597">
          <cell r="AD3597" t="str"/>
          <cell r="AE3597" t="str"/>
          <cell r="AF3597">
            <v>0</v>
          </cell>
          <cell r="AG3597">
            <v>0</v>
          </cell>
        </row>
        <row r="3598">
          <cell r="AD3598" t="str"/>
          <cell r="AE3598" t="str"/>
          <cell r="AF3598">
            <v>0</v>
          </cell>
          <cell r="AG3598">
            <v>0</v>
          </cell>
        </row>
        <row r="3599">
          <cell r="AD3599" t="str"/>
          <cell r="AE3599" t="str"/>
          <cell r="AF3599">
            <v>0</v>
          </cell>
          <cell r="AG3599">
            <v>0</v>
          </cell>
        </row>
        <row r="3600">
          <cell r="AD3600" t="str"/>
          <cell r="AE3600" t="str"/>
          <cell r="AF3600">
            <v>0</v>
          </cell>
          <cell r="AG3600">
            <v>0</v>
          </cell>
        </row>
        <row r="3601">
          <cell r="AD3601" t="str"/>
          <cell r="AE3601" t="str"/>
          <cell r="AF3601">
            <v>0</v>
          </cell>
          <cell r="AG3601">
            <v>0</v>
          </cell>
        </row>
        <row r="3602">
          <cell r="AD3602" t="str"/>
          <cell r="AE3602" t="str"/>
          <cell r="AF3602">
            <v>0</v>
          </cell>
          <cell r="AG3602">
            <v>0</v>
          </cell>
        </row>
        <row r="3603">
          <cell r="AD3603" t="str"/>
          <cell r="AE3603" t="str"/>
          <cell r="AF3603">
            <v>0</v>
          </cell>
          <cell r="AG3603">
            <v>0</v>
          </cell>
        </row>
        <row r="3604">
          <cell r="AD3604" t="str"/>
          <cell r="AE3604" t="str"/>
          <cell r="AF3604">
            <v>0</v>
          </cell>
          <cell r="AG3604">
            <v>0</v>
          </cell>
        </row>
        <row r="3605">
          <cell r="AD3605" t="str"/>
          <cell r="AE3605" t="str"/>
          <cell r="AF3605">
            <v>0</v>
          </cell>
          <cell r="AG3605">
            <v>0</v>
          </cell>
        </row>
        <row r="3606">
          <cell r="AD3606" t="str"/>
          <cell r="AE3606" t="str"/>
          <cell r="AF3606">
            <v>0</v>
          </cell>
          <cell r="AG3606">
            <v>0</v>
          </cell>
        </row>
        <row r="3607">
          <cell r="AD3607" t="str"/>
          <cell r="AE3607" t="str"/>
          <cell r="AF3607">
            <v>0</v>
          </cell>
          <cell r="AG3607">
            <v>0</v>
          </cell>
        </row>
        <row r="3608">
          <cell r="AD3608" t="str"/>
          <cell r="AE3608" t="str"/>
          <cell r="AF3608">
            <v>0</v>
          </cell>
          <cell r="AG3608">
            <v>0</v>
          </cell>
        </row>
        <row r="3609">
          <cell r="AD3609" t="str"/>
          <cell r="AE3609" t="str"/>
          <cell r="AF3609">
            <v>0</v>
          </cell>
          <cell r="AG3609">
            <v>0</v>
          </cell>
        </row>
        <row r="3610">
          <cell r="AD3610" t="str"/>
          <cell r="AE3610" t="str"/>
          <cell r="AF3610">
            <v>0</v>
          </cell>
          <cell r="AG3610">
            <v>0</v>
          </cell>
        </row>
        <row r="3611">
          <cell r="AD3611" t="str"/>
          <cell r="AE3611" t="str"/>
          <cell r="AF3611">
            <v>0</v>
          </cell>
          <cell r="AG3611">
            <v>0</v>
          </cell>
        </row>
        <row r="3612">
          <cell r="AD3612" t="str"/>
          <cell r="AE3612" t="str"/>
          <cell r="AF3612">
            <v>0</v>
          </cell>
          <cell r="AG3612">
            <v>0</v>
          </cell>
        </row>
        <row r="3613">
          <cell r="AD3613" t="str"/>
          <cell r="AE3613" t="str"/>
          <cell r="AF3613">
            <v>0</v>
          </cell>
          <cell r="AG3613">
            <v>0</v>
          </cell>
        </row>
        <row r="3614">
          <cell r="AD3614" t="str"/>
          <cell r="AE3614" t="str"/>
          <cell r="AF3614">
            <v>0</v>
          </cell>
          <cell r="AG3614">
            <v>0</v>
          </cell>
        </row>
        <row r="3615">
          <cell r="AD3615" t="str"/>
          <cell r="AE3615" t="str"/>
          <cell r="AF3615">
            <v>0</v>
          </cell>
          <cell r="AG3615">
            <v>0</v>
          </cell>
        </row>
        <row r="3616">
          <cell r="AD3616" t="str"/>
          <cell r="AE3616" t="str"/>
          <cell r="AF3616">
            <v>0</v>
          </cell>
          <cell r="AG3616">
            <v>0</v>
          </cell>
        </row>
        <row r="3617">
          <cell r="AD3617" t="str"/>
          <cell r="AE3617" t="str"/>
          <cell r="AF3617">
            <v>0</v>
          </cell>
          <cell r="AG3617">
            <v>0</v>
          </cell>
        </row>
        <row r="3618">
          <cell r="AD3618" t="str"/>
          <cell r="AE3618" t="str"/>
          <cell r="AF3618">
            <v>0</v>
          </cell>
          <cell r="AG3618">
            <v>0</v>
          </cell>
        </row>
        <row r="3619">
          <cell r="AD3619" t="str"/>
          <cell r="AE3619" t="str"/>
          <cell r="AF3619">
            <v>0</v>
          </cell>
          <cell r="AG3619">
            <v>0</v>
          </cell>
        </row>
        <row r="3620">
          <cell r="AD3620" t="str"/>
          <cell r="AE3620" t="str"/>
          <cell r="AF3620">
            <v>0</v>
          </cell>
          <cell r="AG3620">
            <v>0</v>
          </cell>
        </row>
        <row r="3621">
          <cell r="AD3621" t="str"/>
          <cell r="AE3621" t="str"/>
          <cell r="AF3621">
            <v>0</v>
          </cell>
          <cell r="AG3621">
            <v>0</v>
          </cell>
        </row>
        <row r="3622">
          <cell r="AD3622" t="str"/>
          <cell r="AE3622" t="str"/>
          <cell r="AF3622">
            <v>0</v>
          </cell>
          <cell r="AG3622">
            <v>0</v>
          </cell>
        </row>
        <row r="3623">
          <cell r="AD3623" t="str"/>
          <cell r="AE3623" t="str"/>
          <cell r="AF3623">
            <v>0</v>
          </cell>
          <cell r="AG3623">
            <v>0</v>
          </cell>
        </row>
        <row r="3624">
          <cell r="AD3624" t="str"/>
          <cell r="AE3624" t="str"/>
          <cell r="AF3624">
            <v>0</v>
          </cell>
          <cell r="AG3624">
            <v>0</v>
          </cell>
        </row>
        <row r="3625">
          <cell r="AD3625" t="str"/>
          <cell r="AE3625" t="str"/>
          <cell r="AF3625">
            <v>0</v>
          </cell>
          <cell r="AG3625">
            <v>0</v>
          </cell>
        </row>
        <row r="3626">
          <cell r="AD3626" t="str"/>
          <cell r="AE3626" t="str"/>
          <cell r="AF3626">
            <v>0</v>
          </cell>
          <cell r="AG3626">
            <v>0</v>
          </cell>
        </row>
        <row r="3627">
          <cell r="AD3627" t="str"/>
          <cell r="AE3627" t="str"/>
          <cell r="AF3627">
            <v>0</v>
          </cell>
          <cell r="AG3627">
            <v>0</v>
          </cell>
        </row>
        <row r="3628">
          <cell r="AD3628" t="str"/>
          <cell r="AE3628" t="str"/>
          <cell r="AF3628">
            <v>0</v>
          </cell>
          <cell r="AG3628">
            <v>0</v>
          </cell>
        </row>
        <row r="3629">
          <cell r="AD3629" t="str"/>
          <cell r="AE3629" t="str"/>
          <cell r="AF3629">
            <v>0</v>
          </cell>
          <cell r="AG3629">
            <v>0</v>
          </cell>
        </row>
        <row r="3630">
          <cell r="AD3630" t="str"/>
          <cell r="AE3630" t="str"/>
          <cell r="AF3630">
            <v>0</v>
          </cell>
          <cell r="AG3630">
            <v>0</v>
          </cell>
        </row>
        <row r="3631">
          <cell r="AD3631" t="str"/>
          <cell r="AE3631" t="str"/>
          <cell r="AF3631">
            <v>0</v>
          </cell>
          <cell r="AG3631">
            <v>0</v>
          </cell>
        </row>
        <row r="3632">
          <cell r="AD3632" t="str"/>
          <cell r="AE3632" t="str"/>
          <cell r="AF3632">
            <v>0</v>
          </cell>
          <cell r="AG3632">
            <v>0</v>
          </cell>
        </row>
        <row r="3633">
          <cell r="AD3633" t="str"/>
          <cell r="AE3633" t="str"/>
          <cell r="AF3633">
            <v>0</v>
          </cell>
          <cell r="AG3633">
            <v>0</v>
          </cell>
        </row>
        <row r="3634">
          <cell r="AD3634" t="str"/>
          <cell r="AE3634" t="str"/>
          <cell r="AF3634">
            <v>0</v>
          </cell>
          <cell r="AG3634">
            <v>0</v>
          </cell>
        </row>
        <row r="3635">
          <cell r="AD3635" t="str"/>
          <cell r="AE3635" t="str"/>
          <cell r="AF3635">
            <v>0</v>
          </cell>
          <cell r="AG3635">
            <v>0</v>
          </cell>
        </row>
        <row r="3636">
          <cell r="AD3636" t="str"/>
          <cell r="AE3636" t="str"/>
          <cell r="AF3636">
            <v>0</v>
          </cell>
          <cell r="AG3636">
            <v>0</v>
          </cell>
        </row>
        <row r="3637">
          <cell r="AD3637" t="str"/>
          <cell r="AE3637" t="str"/>
          <cell r="AF3637">
            <v>0</v>
          </cell>
          <cell r="AG3637">
            <v>0</v>
          </cell>
        </row>
        <row r="3638">
          <cell r="AD3638" t="str"/>
          <cell r="AE3638" t="str"/>
          <cell r="AF3638">
            <v>0</v>
          </cell>
          <cell r="AG3638">
            <v>0</v>
          </cell>
        </row>
        <row r="3639">
          <cell r="AD3639" t="str"/>
          <cell r="AE3639" t="str"/>
          <cell r="AF3639">
            <v>0</v>
          </cell>
          <cell r="AG3639">
            <v>0</v>
          </cell>
        </row>
        <row r="3640">
          <cell r="AD3640" t="str"/>
          <cell r="AE3640" t="str"/>
          <cell r="AF3640">
            <v>0</v>
          </cell>
          <cell r="AG3640">
            <v>0</v>
          </cell>
        </row>
        <row r="3641">
          <cell r="AD3641" t="str"/>
          <cell r="AE3641" t="str"/>
          <cell r="AF3641">
            <v>0</v>
          </cell>
          <cell r="AG3641">
            <v>0</v>
          </cell>
        </row>
        <row r="3642">
          <cell r="AD3642" t="str"/>
          <cell r="AE3642" t="str"/>
          <cell r="AF3642">
            <v>0</v>
          </cell>
          <cell r="AG3642">
            <v>0</v>
          </cell>
        </row>
        <row r="3643">
          <cell r="AD3643" t="str"/>
          <cell r="AE3643" t="str"/>
          <cell r="AF3643">
            <v>0</v>
          </cell>
          <cell r="AG3643">
            <v>0</v>
          </cell>
        </row>
        <row r="3644">
          <cell r="AD3644" t="str"/>
          <cell r="AE3644" t="str"/>
          <cell r="AF3644">
            <v>0</v>
          </cell>
          <cell r="AG3644">
            <v>0</v>
          </cell>
        </row>
        <row r="3645">
          <cell r="AD3645" t="str"/>
          <cell r="AE3645" t="str"/>
          <cell r="AF3645">
            <v>0</v>
          </cell>
          <cell r="AG3645">
            <v>0</v>
          </cell>
        </row>
        <row r="3646">
          <cell r="AD3646" t="str"/>
          <cell r="AE3646" t="str"/>
          <cell r="AF3646">
            <v>0</v>
          </cell>
          <cell r="AG3646">
            <v>0</v>
          </cell>
        </row>
        <row r="3647">
          <cell r="AD3647" t="str"/>
          <cell r="AE3647" t="str"/>
          <cell r="AF3647">
            <v>0</v>
          </cell>
          <cell r="AG3647">
            <v>0</v>
          </cell>
        </row>
        <row r="3648">
          <cell r="AD3648" t="str"/>
          <cell r="AE3648" t="str"/>
          <cell r="AF3648">
            <v>0</v>
          </cell>
          <cell r="AG3648">
            <v>0</v>
          </cell>
        </row>
        <row r="3649">
          <cell r="AD3649" t="str"/>
          <cell r="AE3649" t="str"/>
          <cell r="AF3649">
            <v>0</v>
          </cell>
          <cell r="AG3649">
            <v>0</v>
          </cell>
        </row>
        <row r="3650">
          <cell r="AD3650" t="str"/>
          <cell r="AE3650" t="str"/>
          <cell r="AF3650">
            <v>0</v>
          </cell>
          <cell r="AG3650">
            <v>0</v>
          </cell>
        </row>
        <row r="3651">
          <cell r="AD3651" t="str"/>
          <cell r="AE3651" t="str"/>
          <cell r="AF3651">
            <v>0</v>
          </cell>
          <cell r="AG3651">
            <v>0</v>
          </cell>
        </row>
        <row r="3652">
          <cell r="AD3652" t="str"/>
          <cell r="AE3652" t="str"/>
          <cell r="AF3652">
            <v>0</v>
          </cell>
          <cell r="AG3652">
            <v>0</v>
          </cell>
        </row>
        <row r="3653">
          <cell r="AD3653" t="str"/>
          <cell r="AE3653" t="str"/>
          <cell r="AF3653">
            <v>0</v>
          </cell>
          <cell r="AG3653">
            <v>0</v>
          </cell>
        </row>
        <row r="3654">
          <cell r="AD3654" t="str"/>
          <cell r="AE3654" t="str"/>
          <cell r="AF3654">
            <v>0</v>
          </cell>
          <cell r="AG3654">
            <v>0</v>
          </cell>
        </row>
        <row r="3655">
          <cell r="AD3655" t="str"/>
          <cell r="AE3655" t="str"/>
          <cell r="AF3655">
            <v>0</v>
          </cell>
          <cell r="AG3655">
            <v>0</v>
          </cell>
        </row>
        <row r="3656">
          <cell r="AD3656" t="str"/>
          <cell r="AE3656" t="str"/>
          <cell r="AF3656">
            <v>0</v>
          </cell>
          <cell r="AG3656">
            <v>0</v>
          </cell>
        </row>
        <row r="3657">
          <cell r="AD3657" t="str"/>
          <cell r="AE3657" t="str"/>
          <cell r="AF3657">
            <v>0</v>
          </cell>
          <cell r="AG3657">
            <v>0</v>
          </cell>
        </row>
        <row r="3658">
          <cell r="AD3658" t="str"/>
          <cell r="AE3658" t="str"/>
          <cell r="AF3658">
            <v>0</v>
          </cell>
          <cell r="AG3658">
            <v>0</v>
          </cell>
        </row>
        <row r="3659">
          <cell r="AD3659" t="str"/>
          <cell r="AE3659" t="str"/>
          <cell r="AF3659">
            <v>0</v>
          </cell>
          <cell r="AG3659">
            <v>0</v>
          </cell>
        </row>
        <row r="3660">
          <cell r="AD3660" t="str"/>
          <cell r="AE3660" t="str"/>
          <cell r="AF3660">
            <v>0</v>
          </cell>
          <cell r="AG3660">
            <v>0</v>
          </cell>
        </row>
        <row r="3661">
          <cell r="AD3661" t="str"/>
          <cell r="AE3661" t="str"/>
          <cell r="AF3661">
            <v>0</v>
          </cell>
          <cell r="AG3661">
            <v>0</v>
          </cell>
        </row>
        <row r="3662">
          <cell r="AD3662" t="str"/>
          <cell r="AE3662" t="str"/>
          <cell r="AF3662">
            <v>0</v>
          </cell>
          <cell r="AG3662">
            <v>0</v>
          </cell>
        </row>
        <row r="3663">
          <cell r="AD3663" t="str"/>
          <cell r="AE3663" t="str"/>
          <cell r="AF3663">
            <v>0</v>
          </cell>
          <cell r="AG3663">
            <v>0</v>
          </cell>
        </row>
        <row r="3664">
          <cell r="AD3664" t="str"/>
          <cell r="AE3664" t="str"/>
          <cell r="AF3664">
            <v>0</v>
          </cell>
          <cell r="AG3664">
            <v>0</v>
          </cell>
        </row>
        <row r="3665">
          <cell r="AD3665" t="str"/>
          <cell r="AE3665" t="str"/>
          <cell r="AF3665">
            <v>0</v>
          </cell>
          <cell r="AG3665">
            <v>0</v>
          </cell>
        </row>
        <row r="3666">
          <cell r="AD3666" t="str"/>
          <cell r="AE3666" t="str"/>
          <cell r="AF3666">
            <v>0</v>
          </cell>
          <cell r="AG3666">
            <v>0</v>
          </cell>
        </row>
        <row r="3667">
          <cell r="AD3667" t="str"/>
          <cell r="AE3667" t="str"/>
          <cell r="AF3667">
            <v>0</v>
          </cell>
          <cell r="AG3667">
            <v>0</v>
          </cell>
        </row>
        <row r="3668">
          <cell r="AD3668" t="str"/>
          <cell r="AE3668" t="str"/>
          <cell r="AF3668">
            <v>0</v>
          </cell>
          <cell r="AG3668">
            <v>0</v>
          </cell>
        </row>
        <row r="3669">
          <cell r="AD3669" t="str"/>
          <cell r="AE3669" t="str"/>
          <cell r="AF3669">
            <v>0</v>
          </cell>
          <cell r="AG3669">
            <v>0</v>
          </cell>
        </row>
        <row r="3670">
          <cell r="AD3670" t="str"/>
          <cell r="AE3670" t="str"/>
          <cell r="AF3670">
            <v>0</v>
          </cell>
          <cell r="AG3670">
            <v>0</v>
          </cell>
        </row>
        <row r="3671">
          <cell r="AD3671" t="str"/>
          <cell r="AE3671" t="str"/>
          <cell r="AF3671">
            <v>0</v>
          </cell>
          <cell r="AG3671">
            <v>0</v>
          </cell>
        </row>
        <row r="3672">
          <cell r="AD3672" t="str"/>
          <cell r="AE3672" t="str"/>
          <cell r="AF3672">
            <v>0</v>
          </cell>
          <cell r="AG3672">
            <v>0</v>
          </cell>
        </row>
        <row r="3673">
          <cell r="AD3673" t="str"/>
          <cell r="AE3673" t="str"/>
          <cell r="AF3673">
            <v>0</v>
          </cell>
          <cell r="AG3673">
            <v>0</v>
          </cell>
        </row>
        <row r="3674">
          <cell r="AD3674" t="str"/>
          <cell r="AE3674" t="str"/>
          <cell r="AF3674">
            <v>0</v>
          </cell>
          <cell r="AG3674">
            <v>0</v>
          </cell>
        </row>
        <row r="3675">
          <cell r="AD3675" t="str"/>
          <cell r="AE3675" t="str"/>
          <cell r="AF3675">
            <v>0</v>
          </cell>
          <cell r="AG3675">
            <v>0</v>
          </cell>
        </row>
        <row r="3676">
          <cell r="AD3676" t="str"/>
          <cell r="AE3676" t="str"/>
          <cell r="AF3676">
            <v>0</v>
          </cell>
          <cell r="AG3676">
            <v>0</v>
          </cell>
        </row>
        <row r="3677">
          <cell r="AD3677" t="str"/>
          <cell r="AE3677" t="str"/>
          <cell r="AF3677">
            <v>0</v>
          </cell>
          <cell r="AG3677">
            <v>0</v>
          </cell>
        </row>
        <row r="3678">
          <cell r="AD3678" t="str"/>
          <cell r="AE3678" t="str"/>
          <cell r="AF3678">
            <v>0</v>
          </cell>
          <cell r="AG3678">
            <v>0</v>
          </cell>
        </row>
        <row r="3679">
          <cell r="AD3679" t="str"/>
          <cell r="AE3679" t="str"/>
          <cell r="AF3679">
            <v>0</v>
          </cell>
          <cell r="AG3679">
            <v>0</v>
          </cell>
        </row>
        <row r="3680">
          <cell r="AD3680" t="str"/>
          <cell r="AE3680" t="str"/>
          <cell r="AF3680">
            <v>0</v>
          </cell>
          <cell r="AG3680">
            <v>0</v>
          </cell>
        </row>
        <row r="3681">
          <cell r="AD3681" t="str"/>
          <cell r="AE3681" t="str"/>
          <cell r="AF3681">
            <v>0</v>
          </cell>
          <cell r="AG3681">
            <v>0</v>
          </cell>
        </row>
        <row r="3682">
          <cell r="AD3682" t="str"/>
          <cell r="AE3682" t="str"/>
          <cell r="AF3682">
            <v>0</v>
          </cell>
          <cell r="AG3682">
            <v>0</v>
          </cell>
        </row>
        <row r="3683">
          <cell r="AD3683" t="str"/>
          <cell r="AE3683" t="str"/>
          <cell r="AF3683">
            <v>0</v>
          </cell>
          <cell r="AG3683">
            <v>0</v>
          </cell>
        </row>
        <row r="3684">
          <cell r="AD3684" t="str"/>
          <cell r="AE3684" t="str"/>
          <cell r="AF3684">
            <v>0</v>
          </cell>
          <cell r="AG3684">
            <v>0</v>
          </cell>
        </row>
        <row r="3685">
          <cell r="AD3685" t="str"/>
          <cell r="AE3685" t="str"/>
          <cell r="AF3685">
            <v>0</v>
          </cell>
          <cell r="AG3685">
            <v>0</v>
          </cell>
        </row>
        <row r="3686">
          <cell r="AD3686" t="str"/>
          <cell r="AE3686" t="str"/>
          <cell r="AF3686">
            <v>0</v>
          </cell>
          <cell r="AG3686">
            <v>0</v>
          </cell>
        </row>
        <row r="3687">
          <cell r="AD3687" t="str"/>
          <cell r="AE3687" t="str"/>
          <cell r="AF3687">
            <v>0</v>
          </cell>
          <cell r="AG3687">
            <v>0</v>
          </cell>
        </row>
        <row r="3688">
          <cell r="AD3688" t="str"/>
          <cell r="AE3688" t="str"/>
          <cell r="AF3688">
            <v>0</v>
          </cell>
          <cell r="AG3688">
            <v>0</v>
          </cell>
        </row>
        <row r="3689">
          <cell r="AD3689" t="str"/>
          <cell r="AE3689" t="str"/>
          <cell r="AF3689">
            <v>0</v>
          </cell>
          <cell r="AG3689">
            <v>0</v>
          </cell>
        </row>
        <row r="3690">
          <cell r="AD3690" t="str"/>
          <cell r="AE3690" t="str"/>
          <cell r="AF3690">
            <v>0</v>
          </cell>
          <cell r="AG3690">
            <v>0</v>
          </cell>
        </row>
        <row r="3691">
          <cell r="AD3691" t="str"/>
          <cell r="AE3691" t="str"/>
          <cell r="AF3691">
            <v>0</v>
          </cell>
          <cell r="AG3691">
            <v>0</v>
          </cell>
        </row>
        <row r="3692">
          <cell r="AD3692" t="str"/>
          <cell r="AE3692" t="str"/>
          <cell r="AF3692">
            <v>0</v>
          </cell>
          <cell r="AG3692">
            <v>0</v>
          </cell>
        </row>
        <row r="3693">
          <cell r="AD3693" t="str"/>
          <cell r="AE3693" t="str"/>
          <cell r="AF3693">
            <v>0</v>
          </cell>
          <cell r="AG3693">
            <v>0</v>
          </cell>
        </row>
        <row r="3694">
          <cell r="AD3694" t="str"/>
          <cell r="AE3694" t="str"/>
          <cell r="AF3694">
            <v>0</v>
          </cell>
          <cell r="AG3694">
            <v>0</v>
          </cell>
        </row>
        <row r="3695">
          <cell r="AD3695" t="str"/>
          <cell r="AE3695" t="str"/>
          <cell r="AF3695">
            <v>0</v>
          </cell>
          <cell r="AG3695">
            <v>0</v>
          </cell>
        </row>
        <row r="3696">
          <cell r="AD3696" t="str"/>
          <cell r="AE3696" t="str"/>
          <cell r="AF3696">
            <v>0</v>
          </cell>
          <cell r="AG3696">
            <v>0</v>
          </cell>
        </row>
        <row r="3697">
          <cell r="AD3697" t="str"/>
          <cell r="AE3697" t="str"/>
          <cell r="AF3697">
            <v>0</v>
          </cell>
          <cell r="AG3697">
            <v>0</v>
          </cell>
        </row>
        <row r="3698">
          <cell r="AD3698" t="str"/>
          <cell r="AE3698" t="str"/>
          <cell r="AF3698">
            <v>0</v>
          </cell>
          <cell r="AG3698">
            <v>0</v>
          </cell>
        </row>
        <row r="3699">
          <cell r="AD3699" t="str"/>
          <cell r="AE3699" t="str"/>
          <cell r="AF3699">
            <v>0</v>
          </cell>
          <cell r="AG3699">
            <v>0</v>
          </cell>
        </row>
        <row r="3700">
          <cell r="AD3700" t="str"/>
          <cell r="AE3700" t="str"/>
          <cell r="AF3700">
            <v>0</v>
          </cell>
          <cell r="AG3700">
            <v>0</v>
          </cell>
        </row>
        <row r="3701">
          <cell r="AD3701" t="str"/>
          <cell r="AE3701" t="str"/>
          <cell r="AF3701">
            <v>0</v>
          </cell>
          <cell r="AG3701">
            <v>0</v>
          </cell>
        </row>
        <row r="3702">
          <cell r="AD3702" t="str"/>
          <cell r="AE3702" t="str"/>
          <cell r="AF3702">
            <v>0</v>
          </cell>
          <cell r="AG3702">
            <v>0</v>
          </cell>
        </row>
        <row r="3703">
          <cell r="AD3703" t="str"/>
          <cell r="AE3703" t="str"/>
          <cell r="AF3703">
            <v>0</v>
          </cell>
          <cell r="AG3703">
            <v>0</v>
          </cell>
        </row>
        <row r="3704">
          <cell r="AD3704" t="str"/>
          <cell r="AE3704" t="str"/>
          <cell r="AF3704">
            <v>0</v>
          </cell>
          <cell r="AG3704">
            <v>0</v>
          </cell>
        </row>
        <row r="3705">
          <cell r="AD3705" t="str"/>
          <cell r="AE3705" t="str"/>
          <cell r="AF3705">
            <v>0</v>
          </cell>
          <cell r="AG3705">
            <v>0</v>
          </cell>
        </row>
        <row r="3706">
          <cell r="AD3706" t="str"/>
          <cell r="AE3706" t="str"/>
          <cell r="AF3706">
            <v>0</v>
          </cell>
          <cell r="AG3706">
            <v>0</v>
          </cell>
        </row>
        <row r="3707">
          <cell r="AD3707" t="str"/>
          <cell r="AE3707" t="str"/>
          <cell r="AF3707">
            <v>0</v>
          </cell>
          <cell r="AG3707">
            <v>0</v>
          </cell>
        </row>
        <row r="3708">
          <cell r="AD3708" t="str"/>
          <cell r="AE3708" t="str"/>
          <cell r="AF3708">
            <v>0</v>
          </cell>
          <cell r="AG3708">
            <v>0</v>
          </cell>
        </row>
        <row r="3709">
          <cell r="AD3709" t="str"/>
          <cell r="AE3709" t="str"/>
          <cell r="AF3709">
            <v>0</v>
          </cell>
          <cell r="AG3709">
            <v>0</v>
          </cell>
        </row>
        <row r="3710">
          <cell r="AD3710" t="str"/>
          <cell r="AE3710" t="str"/>
          <cell r="AF3710">
            <v>0</v>
          </cell>
          <cell r="AG3710">
            <v>0</v>
          </cell>
        </row>
        <row r="3711">
          <cell r="AD3711" t="str"/>
          <cell r="AE3711" t="str"/>
          <cell r="AF3711">
            <v>0</v>
          </cell>
          <cell r="AG3711">
            <v>0</v>
          </cell>
        </row>
        <row r="3712">
          <cell r="AD3712" t="str"/>
          <cell r="AE3712" t="str"/>
          <cell r="AF3712">
            <v>0</v>
          </cell>
          <cell r="AG3712">
            <v>0</v>
          </cell>
        </row>
        <row r="3713">
          <cell r="AD3713" t="str"/>
          <cell r="AE3713" t="str"/>
          <cell r="AF3713">
            <v>0</v>
          </cell>
          <cell r="AG3713">
            <v>0</v>
          </cell>
        </row>
        <row r="3714">
          <cell r="AD3714" t="str"/>
          <cell r="AE3714" t="str"/>
          <cell r="AF3714">
            <v>0</v>
          </cell>
          <cell r="AG3714">
            <v>0</v>
          </cell>
        </row>
        <row r="3715">
          <cell r="AD3715" t="str"/>
          <cell r="AE3715" t="str"/>
          <cell r="AF3715">
            <v>0</v>
          </cell>
          <cell r="AG3715">
            <v>0</v>
          </cell>
        </row>
        <row r="3716">
          <cell r="AD3716" t="str"/>
          <cell r="AE3716" t="str"/>
          <cell r="AF3716">
            <v>0</v>
          </cell>
          <cell r="AG3716">
            <v>0</v>
          </cell>
        </row>
        <row r="3717">
          <cell r="AD3717" t="str"/>
          <cell r="AE3717" t="str"/>
          <cell r="AF3717">
            <v>0</v>
          </cell>
          <cell r="AG3717">
            <v>0</v>
          </cell>
        </row>
        <row r="3718">
          <cell r="AD3718" t="str"/>
          <cell r="AE3718" t="str"/>
          <cell r="AF3718">
            <v>0</v>
          </cell>
          <cell r="AG3718">
            <v>0</v>
          </cell>
        </row>
        <row r="3719">
          <cell r="AD3719" t="str"/>
          <cell r="AE3719" t="str"/>
          <cell r="AF3719">
            <v>0</v>
          </cell>
          <cell r="AG3719">
            <v>0</v>
          </cell>
        </row>
        <row r="3720">
          <cell r="AD3720" t="str"/>
          <cell r="AE3720" t="str"/>
          <cell r="AF3720">
            <v>0</v>
          </cell>
          <cell r="AG3720">
            <v>0</v>
          </cell>
        </row>
        <row r="3721">
          <cell r="AD3721" t="str"/>
          <cell r="AE3721" t="str"/>
          <cell r="AF3721">
            <v>0</v>
          </cell>
          <cell r="AG3721">
            <v>0</v>
          </cell>
        </row>
        <row r="3722">
          <cell r="AD3722" t="str"/>
          <cell r="AE3722" t="str"/>
          <cell r="AF3722">
            <v>0</v>
          </cell>
          <cell r="AG3722">
            <v>0</v>
          </cell>
        </row>
        <row r="3723">
          <cell r="AD3723" t="str"/>
          <cell r="AE3723" t="str"/>
          <cell r="AF3723">
            <v>0</v>
          </cell>
          <cell r="AG3723">
            <v>0</v>
          </cell>
        </row>
        <row r="3724">
          <cell r="AD3724" t="str"/>
          <cell r="AE3724" t="str"/>
          <cell r="AF3724">
            <v>0</v>
          </cell>
          <cell r="AG3724">
            <v>0</v>
          </cell>
        </row>
        <row r="3725">
          <cell r="AD3725" t="str"/>
          <cell r="AE3725" t="str"/>
          <cell r="AF3725">
            <v>0</v>
          </cell>
          <cell r="AG3725">
            <v>0</v>
          </cell>
        </row>
        <row r="3726">
          <cell r="AD3726" t="str"/>
          <cell r="AE3726" t="str"/>
          <cell r="AF3726">
            <v>0</v>
          </cell>
          <cell r="AG3726">
            <v>0</v>
          </cell>
        </row>
        <row r="3727">
          <cell r="AD3727" t="e">
            <v>#REF!</v>
          </cell>
          <cell r="AE3727" t="str"/>
          <cell r="AF3727">
            <v>0</v>
          </cell>
          <cell r="AG3727">
            <v>0</v>
          </cell>
        </row>
        <row r="3728">
          <cell r="AD3728" t="str"/>
          <cell r="AE3728" t="str"/>
          <cell r="AF3728">
            <v>0</v>
          </cell>
          <cell r="AG3728">
            <v>0</v>
          </cell>
        </row>
        <row r="3729">
          <cell r="AD3729" t="str"/>
          <cell r="AE3729" t="str"/>
          <cell r="AF3729">
            <v>0</v>
          </cell>
          <cell r="AG3729">
            <v>0</v>
          </cell>
        </row>
        <row r="3730">
          <cell r="AD3730" t="str"/>
          <cell r="AE3730" t="str"/>
          <cell r="AF3730">
            <v>0</v>
          </cell>
          <cell r="AG3730">
            <v>0</v>
          </cell>
        </row>
        <row r="3731">
          <cell r="AD3731" t="str"/>
          <cell r="AE3731" t="str"/>
          <cell r="AF3731">
            <v>0</v>
          </cell>
          <cell r="AG3731">
            <v>0</v>
          </cell>
        </row>
        <row r="3732">
          <cell r="AD3732" t="str"/>
          <cell r="AE3732" t="str"/>
          <cell r="AF3732">
            <v>0</v>
          </cell>
          <cell r="AG3732">
            <v>0</v>
          </cell>
        </row>
        <row r="3733">
          <cell r="AD3733" t="str"/>
          <cell r="AE3733" t="str"/>
          <cell r="AF3733">
            <v>0</v>
          </cell>
          <cell r="AG3733">
            <v>0</v>
          </cell>
        </row>
        <row r="3734">
          <cell r="AD3734" t="str"/>
          <cell r="AE3734" t="str"/>
          <cell r="AF3734">
            <v>0</v>
          </cell>
          <cell r="AG3734">
            <v>0</v>
          </cell>
        </row>
        <row r="3735">
          <cell r="AD3735" t="str"/>
          <cell r="AE3735" t="str"/>
          <cell r="AF3735">
            <v>0</v>
          </cell>
          <cell r="AG3735">
            <v>0</v>
          </cell>
        </row>
        <row r="3736">
          <cell r="AD3736" t="str"/>
          <cell r="AE3736" t="str"/>
          <cell r="AF3736">
            <v>0</v>
          </cell>
          <cell r="AG3736">
            <v>0</v>
          </cell>
        </row>
        <row r="3737">
          <cell r="AD3737" t="str"/>
          <cell r="AE3737" t="str"/>
          <cell r="AF3737">
            <v>0</v>
          </cell>
          <cell r="AG3737">
            <v>0</v>
          </cell>
        </row>
        <row r="3738">
          <cell r="AD3738" t="str"/>
          <cell r="AE3738" t="str"/>
          <cell r="AF3738">
            <v>0</v>
          </cell>
          <cell r="AG3738">
            <v>0</v>
          </cell>
        </row>
        <row r="3739">
          <cell r="AD3739" t="str"/>
          <cell r="AE3739" t="str"/>
          <cell r="AF3739">
            <v>0</v>
          </cell>
          <cell r="AG3739">
            <v>0</v>
          </cell>
        </row>
        <row r="3740">
          <cell r="AD3740" t="str"/>
          <cell r="AE3740" t="str"/>
          <cell r="AF3740">
            <v>0</v>
          </cell>
          <cell r="AG3740">
            <v>0</v>
          </cell>
        </row>
        <row r="3741">
          <cell r="AD3741" t="str"/>
          <cell r="AE3741" t="str"/>
          <cell r="AF3741">
            <v>0</v>
          </cell>
          <cell r="AG3741">
            <v>0</v>
          </cell>
        </row>
        <row r="3742">
          <cell r="AD3742" t="str"/>
          <cell r="AE3742" t="str"/>
          <cell r="AF3742">
            <v>0</v>
          </cell>
          <cell r="AG3742">
            <v>0</v>
          </cell>
        </row>
        <row r="3743">
          <cell r="AD3743" t="str"/>
          <cell r="AE3743" t="str"/>
          <cell r="AF3743">
            <v>0</v>
          </cell>
          <cell r="AG3743">
            <v>0</v>
          </cell>
        </row>
        <row r="3744">
          <cell r="AD3744" t="str"/>
          <cell r="AE3744" t="str"/>
          <cell r="AF3744">
            <v>0</v>
          </cell>
          <cell r="AG3744">
            <v>0</v>
          </cell>
        </row>
        <row r="3745">
          <cell r="AD3745" t="str"/>
          <cell r="AE3745" t="str"/>
          <cell r="AF3745">
            <v>0</v>
          </cell>
          <cell r="AG3745">
            <v>0</v>
          </cell>
        </row>
        <row r="3746">
          <cell r="AD3746" t="str"/>
          <cell r="AE3746" t="str"/>
          <cell r="AF3746">
            <v>0</v>
          </cell>
          <cell r="AG3746">
            <v>0</v>
          </cell>
        </row>
        <row r="3747">
          <cell r="AD3747" t="str"/>
          <cell r="AE3747" t="str"/>
          <cell r="AF3747">
            <v>0</v>
          </cell>
          <cell r="AG3747">
            <v>0</v>
          </cell>
        </row>
        <row r="3748">
          <cell r="AD3748" t="str"/>
          <cell r="AE3748" t="str"/>
          <cell r="AF3748">
            <v>0</v>
          </cell>
          <cell r="AG3748">
            <v>0</v>
          </cell>
        </row>
        <row r="3749">
          <cell r="AD3749" t="str"/>
          <cell r="AE3749" t="str"/>
          <cell r="AF3749">
            <v>0</v>
          </cell>
          <cell r="AG3749">
            <v>0</v>
          </cell>
        </row>
        <row r="3750">
          <cell r="AD3750" t="str"/>
          <cell r="AE3750" t="str"/>
          <cell r="AF3750">
            <v>0</v>
          </cell>
          <cell r="AG3750">
            <v>0</v>
          </cell>
        </row>
        <row r="3751">
          <cell r="AD3751" t="str"/>
          <cell r="AE3751" t="str"/>
          <cell r="AF3751">
            <v>0</v>
          </cell>
          <cell r="AG3751">
            <v>0</v>
          </cell>
        </row>
        <row r="3752">
          <cell r="AD3752" t="str"/>
          <cell r="AE3752" t="str"/>
          <cell r="AF3752">
            <v>0</v>
          </cell>
          <cell r="AG3752">
            <v>0</v>
          </cell>
        </row>
        <row r="3753">
          <cell r="AD3753" t="str"/>
          <cell r="AE3753" t="str"/>
          <cell r="AF3753">
            <v>0</v>
          </cell>
          <cell r="AG3753">
            <v>0</v>
          </cell>
        </row>
        <row r="3754">
          <cell r="AD3754" t="str"/>
          <cell r="AE3754" t="str"/>
          <cell r="AF3754">
            <v>0</v>
          </cell>
          <cell r="AG3754">
            <v>0</v>
          </cell>
        </row>
        <row r="3755">
          <cell r="AD3755" t="str"/>
          <cell r="AE3755" t="str"/>
          <cell r="AF3755">
            <v>0</v>
          </cell>
          <cell r="AG3755">
            <v>0</v>
          </cell>
        </row>
        <row r="3756">
          <cell r="AD3756" t="str"/>
          <cell r="AE3756" t="str"/>
          <cell r="AF3756">
            <v>0</v>
          </cell>
          <cell r="AG3756">
            <v>0</v>
          </cell>
        </row>
        <row r="3757">
          <cell r="AD3757" t="str"/>
          <cell r="AE3757" t="str"/>
          <cell r="AF3757">
            <v>0</v>
          </cell>
          <cell r="AG3757">
            <v>0</v>
          </cell>
        </row>
        <row r="3758">
          <cell r="AD3758" t="str"/>
          <cell r="AE3758" t="str"/>
          <cell r="AF3758">
            <v>0</v>
          </cell>
          <cell r="AG3758">
            <v>0</v>
          </cell>
        </row>
        <row r="3759">
          <cell r="AD3759" t="str"/>
          <cell r="AE3759" t="str"/>
          <cell r="AF3759">
            <v>0</v>
          </cell>
          <cell r="AG3759">
            <v>0</v>
          </cell>
        </row>
        <row r="3760">
          <cell r="AD3760" t="str"/>
          <cell r="AE3760" t="str"/>
          <cell r="AF3760">
            <v>0</v>
          </cell>
          <cell r="AG3760">
            <v>0</v>
          </cell>
        </row>
        <row r="3761">
          <cell r="AD3761" t="str"/>
          <cell r="AE3761" t="str"/>
          <cell r="AF3761">
            <v>0</v>
          </cell>
          <cell r="AG3761">
            <v>0</v>
          </cell>
        </row>
        <row r="3762">
          <cell r="AD3762" t="str"/>
          <cell r="AE3762" t="str"/>
          <cell r="AF3762">
            <v>0</v>
          </cell>
          <cell r="AG3762">
            <v>0</v>
          </cell>
        </row>
        <row r="3763">
          <cell r="AD3763" t="str"/>
          <cell r="AE3763" t="str"/>
          <cell r="AF3763">
            <v>0</v>
          </cell>
          <cell r="AG3763">
            <v>0</v>
          </cell>
        </row>
        <row r="3764">
          <cell r="AD3764" t="str"/>
          <cell r="AE3764" t="str"/>
          <cell r="AF3764">
            <v>0</v>
          </cell>
          <cell r="AG3764">
            <v>0</v>
          </cell>
        </row>
        <row r="3765">
          <cell r="AD3765" t="str"/>
          <cell r="AE3765" t="str"/>
          <cell r="AF3765">
            <v>0</v>
          </cell>
          <cell r="AG3765">
            <v>0</v>
          </cell>
        </row>
        <row r="3766">
          <cell r="AD3766" t="str"/>
          <cell r="AE3766" t="str"/>
          <cell r="AF3766">
            <v>0</v>
          </cell>
          <cell r="AG3766">
            <v>0</v>
          </cell>
        </row>
        <row r="3767">
          <cell r="AD3767" t="str"/>
          <cell r="AE3767" t="str"/>
          <cell r="AF3767">
            <v>0</v>
          </cell>
          <cell r="AG3767">
            <v>0</v>
          </cell>
        </row>
        <row r="3768">
          <cell r="AD3768" t="str"/>
          <cell r="AE3768" t="str"/>
          <cell r="AF3768">
            <v>0</v>
          </cell>
          <cell r="AG3768">
            <v>0</v>
          </cell>
        </row>
        <row r="3769">
          <cell r="AD3769" t="str"/>
          <cell r="AE3769" t="str"/>
          <cell r="AF3769">
            <v>0</v>
          </cell>
          <cell r="AG3769">
            <v>0</v>
          </cell>
        </row>
        <row r="3770">
          <cell r="AD3770" t="str"/>
          <cell r="AE3770" t="str"/>
          <cell r="AF3770">
            <v>0</v>
          </cell>
          <cell r="AG3770">
            <v>0</v>
          </cell>
        </row>
        <row r="3771">
          <cell r="AD3771" t="str"/>
          <cell r="AE3771" t="str"/>
          <cell r="AF3771">
            <v>0</v>
          </cell>
          <cell r="AG3771">
            <v>0</v>
          </cell>
        </row>
        <row r="3772">
          <cell r="AD3772" t="str"/>
          <cell r="AE3772" t="str"/>
          <cell r="AF3772">
            <v>0</v>
          </cell>
          <cell r="AG3772">
            <v>0</v>
          </cell>
        </row>
        <row r="3773">
          <cell r="AD3773" t="str"/>
          <cell r="AE3773" t="str"/>
          <cell r="AF3773">
            <v>0</v>
          </cell>
          <cell r="AG3773">
            <v>0</v>
          </cell>
        </row>
        <row r="3774">
          <cell r="AD3774" t="str"/>
          <cell r="AE3774" t="str"/>
          <cell r="AF3774">
            <v>0</v>
          </cell>
          <cell r="AG3774">
            <v>0</v>
          </cell>
        </row>
        <row r="3775">
          <cell r="AD3775" t="str"/>
          <cell r="AE3775" t="str"/>
          <cell r="AF3775">
            <v>0</v>
          </cell>
          <cell r="AG3775">
            <v>0</v>
          </cell>
        </row>
        <row r="3776">
          <cell r="AD3776" t="str"/>
          <cell r="AE3776" t="str"/>
          <cell r="AF3776">
            <v>0</v>
          </cell>
          <cell r="AG3776">
            <v>0</v>
          </cell>
        </row>
        <row r="3777">
          <cell r="AD3777" t="str"/>
          <cell r="AE3777" t="str"/>
          <cell r="AF3777">
            <v>0</v>
          </cell>
          <cell r="AG3777">
            <v>0</v>
          </cell>
        </row>
        <row r="3778">
          <cell r="AD3778" t="str"/>
          <cell r="AE3778" t="str"/>
          <cell r="AF3778">
            <v>0</v>
          </cell>
          <cell r="AG3778">
            <v>0</v>
          </cell>
        </row>
        <row r="3779">
          <cell r="AD3779" t="str"/>
          <cell r="AE3779" t="str"/>
          <cell r="AF3779">
            <v>0</v>
          </cell>
          <cell r="AG3779">
            <v>0</v>
          </cell>
        </row>
        <row r="3780">
          <cell r="AD3780" t="str"/>
          <cell r="AE3780" t="str"/>
          <cell r="AF3780">
            <v>0</v>
          </cell>
          <cell r="AG3780">
            <v>0</v>
          </cell>
        </row>
        <row r="3781">
          <cell r="AD3781" t="str"/>
          <cell r="AE3781" t="str"/>
          <cell r="AF3781">
            <v>0</v>
          </cell>
          <cell r="AG3781">
            <v>0</v>
          </cell>
        </row>
        <row r="3782">
          <cell r="AD3782" t="str"/>
          <cell r="AE3782" t="str"/>
          <cell r="AF3782">
            <v>0</v>
          </cell>
          <cell r="AG3782">
            <v>0</v>
          </cell>
        </row>
        <row r="3783">
          <cell r="AD3783" t="str"/>
          <cell r="AE3783" t="str"/>
          <cell r="AF3783">
            <v>0</v>
          </cell>
          <cell r="AG3783">
            <v>0</v>
          </cell>
        </row>
        <row r="3784">
          <cell r="AD3784" t="str"/>
          <cell r="AE3784" t="str"/>
          <cell r="AF3784">
            <v>0</v>
          </cell>
          <cell r="AG3784">
            <v>0</v>
          </cell>
        </row>
        <row r="3785">
          <cell r="AD3785" t="str"/>
          <cell r="AE3785" t="str"/>
          <cell r="AF3785">
            <v>0</v>
          </cell>
          <cell r="AG3785">
            <v>0</v>
          </cell>
        </row>
        <row r="3786">
          <cell r="AD3786" t="str"/>
          <cell r="AE3786" t="str"/>
          <cell r="AF3786">
            <v>0</v>
          </cell>
          <cell r="AG3786">
            <v>0</v>
          </cell>
        </row>
        <row r="3787">
          <cell r="AD3787" t="str"/>
          <cell r="AE3787" t="str"/>
          <cell r="AF3787">
            <v>0</v>
          </cell>
          <cell r="AG3787">
            <v>0</v>
          </cell>
        </row>
        <row r="3788">
          <cell r="AD3788" t="str"/>
          <cell r="AE3788" t="str"/>
          <cell r="AF3788">
            <v>0</v>
          </cell>
          <cell r="AG3788">
            <v>0</v>
          </cell>
        </row>
        <row r="3789">
          <cell r="AD3789" t="str"/>
          <cell r="AE3789" t="str"/>
          <cell r="AF3789">
            <v>0</v>
          </cell>
          <cell r="AG3789">
            <v>0</v>
          </cell>
        </row>
        <row r="3790">
          <cell r="AD3790" t="str"/>
          <cell r="AE3790" t="str"/>
          <cell r="AF3790">
            <v>0</v>
          </cell>
          <cell r="AG3790">
            <v>0</v>
          </cell>
        </row>
        <row r="3791">
          <cell r="AD3791" t="str"/>
          <cell r="AE3791" t="str"/>
          <cell r="AF3791">
            <v>0</v>
          </cell>
          <cell r="AG3791">
            <v>0</v>
          </cell>
        </row>
        <row r="3792">
          <cell r="AD3792" t="str"/>
          <cell r="AE3792" t="str"/>
          <cell r="AF3792">
            <v>0</v>
          </cell>
          <cell r="AG3792">
            <v>0</v>
          </cell>
        </row>
        <row r="3793">
          <cell r="AD3793" t="str"/>
          <cell r="AE3793" t="str"/>
          <cell r="AF3793">
            <v>0</v>
          </cell>
          <cell r="AG3793">
            <v>0</v>
          </cell>
        </row>
        <row r="3794">
          <cell r="AD3794" t="str"/>
          <cell r="AE3794" t="str"/>
          <cell r="AF3794">
            <v>0</v>
          </cell>
          <cell r="AG3794">
            <v>0</v>
          </cell>
        </row>
        <row r="3795">
          <cell r="AD3795" t="str"/>
          <cell r="AE3795" t="str"/>
          <cell r="AF3795">
            <v>0</v>
          </cell>
          <cell r="AG3795">
            <v>0</v>
          </cell>
        </row>
        <row r="3796">
          <cell r="AD3796" t="str"/>
          <cell r="AE3796" t="str"/>
          <cell r="AF3796">
            <v>0</v>
          </cell>
          <cell r="AG3796">
            <v>0</v>
          </cell>
        </row>
        <row r="3797">
          <cell r="AD3797" t="str"/>
          <cell r="AE3797" t="str"/>
          <cell r="AF3797">
            <v>0</v>
          </cell>
          <cell r="AG3797">
            <v>0</v>
          </cell>
        </row>
        <row r="3798">
          <cell r="AD3798" t="str"/>
          <cell r="AE3798" t="str"/>
          <cell r="AF3798">
            <v>0</v>
          </cell>
          <cell r="AG3798">
            <v>0</v>
          </cell>
        </row>
        <row r="3799">
          <cell r="AD3799" t="str"/>
          <cell r="AE3799" t="str"/>
          <cell r="AF3799">
            <v>0</v>
          </cell>
          <cell r="AG3799">
            <v>0</v>
          </cell>
        </row>
        <row r="3800">
          <cell r="AD3800" t="str"/>
          <cell r="AE3800" t="str"/>
          <cell r="AF3800">
            <v>0</v>
          </cell>
          <cell r="AG3800">
            <v>0</v>
          </cell>
        </row>
        <row r="3801">
          <cell r="AD3801" t="str"/>
          <cell r="AE3801" t="str"/>
          <cell r="AF3801">
            <v>0</v>
          </cell>
          <cell r="AG3801">
            <v>0</v>
          </cell>
        </row>
        <row r="3802">
          <cell r="AD3802" t="str"/>
          <cell r="AE3802" t="str"/>
          <cell r="AF3802">
            <v>0</v>
          </cell>
          <cell r="AG3802">
            <v>0</v>
          </cell>
        </row>
        <row r="3803">
          <cell r="AD3803" t="str"/>
          <cell r="AE3803" t="str"/>
          <cell r="AF3803">
            <v>0</v>
          </cell>
          <cell r="AG3803">
            <v>0</v>
          </cell>
        </row>
        <row r="3804">
          <cell r="AD3804" t="str"/>
          <cell r="AE3804" t="str"/>
          <cell r="AF3804">
            <v>0</v>
          </cell>
          <cell r="AG3804">
            <v>0</v>
          </cell>
        </row>
        <row r="3805">
          <cell r="AD3805" t="str"/>
          <cell r="AE3805" t="str"/>
          <cell r="AF3805">
            <v>0</v>
          </cell>
          <cell r="AG3805">
            <v>0</v>
          </cell>
        </row>
        <row r="3806">
          <cell r="AD3806" t="str"/>
          <cell r="AE3806" t="str"/>
          <cell r="AF3806">
            <v>0</v>
          </cell>
          <cell r="AG3806">
            <v>0</v>
          </cell>
        </row>
        <row r="3807">
          <cell r="AD3807" t="str"/>
          <cell r="AE3807" t="str"/>
          <cell r="AF3807">
            <v>0</v>
          </cell>
          <cell r="AG3807">
            <v>0</v>
          </cell>
        </row>
        <row r="3808">
          <cell r="AD3808" t="str"/>
          <cell r="AE3808" t="str"/>
          <cell r="AF3808">
            <v>0</v>
          </cell>
          <cell r="AG3808">
            <v>0</v>
          </cell>
        </row>
        <row r="3809">
          <cell r="AD3809" t="str"/>
          <cell r="AE3809" t="str"/>
          <cell r="AF3809">
            <v>0</v>
          </cell>
          <cell r="AG3809">
            <v>0</v>
          </cell>
        </row>
        <row r="3810">
          <cell r="AD3810" t="str"/>
          <cell r="AE3810" t="str"/>
          <cell r="AF3810">
            <v>0</v>
          </cell>
          <cell r="AG3810">
            <v>0</v>
          </cell>
        </row>
        <row r="3811">
          <cell r="AD3811" t="str"/>
          <cell r="AE3811" t="str"/>
          <cell r="AF3811">
            <v>0</v>
          </cell>
          <cell r="AG3811">
            <v>0</v>
          </cell>
        </row>
        <row r="3812">
          <cell r="AD3812" t="str"/>
          <cell r="AE3812" t="str"/>
          <cell r="AF3812">
            <v>0</v>
          </cell>
          <cell r="AG3812">
            <v>0</v>
          </cell>
        </row>
        <row r="3813">
          <cell r="AD3813" t="str"/>
          <cell r="AE3813" t="str"/>
          <cell r="AF3813">
            <v>0</v>
          </cell>
          <cell r="AG3813">
            <v>0</v>
          </cell>
        </row>
        <row r="3814">
          <cell r="AD3814" t="str"/>
          <cell r="AE3814" t="str"/>
          <cell r="AF3814">
            <v>0</v>
          </cell>
          <cell r="AG3814">
            <v>0</v>
          </cell>
        </row>
        <row r="3815">
          <cell r="AD3815" t="str"/>
          <cell r="AE3815" t="str"/>
          <cell r="AF3815">
            <v>0</v>
          </cell>
          <cell r="AG3815">
            <v>0</v>
          </cell>
        </row>
        <row r="3816">
          <cell r="AD3816" t="str"/>
          <cell r="AE3816" t="str"/>
          <cell r="AF3816">
            <v>0</v>
          </cell>
          <cell r="AG3816">
            <v>0</v>
          </cell>
        </row>
        <row r="3817">
          <cell r="AD3817" t="str"/>
          <cell r="AE3817" t="str"/>
          <cell r="AF3817">
            <v>0</v>
          </cell>
          <cell r="AG3817">
            <v>0</v>
          </cell>
        </row>
        <row r="3818">
          <cell r="AD3818" t="str"/>
          <cell r="AE3818" t="str"/>
          <cell r="AF3818">
            <v>0</v>
          </cell>
          <cell r="AG3818">
            <v>0</v>
          </cell>
        </row>
        <row r="3819">
          <cell r="AD3819" t="str"/>
          <cell r="AE3819" t="str"/>
          <cell r="AF3819">
            <v>0</v>
          </cell>
          <cell r="AG3819">
            <v>0</v>
          </cell>
        </row>
        <row r="3820">
          <cell r="AD3820" t="str"/>
          <cell r="AE3820" t="str"/>
          <cell r="AF3820">
            <v>0</v>
          </cell>
          <cell r="AG3820">
            <v>0</v>
          </cell>
        </row>
        <row r="3821">
          <cell r="AD3821" t="str"/>
          <cell r="AE3821" t="str"/>
          <cell r="AF3821">
            <v>0</v>
          </cell>
          <cell r="AG3821">
            <v>0</v>
          </cell>
        </row>
        <row r="3822">
          <cell r="AD3822" t="str"/>
          <cell r="AE3822" t="str"/>
          <cell r="AF3822">
            <v>0</v>
          </cell>
          <cell r="AG3822">
            <v>0</v>
          </cell>
        </row>
        <row r="3823">
          <cell r="AD3823" t="str"/>
          <cell r="AE3823" t="str"/>
          <cell r="AF3823">
            <v>0</v>
          </cell>
          <cell r="AG3823">
            <v>0</v>
          </cell>
        </row>
        <row r="3824">
          <cell r="AD3824" t="str"/>
          <cell r="AE3824" t="str"/>
          <cell r="AF3824">
            <v>0</v>
          </cell>
          <cell r="AG3824">
            <v>0</v>
          </cell>
        </row>
        <row r="3825">
          <cell r="AD3825" t="str"/>
          <cell r="AE3825" t="str"/>
          <cell r="AF3825">
            <v>0</v>
          </cell>
          <cell r="AG3825">
            <v>0</v>
          </cell>
        </row>
        <row r="3826">
          <cell r="AD3826" t="str"/>
          <cell r="AE3826" t="str"/>
          <cell r="AF3826">
            <v>0</v>
          </cell>
          <cell r="AG3826">
            <v>0</v>
          </cell>
        </row>
        <row r="3827">
          <cell r="AD3827" t="str"/>
          <cell r="AE3827" t="str"/>
          <cell r="AF3827">
            <v>0</v>
          </cell>
          <cell r="AG3827">
            <v>0</v>
          </cell>
        </row>
        <row r="3828">
          <cell r="AD3828" t="str"/>
          <cell r="AE3828" t="str"/>
          <cell r="AF3828">
            <v>0</v>
          </cell>
          <cell r="AG3828">
            <v>0</v>
          </cell>
        </row>
        <row r="3829">
          <cell r="AD3829" t="str"/>
          <cell r="AE3829" t="str"/>
          <cell r="AF3829">
            <v>0</v>
          </cell>
          <cell r="AG3829">
            <v>0</v>
          </cell>
        </row>
        <row r="3830">
          <cell r="AD3830" t="str"/>
          <cell r="AE3830" t="str"/>
          <cell r="AF3830">
            <v>0</v>
          </cell>
          <cell r="AG3830">
            <v>0</v>
          </cell>
        </row>
        <row r="3831">
          <cell r="AD3831" t="str"/>
          <cell r="AE3831" t="str"/>
          <cell r="AF3831">
            <v>0</v>
          </cell>
          <cell r="AG3831">
            <v>0</v>
          </cell>
        </row>
        <row r="3832">
          <cell r="AD3832" t="str"/>
          <cell r="AE3832" t="str"/>
          <cell r="AF3832">
            <v>0</v>
          </cell>
          <cell r="AG3832">
            <v>0</v>
          </cell>
        </row>
        <row r="3833">
          <cell r="AD3833" t="str"/>
          <cell r="AE3833" t="str"/>
          <cell r="AF3833">
            <v>0</v>
          </cell>
          <cell r="AG3833">
            <v>0</v>
          </cell>
        </row>
        <row r="3834">
          <cell r="AD3834" t="str"/>
          <cell r="AE3834" t="str"/>
          <cell r="AF3834">
            <v>0</v>
          </cell>
          <cell r="AG3834">
            <v>0</v>
          </cell>
        </row>
        <row r="3835">
          <cell r="AD3835" t="str"/>
          <cell r="AE3835" t="str"/>
          <cell r="AF3835">
            <v>0</v>
          </cell>
          <cell r="AG3835">
            <v>0</v>
          </cell>
        </row>
        <row r="3836">
          <cell r="AD3836" t="str"/>
          <cell r="AE3836" t="str"/>
          <cell r="AF3836">
            <v>0</v>
          </cell>
          <cell r="AG3836">
            <v>0</v>
          </cell>
        </row>
        <row r="3837">
          <cell r="AD3837" t="str"/>
          <cell r="AE3837" t="str"/>
          <cell r="AF3837">
            <v>0</v>
          </cell>
          <cell r="AG3837">
            <v>0</v>
          </cell>
        </row>
        <row r="3838">
          <cell r="AD3838" t="str"/>
          <cell r="AE3838" t="str"/>
          <cell r="AF3838">
            <v>0</v>
          </cell>
          <cell r="AG3838">
            <v>0</v>
          </cell>
        </row>
        <row r="3839">
          <cell r="AD3839" t="str"/>
          <cell r="AE3839" t="str"/>
          <cell r="AF3839">
            <v>0</v>
          </cell>
          <cell r="AG3839">
            <v>0</v>
          </cell>
        </row>
        <row r="3840">
          <cell r="AD3840" t="str"/>
          <cell r="AE3840" t="str"/>
          <cell r="AF3840">
            <v>0</v>
          </cell>
          <cell r="AG3840">
            <v>0</v>
          </cell>
        </row>
        <row r="3841">
          <cell r="AD3841" t="str"/>
          <cell r="AE3841" t="str"/>
          <cell r="AF3841">
            <v>0</v>
          </cell>
          <cell r="AG3841">
            <v>0</v>
          </cell>
        </row>
        <row r="3842">
          <cell r="AD3842" t="str"/>
          <cell r="AE3842" t="str"/>
          <cell r="AF3842">
            <v>0</v>
          </cell>
          <cell r="AG3842">
            <v>0</v>
          </cell>
        </row>
        <row r="3843">
          <cell r="AD3843" t="str"/>
          <cell r="AE3843" t="str"/>
          <cell r="AF3843">
            <v>0</v>
          </cell>
          <cell r="AG3843">
            <v>0</v>
          </cell>
        </row>
        <row r="3844">
          <cell r="AD3844" t="str"/>
          <cell r="AE3844" t="str"/>
          <cell r="AF3844">
            <v>0</v>
          </cell>
          <cell r="AG3844">
            <v>0</v>
          </cell>
        </row>
        <row r="3845">
          <cell r="AD3845" t="str"/>
          <cell r="AE3845" t="str"/>
          <cell r="AF3845">
            <v>0</v>
          </cell>
          <cell r="AG3845">
            <v>0</v>
          </cell>
        </row>
        <row r="3846">
          <cell r="AD3846" t="str"/>
          <cell r="AE3846" t="str"/>
          <cell r="AF3846">
            <v>0</v>
          </cell>
          <cell r="AG3846">
            <v>0</v>
          </cell>
        </row>
        <row r="3847">
          <cell r="AD3847" t="str"/>
          <cell r="AE3847" t="str"/>
          <cell r="AF3847">
            <v>0</v>
          </cell>
          <cell r="AG3847">
            <v>0</v>
          </cell>
        </row>
        <row r="3848">
          <cell r="AD3848" t="str"/>
          <cell r="AE3848" t="str"/>
          <cell r="AF3848">
            <v>0</v>
          </cell>
          <cell r="AG3848">
            <v>0</v>
          </cell>
        </row>
        <row r="3849">
          <cell r="AD3849" t="str"/>
          <cell r="AE3849" t="str"/>
          <cell r="AF3849">
            <v>0</v>
          </cell>
          <cell r="AG3849">
            <v>0</v>
          </cell>
        </row>
        <row r="3850">
          <cell r="AD3850" t="str"/>
          <cell r="AE3850" t="str"/>
          <cell r="AF3850">
            <v>0</v>
          </cell>
          <cell r="AG3850">
            <v>0</v>
          </cell>
        </row>
        <row r="3851">
          <cell r="AD3851" t="str"/>
          <cell r="AE3851" t="str"/>
          <cell r="AF3851">
            <v>0</v>
          </cell>
          <cell r="AG3851">
            <v>0</v>
          </cell>
        </row>
        <row r="3852">
          <cell r="AD3852" t="str"/>
          <cell r="AE3852" t="str"/>
          <cell r="AF3852">
            <v>0</v>
          </cell>
          <cell r="AG3852">
            <v>0</v>
          </cell>
        </row>
        <row r="3853">
          <cell r="AD3853" t="str"/>
          <cell r="AE3853" t="str"/>
          <cell r="AF3853">
            <v>0</v>
          </cell>
          <cell r="AG3853">
            <v>0</v>
          </cell>
        </row>
        <row r="3854">
          <cell r="AD3854" t="str"/>
          <cell r="AE3854" t="str"/>
          <cell r="AF3854">
            <v>0</v>
          </cell>
          <cell r="AG3854">
            <v>0</v>
          </cell>
        </row>
        <row r="3855">
          <cell r="AD3855" t="str"/>
          <cell r="AE3855" t="str"/>
          <cell r="AF3855">
            <v>0</v>
          </cell>
          <cell r="AG3855">
            <v>0</v>
          </cell>
        </row>
        <row r="3856">
          <cell r="AD3856" t="str"/>
          <cell r="AE3856" t="str"/>
          <cell r="AF3856">
            <v>0</v>
          </cell>
          <cell r="AG3856">
            <v>0</v>
          </cell>
        </row>
        <row r="3857">
          <cell r="AD3857" t="str"/>
          <cell r="AE3857" t="str"/>
          <cell r="AF3857">
            <v>0</v>
          </cell>
          <cell r="AG3857">
            <v>0</v>
          </cell>
        </row>
        <row r="3858">
          <cell r="AD3858" t="str"/>
          <cell r="AE3858" t="str"/>
          <cell r="AF3858">
            <v>0</v>
          </cell>
          <cell r="AG3858">
            <v>0</v>
          </cell>
        </row>
        <row r="3859">
          <cell r="AD3859" t="str"/>
          <cell r="AE3859" t="str"/>
          <cell r="AF3859">
            <v>0</v>
          </cell>
          <cell r="AG3859">
            <v>0</v>
          </cell>
        </row>
        <row r="3860">
          <cell r="AD3860" t="str"/>
          <cell r="AE3860" t="str"/>
          <cell r="AF3860">
            <v>0</v>
          </cell>
          <cell r="AG3860">
            <v>0</v>
          </cell>
        </row>
        <row r="3861">
          <cell r="AD3861" t="str"/>
          <cell r="AE3861" t="str"/>
          <cell r="AF3861">
            <v>0</v>
          </cell>
          <cell r="AG3861">
            <v>0</v>
          </cell>
        </row>
        <row r="3862">
          <cell r="AD3862" t="str"/>
          <cell r="AE3862" t="str"/>
          <cell r="AF3862">
            <v>0</v>
          </cell>
          <cell r="AG3862">
            <v>0</v>
          </cell>
        </row>
        <row r="3863">
          <cell r="AD3863" t="str"/>
          <cell r="AE3863" t="str"/>
          <cell r="AF3863">
            <v>0</v>
          </cell>
          <cell r="AG3863">
            <v>0</v>
          </cell>
        </row>
        <row r="3864">
          <cell r="AD3864" t="str"/>
          <cell r="AE3864" t="str"/>
          <cell r="AF3864">
            <v>0</v>
          </cell>
          <cell r="AG3864">
            <v>0</v>
          </cell>
        </row>
        <row r="3865">
          <cell r="AD3865" t="str"/>
          <cell r="AE3865" t="str"/>
          <cell r="AF3865">
            <v>0</v>
          </cell>
          <cell r="AG3865">
            <v>0</v>
          </cell>
        </row>
        <row r="3866">
          <cell r="AD3866" t="str"/>
          <cell r="AE3866" t="str"/>
          <cell r="AF3866">
            <v>0</v>
          </cell>
          <cell r="AG3866">
            <v>0</v>
          </cell>
        </row>
        <row r="3867">
          <cell r="AD3867" t="str"/>
          <cell r="AE3867" t="str"/>
          <cell r="AF3867">
            <v>0</v>
          </cell>
          <cell r="AG3867">
            <v>0</v>
          </cell>
        </row>
        <row r="3868">
          <cell r="AD3868" t="str"/>
          <cell r="AE3868" t="str"/>
          <cell r="AF3868">
            <v>0</v>
          </cell>
          <cell r="AG3868">
            <v>0</v>
          </cell>
        </row>
        <row r="3869">
          <cell r="AD3869" t="str"/>
          <cell r="AE3869" t="str"/>
          <cell r="AF3869">
            <v>0</v>
          </cell>
          <cell r="AG3869">
            <v>0</v>
          </cell>
        </row>
        <row r="3870">
          <cell r="AD3870" t="str"/>
          <cell r="AE3870" t="str"/>
          <cell r="AF3870">
            <v>0</v>
          </cell>
          <cell r="AG3870">
            <v>0</v>
          </cell>
        </row>
        <row r="3871">
          <cell r="AD3871" t="str"/>
          <cell r="AE3871" t="str"/>
          <cell r="AF3871">
            <v>0</v>
          </cell>
          <cell r="AG3871">
            <v>0</v>
          </cell>
        </row>
        <row r="3872">
          <cell r="AD3872" t="str"/>
          <cell r="AE3872" t="str"/>
          <cell r="AF3872">
            <v>0</v>
          </cell>
          <cell r="AG3872">
            <v>0</v>
          </cell>
        </row>
        <row r="3873">
          <cell r="AD3873" t="str"/>
          <cell r="AE3873" t="str"/>
          <cell r="AF3873">
            <v>0</v>
          </cell>
          <cell r="AG3873">
            <v>0</v>
          </cell>
        </row>
        <row r="3874">
          <cell r="AD3874" t="str"/>
          <cell r="AE3874" t="str"/>
          <cell r="AF3874">
            <v>0</v>
          </cell>
          <cell r="AG3874">
            <v>0</v>
          </cell>
        </row>
        <row r="3875">
          <cell r="AD3875" t="str"/>
          <cell r="AE3875" t="str"/>
          <cell r="AF3875">
            <v>0</v>
          </cell>
          <cell r="AG3875">
            <v>0</v>
          </cell>
        </row>
        <row r="3876">
          <cell r="AD3876" t="str"/>
          <cell r="AE3876" t="str"/>
          <cell r="AF3876">
            <v>0</v>
          </cell>
          <cell r="AG3876">
            <v>0</v>
          </cell>
        </row>
        <row r="3877">
          <cell r="AD3877" t="str"/>
          <cell r="AE3877" t="str"/>
          <cell r="AF3877">
            <v>0</v>
          </cell>
          <cell r="AG3877">
            <v>0</v>
          </cell>
        </row>
        <row r="3878">
          <cell r="AD3878" t="str"/>
          <cell r="AE3878" t="str"/>
          <cell r="AF3878">
            <v>0</v>
          </cell>
          <cell r="AG3878">
            <v>0</v>
          </cell>
        </row>
        <row r="3879">
          <cell r="AD3879" t="str"/>
          <cell r="AE3879" t="str"/>
          <cell r="AF3879">
            <v>0</v>
          </cell>
          <cell r="AG3879">
            <v>0</v>
          </cell>
        </row>
        <row r="3880">
          <cell r="AD3880" t="str"/>
          <cell r="AE3880" t="str"/>
          <cell r="AF3880">
            <v>0</v>
          </cell>
          <cell r="AG3880">
            <v>0</v>
          </cell>
        </row>
        <row r="3881">
          <cell r="AD3881" t="str"/>
          <cell r="AE3881" t="str"/>
          <cell r="AF3881">
            <v>0</v>
          </cell>
          <cell r="AG3881">
            <v>0</v>
          </cell>
        </row>
        <row r="3882">
          <cell r="AD3882" t="str"/>
          <cell r="AE3882" t="str"/>
          <cell r="AF3882">
            <v>0</v>
          </cell>
          <cell r="AG3882">
            <v>0</v>
          </cell>
        </row>
        <row r="3883">
          <cell r="AD3883" t="str"/>
          <cell r="AE3883" t="str"/>
          <cell r="AF3883">
            <v>0</v>
          </cell>
          <cell r="AG3883">
            <v>0</v>
          </cell>
        </row>
        <row r="3884">
          <cell r="AD3884" t="str"/>
          <cell r="AE3884" t="str"/>
          <cell r="AF3884">
            <v>0</v>
          </cell>
          <cell r="AG3884">
            <v>0</v>
          </cell>
        </row>
        <row r="3885">
          <cell r="AD3885" t="str"/>
          <cell r="AE3885" t="str"/>
          <cell r="AF3885">
            <v>0</v>
          </cell>
          <cell r="AG3885">
            <v>0</v>
          </cell>
        </row>
        <row r="3886">
          <cell r="AD3886" t="str"/>
          <cell r="AE3886" t="str"/>
          <cell r="AF3886">
            <v>0</v>
          </cell>
          <cell r="AG3886">
            <v>0</v>
          </cell>
        </row>
        <row r="3887">
          <cell r="AD3887" t="str"/>
          <cell r="AE3887" t="str"/>
          <cell r="AF3887">
            <v>0</v>
          </cell>
          <cell r="AG3887">
            <v>0</v>
          </cell>
        </row>
        <row r="3888">
          <cell r="AD3888" t="str"/>
          <cell r="AE3888" t="str"/>
          <cell r="AF3888">
            <v>0</v>
          </cell>
          <cell r="AG3888">
            <v>0</v>
          </cell>
        </row>
        <row r="3889">
          <cell r="AD3889" t="str"/>
          <cell r="AE3889" t="str"/>
          <cell r="AF3889">
            <v>0</v>
          </cell>
          <cell r="AG3889">
            <v>0</v>
          </cell>
        </row>
        <row r="3890">
          <cell r="AD3890" t="str"/>
          <cell r="AE3890" t="str"/>
          <cell r="AF3890">
            <v>0</v>
          </cell>
          <cell r="AG3890">
            <v>0</v>
          </cell>
        </row>
        <row r="3891">
          <cell r="AD3891" t="str"/>
          <cell r="AE3891" t="str"/>
          <cell r="AF3891">
            <v>0</v>
          </cell>
          <cell r="AG3891">
            <v>0</v>
          </cell>
        </row>
        <row r="3892">
          <cell r="AD3892" t="str"/>
          <cell r="AE3892" t="str"/>
          <cell r="AF3892">
            <v>0</v>
          </cell>
          <cell r="AG3892">
            <v>0</v>
          </cell>
        </row>
        <row r="3893">
          <cell r="AD3893" t="str"/>
          <cell r="AE3893" t="str"/>
          <cell r="AF3893">
            <v>0</v>
          </cell>
          <cell r="AG3893">
            <v>0</v>
          </cell>
        </row>
        <row r="3894">
          <cell r="AD3894" t="str"/>
          <cell r="AE3894" t="str"/>
          <cell r="AF3894">
            <v>0</v>
          </cell>
          <cell r="AG3894">
            <v>0</v>
          </cell>
        </row>
        <row r="3895">
          <cell r="AD3895" t="str"/>
          <cell r="AE3895" t="str"/>
          <cell r="AF3895">
            <v>0</v>
          </cell>
          <cell r="AG3895">
            <v>0</v>
          </cell>
        </row>
        <row r="3896">
          <cell r="AD3896" t="str"/>
          <cell r="AE3896" t="str"/>
          <cell r="AF3896">
            <v>0</v>
          </cell>
          <cell r="AG3896">
            <v>0</v>
          </cell>
        </row>
        <row r="3897">
          <cell r="AD3897" t="str"/>
          <cell r="AE3897" t="str"/>
          <cell r="AF3897">
            <v>0</v>
          </cell>
          <cell r="AG3897">
            <v>0</v>
          </cell>
        </row>
        <row r="3898">
          <cell r="AD3898" t="str"/>
          <cell r="AE3898" t="str"/>
          <cell r="AF3898">
            <v>0</v>
          </cell>
          <cell r="AG3898">
            <v>0</v>
          </cell>
        </row>
        <row r="3899">
          <cell r="AD3899" t="str"/>
          <cell r="AE3899" t="str"/>
          <cell r="AF3899">
            <v>0</v>
          </cell>
          <cell r="AG3899">
            <v>0</v>
          </cell>
        </row>
        <row r="3900">
          <cell r="AD3900" t="str"/>
          <cell r="AE3900" t="str"/>
          <cell r="AF3900">
            <v>0</v>
          </cell>
          <cell r="AG3900">
            <v>0</v>
          </cell>
        </row>
        <row r="3901">
          <cell r="AD3901" t="str"/>
          <cell r="AE3901" t="str"/>
          <cell r="AF3901">
            <v>0</v>
          </cell>
          <cell r="AG3901">
            <v>0</v>
          </cell>
        </row>
        <row r="3902">
          <cell r="AD3902" t="str"/>
          <cell r="AE3902" t="str"/>
          <cell r="AF3902">
            <v>0</v>
          </cell>
          <cell r="AG3902">
            <v>0</v>
          </cell>
        </row>
        <row r="3903">
          <cell r="AD3903" t="str"/>
          <cell r="AE3903" t="str"/>
          <cell r="AF3903">
            <v>0</v>
          </cell>
          <cell r="AG3903">
            <v>0</v>
          </cell>
        </row>
        <row r="3904">
          <cell r="AD3904" t="str"/>
          <cell r="AE3904" t="str"/>
          <cell r="AF3904">
            <v>0</v>
          </cell>
          <cell r="AG3904">
            <v>0</v>
          </cell>
        </row>
        <row r="3905">
          <cell r="AD3905" t="str"/>
          <cell r="AE3905" t="str"/>
          <cell r="AF3905">
            <v>0</v>
          </cell>
          <cell r="AG3905">
            <v>0</v>
          </cell>
        </row>
        <row r="3906">
          <cell r="AD3906" t="str"/>
          <cell r="AE3906" t="str"/>
          <cell r="AF3906">
            <v>0</v>
          </cell>
          <cell r="AG3906">
            <v>0</v>
          </cell>
        </row>
        <row r="3907">
          <cell r="AD3907" t="str"/>
          <cell r="AE3907" t="str"/>
          <cell r="AF3907">
            <v>0</v>
          </cell>
          <cell r="AG3907">
            <v>0</v>
          </cell>
        </row>
        <row r="3908">
          <cell r="AD3908" t="str"/>
          <cell r="AE3908" t="str"/>
          <cell r="AF3908">
            <v>0</v>
          </cell>
          <cell r="AG3908">
            <v>0</v>
          </cell>
        </row>
        <row r="3909">
          <cell r="AD3909" t="str"/>
          <cell r="AE3909" t="str"/>
          <cell r="AF3909">
            <v>0</v>
          </cell>
          <cell r="AG3909">
            <v>0</v>
          </cell>
        </row>
        <row r="3910">
          <cell r="AD3910" t="str"/>
          <cell r="AE3910" t="str"/>
          <cell r="AF3910">
            <v>0</v>
          </cell>
          <cell r="AG3910">
            <v>0</v>
          </cell>
        </row>
        <row r="3911">
          <cell r="AD3911" t="str"/>
          <cell r="AE3911" t="str"/>
          <cell r="AF3911">
            <v>0</v>
          </cell>
          <cell r="AG3911">
            <v>0</v>
          </cell>
        </row>
        <row r="3912">
          <cell r="AD3912" t="str"/>
          <cell r="AE3912" t="str"/>
          <cell r="AF3912">
            <v>0</v>
          </cell>
          <cell r="AG3912">
            <v>0</v>
          </cell>
        </row>
        <row r="3913">
          <cell r="AD3913" t="str"/>
          <cell r="AE3913" t="str"/>
          <cell r="AF3913">
            <v>0</v>
          </cell>
          <cell r="AG3913">
            <v>0</v>
          </cell>
        </row>
        <row r="3914">
          <cell r="AD3914" t="str"/>
          <cell r="AE3914" t="str"/>
          <cell r="AF3914">
            <v>0</v>
          </cell>
          <cell r="AG3914">
            <v>0</v>
          </cell>
        </row>
        <row r="3915">
          <cell r="AD3915" t="str"/>
          <cell r="AE3915" t="str"/>
          <cell r="AF3915">
            <v>0</v>
          </cell>
          <cell r="AG3915">
            <v>0</v>
          </cell>
        </row>
        <row r="3916">
          <cell r="AD3916" t="str"/>
          <cell r="AE3916" t="str"/>
          <cell r="AF3916">
            <v>0</v>
          </cell>
          <cell r="AG3916">
            <v>0</v>
          </cell>
        </row>
        <row r="3917">
          <cell r="AD3917" t="str"/>
          <cell r="AE3917" t="str"/>
          <cell r="AF3917">
            <v>0</v>
          </cell>
          <cell r="AG3917">
            <v>0</v>
          </cell>
        </row>
        <row r="3918">
          <cell r="AD3918" t="str"/>
          <cell r="AE3918" t="str"/>
          <cell r="AF3918">
            <v>0</v>
          </cell>
          <cell r="AG3918">
            <v>0</v>
          </cell>
        </row>
        <row r="3919">
          <cell r="AD3919" t="str"/>
          <cell r="AE3919" t="str"/>
          <cell r="AF3919">
            <v>0</v>
          </cell>
          <cell r="AG3919">
            <v>0</v>
          </cell>
        </row>
        <row r="3920">
          <cell r="AD3920" t="str"/>
          <cell r="AE3920" t="str"/>
          <cell r="AF3920">
            <v>0</v>
          </cell>
          <cell r="AG3920">
            <v>0</v>
          </cell>
        </row>
        <row r="3921">
          <cell r="AD3921" t="str"/>
          <cell r="AE3921" t="str"/>
          <cell r="AF3921">
            <v>0</v>
          </cell>
          <cell r="AG3921">
            <v>0</v>
          </cell>
        </row>
        <row r="3922">
          <cell r="AD3922" t="str"/>
          <cell r="AE3922" t="str"/>
          <cell r="AF3922">
            <v>0</v>
          </cell>
          <cell r="AG3922">
            <v>0</v>
          </cell>
        </row>
        <row r="3923">
          <cell r="AD3923" t="str"/>
          <cell r="AE3923" t="str"/>
          <cell r="AF3923">
            <v>0</v>
          </cell>
          <cell r="AG3923">
            <v>0</v>
          </cell>
        </row>
        <row r="3924">
          <cell r="AD3924" t="str"/>
          <cell r="AE3924" t="str"/>
          <cell r="AF3924">
            <v>0</v>
          </cell>
          <cell r="AG3924">
            <v>0</v>
          </cell>
        </row>
        <row r="3925">
          <cell r="AD3925" t="str"/>
          <cell r="AE3925" t="str"/>
          <cell r="AF3925">
            <v>0</v>
          </cell>
          <cell r="AG3925">
            <v>0</v>
          </cell>
        </row>
        <row r="3926">
          <cell r="AD3926" t="str"/>
          <cell r="AE3926" t="str"/>
          <cell r="AF3926">
            <v>0</v>
          </cell>
          <cell r="AG3926">
            <v>0</v>
          </cell>
        </row>
        <row r="3927">
          <cell r="AD3927" t="str"/>
          <cell r="AE3927" t="str"/>
          <cell r="AF3927">
            <v>0</v>
          </cell>
          <cell r="AG3927">
            <v>0</v>
          </cell>
        </row>
        <row r="3928">
          <cell r="AD3928" t="str"/>
          <cell r="AE3928" t="str"/>
          <cell r="AF3928">
            <v>0</v>
          </cell>
          <cell r="AG3928">
            <v>0</v>
          </cell>
        </row>
        <row r="3929">
          <cell r="AD3929" t="str"/>
          <cell r="AE3929" t="str"/>
          <cell r="AF3929">
            <v>0</v>
          </cell>
          <cell r="AG3929">
            <v>0</v>
          </cell>
        </row>
        <row r="3930">
          <cell r="AD3930" t="str"/>
          <cell r="AE3930" t="str"/>
          <cell r="AF3930">
            <v>0</v>
          </cell>
          <cell r="AG3930">
            <v>0</v>
          </cell>
        </row>
        <row r="3931">
          <cell r="AD3931" t="str"/>
          <cell r="AE3931" t="str"/>
          <cell r="AF3931">
            <v>0</v>
          </cell>
          <cell r="AG3931">
            <v>0</v>
          </cell>
        </row>
        <row r="3932">
          <cell r="AD3932" t="str"/>
          <cell r="AE3932" t="str"/>
          <cell r="AF3932">
            <v>0</v>
          </cell>
          <cell r="AG3932">
            <v>0</v>
          </cell>
        </row>
        <row r="3933">
          <cell r="AD3933" t="str"/>
          <cell r="AE3933" t="str"/>
          <cell r="AF3933">
            <v>0</v>
          </cell>
          <cell r="AG3933">
            <v>0</v>
          </cell>
        </row>
        <row r="3934">
          <cell r="AD3934" t="str"/>
          <cell r="AE3934" t="str"/>
          <cell r="AF3934">
            <v>0</v>
          </cell>
          <cell r="AG3934">
            <v>0</v>
          </cell>
        </row>
        <row r="3935">
          <cell r="AD3935" t="str"/>
          <cell r="AE3935" t="str"/>
          <cell r="AF3935">
            <v>0</v>
          </cell>
          <cell r="AG3935">
            <v>0</v>
          </cell>
        </row>
        <row r="3936">
          <cell r="AD3936" t="str"/>
          <cell r="AE3936" t="str"/>
          <cell r="AF3936">
            <v>0</v>
          </cell>
          <cell r="AG3936">
            <v>0</v>
          </cell>
        </row>
        <row r="3937">
          <cell r="AD3937" t="str"/>
          <cell r="AE3937" t="str"/>
          <cell r="AF3937">
            <v>0</v>
          </cell>
          <cell r="AG3937">
            <v>0</v>
          </cell>
        </row>
        <row r="3938">
          <cell r="AD3938" t="str"/>
          <cell r="AE3938" t="str"/>
          <cell r="AF3938">
            <v>0</v>
          </cell>
          <cell r="AG3938">
            <v>0</v>
          </cell>
        </row>
        <row r="3939">
          <cell r="AD3939" t="str"/>
          <cell r="AE3939" t="str"/>
          <cell r="AF3939">
            <v>0</v>
          </cell>
          <cell r="AG3939">
            <v>0</v>
          </cell>
        </row>
        <row r="3940">
          <cell r="AD3940" t="str"/>
          <cell r="AE3940" t="str"/>
          <cell r="AF3940">
            <v>0</v>
          </cell>
          <cell r="AG3940">
            <v>0</v>
          </cell>
        </row>
        <row r="3941">
          <cell r="AD3941" t="str"/>
          <cell r="AE3941" t="str"/>
          <cell r="AF3941">
            <v>0</v>
          </cell>
          <cell r="AG3941">
            <v>0</v>
          </cell>
        </row>
        <row r="3942">
          <cell r="AD3942" t="str"/>
          <cell r="AE3942" t="str"/>
          <cell r="AF3942">
            <v>0</v>
          </cell>
          <cell r="AG3942">
            <v>0</v>
          </cell>
        </row>
        <row r="3943">
          <cell r="AD3943" t="str"/>
          <cell r="AE3943" t="str"/>
          <cell r="AF3943">
            <v>0</v>
          </cell>
          <cell r="AG3943">
            <v>0</v>
          </cell>
        </row>
        <row r="3944">
          <cell r="AD3944" t="str"/>
          <cell r="AE3944" t="str"/>
          <cell r="AF3944">
            <v>0</v>
          </cell>
          <cell r="AG3944">
            <v>0</v>
          </cell>
        </row>
        <row r="3945">
          <cell r="AD3945" t="str"/>
          <cell r="AE3945" t="str"/>
          <cell r="AF3945">
            <v>0</v>
          </cell>
          <cell r="AG3945">
            <v>0</v>
          </cell>
        </row>
        <row r="3946">
          <cell r="AD3946" t="str"/>
          <cell r="AE3946" t="str"/>
          <cell r="AF3946">
            <v>0</v>
          </cell>
          <cell r="AG3946">
            <v>0</v>
          </cell>
        </row>
        <row r="3947">
          <cell r="AD3947" t="str"/>
          <cell r="AE3947" t="str"/>
          <cell r="AF3947">
            <v>0</v>
          </cell>
          <cell r="AG3947">
            <v>0</v>
          </cell>
        </row>
        <row r="3948">
          <cell r="AD3948" t="str"/>
          <cell r="AE3948" t="str"/>
          <cell r="AF3948">
            <v>0</v>
          </cell>
          <cell r="AG3948">
            <v>0</v>
          </cell>
        </row>
        <row r="3949">
          <cell r="AD3949" t="str"/>
          <cell r="AE3949" t="str"/>
          <cell r="AF3949">
            <v>0</v>
          </cell>
          <cell r="AG3949">
            <v>0</v>
          </cell>
        </row>
        <row r="3950">
          <cell r="AD3950" t="str"/>
          <cell r="AE3950" t="str"/>
          <cell r="AF3950">
            <v>0</v>
          </cell>
          <cell r="AG3950">
            <v>0</v>
          </cell>
        </row>
        <row r="3951">
          <cell r="AD3951" t="str"/>
          <cell r="AE3951" t="str"/>
          <cell r="AF3951">
            <v>0</v>
          </cell>
          <cell r="AG3951">
            <v>0</v>
          </cell>
        </row>
        <row r="3952">
          <cell r="AD3952" t="str"/>
          <cell r="AE3952" t="str"/>
          <cell r="AF3952">
            <v>0</v>
          </cell>
          <cell r="AG3952">
            <v>0</v>
          </cell>
        </row>
        <row r="3953">
          <cell r="AD3953" t="str"/>
          <cell r="AE3953" t="str"/>
          <cell r="AF3953">
            <v>0</v>
          </cell>
          <cell r="AG3953">
            <v>0</v>
          </cell>
        </row>
        <row r="3954">
          <cell r="AD3954" t="str"/>
          <cell r="AE3954" t="str"/>
          <cell r="AF3954">
            <v>0</v>
          </cell>
          <cell r="AG3954">
            <v>0</v>
          </cell>
        </row>
        <row r="3955">
          <cell r="AD3955" t="str"/>
          <cell r="AE3955" t="str"/>
          <cell r="AF3955">
            <v>0</v>
          </cell>
          <cell r="AG3955">
            <v>0</v>
          </cell>
        </row>
        <row r="3956">
          <cell r="AD3956" t="str"/>
          <cell r="AE3956" t="str"/>
          <cell r="AF3956">
            <v>0</v>
          </cell>
          <cell r="AG3956">
            <v>0</v>
          </cell>
        </row>
        <row r="3957">
          <cell r="AD3957" t="str"/>
          <cell r="AE3957" t="str"/>
          <cell r="AF3957">
            <v>0</v>
          </cell>
          <cell r="AG3957">
            <v>0</v>
          </cell>
        </row>
        <row r="3958">
          <cell r="AD3958" t="str"/>
          <cell r="AE3958" t="str"/>
          <cell r="AF3958">
            <v>0</v>
          </cell>
          <cell r="AG3958">
            <v>0</v>
          </cell>
        </row>
        <row r="3959">
          <cell r="AD3959" t="str"/>
          <cell r="AE3959" t="str"/>
          <cell r="AF3959">
            <v>0</v>
          </cell>
          <cell r="AG3959">
            <v>0</v>
          </cell>
        </row>
        <row r="3960">
          <cell r="AD3960" t="str"/>
          <cell r="AE3960" t="str"/>
          <cell r="AF3960">
            <v>0</v>
          </cell>
          <cell r="AG3960">
            <v>0</v>
          </cell>
        </row>
        <row r="3961">
          <cell r="AD3961" t="str"/>
          <cell r="AE3961" t="str"/>
          <cell r="AF3961">
            <v>0</v>
          </cell>
          <cell r="AG3961">
            <v>0</v>
          </cell>
        </row>
        <row r="3962">
          <cell r="AD3962" t="str"/>
          <cell r="AE3962" t="str"/>
          <cell r="AF3962">
            <v>0</v>
          </cell>
          <cell r="AG3962">
            <v>0</v>
          </cell>
        </row>
        <row r="3963">
          <cell r="AD3963" t="str"/>
          <cell r="AE3963" t="str"/>
          <cell r="AF3963">
            <v>0</v>
          </cell>
          <cell r="AG3963">
            <v>0</v>
          </cell>
        </row>
        <row r="3964">
          <cell r="AD3964" t="str"/>
          <cell r="AE3964" t="str"/>
          <cell r="AF3964">
            <v>0</v>
          </cell>
          <cell r="AG3964">
            <v>0</v>
          </cell>
        </row>
        <row r="3965">
          <cell r="AD3965" t="str"/>
          <cell r="AE3965" t="str"/>
          <cell r="AF3965">
            <v>0</v>
          </cell>
          <cell r="AG3965">
            <v>0</v>
          </cell>
        </row>
        <row r="3966">
          <cell r="AD3966" t="str"/>
          <cell r="AE3966" t="str"/>
          <cell r="AF3966">
            <v>0</v>
          </cell>
          <cell r="AG3966">
            <v>0</v>
          </cell>
        </row>
        <row r="3967">
          <cell r="AD3967" t="str"/>
          <cell r="AE3967" t="str"/>
          <cell r="AF3967">
            <v>0</v>
          </cell>
          <cell r="AG3967">
            <v>0</v>
          </cell>
        </row>
        <row r="3968">
          <cell r="AD3968" t="str"/>
          <cell r="AE3968" t="str"/>
          <cell r="AF3968">
            <v>0</v>
          </cell>
          <cell r="AG3968">
            <v>0</v>
          </cell>
        </row>
        <row r="3969">
          <cell r="AD3969" t="str"/>
          <cell r="AE3969" t="str"/>
          <cell r="AF3969">
            <v>0</v>
          </cell>
          <cell r="AG3969">
            <v>0</v>
          </cell>
        </row>
        <row r="3970">
          <cell r="AD3970" t="str"/>
          <cell r="AE3970" t="str"/>
          <cell r="AF3970">
            <v>0</v>
          </cell>
          <cell r="AG3970">
            <v>0</v>
          </cell>
        </row>
        <row r="3971">
          <cell r="AD3971" t="str"/>
          <cell r="AE3971" t="str"/>
          <cell r="AF3971">
            <v>0</v>
          </cell>
          <cell r="AG3971">
            <v>0</v>
          </cell>
        </row>
        <row r="3972">
          <cell r="AD3972" t="str"/>
          <cell r="AE3972" t="str"/>
          <cell r="AF3972">
            <v>0</v>
          </cell>
          <cell r="AG3972">
            <v>0</v>
          </cell>
        </row>
        <row r="3973">
          <cell r="AD3973" t="str"/>
          <cell r="AE3973" t="str"/>
          <cell r="AF3973">
            <v>0</v>
          </cell>
          <cell r="AG3973">
            <v>0</v>
          </cell>
        </row>
        <row r="3974">
          <cell r="AD3974" t="str"/>
          <cell r="AE3974" t="str"/>
          <cell r="AF3974">
            <v>0</v>
          </cell>
          <cell r="AG3974">
            <v>0</v>
          </cell>
        </row>
        <row r="3975">
          <cell r="AD3975" t="str"/>
          <cell r="AE3975" t="str"/>
          <cell r="AF3975">
            <v>0</v>
          </cell>
          <cell r="AG3975">
            <v>0</v>
          </cell>
        </row>
        <row r="3976">
          <cell r="AD3976" t="str"/>
          <cell r="AE3976" t="str"/>
          <cell r="AF3976">
            <v>0</v>
          </cell>
          <cell r="AG3976">
            <v>0</v>
          </cell>
        </row>
        <row r="3977">
          <cell r="AD3977" t="str"/>
          <cell r="AE3977" t="str"/>
          <cell r="AF3977">
            <v>0</v>
          </cell>
          <cell r="AG3977">
            <v>0</v>
          </cell>
        </row>
        <row r="3978">
          <cell r="AD3978" t="str"/>
          <cell r="AE3978" t="str"/>
          <cell r="AF3978">
            <v>0</v>
          </cell>
          <cell r="AG3978">
            <v>0</v>
          </cell>
        </row>
        <row r="3979">
          <cell r="AD3979" t="str"/>
          <cell r="AE3979" t="str"/>
          <cell r="AF3979">
            <v>0</v>
          </cell>
          <cell r="AG3979">
            <v>0</v>
          </cell>
        </row>
        <row r="3980">
          <cell r="AD3980" t="str"/>
          <cell r="AE3980" t="str"/>
          <cell r="AF3980">
            <v>0</v>
          </cell>
          <cell r="AG3980">
            <v>0</v>
          </cell>
        </row>
        <row r="3981">
          <cell r="AD3981" t="str"/>
          <cell r="AE3981" t="str"/>
          <cell r="AF3981">
            <v>0</v>
          </cell>
          <cell r="AG3981">
            <v>0</v>
          </cell>
        </row>
        <row r="3982">
          <cell r="AD3982" t="str"/>
          <cell r="AE3982" t="str"/>
          <cell r="AF3982">
            <v>0</v>
          </cell>
          <cell r="AG3982">
            <v>0</v>
          </cell>
        </row>
        <row r="3983">
          <cell r="AD3983" t="str"/>
          <cell r="AE3983" t="str"/>
          <cell r="AF3983">
            <v>0</v>
          </cell>
          <cell r="AG3983">
            <v>0</v>
          </cell>
        </row>
        <row r="3984">
          <cell r="AD3984" t="str"/>
          <cell r="AE3984" t="str"/>
          <cell r="AF3984">
            <v>0</v>
          </cell>
          <cell r="AG3984">
            <v>0</v>
          </cell>
        </row>
        <row r="3985">
          <cell r="AD3985" t="str"/>
          <cell r="AE3985" t="str"/>
          <cell r="AF3985">
            <v>0</v>
          </cell>
          <cell r="AG3985">
            <v>0</v>
          </cell>
        </row>
        <row r="3986">
          <cell r="AD3986" t="str"/>
          <cell r="AE3986" t="str"/>
          <cell r="AF3986">
            <v>0</v>
          </cell>
          <cell r="AG3986">
            <v>0</v>
          </cell>
        </row>
        <row r="3987">
          <cell r="AD3987" t="str"/>
          <cell r="AE3987" t="str"/>
          <cell r="AF3987">
            <v>0</v>
          </cell>
          <cell r="AG3987">
            <v>0</v>
          </cell>
        </row>
        <row r="3988">
          <cell r="AD3988" t="str"/>
          <cell r="AE3988" t="str"/>
          <cell r="AF3988">
            <v>0</v>
          </cell>
          <cell r="AG3988">
            <v>0</v>
          </cell>
        </row>
        <row r="3989">
          <cell r="AD3989" t="str"/>
          <cell r="AE3989" t="str"/>
          <cell r="AF3989">
            <v>0</v>
          </cell>
          <cell r="AG3989">
            <v>0</v>
          </cell>
        </row>
        <row r="3990">
          <cell r="AD3990" t="str"/>
          <cell r="AE3990" t="str"/>
          <cell r="AF3990">
            <v>0</v>
          </cell>
          <cell r="AG3990">
            <v>0</v>
          </cell>
        </row>
        <row r="3991">
          <cell r="AD3991" t="str"/>
          <cell r="AE3991" t="str"/>
          <cell r="AF3991">
            <v>0</v>
          </cell>
          <cell r="AG3991">
            <v>0</v>
          </cell>
        </row>
        <row r="3992">
          <cell r="AD3992" t="str"/>
          <cell r="AE3992" t="str"/>
          <cell r="AF3992">
            <v>0</v>
          </cell>
          <cell r="AG3992">
            <v>0</v>
          </cell>
        </row>
        <row r="3993">
          <cell r="AD3993" t="str"/>
          <cell r="AE3993" t="str"/>
          <cell r="AF3993">
            <v>0</v>
          </cell>
          <cell r="AG3993">
            <v>0</v>
          </cell>
        </row>
        <row r="3994">
          <cell r="AD3994" t="str"/>
          <cell r="AE3994" t="str"/>
          <cell r="AF3994">
            <v>0</v>
          </cell>
          <cell r="AG3994">
            <v>0</v>
          </cell>
        </row>
        <row r="3995">
          <cell r="AD3995" t="str"/>
          <cell r="AE3995" t="str"/>
          <cell r="AF3995">
            <v>0</v>
          </cell>
          <cell r="AG3995">
            <v>0</v>
          </cell>
        </row>
        <row r="3996">
          <cell r="AD3996" t="str"/>
          <cell r="AE3996" t="str"/>
          <cell r="AF3996">
            <v>0</v>
          </cell>
          <cell r="AG3996">
            <v>0</v>
          </cell>
        </row>
        <row r="3997">
          <cell r="AD3997" t="str"/>
          <cell r="AE3997" t="str"/>
          <cell r="AF3997">
            <v>0</v>
          </cell>
          <cell r="AG3997">
            <v>0</v>
          </cell>
        </row>
        <row r="3998">
          <cell r="AD3998" t="str"/>
          <cell r="AE3998" t="str"/>
          <cell r="AF3998">
            <v>0</v>
          </cell>
          <cell r="AG3998">
            <v>0</v>
          </cell>
        </row>
        <row r="3999">
          <cell r="AD3999" t="str"/>
          <cell r="AE3999" t="str"/>
          <cell r="AF3999">
            <v>0</v>
          </cell>
          <cell r="AG3999">
            <v>0</v>
          </cell>
        </row>
        <row r="4000">
          <cell r="AD4000" t="str"/>
          <cell r="AE4000" t="str"/>
          <cell r="AF4000">
            <v>0</v>
          </cell>
          <cell r="AG4000">
            <v>0</v>
          </cell>
        </row>
        <row r="4001">
          <cell r="AD4001" t="str"/>
          <cell r="AE4001" t="str"/>
          <cell r="AF4001">
            <v>0</v>
          </cell>
          <cell r="AG4001">
            <v>0</v>
          </cell>
        </row>
        <row r="4002">
          <cell r="AD4002" t="str"/>
          <cell r="AE4002" t="str"/>
          <cell r="AF4002">
            <v>0</v>
          </cell>
          <cell r="AG4002">
            <v>0</v>
          </cell>
        </row>
        <row r="4003">
          <cell r="AD4003" t="str"/>
          <cell r="AE4003" t="str"/>
          <cell r="AF4003">
            <v>0</v>
          </cell>
          <cell r="AG4003">
            <v>0</v>
          </cell>
        </row>
        <row r="4004">
          <cell r="AD4004" t="str"/>
          <cell r="AE4004" t="str"/>
          <cell r="AF4004">
            <v>0</v>
          </cell>
          <cell r="AG4004">
            <v>0</v>
          </cell>
        </row>
        <row r="4005">
          <cell r="AD4005" t="str"/>
          <cell r="AE4005" t="str"/>
          <cell r="AF4005">
            <v>0</v>
          </cell>
          <cell r="AG4005">
            <v>0</v>
          </cell>
        </row>
        <row r="4006">
          <cell r="AD4006" t="str"/>
          <cell r="AE4006" t="str"/>
          <cell r="AF4006">
            <v>0</v>
          </cell>
          <cell r="AG4006">
            <v>0</v>
          </cell>
        </row>
        <row r="4007">
          <cell r="AD4007" t="str"/>
          <cell r="AE4007" t="str"/>
          <cell r="AF4007">
            <v>0</v>
          </cell>
          <cell r="AG4007">
            <v>0</v>
          </cell>
        </row>
        <row r="4008">
          <cell r="AD4008" t="str"/>
          <cell r="AE4008" t="str"/>
          <cell r="AF4008">
            <v>0</v>
          </cell>
          <cell r="AG4008">
            <v>0</v>
          </cell>
        </row>
        <row r="4009">
          <cell r="AD4009" t="str"/>
          <cell r="AE4009" t="str"/>
          <cell r="AF4009">
            <v>0</v>
          </cell>
          <cell r="AG4009">
            <v>0</v>
          </cell>
        </row>
        <row r="4010">
          <cell r="AD4010" t="str"/>
          <cell r="AE4010" t="str"/>
          <cell r="AF4010">
            <v>0</v>
          </cell>
          <cell r="AG4010">
            <v>0</v>
          </cell>
        </row>
        <row r="4011">
          <cell r="AD4011" t="str"/>
          <cell r="AE4011" t="str"/>
          <cell r="AF4011">
            <v>0</v>
          </cell>
          <cell r="AG4011">
            <v>0</v>
          </cell>
        </row>
        <row r="4012">
          <cell r="AD4012" t="str"/>
          <cell r="AE4012" t="str"/>
          <cell r="AF4012">
            <v>0</v>
          </cell>
          <cell r="AG4012">
            <v>0</v>
          </cell>
        </row>
        <row r="4013">
          <cell r="AD4013" t="str"/>
          <cell r="AE4013" t="str"/>
          <cell r="AF4013">
            <v>0</v>
          </cell>
          <cell r="AG4013">
            <v>0</v>
          </cell>
        </row>
        <row r="4014">
          <cell r="AD4014" t="str"/>
          <cell r="AE4014" t="str"/>
          <cell r="AF4014">
            <v>0</v>
          </cell>
          <cell r="AG4014">
            <v>0</v>
          </cell>
        </row>
        <row r="4015">
          <cell r="AD4015" t="str"/>
          <cell r="AE4015" t="str"/>
          <cell r="AF4015">
            <v>0</v>
          </cell>
          <cell r="AG4015">
            <v>0</v>
          </cell>
        </row>
        <row r="4016">
          <cell r="AD4016" t="str"/>
          <cell r="AE4016" t="str"/>
          <cell r="AF4016">
            <v>0</v>
          </cell>
          <cell r="AG4016">
            <v>0</v>
          </cell>
        </row>
        <row r="4017">
          <cell r="AD4017" t="str"/>
          <cell r="AE4017" t="str"/>
          <cell r="AF4017">
            <v>0</v>
          </cell>
          <cell r="AG4017">
            <v>0</v>
          </cell>
        </row>
        <row r="4018">
          <cell r="AD4018" t="str"/>
          <cell r="AE4018" t="str"/>
          <cell r="AF4018">
            <v>0</v>
          </cell>
          <cell r="AG4018">
            <v>0</v>
          </cell>
        </row>
        <row r="4019">
          <cell r="AD4019" t="str"/>
          <cell r="AE4019" t="str"/>
          <cell r="AF4019">
            <v>0</v>
          </cell>
          <cell r="AG4019">
            <v>0</v>
          </cell>
        </row>
        <row r="4020">
          <cell r="AD4020" t="str"/>
          <cell r="AE4020" t="str"/>
          <cell r="AF4020">
            <v>0</v>
          </cell>
          <cell r="AG4020">
            <v>0</v>
          </cell>
        </row>
        <row r="4021">
          <cell r="AD4021" t="str"/>
          <cell r="AE4021" t="str"/>
          <cell r="AF4021">
            <v>0</v>
          </cell>
          <cell r="AG4021">
            <v>0</v>
          </cell>
        </row>
        <row r="4022">
          <cell r="AD4022" t="str"/>
          <cell r="AE4022" t="str"/>
          <cell r="AF4022">
            <v>0</v>
          </cell>
          <cell r="AG4022">
            <v>0</v>
          </cell>
        </row>
        <row r="4023">
          <cell r="AD4023" t="str"/>
          <cell r="AE4023" t="str"/>
          <cell r="AF4023">
            <v>0</v>
          </cell>
          <cell r="AG4023">
            <v>0</v>
          </cell>
        </row>
        <row r="4024">
          <cell r="AD4024" t="str"/>
          <cell r="AE4024" t="str"/>
          <cell r="AF4024">
            <v>0</v>
          </cell>
          <cell r="AG4024">
            <v>0</v>
          </cell>
        </row>
        <row r="4025">
          <cell r="AD4025" t="str"/>
          <cell r="AE4025" t="str"/>
          <cell r="AF4025">
            <v>0</v>
          </cell>
          <cell r="AG4025">
            <v>0</v>
          </cell>
        </row>
        <row r="4026">
          <cell r="AD4026" t="str"/>
          <cell r="AE4026" t="str"/>
          <cell r="AF4026">
            <v>0</v>
          </cell>
          <cell r="AG4026">
            <v>0</v>
          </cell>
        </row>
        <row r="4027">
          <cell r="AD4027" t="str"/>
          <cell r="AE4027" t="str"/>
          <cell r="AF4027">
            <v>0</v>
          </cell>
          <cell r="AG4027">
            <v>0</v>
          </cell>
        </row>
        <row r="4028">
          <cell r="AD4028" t="str"/>
          <cell r="AE4028" t="str"/>
          <cell r="AF4028">
            <v>0</v>
          </cell>
          <cell r="AG4028">
            <v>0</v>
          </cell>
        </row>
        <row r="4029">
          <cell r="AD4029" t="str"/>
          <cell r="AE4029" t="str"/>
          <cell r="AF4029">
            <v>0</v>
          </cell>
          <cell r="AG4029">
            <v>0</v>
          </cell>
        </row>
        <row r="4030">
          <cell r="AD4030" t="str"/>
          <cell r="AE4030" t="str"/>
          <cell r="AF4030">
            <v>0</v>
          </cell>
          <cell r="AG4030">
            <v>0</v>
          </cell>
        </row>
        <row r="4031">
          <cell r="AD4031" t="str"/>
          <cell r="AE4031" t="str"/>
          <cell r="AF4031">
            <v>0</v>
          </cell>
          <cell r="AG4031">
            <v>0</v>
          </cell>
        </row>
        <row r="4032">
          <cell r="AD4032" t="str"/>
          <cell r="AE4032" t="str"/>
          <cell r="AF4032">
            <v>0</v>
          </cell>
          <cell r="AG4032">
            <v>0</v>
          </cell>
        </row>
        <row r="4033">
          <cell r="AD4033" t="str"/>
          <cell r="AE4033" t="str"/>
          <cell r="AF4033">
            <v>0</v>
          </cell>
          <cell r="AG4033">
            <v>0</v>
          </cell>
        </row>
        <row r="4034">
          <cell r="AD4034" t="str"/>
          <cell r="AE4034" t="str"/>
          <cell r="AF4034">
            <v>0</v>
          </cell>
          <cell r="AG4034">
            <v>0</v>
          </cell>
        </row>
        <row r="4035">
          <cell r="AD4035" t="str"/>
          <cell r="AE4035" t="str"/>
          <cell r="AF4035">
            <v>0</v>
          </cell>
          <cell r="AG4035">
            <v>0</v>
          </cell>
        </row>
        <row r="4036">
          <cell r="AD4036" t="str"/>
          <cell r="AE4036" t="str"/>
          <cell r="AF4036">
            <v>0</v>
          </cell>
          <cell r="AG4036">
            <v>0</v>
          </cell>
        </row>
        <row r="4037">
          <cell r="AD4037" t="str"/>
          <cell r="AE4037" t="str"/>
          <cell r="AF4037">
            <v>0</v>
          </cell>
          <cell r="AG4037">
            <v>0</v>
          </cell>
        </row>
        <row r="4038">
          <cell r="AD4038" t="str"/>
          <cell r="AE4038" t="str"/>
          <cell r="AF4038">
            <v>0</v>
          </cell>
          <cell r="AG4038">
            <v>0</v>
          </cell>
        </row>
        <row r="4039">
          <cell r="AD4039" t="str"/>
          <cell r="AE4039" t="str"/>
          <cell r="AF4039">
            <v>0</v>
          </cell>
          <cell r="AG4039">
            <v>0</v>
          </cell>
        </row>
        <row r="4040">
          <cell r="AD4040" t="str"/>
          <cell r="AE4040" t="str"/>
          <cell r="AF4040">
            <v>0</v>
          </cell>
          <cell r="AG4040">
            <v>0</v>
          </cell>
        </row>
        <row r="4041">
          <cell r="AD4041" t="str"/>
          <cell r="AE4041" t="str"/>
          <cell r="AF4041">
            <v>0</v>
          </cell>
          <cell r="AG4041">
            <v>0</v>
          </cell>
        </row>
        <row r="4042">
          <cell r="AD4042" t="str"/>
          <cell r="AE4042" t="str"/>
          <cell r="AF4042">
            <v>0</v>
          </cell>
          <cell r="AG4042">
            <v>0</v>
          </cell>
        </row>
        <row r="4043">
          <cell r="AD4043" t="str"/>
          <cell r="AE4043" t="str"/>
          <cell r="AF4043">
            <v>0</v>
          </cell>
          <cell r="AG4043">
            <v>0</v>
          </cell>
        </row>
        <row r="4044">
          <cell r="AD4044" t="str"/>
          <cell r="AE4044" t="str"/>
          <cell r="AF4044">
            <v>0</v>
          </cell>
          <cell r="AG4044">
            <v>0</v>
          </cell>
        </row>
        <row r="4045">
          <cell r="AD4045" t="str"/>
          <cell r="AE4045" t="str"/>
          <cell r="AF4045">
            <v>0</v>
          </cell>
          <cell r="AG4045">
            <v>0</v>
          </cell>
        </row>
        <row r="4046">
          <cell r="AD4046" t="str"/>
          <cell r="AE4046" t="str"/>
          <cell r="AF4046">
            <v>0</v>
          </cell>
          <cell r="AG4046">
            <v>0</v>
          </cell>
        </row>
        <row r="4047">
          <cell r="AD4047" t="str"/>
          <cell r="AE4047" t="str"/>
          <cell r="AF4047">
            <v>0</v>
          </cell>
          <cell r="AG4047">
            <v>0</v>
          </cell>
        </row>
        <row r="4048">
          <cell r="AD4048" t="str"/>
          <cell r="AE4048" t="str"/>
          <cell r="AF4048">
            <v>0</v>
          </cell>
          <cell r="AG4048">
            <v>0</v>
          </cell>
        </row>
        <row r="4049">
          <cell r="AD4049" t="str"/>
          <cell r="AE4049" t="str"/>
          <cell r="AF4049">
            <v>0</v>
          </cell>
          <cell r="AG4049">
            <v>0</v>
          </cell>
        </row>
        <row r="4050">
          <cell r="AD4050" t="str"/>
          <cell r="AE4050" t="str"/>
          <cell r="AF4050">
            <v>0</v>
          </cell>
          <cell r="AG4050">
            <v>0</v>
          </cell>
        </row>
        <row r="4051">
          <cell r="AD4051" t="str"/>
          <cell r="AE4051" t="str"/>
          <cell r="AF4051">
            <v>0</v>
          </cell>
          <cell r="AG4051">
            <v>0</v>
          </cell>
        </row>
        <row r="4052">
          <cell r="AD4052" t="str"/>
          <cell r="AE4052" t="str"/>
          <cell r="AF4052">
            <v>0</v>
          </cell>
          <cell r="AG4052">
            <v>0</v>
          </cell>
        </row>
        <row r="4053">
          <cell r="AD4053" t="str"/>
          <cell r="AE4053" t="str"/>
          <cell r="AF4053">
            <v>0</v>
          </cell>
          <cell r="AG4053">
            <v>0</v>
          </cell>
        </row>
        <row r="4054">
          <cell r="AD4054" t="str"/>
          <cell r="AE4054" t="str"/>
          <cell r="AF4054">
            <v>0</v>
          </cell>
          <cell r="AG4054">
            <v>0</v>
          </cell>
        </row>
        <row r="4055">
          <cell r="AD4055" t="str"/>
          <cell r="AE4055" t="str"/>
          <cell r="AF4055">
            <v>0</v>
          </cell>
          <cell r="AG4055">
            <v>0</v>
          </cell>
        </row>
        <row r="4056">
          <cell r="AD4056" t="str"/>
          <cell r="AE4056" t="str"/>
          <cell r="AF4056">
            <v>0</v>
          </cell>
          <cell r="AG4056">
            <v>0</v>
          </cell>
        </row>
        <row r="4057">
          <cell r="AD4057" t="str"/>
          <cell r="AE4057" t="str"/>
          <cell r="AF4057">
            <v>0</v>
          </cell>
          <cell r="AG4057">
            <v>0</v>
          </cell>
        </row>
        <row r="4058">
          <cell r="AD4058" t="str"/>
          <cell r="AE4058" t="str"/>
          <cell r="AF4058">
            <v>0</v>
          </cell>
          <cell r="AG4058">
            <v>0</v>
          </cell>
        </row>
        <row r="4059">
          <cell r="AD4059" t="str"/>
          <cell r="AE4059" t="str"/>
          <cell r="AF4059">
            <v>0</v>
          </cell>
          <cell r="AG4059">
            <v>0</v>
          </cell>
        </row>
        <row r="4060">
          <cell r="AD4060" t="str"/>
          <cell r="AE4060" t="str"/>
          <cell r="AF4060">
            <v>0</v>
          </cell>
          <cell r="AG4060">
            <v>0</v>
          </cell>
        </row>
        <row r="4061">
          <cell r="AD4061" t="str"/>
          <cell r="AE4061" t="str"/>
          <cell r="AF4061">
            <v>0</v>
          </cell>
          <cell r="AG4061">
            <v>0</v>
          </cell>
        </row>
        <row r="4062">
          <cell r="AD4062" t="str"/>
          <cell r="AE4062" t="str"/>
          <cell r="AF4062">
            <v>0</v>
          </cell>
          <cell r="AG4062">
            <v>0</v>
          </cell>
        </row>
        <row r="4063">
          <cell r="AD4063" t="str"/>
          <cell r="AE4063" t="str"/>
          <cell r="AF4063">
            <v>0</v>
          </cell>
          <cell r="AG4063">
            <v>0</v>
          </cell>
        </row>
        <row r="4064">
          <cell r="AD4064" t="str"/>
          <cell r="AE4064" t="str"/>
          <cell r="AF4064">
            <v>0</v>
          </cell>
          <cell r="AG4064">
            <v>0</v>
          </cell>
        </row>
        <row r="4065">
          <cell r="AD4065" t="str"/>
          <cell r="AE4065" t="str"/>
          <cell r="AF4065">
            <v>0</v>
          </cell>
          <cell r="AG4065">
            <v>0</v>
          </cell>
        </row>
        <row r="4066">
          <cell r="AD4066" t="str"/>
          <cell r="AE4066" t="str"/>
          <cell r="AF4066">
            <v>0</v>
          </cell>
          <cell r="AG4066">
            <v>0</v>
          </cell>
        </row>
        <row r="4067">
          <cell r="AD4067" t="str"/>
          <cell r="AE4067" t="str"/>
          <cell r="AF4067">
            <v>0</v>
          </cell>
          <cell r="AG4067">
            <v>0</v>
          </cell>
        </row>
        <row r="4068">
          <cell r="AD4068" t="str"/>
          <cell r="AE4068" t="str"/>
          <cell r="AF4068">
            <v>0</v>
          </cell>
          <cell r="AG4068">
            <v>0</v>
          </cell>
        </row>
        <row r="4069">
          <cell r="AD4069" t="str"/>
          <cell r="AE4069" t="str"/>
          <cell r="AF4069">
            <v>0</v>
          </cell>
          <cell r="AG4069">
            <v>0</v>
          </cell>
        </row>
        <row r="4070">
          <cell r="AD4070" t="str"/>
          <cell r="AE4070" t="str"/>
          <cell r="AF4070">
            <v>0</v>
          </cell>
          <cell r="AG4070">
            <v>0</v>
          </cell>
        </row>
        <row r="4071">
          <cell r="AD4071" t="str"/>
          <cell r="AE4071" t="str"/>
          <cell r="AF4071">
            <v>0</v>
          </cell>
          <cell r="AG4071">
            <v>0</v>
          </cell>
        </row>
        <row r="4072">
          <cell r="AD4072" t="str"/>
          <cell r="AE4072" t="str"/>
          <cell r="AF4072">
            <v>0</v>
          </cell>
          <cell r="AG4072">
            <v>0</v>
          </cell>
        </row>
        <row r="4073">
          <cell r="AD4073" t="str"/>
          <cell r="AE4073" t="str"/>
          <cell r="AF4073">
            <v>0</v>
          </cell>
          <cell r="AG4073">
            <v>0</v>
          </cell>
        </row>
        <row r="4074">
          <cell r="AD4074" t="str"/>
          <cell r="AE4074" t="str"/>
          <cell r="AF4074">
            <v>0</v>
          </cell>
          <cell r="AG4074">
            <v>0</v>
          </cell>
        </row>
        <row r="4075">
          <cell r="AD4075" t="str"/>
          <cell r="AE4075" t="str"/>
          <cell r="AF4075">
            <v>0</v>
          </cell>
          <cell r="AG4075">
            <v>0</v>
          </cell>
        </row>
        <row r="4076">
          <cell r="AD4076" t="str"/>
          <cell r="AE4076" t="str"/>
          <cell r="AF4076">
            <v>0</v>
          </cell>
          <cell r="AG4076">
            <v>0</v>
          </cell>
        </row>
        <row r="4077">
          <cell r="AD4077" t="str"/>
          <cell r="AE4077" t="str"/>
          <cell r="AF4077">
            <v>0</v>
          </cell>
          <cell r="AG4077">
            <v>0</v>
          </cell>
        </row>
        <row r="4078">
          <cell r="AD4078" t="str"/>
          <cell r="AE4078" t="str"/>
          <cell r="AF4078">
            <v>0</v>
          </cell>
          <cell r="AG4078">
            <v>0</v>
          </cell>
        </row>
        <row r="4079">
          <cell r="AD4079" t="str"/>
          <cell r="AE4079" t="str"/>
          <cell r="AF4079">
            <v>0</v>
          </cell>
          <cell r="AG4079">
            <v>0</v>
          </cell>
        </row>
        <row r="4080">
          <cell r="AD4080" t="str"/>
          <cell r="AE4080" t="str"/>
          <cell r="AF4080">
            <v>0</v>
          </cell>
          <cell r="AG4080">
            <v>0</v>
          </cell>
        </row>
        <row r="4081">
          <cell r="AD4081" t="str"/>
          <cell r="AE4081" t="str"/>
          <cell r="AF4081">
            <v>0</v>
          </cell>
          <cell r="AG4081">
            <v>0</v>
          </cell>
        </row>
        <row r="4082">
          <cell r="AD4082" t="str"/>
          <cell r="AE4082" t="str"/>
          <cell r="AF4082">
            <v>0</v>
          </cell>
          <cell r="AG4082">
            <v>0</v>
          </cell>
        </row>
        <row r="4083">
          <cell r="AD4083" t="str"/>
          <cell r="AE4083" t="str"/>
          <cell r="AF4083">
            <v>0</v>
          </cell>
          <cell r="AG4083">
            <v>0</v>
          </cell>
        </row>
        <row r="4084">
          <cell r="AD4084" t="str"/>
          <cell r="AE4084" t="str"/>
          <cell r="AF4084">
            <v>0</v>
          </cell>
          <cell r="AG4084">
            <v>0</v>
          </cell>
        </row>
        <row r="4085">
          <cell r="AD4085" t="str"/>
          <cell r="AE4085" t="str"/>
          <cell r="AF4085">
            <v>0</v>
          </cell>
          <cell r="AG4085">
            <v>0</v>
          </cell>
        </row>
        <row r="4086">
          <cell r="AD4086" t="str"/>
          <cell r="AE4086" t="str"/>
          <cell r="AF4086">
            <v>0</v>
          </cell>
          <cell r="AG4086">
            <v>0</v>
          </cell>
        </row>
        <row r="4087">
          <cell r="AD4087" t="str"/>
          <cell r="AE4087" t="str"/>
          <cell r="AF4087">
            <v>0</v>
          </cell>
          <cell r="AG4087">
            <v>0</v>
          </cell>
        </row>
        <row r="4088">
          <cell r="AD4088" t="str"/>
          <cell r="AE4088" t="str"/>
          <cell r="AF4088">
            <v>0</v>
          </cell>
          <cell r="AG4088">
            <v>0</v>
          </cell>
        </row>
        <row r="4089">
          <cell r="AD4089" t="str"/>
          <cell r="AE4089" t="str"/>
          <cell r="AF4089">
            <v>0</v>
          </cell>
          <cell r="AG4089">
            <v>0</v>
          </cell>
        </row>
        <row r="4090">
          <cell r="AD4090" t="str"/>
          <cell r="AE4090" t="str"/>
          <cell r="AF4090">
            <v>0</v>
          </cell>
          <cell r="AG4090">
            <v>0</v>
          </cell>
        </row>
        <row r="4091">
          <cell r="AD4091" t="str"/>
          <cell r="AE4091" t="str"/>
          <cell r="AF4091">
            <v>0</v>
          </cell>
          <cell r="AG4091">
            <v>0</v>
          </cell>
        </row>
        <row r="4092">
          <cell r="AD4092" t="str"/>
          <cell r="AE4092" t="str"/>
          <cell r="AF4092">
            <v>0</v>
          </cell>
          <cell r="AG4092">
            <v>0</v>
          </cell>
        </row>
        <row r="4093">
          <cell r="AD4093" t="str"/>
          <cell r="AE4093" t="str"/>
          <cell r="AF4093">
            <v>0</v>
          </cell>
          <cell r="AG4093">
            <v>0</v>
          </cell>
        </row>
        <row r="4094">
          <cell r="AD4094" t="str"/>
          <cell r="AE4094" t="str"/>
          <cell r="AF4094">
            <v>0</v>
          </cell>
          <cell r="AG4094">
            <v>0</v>
          </cell>
        </row>
        <row r="4095">
          <cell r="AD4095" t="str"/>
          <cell r="AE4095" t="str"/>
          <cell r="AF4095">
            <v>0</v>
          </cell>
          <cell r="AG4095">
            <v>0</v>
          </cell>
        </row>
        <row r="4096">
          <cell r="AD4096" t="str"/>
          <cell r="AE4096" t="str"/>
          <cell r="AF4096">
            <v>0</v>
          </cell>
          <cell r="AG4096">
            <v>0</v>
          </cell>
        </row>
        <row r="4097">
          <cell r="AD4097" t="str"/>
          <cell r="AE4097" t="str"/>
          <cell r="AF4097">
            <v>0</v>
          </cell>
          <cell r="AG4097">
            <v>0</v>
          </cell>
        </row>
        <row r="4098">
          <cell r="AD4098" t="str"/>
          <cell r="AE4098" t="str"/>
          <cell r="AF4098">
            <v>0</v>
          </cell>
          <cell r="AG4098">
            <v>0</v>
          </cell>
        </row>
        <row r="4099">
          <cell r="AD4099" t="str"/>
          <cell r="AE4099" t="str"/>
          <cell r="AF4099">
            <v>0</v>
          </cell>
          <cell r="AG4099">
            <v>0</v>
          </cell>
        </row>
        <row r="4100">
          <cell r="AD4100" t="str"/>
          <cell r="AE4100" t="str"/>
          <cell r="AF4100">
            <v>0</v>
          </cell>
          <cell r="AG4100">
            <v>0</v>
          </cell>
        </row>
        <row r="4101">
          <cell r="AD4101" t="str"/>
          <cell r="AE4101" t="str"/>
          <cell r="AF4101">
            <v>0</v>
          </cell>
          <cell r="AG4101">
            <v>0</v>
          </cell>
        </row>
        <row r="4102">
          <cell r="AD4102" t="str"/>
          <cell r="AE4102" t="str"/>
          <cell r="AF4102">
            <v>0</v>
          </cell>
          <cell r="AG4102">
            <v>0</v>
          </cell>
        </row>
        <row r="4103">
          <cell r="AD4103" t="str"/>
          <cell r="AE4103" t="str"/>
          <cell r="AF4103">
            <v>0</v>
          </cell>
          <cell r="AG4103">
            <v>0</v>
          </cell>
        </row>
        <row r="4104">
          <cell r="AD4104" t="str"/>
          <cell r="AE4104" t="str"/>
          <cell r="AF4104">
            <v>0</v>
          </cell>
          <cell r="AG4104">
            <v>0</v>
          </cell>
        </row>
        <row r="4105">
          <cell r="AD4105" t="str"/>
          <cell r="AE4105" t="str"/>
          <cell r="AF4105">
            <v>0</v>
          </cell>
          <cell r="AG4105">
            <v>0</v>
          </cell>
        </row>
        <row r="4106">
          <cell r="AD4106" t="str"/>
          <cell r="AE4106" t="str"/>
          <cell r="AF4106">
            <v>0</v>
          </cell>
          <cell r="AG4106">
            <v>0</v>
          </cell>
        </row>
        <row r="4107">
          <cell r="AD4107" t="str"/>
          <cell r="AE4107" t="str"/>
          <cell r="AF4107">
            <v>0</v>
          </cell>
          <cell r="AG4107">
            <v>0</v>
          </cell>
        </row>
        <row r="4108">
          <cell r="AD4108" t="str"/>
          <cell r="AE4108" t="str"/>
          <cell r="AF4108">
            <v>0</v>
          </cell>
          <cell r="AG4108">
            <v>0</v>
          </cell>
        </row>
        <row r="4109">
          <cell r="AD4109" t="str"/>
          <cell r="AE4109" t="str"/>
          <cell r="AF4109">
            <v>0</v>
          </cell>
          <cell r="AG4109">
            <v>0</v>
          </cell>
        </row>
        <row r="4110">
          <cell r="AD4110" t="str"/>
          <cell r="AE4110" t="str"/>
          <cell r="AF4110">
            <v>0</v>
          </cell>
          <cell r="AG4110">
            <v>0</v>
          </cell>
        </row>
        <row r="4111">
          <cell r="AD4111" t="str"/>
          <cell r="AE4111" t="str"/>
          <cell r="AF4111">
            <v>0</v>
          </cell>
          <cell r="AG4111">
            <v>0</v>
          </cell>
        </row>
        <row r="4112">
          <cell r="AD4112" t="str"/>
          <cell r="AE4112" t="str"/>
          <cell r="AF4112">
            <v>0</v>
          </cell>
          <cell r="AG4112">
            <v>0</v>
          </cell>
        </row>
        <row r="4113">
          <cell r="AD4113" t="str"/>
          <cell r="AE4113" t="str"/>
          <cell r="AF4113">
            <v>0</v>
          </cell>
          <cell r="AG4113">
            <v>0</v>
          </cell>
        </row>
        <row r="4114">
          <cell r="AD4114" t="str"/>
          <cell r="AE4114" t="str"/>
          <cell r="AF4114">
            <v>0</v>
          </cell>
          <cell r="AG4114">
            <v>0</v>
          </cell>
        </row>
        <row r="4115">
          <cell r="AD4115" t="str"/>
          <cell r="AE4115" t="str"/>
          <cell r="AF4115">
            <v>0</v>
          </cell>
          <cell r="AG4115">
            <v>0</v>
          </cell>
        </row>
        <row r="4116">
          <cell r="AD4116" t="str"/>
          <cell r="AE4116" t="str"/>
          <cell r="AF4116">
            <v>0</v>
          </cell>
          <cell r="AG4116">
            <v>0</v>
          </cell>
        </row>
        <row r="4117">
          <cell r="AD4117" t="str"/>
          <cell r="AE4117" t="str"/>
          <cell r="AF4117">
            <v>0</v>
          </cell>
          <cell r="AG4117">
            <v>0</v>
          </cell>
        </row>
        <row r="4118">
          <cell r="AD4118" t="str"/>
          <cell r="AE4118" t="str"/>
          <cell r="AF4118">
            <v>0</v>
          </cell>
          <cell r="AG4118">
            <v>0</v>
          </cell>
        </row>
        <row r="4119">
          <cell r="AD4119" t="str"/>
          <cell r="AE4119" t="str"/>
          <cell r="AF4119">
            <v>0</v>
          </cell>
          <cell r="AG4119">
            <v>0</v>
          </cell>
        </row>
        <row r="4120">
          <cell r="AD4120" t="str"/>
          <cell r="AE4120" t="str"/>
          <cell r="AF4120">
            <v>0</v>
          </cell>
          <cell r="AG4120">
            <v>0</v>
          </cell>
        </row>
        <row r="4121">
          <cell r="AD4121" t="str"/>
          <cell r="AE4121" t="str"/>
          <cell r="AF4121">
            <v>0</v>
          </cell>
          <cell r="AG4121">
            <v>0</v>
          </cell>
        </row>
        <row r="4122">
          <cell r="AD4122" t="str"/>
          <cell r="AE4122" t="str"/>
          <cell r="AF4122">
            <v>0</v>
          </cell>
          <cell r="AG4122">
            <v>0</v>
          </cell>
        </row>
        <row r="4123">
          <cell r="AD4123" t="str"/>
          <cell r="AE4123" t="str"/>
          <cell r="AF4123">
            <v>0</v>
          </cell>
          <cell r="AG4123">
            <v>0</v>
          </cell>
        </row>
        <row r="4124">
          <cell r="AD4124" t="str"/>
          <cell r="AE4124" t="str"/>
          <cell r="AF4124">
            <v>0</v>
          </cell>
          <cell r="AG4124">
            <v>0</v>
          </cell>
        </row>
        <row r="4125">
          <cell r="AD4125" t="str"/>
          <cell r="AE4125" t="str"/>
          <cell r="AF4125">
            <v>0</v>
          </cell>
          <cell r="AG4125">
            <v>0</v>
          </cell>
        </row>
        <row r="4126">
          <cell r="AD4126" t="str"/>
          <cell r="AE4126" t="str"/>
          <cell r="AF4126">
            <v>0</v>
          </cell>
          <cell r="AG4126">
            <v>0</v>
          </cell>
        </row>
        <row r="4127">
          <cell r="AD4127" t="str"/>
          <cell r="AE4127" t="str"/>
          <cell r="AF4127">
            <v>0</v>
          </cell>
          <cell r="AG4127">
            <v>0</v>
          </cell>
        </row>
        <row r="4128">
          <cell r="AD4128" t="str"/>
          <cell r="AE4128" t="str"/>
          <cell r="AF4128">
            <v>0</v>
          </cell>
          <cell r="AG4128">
            <v>0</v>
          </cell>
        </row>
        <row r="4129">
          <cell r="AD4129" t="str"/>
          <cell r="AE4129" t="str"/>
          <cell r="AF4129">
            <v>0</v>
          </cell>
          <cell r="AG4129">
            <v>0</v>
          </cell>
        </row>
        <row r="4130">
          <cell r="AD4130" t="str"/>
          <cell r="AE4130" t="str"/>
          <cell r="AF4130">
            <v>0</v>
          </cell>
          <cell r="AG4130">
            <v>0</v>
          </cell>
        </row>
        <row r="4131">
          <cell r="AD4131" t="str"/>
          <cell r="AE4131" t="str"/>
          <cell r="AF4131">
            <v>0</v>
          </cell>
          <cell r="AG4131">
            <v>0</v>
          </cell>
        </row>
        <row r="4132">
          <cell r="AD4132" t="str"/>
          <cell r="AE4132" t="str"/>
          <cell r="AF4132">
            <v>0</v>
          </cell>
          <cell r="AG4132">
            <v>0</v>
          </cell>
        </row>
        <row r="4133">
          <cell r="AD4133" t="str"/>
          <cell r="AE4133" t="str"/>
          <cell r="AF4133">
            <v>0</v>
          </cell>
          <cell r="AG4133">
            <v>0</v>
          </cell>
        </row>
        <row r="4134">
          <cell r="AD4134" t="str"/>
          <cell r="AE4134" t="str"/>
          <cell r="AF4134">
            <v>0</v>
          </cell>
          <cell r="AG4134">
            <v>0</v>
          </cell>
        </row>
        <row r="4135">
          <cell r="AD4135" t="str"/>
          <cell r="AE4135" t="str"/>
          <cell r="AF4135">
            <v>0</v>
          </cell>
          <cell r="AG4135">
            <v>0</v>
          </cell>
        </row>
        <row r="4136">
          <cell r="AD4136" t="str"/>
          <cell r="AE4136" t="str"/>
          <cell r="AF4136">
            <v>0</v>
          </cell>
          <cell r="AG4136">
            <v>0</v>
          </cell>
        </row>
        <row r="4137">
          <cell r="AD4137" t="str"/>
          <cell r="AE4137" t="str"/>
          <cell r="AF4137">
            <v>0</v>
          </cell>
          <cell r="AG4137">
            <v>0</v>
          </cell>
        </row>
        <row r="4138">
          <cell r="AD4138" t="str"/>
          <cell r="AE4138" t="str"/>
          <cell r="AF4138">
            <v>0</v>
          </cell>
          <cell r="AG4138">
            <v>0</v>
          </cell>
        </row>
        <row r="4139">
          <cell r="AD4139" t="str"/>
          <cell r="AE4139" t="str"/>
          <cell r="AF4139">
            <v>0</v>
          </cell>
          <cell r="AG4139">
            <v>0</v>
          </cell>
        </row>
        <row r="4140">
          <cell r="AD4140" t="str"/>
          <cell r="AE4140" t="str"/>
          <cell r="AF4140">
            <v>0</v>
          </cell>
          <cell r="AG4140">
            <v>0</v>
          </cell>
        </row>
        <row r="4141">
          <cell r="AD4141" t="str"/>
          <cell r="AE4141" t="str"/>
          <cell r="AF4141">
            <v>0</v>
          </cell>
          <cell r="AG4141">
            <v>0</v>
          </cell>
        </row>
        <row r="4142">
          <cell r="AD4142" t="str"/>
          <cell r="AE4142" t="str"/>
          <cell r="AF4142">
            <v>0</v>
          </cell>
          <cell r="AG4142">
            <v>0</v>
          </cell>
        </row>
        <row r="4143">
          <cell r="AD4143" t="str"/>
          <cell r="AE4143" t="str"/>
          <cell r="AF4143">
            <v>0</v>
          </cell>
          <cell r="AG4143">
            <v>0</v>
          </cell>
        </row>
        <row r="4144">
          <cell r="AD4144" t="str"/>
          <cell r="AE4144" t="str"/>
          <cell r="AF4144">
            <v>0</v>
          </cell>
          <cell r="AG4144">
            <v>0</v>
          </cell>
        </row>
        <row r="4145">
          <cell r="AD4145" t="str"/>
          <cell r="AE4145" t="str"/>
          <cell r="AF4145">
            <v>0</v>
          </cell>
          <cell r="AG4145">
            <v>0</v>
          </cell>
        </row>
        <row r="4146">
          <cell r="AD4146" t="str"/>
          <cell r="AE4146" t="str"/>
          <cell r="AF4146">
            <v>0</v>
          </cell>
          <cell r="AG4146">
            <v>0</v>
          </cell>
        </row>
        <row r="4147">
          <cell r="AD4147" t="str"/>
          <cell r="AE4147" t="str"/>
          <cell r="AF4147">
            <v>0</v>
          </cell>
          <cell r="AG4147">
            <v>0</v>
          </cell>
        </row>
        <row r="4148">
          <cell r="AD4148" t="str"/>
          <cell r="AE4148" t="str"/>
          <cell r="AF4148">
            <v>0</v>
          </cell>
          <cell r="AG4148">
            <v>0</v>
          </cell>
        </row>
        <row r="4149">
          <cell r="AD4149" t="str"/>
          <cell r="AE4149" t="str"/>
          <cell r="AF4149">
            <v>0</v>
          </cell>
          <cell r="AG4149">
            <v>0</v>
          </cell>
        </row>
        <row r="4150">
          <cell r="AD4150" t="str"/>
          <cell r="AE4150" t="str"/>
          <cell r="AF4150">
            <v>0</v>
          </cell>
          <cell r="AG4150">
            <v>0</v>
          </cell>
        </row>
        <row r="4151">
          <cell r="AD4151" t="str"/>
          <cell r="AE4151" t="str"/>
          <cell r="AF4151">
            <v>0</v>
          </cell>
          <cell r="AG4151">
            <v>0</v>
          </cell>
        </row>
        <row r="4152">
          <cell r="AD4152" t="str"/>
          <cell r="AE4152" t="str"/>
          <cell r="AF4152">
            <v>0</v>
          </cell>
          <cell r="AG4152">
            <v>0</v>
          </cell>
        </row>
        <row r="4153">
          <cell r="AD4153" t="str"/>
          <cell r="AE4153" t="str"/>
          <cell r="AF4153">
            <v>0</v>
          </cell>
          <cell r="AG4153">
            <v>0</v>
          </cell>
        </row>
        <row r="4154">
          <cell r="AD4154" t="str"/>
          <cell r="AE4154" t="str"/>
          <cell r="AF4154">
            <v>0</v>
          </cell>
          <cell r="AG4154">
            <v>0</v>
          </cell>
        </row>
        <row r="4155">
          <cell r="AD4155" t="str"/>
          <cell r="AE4155" t="str"/>
          <cell r="AF4155">
            <v>0</v>
          </cell>
          <cell r="AG4155">
            <v>0</v>
          </cell>
        </row>
        <row r="4156">
          <cell r="AD4156" t="str"/>
          <cell r="AE4156" t="str"/>
          <cell r="AF4156">
            <v>0</v>
          </cell>
          <cell r="AG4156">
            <v>0</v>
          </cell>
        </row>
        <row r="4157">
          <cell r="AD4157" t="str"/>
          <cell r="AE4157" t="str"/>
          <cell r="AF4157">
            <v>0</v>
          </cell>
          <cell r="AG4157">
            <v>0</v>
          </cell>
        </row>
        <row r="4158">
          <cell r="AD4158" t="str"/>
          <cell r="AE4158" t="str"/>
          <cell r="AF4158">
            <v>0</v>
          </cell>
          <cell r="AG4158">
            <v>0</v>
          </cell>
        </row>
        <row r="4159">
          <cell r="AD4159" t="str"/>
          <cell r="AE4159" t="str"/>
          <cell r="AF4159">
            <v>0</v>
          </cell>
          <cell r="AG4159">
            <v>0</v>
          </cell>
        </row>
        <row r="4160">
          <cell r="AD4160" t="str"/>
          <cell r="AE4160" t="str"/>
          <cell r="AF4160">
            <v>0</v>
          </cell>
          <cell r="AG4160">
            <v>0</v>
          </cell>
        </row>
        <row r="4161">
          <cell r="AD4161" t="str"/>
          <cell r="AE4161" t="str"/>
          <cell r="AF4161">
            <v>0</v>
          </cell>
          <cell r="AG4161">
            <v>0</v>
          </cell>
        </row>
        <row r="4162">
          <cell r="AD4162" t="str"/>
          <cell r="AE4162" t="str"/>
          <cell r="AF4162">
            <v>0</v>
          </cell>
          <cell r="AG4162">
            <v>0</v>
          </cell>
        </row>
        <row r="4163">
          <cell r="AD4163" t="str"/>
          <cell r="AE4163" t="str"/>
          <cell r="AF4163">
            <v>0</v>
          </cell>
          <cell r="AG4163">
            <v>0</v>
          </cell>
        </row>
        <row r="4164">
          <cell r="AD4164" t="str"/>
          <cell r="AE4164" t="str"/>
          <cell r="AF4164">
            <v>0</v>
          </cell>
          <cell r="AG4164">
            <v>0</v>
          </cell>
        </row>
        <row r="4165">
          <cell r="AD4165" t="str"/>
          <cell r="AE4165" t="str"/>
          <cell r="AF4165">
            <v>0</v>
          </cell>
          <cell r="AG4165">
            <v>0</v>
          </cell>
        </row>
        <row r="4166">
          <cell r="AD4166" t="str"/>
          <cell r="AE4166" t="str"/>
          <cell r="AF4166">
            <v>0</v>
          </cell>
          <cell r="AG4166">
            <v>0</v>
          </cell>
        </row>
        <row r="4167">
          <cell r="AD4167" t="str"/>
          <cell r="AE4167" t="str"/>
          <cell r="AF4167">
            <v>0</v>
          </cell>
          <cell r="AG4167">
            <v>0</v>
          </cell>
        </row>
        <row r="4168">
          <cell r="AD4168" t="str"/>
          <cell r="AE4168" t="str"/>
          <cell r="AF4168">
            <v>0</v>
          </cell>
          <cell r="AG4168">
            <v>0</v>
          </cell>
        </row>
        <row r="4169">
          <cell r="AD4169" t="str"/>
          <cell r="AE4169" t="str"/>
          <cell r="AF4169">
            <v>0</v>
          </cell>
          <cell r="AG4169">
            <v>0</v>
          </cell>
        </row>
        <row r="4170">
          <cell r="AD4170" t="str"/>
          <cell r="AE4170" t="str"/>
          <cell r="AF4170">
            <v>0</v>
          </cell>
          <cell r="AG4170">
            <v>0</v>
          </cell>
        </row>
        <row r="4171">
          <cell r="AD4171" t="str"/>
          <cell r="AE4171" t="str"/>
          <cell r="AF4171">
            <v>0</v>
          </cell>
          <cell r="AG4171">
            <v>0</v>
          </cell>
        </row>
        <row r="4172">
          <cell r="AD4172" t="str"/>
          <cell r="AE4172" t="str"/>
          <cell r="AF4172">
            <v>0</v>
          </cell>
          <cell r="AG4172">
            <v>0</v>
          </cell>
        </row>
        <row r="4173">
          <cell r="AD4173" t="str"/>
          <cell r="AE4173" t="str"/>
          <cell r="AF4173">
            <v>0</v>
          </cell>
          <cell r="AG4173">
            <v>0</v>
          </cell>
        </row>
        <row r="4174">
          <cell r="AD4174" t="str"/>
          <cell r="AE4174" t="str"/>
          <cell r="AF4174">
            <v>0</v>
          </cell>
          <cell r="AG4174">
            <v>0</v>
          </cell>
        </row>
        <row r="4175">
          <cell r="AD4175" t="str"/>
          <cell r="AE4175" t="str"/>
          <cell r="AF4175">
            <v>0</v>
          </cell>
          <cell r="AG4175">
            <v>0</v>
          </cell>
        </row>
        <row r="4176">
          <cell r="AD4176" t="str"/>
          <cell r="AE4176" t="str"/>
          <cell r="AF4176">
            <v>0</v>
          </cell>
          <cell r="AG4176">
            <v>0</v>
          </cell>
        </row>
        <row r="4177">
          <cell r="AD4177" t="str"/>
          <cell r="AE4177" t="str"/>
          <cell r="AF4177">
            <v>0</v>
          </cell>
          <cell r="AG4177">
            <v>0</v>
          </cell>
        </row>
        <row r="4178">
          <cell r="AD4178" t="str"/>
          <cell r="AE4178" t="str"/>
          <cell r="AF4178">
            <v>0</v>
          </cell>
          <cell r="AG4178">
            <v>0</v>
          </cell>
        </row>
        <row r="4179">
          <cell r="AD4179" t="str"/>
          <cell r="AE4179" t="str"/>
          <cell r="AF4179">
            <v>0</v>
          </cell>
          <cell r="AG4179">
            <v>0</v>
          </cell>
        </row>
        <row r="4180">
          <cell r="AD4180" t="str"/>
          <cell r="AE4180" t="str"/>
          <cell r="AF4180">
            <v>0</v>
          </cell>
          <cell r="AG4180">
            <v>0</v>
          </cell>
        </row>
        <row r="4181">
          <cell r="AD4181" t="str"/>
          <cell r="AE4181" t="str"/>
          <cell r="AF4181">
            <v>0</v>
          </cell>
          <cell r="AG4181">
            <v>0</v>
          </cell>
        </row>
        <row r="4182">
          <cell r="AD4182" t="str"/>
          <cell r="AE4182" t="str"/>
          <cell r="AF4182">
            <v>0</v>
          </cell>
          <cell r="AG4182">
            <v>0</v>
          </cell>
        </row>
        <row r="4183">
          <cell r="AD4183" t="str"/>
          <cell r="AE4183" t="str"/>
          <cell r="AF4183">
            <v>0</v>
          </cell>
          <cell r="AG4183">
            <v>0</v>
          </cell>
        </row>
        <row r="4184">
          <cell r="AD4184" t="str"/>
          <cell r="AE4184" t="str"/>
          <cell r="AF4184">
            <v>0</v>
          </cell>
          <cell r="AG4184">
            <v>0</v>
          </cell>
        </row>
        <row r="4185">
          <cell r="AD4185" t="str"/>
          <cell r="AE4185" t="str"/>
          <cell r="AF4185">
            <v>0</v>
          </cell>
          <cell r="AG4185">
            <v>0</v>
          </cell>
        </row>
        <row r="4186">
          <cell r="AD4186" t="str"/>
          <cell r="AE4186" t="str"/>
          <cell r="AF4186">
            <v>0</v>
          </cell>
          <cell r="AG4186">
            <v>0</v>
          </cell>
        </row>
        <row r="4187">
          <cell r="AD4187" t="str"/>
          <cell r="AE4187" t="str"/>
          <cell r="AF4187">
            <v>0</v>
          </cell>
          <cell r="AG4187">
            <v>0</v>
          </cell>
        </row>
        <row r="4188">
          <cell r="AD4188" t="str"/>
          <cell r="AE4188" t="str"/>
          <cell r="AF4188">
            <v>0</v>
          </cell>
          <cell r="AG4188">
            <v>0</v>
          </cell>
        </row>
        <row r="4189">
          <cell r="AD4189" t="str"/>
          <cell r="AE4189" t="str"/>
          <cell r="AF4189">
            <v>0</v>
          </cell>
          <cell r="AG4189">
            <v>0</v>
          </cell>
        </row>
        <row r="4190">
          <cell r="AD4190" t="str"/>
          <cell r="AE4190" t="str"/>
          <cell r="AF4190">
            <v>0</v>
          </cell>
          <cell r="AG4190">
            <v>0</v>
          </cell>
        </row>
        <row r="4191">
          <cell r="AD4191" t="str"/>
          <cell r="AE4191" t="str"/>
          <cell r="AF4191">
            <v>0</v>
          </cell>
          <cell r="AG4191">
            <v>0</v>
          </cell>
        </row>
        <row r="4192">
          <cell r="AD4192" t="str"/>
          <cell r="AE4192" t="str"/>
          <cell r="AF4192">
            <v>0</v>
          </cell>
          <cell r="AG4192">
            <v>0</v>
          </cell>
        </row>
        <row r="4193">
          <cell r="AD4193" t="str"/>
          <cell r="AE4193" t="str"/>
          <cell r="AF4193">
            <v>0</v>
          </cell>
          <cell r="AG4193">
            <v>0</v>
          </cell>
        </row>
        <row r="4194">
          <cell r="AD4194" t="str"/>
          <cell r="AE4194" t="str"/>
          <cell r="AF4194">
            <v>0</v>
          </cell>
          <cell r="AG4194">
            <v>0</v>
          </cell>
        </row>
        <row r="4195">
          <cell r="AD4195" t="str"/>
          <cell r="AE4195" t="str"/>
          <cell r="AF4195">
            <v>0</v>
          </cell>
          <cell r="AG4195">
            <v>0</v>
          </cell>
        </row>
        <row r="4196">
          <cell r="AD4196" t="str"/>
          <cell r="AE4196" t="str"/>
          <cell r="AF4196">
            <v>0</v>
          </cell>
          <cell r="AG4196">
            <v>0</v>
          </cell>
        </row>
        <row r="4197">
          <cell r="AD4197" t="str"/>
          <cell r="AE4197" t="str"/>
          <cell r="AF4197">
            <v>0</v>
          </cell>
          <cell r="AG4197">
            <v>0</v>
          </cell>
        </row>
        <row r="4198">
          <cell r="AD4198" t="str"/>
          <cell r="AE4198" t="str"/>
          <cell r="AF4198">
            <v>0</v>
          </cell>
          <cell r="AG4198">
            <v>0</v>
          </cell>
        </row>
        <row r="4199">
          <cell r="AD4199" t="str"/>
          <cell r="AE4199" t="str"/>
          <cell r="AF4199">
            <v>0</v>
          </cell>
          <cell r="AG4199">
            <v>0</v>
          </cell>
        </row>
        <row r="4200">
          <cell r="AD4200" t="str"/>
          <cell r="AE4200" t="str"/>
          <cell r="AF4200">
            <v>0</v>
          </cell>
          <cell r="AG4200">
            <v>0</v>
          </cell>
        </row>
        <row r="4201">
          <cell r="AD4201" t="str"/>
          <cell r="AE4201" t="str"/>
          <cell r="AF4201">
            <v>0</v>
          </cell>
          <cell r="AG4201">
            <v>0</v>
          </cell>
        </row>
        <row r="4202">
          <cell r="AD4202" t="str"/>
          <cell r="AE4202" t="str"/>
          <cell r="AF4202">
            <v>0</v>
          </cell>
          <cell r="AG4202">
            <v>0</v>
          </cell>
        </row>
        <row r="4203">
          <cell r="AD4203" t="str"/>
          <cell r="AE4203" t="str"/>
          <cell r="AF4203">
            <v>0</v>
          </cell>
          <cell r="AG4203">
            <v>0</v>
          </cell>
        </row>
        <row r="4204">
          <cell r="AD4204" t="str"/>
          <cell r="AE4204" t="str"/>
          <cell r="AF4204">
            <v>0</v>
          </cell>
          <cell r="AG4204">
            <v>0</v>
          </cell>
        </row>
        <row r="4205">
          <cell r="AD4205" t="str"/>
          <cell r="AE4205" t="str"/>
          <cell r="AF4205">
            <v>0</v>
          </cell>
          <cell r="AG4205">
            <v>0</v>
          </cell>
        </row>
        <row r="4206">
          <cell r="AD4206" t="str"/>
          <cell r="AE4206" t="str"/>
          <cell r="AF4206">
            <v>0</v>
          </cell>
          <cell r="AG4206">
            <v>0</v>
          </cell>
        </row>
        <row r="4207">
          <cell r="AD4207" t="str"/>
          <cell r="AE4207" t="str"/>
          <cell r="AF4207">
            <v>0</v>
          </cell>
          <cell r="AG4207">
            <v>0</v>
          </cell>
        </row>
        <row r="4208">
          <cell r="AD4208" t="str"/>
          <cell r="AE4208" t="str"/>
          <cell r="AF4208">
            <v>0</v>
          </cell>
          <cell r="AG4208">
            <v>0</v>
          </cell>
        </row>
        <row r="4209">
          <cell r="AD4209" t="str"/>
          <cell r="AE4209" t="str"/>
          <cell r="AF4209">
            <v>0</v>
          </cell>
          <cell r="AG4209">
            <v>0</v>
          </cell>
        </row>
        <row r="4210">
          <cell r="AD4210" t="str"/>
          <cell r="AE4210" t="str"/>
          <cell r="AF4210">
            <v>0</v>
          </cell>
          <cell r="AG4210">
            <v>0</v>
          </cell>
        </row>
        <row r="4211">
          <cell r="AD4211" t="str"/>
          <cell r="AE4211" t="str"/>
          <cell r="AF4211">
            <v>0</v>
          </cell>
          <cell r="AG4211">
            <v>0</v>
          </cell>
        </row>
        <row r="4212">
          <cell r="AD4212" t="str"/>
          <cell r="AE4212" t="str"/>
          <cell r="AF4212">
            <v>0</v>
          </cell>
          <cell r="AG4212">
            <v>0</v>
          </cell>
        </row>
        <row r="4213">
          <cell r="AD4213" t="str"/>
          <cell r="AE4213" t="str"/>
          <cell r="AF4213">
            <v>0</v>
          </cell>
          <cell r="AG4213">
            <v>0</v>
          </cell>
        </row>
        <row r="4214">
          <cell r="AD4214" t="str"/>
          <cell r="AE4214" t="str"/>
          <cell r="AF4214">
            <v>0</v>
          </cell>
          <cell r="AG4214">
            <v>0</v>
          </cell>
        </row>
        <row r="4215">
          <cell r="AD4215" t="str"/>
          <cell r="AE4215" t="str"/>
          <cell r="AF4215">
            <v>0</v>
          </cell>
          <cell r="AG4215">
            <v>0</v>
          </cell>
        </row>
        <row r="4216">
          <cell r="AD4216" t="str"/>
          <cell r="AE4216" t="str"/>
          <cell r="AF4216">
            <v>0</v>
          </cell>
          <cell r="AG4216">
            <v>0</v>
          </cell>
        </row>
        <row r="4217">
          <cell r="AD4217" t="str"/>
          <cell r="AE4217" t="str"/>
          <cell r="AF4217">
            <v>0</v>
          </cell>
          <cell r="AG4217">
            <v>0</v>
          </cell>
        </row>
        <row r="4218">
          <cell r="AD4218" t="str"/>
          <cell r="AE4218" t="str"/>
          <cell r="AF4218">
            <v>0</v>
          </cell>
          <cell r="AG4218">
            <v>0</v>
          </cell>
        </row>
        <row r="4219">
          <cell r="AD4219" t="str"/>
          <cell r="AE4219" t="str"/>
          <cell r="AF4219">
            <v>0</v>
          </cell>
          <cell r="AG4219">
            <v>0</v>
          </cell>
        </row>
        <row r="4220">
          <cell r="AD4220" t="str"/>
          <cell r="AE4220" t="str"/>
          <cell r="AF4220">
            <v>0</v>
          </cell>
          <cell r="AG4220">
            <v>0</v>
          </cell>
        </row>
        <row r="4221">
          <cell r="AD4221" t="str"/>
          <cell r="AE4221" t="str"/>
          <cell r="AF4221">
            <v>0</v>
          </cell>
          <cell r="AG4221">
            <v>0</v>
          </cell>
        </row>
        <row r="4222">
          <cell r="AD4222" t="str"/>
          <cell r="AE4222" t="str"/>
          <cell r="AF4222">
            <v>0</v>
          </cell>
          <cell r="AG4222">
            <v>0</v>
          </cell>
        </row>
        <row r="4223">
          <cell r="AD4223" t="str"/>
          <cell r="AE4223" t="str"/>
          <cell r="AF4223">
            <v>0</v>
          </cell>
          <cell r="AG4223">
            <v>0</v>
          </cell>
        </row>
        <row r="4224">
          <cell r="AD4224" t="str"/>
          <cell r="AE4224" t="str"/>
          <cell r="AF4224">
            <v>0</v>
          </cell>
          <cell r="AG4224">
            <v>0</v>
          </cell>
        </row>
        <row r="4225">
          <cell r="AD4225" t="str"/>
          <cell r="AE4225" t="str"/>
          <cell r="AF4225">
            <v>0</v>
          </cell>
          <cell r="AG4225">
            <v>0</v>
          </cell>
        </row>
        <row r="4226">
          <cell r="AD4226" t="str"/>
          <cell r="AE4226" t="str"/>
          <cell r="AF4226">
            <v>0</v>
          </cell>
          <cell r="AG4226">
            <v>0</v>
          </cell>
        </row>
        <row r="4227">
          <cell r="AD4227" t="str"/>
          <cell r="AE4227" t="str"/>
          <cell r="AF4227">
            <v>0</v>
          </cell>
          <cell r="AG4227">
            <v>0</v>
          </cell>
        </row>
        <row r="4228">
          <cell r="AD4228" t="str"/>
          <cell r="AE4228" t="str"/>
          <cell r="AF4228">
            <v>0</v>
          </cell>
          <cell r="AG4228">
            <v>0</v>
          </cell>
        </row>
        <row r="4229">
          <cell r="AD4229" t="str"/>
          <cell r="AE4229" t="str"/>
          <cell r="AF4229">
            <v>0</v>
          </cell>
          <cell r="AG4229">
            <v>0</v>
          </cell>
        </row>
        <row r="4230">
          <cell r="AD4230" t="str"/>
          <cell r="AE4230" t="str"/>
          <cell r="AF4230">
            <v>0</v>
          </cell>
          <cell r="AG4230">
            <v>0</v>
          </cell>
        </row>
        <row r="4231">
          <cell r="AD4231" t="str"/>
          <cell r="AE4231" t="str"/>
          <cell r="AF4231">
            <v>0</v>
          </cell>
          <cell r="AG4231">
            <v>0</v>
          </cell>
        </row>
        <row r="4232">
          <cell r="AD4232" t="str"/>
          <cell r="AE4232" t="str"/>
          <cell r="AF4232">
            <v>0</v>
          </cell>
          <cell r="AG4232">
            <v>0</v>
          </cell>
        </row>
        <row r="4233">
          <cell r="AD4233" t="str"/>
          <cell r="AE4233" t="str"/>
          <cell r="AF4233">
            <v>0</v>
          </cell>
          <cell r="AG4233">
            <v>0</v>
          </cell>
        </row>
        <row r="4234">
          <cell r="AD4234" t="str"/>
          <cell r="AE4234" t="str"/>
          <cell r="AF4234">
            <v>0</v>
          </cell>
          <cell r="AG4234">
            <v>0</v>
          </cell>
        </row>
        <row r="4235">
          <cell r="AD4235" t="str"/>
          <cell r="AE4235" t="str"/>
          <cell r="AF4235">
            <v>0</v>
          </cell>
          <cell r="AG4235">
            <v>0</v>
          </cell>
        </row>
        <row r="4236">
          <cell r="AD4236" t="str"/>
          <cell r="AE4236" t="str"/>
          <cell r="AF4236">
            <v>0</v>
          </cell>
          <cell r="AG4236">
            <v>0</v>
          </cell>
        </row>
        <row r="4237">
          <cell r="AD4237" t="str"/>
          <cell r="AE4237" t="str"/>
          <cell r="AF4237">
            <v>0</v>
          </cell>
          <cell r="AG4237">
            <v>0</v>
          </cell>
        </row>
        <row r="4238">
          <cell r="AD4238" t="str"/>
          <cell r="AE4238" t="str"/>
          <cell r="AF4238">
            <v>0</v>
          </cell>
          <cell r="AG4238">
            <v>0</v>
          </cell>
        </row>
        <row r="4239">
          <cell r="AD4239" t="str"/>
          <cell r="AE4239" t="str"/>
          <cell r="AF4239">
            <v>0</v>
          </cell>
          <cell r="AG4239">
            <v>0</v>
          </cell>
        </row>
        <row r="4240">
          <cell r="AD4240" t="str"/>
          <cell r="AE4240" t="str"/>
          <cell r="AF4240">
            <v>0</v>
          </cell>
          <cell r="AG4240">
            <v>0</v>
          </cell>
        </row>
        <row r="4241">
          <cell r="AD4241" t="str"/>
          <cell r="AE4241" t="str"/>
          <cell r="AF4241">
            <v>0</v>
          </cell>
          <cell r="AG4241">
            <v>0</v>
          </cell>
        </row>
        <row r="4242">
          <cell r="AD4242" t="str"/>
          <cell r="AE4242" t="str"/>
          <cell r="AF4242">
            <v>0</v>
          </cell>
          <cell r="AG4242">
            <v>0</v>
          </cell>
        </row>
        <row r="4243">
          <cell r="AD4243" t="str"/>
          <cell r="AE4243" t="str"/>
          <cell r="AF4243">
            <v>0</v>
          </cell>
          <cell r="AG4243">
            <v>0</v>
          </cell>
        </row>
        <row r="4244">
          <cell r="AD4244" t="str"/>
          <cell r="AE4244" t="str"/>
          <cell r="AF4244">
            <v>0</v>
          </cell>
          <cell r="AG4244">
            <v>0</v>
          </cell>
        </row>
        <row r="4245">
          <cell r="AD4245" t="str"/>
          <cell r="AE4245" t="str"/>
          <cell r="AF4245">
            <v>0</v>
          </cell>
          <cell r="AG4245">
            <v>0</v>
          </cell>
        </row>
        <row r="4246">
          <cell r="AD4246" t="str"/>
          <cell r="AE4246" t="str"/>
          <cell r="AF4246">
            <v>0</v>
          </cell>
          <cell r="AG4246">
            <v>0</v>
          </cell>
        </row>
        <row r="4247">
          <cell r="AD4247" t="str"/>
          <cell r="AE4247" t="str"/>
          <cell r="AF4247">
            <v>0</v>
          </cell>
          <cell r="AG4247">
            <v>0</v>
          </cell>
        </row>
        <row r="4248">
          <cell r="AD4248" t="str"/>
          <cell r="AE4248" t="str"/>
          <cell r="AF4248">
            <v>0</v>
          </cell>
          <cell r="AG4248">
            <v>0</v>
          </cell>
        </row>
        <row r="4249">
          <cell r="AD4249" t="str"/>
          <cell r="AE4249" t="str"/>
          <cell r="AF4249">
            <v>0</v>
          </cell>
          <cell r="AG4249">
            <v>0</v>
          </cell>
        </row>
        <row r="4250">
          <cell r="AD4250" t="str"/>
          <cell r="AE4250" t="str"/>
          <cell r="AF4250">
            <v>0</v>
          </cell>
          <cell r="AG4250">
            <v>0</v>
          </cell>
        </row>
        <row r="4251">
          <cell r="AD4251" t="str"/>
          <cell r="AE4251" t="str"/>
          <cell r="AF4251">
            <v>0</v>
          </cell>
          <cell r="AG4251">
            <v>0</v>
          </cell>
        </row>
        <row r="4252">
          <cell r="AD4252" t="str"/>
          <cell r="AE4252" t="str"/>
          <cell r="AF4252">
            <v>0</v>
          </cell>
          <cell r="AG4252">
            <v>0</v>
          </cell>
        </row>
        <row r="4253">
          <cell r="AD4253" t="str"/>
          <cell r="AE4253" t="str"/>
          <cell r="AF4253">
            <v>0</v>
          </cell>
          <cell r="AG4253">
            <v>0</v>
          </cell>
        </row>
        <row r="4254">
          <cell r="AD4254" t="str"/>
          <cell r="AE4254" t="str"/>
          <cell r="AF4254">
            <v>0</v>
          </cell>
          <cell r="AG4254">
            <v>0</v>
          </cell>
        </row>
        <row r="4255">
          <cell r="AD4255" t="str"/>
          <cell r="AE4255" t="str"/>
          <cell r="AF4255">
            <v>0</v>
          </cell>
          <cell r="AG4255">
            <v>0</v>
          </cell>
        </row>
        <row r="4256">
          <cell r="AD4256" t="str"/>
          <cell r="AE4256" t="str"/>
          <cell r="AF4256">
            <v>0</v>
          </cell>
          <cell r="AG4256">
            <v>0</v>
          </cell>
        </row>
        <row r="4257">
          <cell r="AD4257" t="str"/>
          <cell r="AE4257" t="str"/>
          <cell r="AF4257">
            <v>0</v>
          </cell>
          <cell r="AG4257">
            <v>0</v>
          </cell>
        </row>
        <row r="4258">
          <cell r="AD4258" t="str"/>
          <cell r="AE4258" t="str"/>
          <cell r="AF4258">
            <v>0</v>
          </cell>
          <cell r="AG4258">
            <v>0</v>
          </cell>
        </row>
        <row r="4259">
          <cell r="AD4259" t="str"/>
          <cell r="AE4259" t="str"/>
          <cell r="AF4259">
            <v>0</v>
          </cell>
          <cell r="AG4259">
            <v>0</v>
          </cell>
        </row>
        <row r="4260">
          <cell r="AD4260" t="str"/>
          <cell r="AE4260" t="str"/>
          <cell r="AF4260">
            <v>0</v>
          </cell>
          <cell r="AG4260">
            <v>0</v>
          </cell>
        </row>
        <row r="4261">
          <cell r="AD4261" t="str"/>
          <cell r="AE4261" t="str"/>
          <cell r="AF4261">
            <v>0</v>
          </cell>
          <cell r="AG4261">
            <v>0</v>
          </cell>
        </row>
        <row r="4262">
          <cell r="AD4262" t="str"/>
          <cell r="AE4262" t="str"/>
          <cell r="AF4262">
            <v>0</v>
          </cell>
          <cell r="AG4262">
            <v>0</v>
          </cell>
        </row>
        <row r="4263">
          <cell r="AD4263" t="str"/>
          <cell r="AE4263" t="str"/>
          <cell r="AF4263">
            <v>0</v>
          </cell>
          <cell r="AG4263">
            <v>0</v>
          </cell>
        </row>
        <row r="4264">
          <cell r="AD4264" t="str"/>
          <cell r="AE4264" t="str"/>
          <cell r="AF4264">
            <v>0</v>
          </cell>
          <cell r="AG4264">
            <v>0</v>
          </cell>
        </row>
        <row r="4265">
          <cell r="AD4265" t="str"/>
          <cell r="AE4265" t="str"/>
          <cell r="AF4265">
            <v>0</v>
          </cell>
          <cell r="AG4265">
            <v>0</v>
          </cell>
        </row>
        <row r="4266">
          <cell r="AD4266" t="str"/>
          <cell r="AE4266" t="str"/>
          <cell r="AF4266">
            <v>0</v>
          </cell>
          <cell r="AG4266">
            <v>0</v>
          </cell>
        </row>
        <row r="4267">
          <cell r="AD4267" t="str"/>
          <cell r="AE4267" t="str"/>
          <cell r="AF4267">
            <v>0</v>
          </cell>
          <cell r="AG4267">
            <v>0</v>
          </cell>
        </row>
        <row r="4268">
          <cell r="AD4268" t="str"/>
          <cell r="AE4268" t="str"/>
          <cell r="AF4268">
            <v>0</v>
          </cell>
          <cell r="AG4268">
            <v>0</v>
          </cell>
        </row>
        <row r="4269">
          <cell r="AD4269" t="str"/>
          <cell r="AE4269" t="str"/>
          <cell r="AF4269">
            <v>0</v>
          </cell>
          <cell r="AG4269">
            <v>0</v>
          </cell>
        </row>
        <row r="4270">
          <cell r="AD4270" t="str"/>
          <cell r="AE4270" t="str"/>
          <cell r="AF4270">
            <v>0</v>
          </cell>
          <cell r="AG4270">
            <v>0</v>
          </cell>
        </row>
        <row r="4271">
          <cell r="AD4271" t="str"/>
          <cell r="AE4271" t="str"/>
          <cell r="AF4271">
            <v>0</v>
          </cell>
          <cell r="AG4271">
            <v>0</v>
          </cell>
        </row>
        <row r="4272">
          <cell r="AD4272" t="str"/>
          <cell r="AE4272" t="str"/>
          <cell r="AF4272">
            <v>0</v>
          </cell>
          <cell r="AG4272">
            <v>0</v>
          </cell>
        </row>
        <row r="4273">
          <cell r="AD4273" t="str"/>
          <cell r="AE4273" t="str"/>
          <cell r="AF4273">
            <v>0</v>
          </cell>
          <cell r="AG4273">
            <v>0</v>
          </cell>
        </row>
        <row r="4274">
          <cell r="AD4274" t="str"/>
          <cell r="AE4274" t="str"/>
          <cell r="AF4274">
            <v>0</v>
          </cell>
          <cell r="AG4274">
            <v>0</v>
          </cell>
        </row>
        <row r="4275">
          <cell r="AD4275" t="str"/>
          <cell r="AE4275" t="str"/>
          <cell r="AF4275">
            <v>0</v>
          </cell>
          <cell r="AG4275">
            <v>0</v>
          </cell>
        </row>
        <row r="4276">
          <cell r="AD4276" t="str"/>
          <cell r="AE4276" t="str"/>
          <cell r="AF4276">
            <v>0</v>
          </cell>
          <cell r="AG4276">
            <v>0</v>
          </cell>
        </row>
        <row r="4277">
          <cell r="AD4277" t="str"/>
          <cell r="AE4277" t="str"/>
          <cell r="AF4277">
            <v>0</v>
          </cell>
          <cell r="AG4277">
            <v>0</v>
          </cell>
        </row>
        <row r="4278">
          <cell r="AD4278" t="str"/>
          <cell r="AE4278" t="str"/>
          <cell r="AF4278">
            <v>0</v>
          </cell>
          <cell r="AG4278">
            <v>0</v>
          </cell>
        </row>
        <row r="4279">
          <cell r="AD4279" t="str"/>
          <cell r="AE4279" t="str"/>
          <cell r="AF4279">
            <v>0</v>
          </cell>
          <cell r="AG4279">
            <v>0</v>
          </cell>
        </row>
        <row r="4280">
          <cell r="AD4280" t="str"/>
          <cell r="AE4280" t="str"/>
          <cell r="AF4280">
            <v>0</v>
          </cell>
          <cell r="AG4280">
            <v>0</v>
          </cell>
        </row>
        <row r="4281">
          <cell r="AD4281" t="str"/>
          <cell r="AE4281" t="str"/>
          <cell r="AF4281">
            <v>0</v>
          </cell>
          <cell r="AG4281">
            <v>0</v>
          </cell>
        </row>
        <row r="4282">
          <cell r="AD4282" t="str"/>
          <cell r="AE4282" t="str"/>
          <cell r="AF4282">
            <v>0</v>
          </cell>
          <cell r="AG4282">
            <v>0</v>
          </cell>
        </row>
        <row r="4283">
          <cell r="AD4283" t="str"/>
          <cell r="AE4283" t="str"/>
          <cell r="AF4283">
            <v>0</v>
          </cell>
          <cell r="AG4283">
            <v>0</v>
          </cell>
        </row>
        <row r="4284">
          <cell r="AD4284" t="str"/>
          <cell r="AE4284" t="str"/>
          <cell r="AF4284">
            <v>0</v>
          </cell>
          <cell r="AG4284">
            <v>0</v>
          </cell>
        </row>
        <row r="4285">
          <cell r="AD4285" t="str"/>
          <cell r="AE4285" t="str"/>
          <cell r="AF4285">
            <v>0</v>
          </cell>
          <cell r="AG4285">
            <v>0</v>
          </cell>
        </row>
        <row r="4286">
          <cell r="AD4286" t="str"/>
          <cell r="AE4286" t="str"/>
          <cell r="AF4286">
            <v>0</v>
          </cell>
          <cell r="AG4286">
            <v>0</v>
          </cell>
        </row>
        <row r="4287">
          <cell r="AD4287" t="str"/>
          <cell r="AE4287" t="str"/>
          <cell r="AF4287">
            <v>0</v>
          </cell>
          <cell r="AG4287">
            <v>0</v>
          </cell>
        </row>
        <row r="4288">
          <cell r="AD4288" t="str"/>
          <cell r="AE4288" t="str"/>
          <cell r="AF4288">
            <v>0</v>
          </cell>
          <cell r="AG4288">
            <v>0</v>
          </cell>
        </row>
        <row r="4289">
          <cell r="AD4289" t="str"/>
          <cell r="AE4289" t="str"/>
          <cell r="AF4289">
            <v>0</v>
          </cell>
          <cell r="AG4289">
            <v>0</v>
          </cell>
        </row>
        <row r="4290">
          <cell r="AD4290" t="str"/>
          <cell r="AE4290" t="str"/>
          <cell r="AF4290">
            <v>0</v>
          </cell>
          <cell r="AG4290">
            <v>0</v>
          </cell>
        </row>
        <row r="4291">
          <cell r="AD4291" t="str"/>
          <cell r="AE4291" t="str"/>
          <cell r="AF4291">
            <v>0</v>
          </cell>
          <cell r="AG4291">
            <v>0</v>
          </cell>
        </row>
        <row r="4292">
          <cell r="AD4292" t="str"/>
          <cell r="AE4292" t="str"/>
          <cell r="AF4292">
            <v>0</v>
          </cell>
          <cell r="AG4292">
            <v>0</v>
          </cell>
        </row>
        <row r="4293">
          <cell r="AD4293" t="str"/>
          <cell r="AE4293" t="str"/>
          <cell r="AF4293">
            <v>0</v>
          </cell>
          <cell r="AG4293">
            <v>0</v>
          </cell>
        </row>
        <row r="4294">
          <cell r="AD4294" t="str"/>
          <cell r="AE4294" t="str"/>
          <cell r="AF4294">
            <v>0</v>
          </cell>
          <cell r="AG4294">
            <v>0</v>
          </cell>
        </row>
        <row r="4295">
          <cell r="AD4295" t="str"/>
          <cell r="AE4295" t="str"/>
          <cell r="AF4295">
            <v>0</v>
          </cell>
          <cell r="AG4295">
            <v>0</v>
          </cell>
        </row>
        <row r="4296">
          <cell r="AD4296" t="str"/>
          <cell r="AE4296" t="str"/>
          <cell r="AF4296">
            <v>0</v>
          </cell>
          <cell r="AG4296">
            <v>0</v>
          </cell>
        </row>
        <row r="4297">
          <cell r="AD4297" t="str"/>
          <cell r="AE4297" t="str"/>
          <cell r="AF4297">
            <v>0</v>
          </cell>
          <cell r="AG4297">
            <v>0</v>
          </cell>
        </row>
        <row r="4298">
          <cell r="AD4298" t="str"/>
          <cell r="AE4298" t="str"/>
          <cell r="AF4298">
            <v>0</v>
          </cell>
          <cell r="AG4298">
            <v>0</v>
          </cell>
        </row>
        <row r="4299">
          <cell r="AD4299" t="str"/>
          <cell r="AE4299" t="str"/>
          <cell r="AF4299">
            <v>0</v>
          </cell>
          <cell r="AG4299">
            <v>0</v>
          </cell>
        </row>
        <row r="4300">
          <cell r="AD4300" t="str"/>
          <cell r="AE4300" t="str"/>
          <cell r="AF4300">
            <v>0</v>
          </cell>
          <cell r="AG4300">
            <v>0</v>
          </cell>
        </row>
        <row r="4301">
          <cell r="AD4301" t="str"/>
          <cell r="AE4301" t="str"/>
          <cell r="AF4301">
            <v>0</v>
          </cell>
          <cell r="AG4301">
            <v>0</v>
          </cell>
        </row>
        <row r="4302">
          <cell r="AD4302" t="str"/>
          <cell r="AE4302" t="str"/>
          <cell r="AF4302">
            <v>0</v>
          </cell>
          <cell r="AG4302">
            <v>0</v>
          </cell>
        </row>
        <row r="4303">
          <cell r="AD4303" t="str"/>
          <cell r="AE4303" t="str"/>
          <cell r="AF4303">
            <v>0</v>
          </cell>
          <cell r="AG4303">
            <v>0</v>
          </cell>
        </row>
        <row r="4304">
          <cell r="AD4304" t="str"/>
          <cell r="AE4304" t="str"/>
          <cell r="AF4304">
            <v>0</v>
          </cell>
          <cell r="AG4304">
            <v>0</v>
          </cell>
        </row>
        <row r="4305">
          <cell r="AD4305" t="str"/>
          <cell r="AE4305" t="str"/>
          <cell r="AF4305">
            <v>0</v>
          </cell>
          <cell r="AG4305">
            <v>0</v>
          </cell>
        </row>
        <row r="4306">
          <cell r="AD4306" t="str"/>
          <cell r="AE4306" t="str"/>
          <cell r="AF4306">
            <v>0</v>
          </cell>
          <cell r="AG4306">
            <v>0</v>
          </cell>
        </row>
        <row r="4307">
          <cell r="AD4307" t="str"/>
          <cell r="AE4307" t="str"/>
          <cell r="AF4307">
            <v>0</v>
          </cell>
          <cell r="AG4307">
            <v>0</v>
          </cell>
        </row>
        <row r="4308">
          <cell r="AD4308" t="str"/>
          <cell r="AE4308" t="str"/>
          <cell r="AF4308">
            <v>0</v>
          </cell>
          <cell r="AG4308">
            <v>0</v>
          </cell>
        </row>
        <row r="4309">
          <cell r="AD4309" t="str"/>
          <cell r="AE4309" t="str"/>
          <cell r="AF4309">
            <v>0</v>
          </cell>
          <cell r="AG4309">
            <v>0</v>
          </cell>
        </row>
        <row r="4310">
          <cell r="AD4310" t="str"/>
          <cell r="AE4310" t="str"/>
          <cell r="AF4310">
            <v>0</v>
          </cell>
          <cell r="AG4310">
            <v>0</v>
          </cell>
        </row>
        <row r="4311">
          <cell r="AD4311" t="str"/>
          <cell r="AE4311" t="str"/>
          <cell r="AF4311">
            <v>0</v>
          </cell>
          <cell r="AG4311">
            <v>0</v>
          </cell>
        </row>
        <row r="4312">
          <cell r="AD4312" t="str"/>
          <cell r="AE4312" t="str"/>
          <cell r="AF4312">
            <v>0</v>
          </cell>
          <cell r="AG4312">
            <v>0</v>
          </cell>
        </row>
        <row r="4313">
          <cell r="AD4313" t="str"/>
          <cell r="AE4313" t="str"/>
          <cell r="AF4313">
            <v>0</v>
          </cell>
          <cell r="AG4313">
            <v>0</v>
          </cell>
        </row>
        <row r="4314">
          <cell r="AD4314" t="str"/>
          <cell r="AE4314" t="str"/>
          <cell r="AF4314">
            <v>0</v>
          </cell>
          <cell r="AG4314">
            <v>0</v>
          </cell>
        </row>
        <row r="4315">
          <cell r="AD4315" t="str"/>
          <cell r="AE4315" t="str"/>
          <cell r="AF4315">
            <v>0</v>
          </cell>
          <cell r="AG4315">
            <v>0</v>
          </cell>
        </row>
        <row r="4316">
          <cell r="AD4316" t="str"/>
          <cell r="AE4316" t="str"/>
          <cell r="AF4316">
            <v>0</v>
          </cell>
          <cell r="AG4316">
            <v>0</v>
          </cell>
        </row>
        <row r="4317">
          <cell r="AD4317" t="str"/>
          <cell r="AE4317" t="str"/>
          <cell r="AF4317">
            <v>0</v>
          </cell>
          <cell r="AG4317">
            <v>0</v>
          </cell>
        </row>
        <row r="4318">
          <cell r="AD4318" t="str"/>
          <cell r="AE4318" t="str"/>
          <cell r="AF4318">
            <v>0</v>
          </cell>
          <cell r="AG4318">
            <v>0</v>
          </cell>
        </row>
        <row r="4319">
          <cell r="AD4319" t="str"/>
          <cell r="AE4319" t="str"/>
          <cell r="AF4319">
            <v>0</v>
          </cell>
          <cell r="AG4319">
            <v>0</v>
          </cell>
        </row>
        <row r="4320">
          <cell r="AD4320" t="str"/>
          <cell r="AE4320" t="str"/>
          <cell r="AF4320">
            <v>0</v>
          </cell>
          <cell r="AG4320">
            <v>0</v>
          </cell>
        </row>
        <row r="4321">
          <cell r="AD4321" t="str"/>
          <cell r="AE4321" t="str"/>
          <cell r="AF4321">
            <v>0</v>
          </cell>
          <cell r="AG4321">
            <v>0</v>
          </cell>
        </row>
        <row r="4322">
          <cell r="AD4322" t="str"/>
          <cell r="AE4322" t="str"/>
          <cell r="AF4322">
            <v>0</v>
          </cell>
          <cell r="AG4322">
            <v>0</v>
          </cell>
        </row>
        <row r="4323">
          <cell r="AD4323" t="str"/>
          <cell r="AE4323" t="str"/>
          <cell r="AF4323">
            <v>0</v>
          </cell>
          <cell r="AG4323">
            <v>0</v>
          </cell>
        </row>
        <row r="4324">
          <cell r="AD4324" t="str"/>
          <cell r="AE4324" t="str"/>
          <cell r="AF4324">
            <v>0</v>
          </cell>
          <cell r="AG4324">
            <v>0</v>
          </cell>
        </row>
        <row r="4325">
          <cell r="AD4325" t="str"/>
          <cell r="AE4325" t="str"/>
          <cell r="AF4325">
            <v>0</v>
          </cell>
          <cell r="AG4325">
            <v>0</v>
          </cell>
        </row>
        <row r="4326">
          <cell r="AD4326" t="str"/>
          <cell r="AE4326" t="str"/>
          <cell r="AF4326">
            <v>0</v>
          </cell>
          <cell r="AG4326">
            <v>0</v>
          </cell>
        </row>
        <row r="4327">
          <cell r="AD4327" t="str"/>
          <cell r="AE4327" t="str"/>
          <cell r="AF4327">
            <v>0</v>
          </cell>
          <cell r="AG4327">
            <v>0</v>
          </cell>
        </row>
        <row r="4328">
          <cell r="AD4328" t="str"/>
          <cell r="AE4328" t="str"/>
          <cell r="AF4328">
            <v>0</v>
          </cell>
          <cell r="AG4328">
            <v>0</v>
          </cell>
        </row>
        <row r="4329">
          <cell r="AD4329" t="str"/>
          <cell r="AE4329" t="str"/>
          <cell r="AF4329">
            <v>0</v>
          </cell>
          <cell r="AG4329">
            <v>0</v>
          </cell>
        </row>
        <row r="4330">
          <cell r="AD4330" t="str"/>
          <cell r="AE4330" t="str"/>
          <cell r="AF4330">
            <v>0</v>
          </cell>
          <cell r="AG4330">
            <v>0</v>
          </cell>
        </row>
        <row r="4331">
          <cell r="AD4331" t="str"/>
          <cell r="AE4331" t="str"/>
          <cell r="AF4331">
            <v>0</v>
          </cell>
          <cell r="AG4331">
            <v>0</v>
          </cell>
        </row>
        <row r="4332">
          <cell r="AD4332" t="str"/>
          <cell r="AE4332" t="str"/>
          <cell r="AF4332">
            <v>0</v>
          </cell>
          <cell r="AG4332">
            <v>0</v>
          </cell>
        </row>
        <row r="4333">
          <cell r="AD4333" t="str"/>
          <cell r="AE4333" t="str"/>
          <cell r="AF4333">
            <v>0</v>
          </cell>
          <cell r="AG4333">
            <v>0</v>
          </cell>
        </row>
        <row r="4334">
          <cell r="AD4334" t="str"/>
          <cell r="AE4334" t="str"/>
          <cell r="AF4334">
            <v>0</v>
          </cell>
          <cell r="AG4334">
            <v>0</v>
          </cell>
        </row>
        <row r="4335">
          <cell r="AD4335" t="str"/>
          <cell r="AE4335" t="str"/>
          <cell r="AF4335">
            <v>0</v>
          </cell>
          <cell r="AG4335">
            <v>0</v>
          </cell>
        </row>
        <row r="4336">
          <cell r="AD4336" t="str"/>
          <cell r="AE4336" t="str"/>
          <cell r="AF4336">
            <v>0</v>
          </cell>
          <cell r="AG4336">
            <v>0</v>
          </cell>
        </row>
        <row r="4337">
          <cell r="AD4337" t="str"/>
          <cell r="AE4337" t="str"/>
          <cell r="AF4337">
            <v>0</v>
          </cell>
          <cell r="AG4337">
            <v>0</v>
          </cell>
        </row>
        <row r="4338">
          <cell r="AD4338" t="str"/>
          <cell r="AE4338" t="str"/>
          <cell r="AF4338">
            <v>0</v>
          </cell>
          <cell r="AG4338">
            <v>0</v>
          </cell>
        </row>
        <row r="4339">
          <cell r="AD4339" t="str"/>
          <cell r="AE4339" t="str"/>
          <cell r="AF4339">
            <v>0</v>
          </cell>
          <cell r="AG4339">
            <v>0</v>
          </cell>
        </row>
        <row r="4340">
          <cell r="AD4340" t="str"/>
          <cell r="AE4340" t="str"/>
          <cell r="AF4340">
            <v>0</v>
          </cell>
          <cell r="AG4340">
            <v>0</v>
          </cell>
        </row>
        <row r="4341">
          <cell r="AD4341" t="str"/>
          <cell r="AE4341" t="str"/>
          <cell r="AF4341">
            <v>0</v>
          </cell>
          <cell r="AG4341">
            <v>0</v>
          </cell>
        </row>
        <row r="4342">
          <cell r="AD4342" t="str"/>
          <cell r="AE4342" t="str"/>
          <cell r="AF4342">
            <v>0</v>
          </cell>
          <cell r="AG4342">
            <v>0</v>
          </cell>
        </row>
        <row r="4343">
          <cell r="AD4343" t="str"/>
          <cell r="AE4343" t="str"/>
          <cell r="AF4343">
            <v>0</v>
          </cell>
          <cell r="AG4343">
            <v>0</v>
          </cell>
        </row>
        <row r="4344">
          <cell r="AD4344" t="str"/>
          <cell r="AE4344" t="str"/>
          <cell r="AF4344">
            <v>0</v>
          </cell>
          <cell r="AG4344">
            <v>0</v>
          </cell>
        </row>
        <row r="4345">
          <cell r="AD4345" t="str"/>
          <cell r="AE4345" t="str"/>
          <cell r="AF4345">
            <v>0</v>
          </cell>
          <cell r="AG4345">
            <v>0</v>
          </cell>
        </row>
        <row r="4346">
          <cell r="AD4346" t="str"/>
          <cell r="AE4346" t="str"/>
          <cell r="AF4346">
            <v>0</v>
          </cell>
          <cell r="AG4346">
            <v>0</v>
          </cell>
        </row>
        <row r="4347">
          <cell r="AD4347" t="str"/>
          <cell r="AE4347" t="str"/>
          <cell r="AF4347">
            <v>0</v>
          </cell>
          <cell r="AG4347">
            <v>0</v>
          </cell>
        </row>
        <row r="4348">
          <cell r="AD4348" t="str"/>
          <cell r="AE4348" t="str"/>
          <cell r="AF4348">
            <v>0</v>
          </cell>
          <cell r="AG4348">
            <v>0</v>
          </cell>
        </row>
        <row r="4349">
          <cell r="AD4349" t="str"/>
          <cell r="AE4349" t="str"/>
          <cell r="AF4349">
            <v>0</v>
          </cell>
          <cell r="AG4349">
            <v>0</v>
          </cell>
        </row>
        <row r="4350">
          <cell r="AD4350" t="str"/>
          <cell r="AE4350" t="str"/>
          <cell r="AF4350">
            <v>0</v>
          </cell>
          <cell r="AG4350">
            <v>0</v>
          </cell>
        </row>
        <row r="4351">
          <cell r="AD4351" t="str"/>
          <cell r="AE4351" t="str"/>
          <cell r="AF4351">
            <v>0</v>
          </cell>
          <cell r="AG4351">
            <v>0</v>
          </cell>
        </row>
        <row r="4352">
          <cell r="AD4352" t="str"/>
          <cell r="AE4352" t="str"/>
          <cell r="AF4352">
            <v>0</v>
          </cell>
          <cell r="AG4352">
            <v>0</v>
          </cell>
        </row>
        <row r="4353">
          <cell r="AD4353" t="str"/>
          <cell r="AE4353" t="str"/>
          <cell r="AF4353">
            <v>0</v>
          </cell>
          <cell r="AG4353">
            <v>0</v>
          </cell>
        </row>
        <row r="4354">
          <cell r="AD4354" t="str"/>
          <cell r="AE4354" t="str"/>
          <cell r="AF4354">
            <v>0</v>
          </cell>
          <cell r="AG4354">
            <v>0</v>
          </cell>
        </row>
        <row r="4355">
          <cell r="AD4355" t="str"/>
          <cell r="AE4355" t="str"/>
          <cell r="AF4355">
            <v>0</v>
          </cell>
          <cell r="AG4355">
            <v>0</v>
          </cell>
        </row>
        <row r="4356">
          <cell r="AD4356" t="str"/>
          <cell r="AE4356" t="str"/>
          <cell r="AF4356">
            <v>0</v>
          </cell>
          <cell r="AG4356">
            <v>0</v>
          </cell>
        </row>
        <row r="4357">
          <cell r="AD4357" t="str"/>
          <cell r="AE4357" t="str"/>
          <cell r="AF4357">
            <v>0</v>
          </cell>
          <cell r="AG4357">
            <v>0</v>
          </cell>
        </row>
        <row r="4358">
          <cell r="AD4358" t="str"/>
          <cell r="AE4358" t="str"/>
          <cell r="AF4358">
            <v>0</v>
          </cell>
          <cell r="AG4358">
            <v>0</v>
          </cell>
        </row>
        <row r="4359">
          <cell r="AD4359" t="str"/>
          <cell r="AE4359" t="str"/>
          <cell r="AF4359">
            <v>0</v>
          </cell>
          <cell r="AG4359">
            <v>0</v>
          </cell>
        </row>
        <row r="4360">
          <cell r="AD4360" t="str"/>
          <cell r="AE4360" t="str"/>
          <cell r="AF4360">
            <v>0</v>
          </cell>
          <cell r="AG4360">
            <v>0</v>
          </cell>
        </row>
        <row r="4361">
          <cell r="AD4361" t="str"/>
          <cell r="AE4361" t="str"/>
          <cell r="AF4361">
            <v>0</v>
          </cell>
          <cell r="AG4361">
            <v>0</v>
          </cell>
        </row>
        <row r="4362">
          <cell r="AD4362" t="str"/>
          <cell r="AE4362" t="str"/>
          <cell r="AF4362">
            <v>0</v>
          </cell>
          <cell r="AG4362">
            <v>0</v>
          </cell>
        </row>
        <row r="4363">
          <cell r="AD4363" t="str"/>
          <cell r="AE4363" t="str"/>
          <cell r="AF4363">
            <v>0</v>
          </cell>
          <cell r="AG4363">
            <v>0</v>
          </cell>
        </row>
        <row r="4364">
          <cell r="AD4364" t="str"/>
          <cell r="AE4364" t="str"/>
          <cell r="AF4364">
            <v>0</v>
          </cell>
          <cell r="AG4364">
            <v>0</v>
          </cell>
        </row>
        <row r="4365">
          <cell r="AD4365" t="str"/>
          <cell r="AE4365" t="str"/>
          <cell r="AF4365">
            <v>0</v>
          </cell>
          <cell r="AG4365">
            <v>0</v>
          </cell>
        </row>
        <row r="4366">
          <cell r="AD4366" t="str"/>
          <cell r="AE4366" t="str"/>
          <cell r="AF4366">
            <v>0</v>
          </cell>
          <cell r="AG4366">
            <v>0</v>
          </cell>
        </row>
        <row r="4367">
          <cell r="AD4367" t="str"/>
          <cell r="AE4367" t="str"/>
          <cell r="AF4367">
            <v>0</v>
          </cell>
          <cell r="AG4367">
            <v>0</v>
          </cell>
        </row>
        <row r="4368">
          <cell r="AD4368" t="str"/>
          <cell r="AE4368" t="str"/>
          <cell r="AF4368">
            <v>0</v>
          </cell>
          <cell r="AG4368">
            <v>0</v>
          </cell>
        </row>
        <row r="4369">
          <cell r="AD4369" t="str"/>
          <cell r="AE4369" t="str"/>
          <cell r="AF4369">
            <v>0</v>
          </cell>
          <cell r="AG4369">
            <v>0</v>
          </cell>
        </row>
        <row r="4370">
          <cell r="AD4370" t="str"/>
          <cell r="AE4370" t="str"/>
          <cell r="AF4370">
            <v>0</v>
          </cell>
          <cell r="AG4370">
            <v>0</v>
          </cell>
        </row>
        <row r="4371">
          <cell r="AD4371" t="str"/>
          <cell r="AE4371" t="str"/>
          <cell r="AF4371">
            <v>0</v>
          </cell>
          <cell r="AG4371">
            <v>0</v>
          </cell>
        </row>
        <row r="4372">
          <cell r="AD4372" t="str"/>
          <cell r="AE4372" t="str"/>
          <cell r="AF4372">
            <v>0</v>
          </cell>
          <cell r="AG4372">
            <v>0</v>
          </cell>
        </row>
        <row r="4373">
          <cell r="AD4373" t="str"/>
          <cell r="AE4373" t="str"/>
          <cell r="AF4373">
            <v>0</v>
          </cell>
          <cell r="AG4373">
            <v>0</v>
          </cell>
        </row>
        <row r="4374">
          <cell r="AD4374" t="str"/>
          <cell r="AE4374" t="str"/>
          <cell r="AF4374">
            <v>0</v>
          </cell>
          <cell r="AG4374">
            <v>0</v>
          </cell>
        </row>
        <row r="4375">
          <cell r="AD4375" t="str"/>
          <cell r="AE4375" t="str"/>
          <cell r="AF4375">
            <v>0</v>
          </cell>
          <cell r="AG4375">
            <v>0</v>
          </cell>
        </row>
        <row r="4376">
          <cell r="AD4376" t="str"/>
          <cell r="AE4376" t="str"/>
          <cell r="AF4376">
            <v>0</v>
          </cell>
          <cell r="AG4376">
            <v>0</v>
          </cell>
        </row>
        <row r="4377">
          <cell r="AD4377" t="str"/>
          <cell r="AE4377" t="str"/>
          <cell r="AF4377">
            <v>0</v>
          </cell>
          <cell r="AG4377">
            <v>0</v>
          </cell>
        </row>
        <row r="4378">
          <cell r="AD4378" t="str"/>
          <cell r="AE4378" t="str"/>
          <cell r="AF4378">
            <v>0</v>
          </cell>
          <cell r="AG4378">
            <v>0</v>
          </cell>
        </row>
        <row r="4379">
          <cell r="AD4379" t="str"/>
          <cell r="AE4379" t="str"/>
          <cell r="AF4379">
            <v>0</v>
          </cell>
          <cell r="AG4379">
            <v>0</v>
          </cell>
        </row>
        <row r="4380">
          <cell r="AD4380" t="str"/>
          <cell r="AE4380" t="str"/>
          <cell r="AF4380">
            <v>0</v>
          </cell>
          <cell r="AG4380">
            <v>0</v>
          </cell>
        </row>
        <row r="4381">
          <cell r="AD4381" t="str"/>
          <cell r="AE4381" t="str"/>
          <cell r="AF4381">
            <v>0</v>
          </cell>
          <cell r="AG4381">
            <v>0</v>
          </cell>
        </row>
        <row r="4382">
          <cell r="AD4382" t="str"/>
          <cell r="AE4382" t="str"/>
          <cell r="AF4382">
            <v>0</v>
          </cell>
          <cell r="AG4382">
            <v>0</v>
          </cell>
        </row>
        <row r="4383">
          <cell r="AD4383" t="str"/>
          <cell r="AE4383" t="str"/>
          <cell r="AF4383">
            <v>0</v>
          </cell>
          <cell r="AG4383">
            <v>0</v>
          </cell>
        </row>
        <row r="4384">
          <cell r="AD4384" t="str"/>
          <cell r="AE4384" t="str"/>
          <cell r="AF4384">
            <v>0</v>
          </cell>
          <cell r="AG4384">
            <v>0</v>
          </cell>
        </row>
        <row r="4385">
          <cell r="AD4385" t="str"/>
          <cell r="AE4385" t="str"/>
          <cell r="AF4385">
            <v>0</v>
          </cell>
          <cell r="AG4385">
            <v>0</v>
          </cell>
        </row>
        <row r="4386">
          <cell r="AD4386" t="str"/>
          <cell r="AE4386" t="str"/>
          <cell r="AF4386">
            <v>0</v>
          </cell>
          <cell r="AG4386">
            <v>0</v>
          </cell>
        </row>
        <row r="4387">
          <cell r="AD4387" t="str"/>
          <cell r="AE4387" t="str"/>
          <cell r="AF4387">
            <v>0</v>
          </cell>
          <cell r="AG4387">
            <v>0</v>
          </cell>
        </row>
        <row r="4388">
          <cell r="AD4388" t="str"/>
          <cell r="AE4388" t="str"/>
          <cell r="AF4388">
            <v>0</v>
          </cell>
          <cell r="AG4388">
            <v>0</v>
          </cell>
        </row>
        <row r="4389">
          <cell r="AD4389" t="str"/>
          <cell r="AE4389" t="str"/>
          <cell r="AF4389">
            <v>0</v>
          </cell>
          <cell r="AG4389">
            <v>0</v>
          </cell>
        </row>
        <row r="4390">
          <cell r="AD4390" t="str"/>
          <cell r="AE4390" t="str"/>
          <cell r="AF4390">
            <v>0</v>
          </cell>
          <cell r="AG4390">
            <v>0</v>
          </cell>
        </row>
        <row r="4391">
          <cell r="AD4391" t="str"/>
          <cell r="AE4391" t="str"/>
          <cell r="AF4391">
            <v>0</v>
          </cell>
          <cell r="AG4391">
            <v>0</v>
          </cell>
        </row>
        <row r="4392">
          <cell r="AD4392" t="str"/>
          <cell r="AE4392" t="str"/>
          <cell r="AF4392">
            <v>0</v>
          </cell>
          <cell r="AG4392">
            <v>0</v>
          </cell>
        </row>
        <row r="4393">
          <cell r="AD4393" t="str"/>
          <cell r="AE4393" t="str"/>
          <cell r="AF4393">
            <v>0</v>
          </cell>
          <cell r="AG4393">
            <v>0</v>
          </cell>
        </row>
        <row r="4394">
          <cell r="AD4394" t="str"/>
          <cell r="AE4394" t="str"/>
          <cell r="AF4394">
            <v>0</v>
          </cell>
          <cell r="AG4394">
            <v>0</v>
          </cell>
        </row>
        <row r="4395">
          <cell r="AD4395" t="str"/>
          <cell r="AE4395" t="str"/>
          <cell r="AF4395">
            <v>0</v>
          </cell>
          <cell r="AG4395">
            <v>0</v>
          </cell>
        </row>
        <row r="4396">
          <cell r="AD4396" t="str"/>
          <cell r="AE4396" t="str"/>
          <cell r="AF4396">
            <v>0</v>
          </cell>
          <cell r="AG4396">
            <v>0</v>
          </cell>
        </row>
        <row r="4397">
          <cell r="AD4397" t="str"/>
          <cell r="AE4397" t="str"/>
          <cell r="AF4397">
            <v>0</v>
          </cell>
          <cell r="AG4397">
            <v>0</v>
          </cell>
        </row>
        <row r="4398">
          <cell r="AD4398" t="str"/>
          <cell r="AE4398" t="str"/>
          <cell r="AF4398">
            <v>0</v>
          </cell>
          <cell r="AG4398">
            <v>0</v>
          </cell>
        </row>
        <row r="4399">
          <cell r="AD4399" t="str"/>
          <cell r="AE4399" t="str"/>
          <cell r="AF4399">
            <v>0</v>
          </cell>
          <cell r="AG4399">
            <v>0</v>
          </cell>
        </row>
        <row r="4400">
          <cell r="AD4400" t="str"/>
          <cell r="AE4400" t="str"/>
          <cell r="AF4400">
            <v>0</v>
          </cell>
          <cell r="AG4400">
            <v>0</v>
          </cell>
        </row>
        <row r="4401">
          <cell r="AD4401" t="str"/>
          <cell r="AE4401" t="str"/>
          <cell r="AF4401">
            <v>0</v>
          </cell>
          <cell r="AG4401">
            <v>0</v>
          </cell>
        </row>
        <row r="4402">
          <cell r="AD4402" t="str"/>
          <cell r="AE4402" t="str"/>
          <cell r="AF4402">
            <v>0</v>
          </cell>
          <cell r="AG4402">
            <v>0</v>
          </cell>
        </row>
        <row r="4403">
          <cell r="AD4403" t="str"/>
          <cell r="AE4403" t="str"/>
          <cell r="AF4403">
            <v>0</v>
          </cell>
          <cell r="AG4403">
            <v>0</v>
          </cell>
        </row>
        <row r="4404">
          <cell r="AD4404" t="str"/>
          <cell r="AE4404" t="str"/>
          <cell r="AF4404">
            <v>0</v>
          </cell>
          <cell r="AG4404">
            <v>0</v>
          </cell>
        </row>
        <row r="4405">
          <cell r="AD4405" t="str"/>
          <cell r="AE4405" t="str"/>
          <cell r="AF4405">
            <v>0</v>
          </cell>
          <cell r="AG4405">
            <v>0</v>
          </cell>
        </row>
        <row r="4406">
          <cell r="AD4406" t="str"/>
          <cell r="AE4406" t="str"/>
          <cell r="AF4406">
            <v>0</v>
          </cell>
          <cell r="AG4406">
            <v>0</v>
          </cell>
        </row>
        <row r="4407">
          <cell r="AD4407" t="str"/>
          <cell r="AE4407" t="str"/>
          <cell r="AF4407">
            <v>0</v>
          </cell>
          <cell r="AG4407">
            <v>0</v>
          </cell>
        </row>
        <row r="4408">
          <cell r="AD4408" t="str"/>
          <cell r="AE4408" t="str"/>
          <cell r="AF4408">
            <v>0</v>
          </cell>
          <cell r="AG4408">
            <v>0</v>
          </cell>
        </row>
        <row r="4409">
          <cell r="AD4409" t="str"/>
          <cell r="AE4409" t="str"/>
          <cell r="AF4409">
            <v>0</v>
          </cell>
          <cell r="AG4409">
            <v>0</v>
          </cell>
        </row>
        <row r="4410">
          <cell r="AD4410" t="str"/>
          <cell r="AE4410" t="str"/>
          <cell r="AF4410">
            <v>0</v>
          </cell>
          <cell r="AG4410">
            <v>0</v>
          </cell>
        </row>
        <row r="4411">
          <cell r="AD4411" t="str"/>
          <cell r="AE4411" t="str"/>
          <cell r="AF4411">
            <v>0</v>
          </cell>
          <cell r="AG4411">
            <v>0</v>
          </cell>
        </row>
        <row r="4412">
          <cell r="AD4412" t="str"/>
          <cell r="AE4412" t="str"/>
          <cell r="AF4412">
            <v>0</v>
          </cell>
          <cell r="AG4412">
            <v>0</v>
          </cell>
        </row>
        <row r="4413">
          <cell r="AD4413" t="str"/>
          <cell r="AE4413" t="str"/>
          <cell r="AF4413">
            <v>0</v>
          </cell>
          <cell r="AG4413">
            <v>0</v>
          </cell>
        </row>
        <row r="4414">
          <cell r="AD4414" t="str"/>
          <cell r="AE4414" t="str"/>
          <cell r="AF4414">
            <v>0</v>
          </cell>
          <cell r="AG4414">
            <v>0</v>
          </cell>
        </row>
        <row r="4415">
          <cell r="AD4415" t="str"/>
          <cell r="AE4415" t="str"/>
          <cell r="AF4415">
            <v>0</v>
          </cell>
          <cell r="AG4415">
            <v>0</v>
          </cell>
        </row>
        <row r="4416">
          <cell r="AD4416" t="str"/>
          <cell r="AE4416" t="str"/>
          <cell r="AF4416">
            <v>0</v>
          </cell>
          <cell r="AG4416">
            <v>0</v>
          </cell>
        </row>
        <row r="4417">
          <cell r="AD4417" t="str"/>
          <cell r="AE4417" t="str"/>
          <cell r="AF4417">
            <v>0</v>
          </cell>
          <cell r="AG4417">
            <v>0</v>
          </cell>
        </row>
        <row r="4418">
          <cell r="AD4418" t="str"/>
          <cell r="AE4418" t="str"/>
          <cell r="AF4418">
            <v>0</v>
          </cell>
          <cell r="AG4418">
            <v>0</v>
          </cell>
        </row>
        <row r="4419">
          <cell r="AD4419" t="str"/>
          <cell r="AE4419" t="str"/>
          <cell r="AF4419">
            <v>0</v>
          </cell>
          <cell r="AG4419">
            <v>0</v>
          </cell>
        </row>
        <row r="4420">
          <cell r="AD4420" t="str"/>
          <cell r="AE4420" t="str"/>
          <cell r="AF4420">
            <v>0</v>
          </cell>
          <cell r="AG4420">
            <v>0</v>
          </cell>
        </row>
        <row r="4421">
          <cell r="AD4421" t="str"/>
          <cell r="AE4421" t="str"/>
          <cell r="AF4421">
            <v>0</v>
          </cell>
          <cell r="AG4421">
            <v>0</v>
          </cell>
        </row>
        <row r="4422">
          <cell r="AD4422" t="str"/>
          <cell r="AE4422" t="str"/>
          <cell r="AF4422">
            <v>0</v>
          </cell>
          <cell r="AG4422">
            <v>0</v>
          </cell>
        </row>
        <row r="4423">
          <cell r="AD4423" t="str"/>
          <cell r="AE4423" t="str"/>
          <cell r="AF4423">
            <v>0</v>
          </cell>
          <cell r="AG4423">
            <v>0</v>
          </cell>
        </row>
        <row r="4424">
          <cell r="AD4424" t="str"/>
          <cell r="AE4424" t="str"/>
          <cell r="AF4424">
            <v>0</v>
          </cell>
          <cell r="AG4424">
            <v>0</v>
          </cell>
        </row>
        <row r="4425">
          <cell r="AD4425" t="str"/>
          <cell r="AE4425" t="str"/>
          <cell r="AF4425">
            <v>0</v>
          </cell>
          <cell r="AG4425">
            <v>0</v>
          </cell>
        </row>
        <row r="4426">
          <cell r="AD4426" t="str"/>
          <cell r="AE4426" t="str"/>
          <cell r="AF4426">
            <v>0</v>
          </cell>
          <cell r="AG4426">
            <v>0</v>
          </cell>
        </row>
        <row r="4427">
          <cell r="AD4427" t="str"/>
          <cell r="AE4427" t="str"/>
          <cell r="AF4427">
            <v>0</v>
          </cell>
          <cell r="AG4427">
            <v>0</v>
          </cell>
        </row>
        <row r="4428">
          <cell r="AD4428" t="str"/>
          <cell r="AE4428" t="str"/>
          <cell r="AF4428">
            <v>0</v>
          </cell>
          <cell r="AG4428">
            <v>0</v>
          </cell>
        </row>
        <row r="4429">
          <cell r="AD4429" t="str"/>
          <cell r="AE4429" t="str"/>
          <cell r="AF4429">
            <v>0</v>
          </cell>
          <cell r="AG4429">
            <v>0</v>
          </cell>
        </row>
        <row r="4430">
          <cell r="AD4430" t="str"/>
          <cell r="AE4430" t="str"/>
          <cell r="AF4430">
            <v>0</v>
          </cell>
          <cell r="AG4430">
            <v>0</v>
          </cell>
        </row>
        <row r="4431">
          <cell r="AD4431" t="str"/>
          <cell r="AE4431" t="str"/>
          <cell r="AF4431">
            <v>0</v>
          </cell>
          <cell r="AG4431">
            <v>0</v>
          </cell>
        </row>
        <row r="4432">
          <cell r="AD4432" t="str"/>
          <cell r="AE4432" t="str"/>
          <cell r="AF4432">
            <v>0</v>
          </cell>
          <cell r="AG4432">
            <v>0</v>
          </cell>
        </row>
        <row r="4433">
          <cell r="AD4433" t="str"/>
          <cell r="AE4433" t="str"/>
          <cell r="AF4433">
            <v>0</v>
          </cell>
          <cell r="AG4433">
            <v>0</v>
          </cell>
        </row>
        <row r="4434">
          <cell r="AD4434" t="str"/>
          <cell r="AE4434" t="str"/>
          <cell r="AF4434">
            <v>0</v>
          </cell>
          <cell r="AG4434">
            <v>0</v>
          </cell>
        </row>
        <row r="4435">
          <cell r="AD4435" t="str"/>
          <cell r="AE4435" t="str"/>
          <cell r="AF4435">
            <v>0</v>
          </cell>
          <cell r="AG4435">
            <v>0</v>
          </cell>
        </row>
        <row r="4436">
          <cell r="AD4436" t="str"/>
          <cell r="AE4436" t="str"/>
          <cell r="AF4436">
            <v>0</v>
          </cell>
          <cell r="AG4436">
            <v>0</v>
          </cell>
        </row>
        <row r="4437">
          <cell r="AD4437" t="str"/>
          <cell r="AE4437" t="str"/>
          <cell r="AF4437">
            <v>0</v>
          </cell>
          <cell r="AG4437">
            <v>0</v>
          </cell>
        </row>
        <row r="4438">
          <cell r="AD4438" t="str"/>
          <cell r="AE4438" t="str"/>
          <cell r="AF4438">
            <v>0</v>
          </cell>
          <cell r="AG4438">
            <v>0</v>
          </cell>
        </row>
        <row r="4439">
          <cell r="AD4439" t="str"/>
          <cell r="AE4439" t="str"/>
          <cell r="AF4439">
            <v>0</v>
          </cell>
          <cell r="AG4439">
            <v>0</v>
          </cell>
        </row>
        <row r="4440">
          <cell r="AD4440" t="str"/>
          <cell r="AE4440" t="str"/>
          <cell r="AF4440">
            <v>0</v>
          </cell>
          <cell r="AG4440">
            <v>0</v>
          </cell>
        </row>
        <row r="4441">
          <cell r="AD4441" t="str"/>
          <cell r="AE4441" t="str"/>
          <cell r="AF4441">
            <v>0</v>
          </cell>
          <cell r="AG4441">
            <v>0</v>
          </cell>
        </row>
        <row r="4442">
          <cell r="AD4442" t="str"/>
          <cell r="AE4442" t="str"/>
          <cell r="AF4442">
            <v>0</v>
          </cell>
          <cell r="AG4442">
            <v>0</v>
          </cell>
        </row>
        <row r="4443">
          <cell r="AD4443" t="str"/>
          <cell r="AE4443" t="str"/>
          <cell r="AF4443">
            <v>0</v>
          </cell>
          <cell r="AG4443">
            <v>0</v>
          </cell>
        </row>
        <row r="4444">
          <cell r="AD4444" t="str"/>
          <cell r="AE4444" t="str"/>
          <cell r="AF4444">
            <v>0</v>
          </cell>
          <cell r="AG4444">
            <v>0</v>
          </cell>
        </row>
        <row r="4445">
          <cell r="AD4445" t="str"/>
          <cell r="AE4445" t="str"/>
          <cell r="AF4445">
            <v>0</v>
          </cell>
          <cell r="AG4445">
            <v>0</v>
          </cell>
        </row>
        <row r="4446">
          <cell r="AD4446" t="str"/>
          <cell r="AE4446" t="str"/>
          <cell r="AF4446">
            <v>0</v>
          </cell>
          <cell r="AG4446">
            <v>0</v>
          </cell>
        </row>
        <row r="4447">
          <cell r="AD4447" t="str"/>
          <cell r="AE4447" t="str"/>
          <cell r="AF4447">
            <v>0</v>
          </cell>
          <cell r="AG4447">
            <v>0</v>
          </cell>
        </row>
        <row r="4448">
          <cell r="AD4448" t="str"/>
          <cell r="AE4448" t="str"/>
          <cell r="AF4448">
            <v>0</v>
          </cell>
          <cell r="AG4448">
            <v>0</v>
          </cell>
        </row>
        <row r="4449">
          <cell r="AD4449" t="str"/>
          <cell r="AE4449" t="str"/>
          <cell r="AF4449">
            <v>0</v>
          </cell>
          <cell r="AG4449">
            <v>0</v>
          </cell>
        </row>
        <row r="4450">
          <cell r="AD4450" t="str"/>
          <cell r="AE4450" t="str"/>
          <cell r="AF4450">
            <v>0</v>
          </cell>
          <cell r="AG4450">
            <v>0</v>
          </cell>
        </row>
        <row r="4451">
          <cell r="AD4451" t="str"/>
          <cell r="AE4451" t="str"/>
          <cell r="AF4451">
            <v>0</v>
          </cell>
          <cell r="AG4451">
            <v>0</v>
          </cell>
        </row>
        <row r="4452">
          <cell r="AD4452" t="str"/>
          <cell r="AE4452" t="str"/>
          <cell r="AF4452">
            <v>0</v>
          </cell>
          <cell r="AG4452">
            <v>0</v>
          </cell>
        </row>
        <row r="4453">
          <cell r="AD4453" t="str"/>
          <cell r="AE4453" t="str"/>
          <cell r="AF4453">
            <v>0</v>
          </cell>
          <cell r="AG4453">
            <v>0</v>
          </cell>
        </row>
        <row r="4454">
          <cell r="AD4454" t="str"/>
          <cell r="AE4454" t="str"/>
          <cell r="AF4454">
            <v>0</v>
          </cell>
          <cell r="AG4454">
            <v>0</v>
          </cell>
        </row>
        <row r="4455">
          <cell r="AD4455" t="str"/>
          <cell r="AE4455" t="str"/>
          <cell r="AF4455">
            <v>0</v>
          </cell>
          <cell r="AG4455">
            <v>0</v>
          </cell>
        </row>
        <row r="4456">
          <cell r="AD4456" t="str"/>
          <cell r="AE4456" t="str"/>
          <cell r="AF4456">
            <v>0</v>
          </cell>
          <cell r="AG4456">
            <v>0</v>
          </cell>
        </row>
        <row r="4457">
          <cell r="AD4457" t="str"/>
          <cell r="AE4457" t="str"/>
          <cell r="AF4457">
            <v>0</v>
          </cell>
          <cell r="AG4457">
            <v>0</v>
          </cell>
        </row>
        <row r="4458">
          <cell r="AD4458" t="str"/>
          <cell r="AE4458" t="str"/>
          <cell r="AF4458">
            <v>0</v>
          </cell>
          <cell r="AG4458">
            <v>0</v>
          </cell>
        </row>
        <row r="4459">
          <cell r="AD4459" t="str"/>
          <cell r="AE4459" t="str"/>
          <cell r="AF4459">
            <v>0</v>
          </cell>
          <cell r="AG4459">
            <v>0</v>
          </cell>
        </row>
        <row r="4460">
          <cell r="AD4460" t="str"/>
          <cell r="AE4460" t="str"/>
          <cell r="AF4460">
            <v>0</v>
          </cell>
          <cell r="AG4460">
            <v>0</v>
          </cell>
        </row>
        <row r="4461">
          <cell r="AD4461" t="str"/>
          <cell r="AE4461" t="str"/>
          <cell r="AF4461">
            <v>0</v>
          </cell>
          <cell r="AG4461">
            <v>0</v>
          </cell>
        </row>
        <row r="4462">
          <cell r="AD4462" t="str"/>
          <cell r="AE4462" t="str"/>
          <cell r="AF4462">
            <v>0</v>
          </cell>
          <cell r="AG4462">
            <v>0</v>
          </cell>
        </row>
        <row r="4463">
          <cell r="AD4463" t="str"/>
          <cell r="AE4463" t="str"/>
          <cell r="AF4463">
            <v>0</v>
          </cell>
          <cell r="AG4463">
            <v>0</v>
          </cell>
        </row>
        <row r="4464">
          <cell r="AD4464" t="str"/>
          <cell r="AE4464" t="str"/>
          <cell r="AF4464">
            <v>0</v>
          </cell>
          <cell r="AG4464">
            <v>0</v>
          </cell>
        </row>
        <row r="4465">
          <cell r="AD4465" t="str"/>
          <cell r="AE4465" t="str"/>
          <cell r="AF4465">
            <v>0</v>
          </cell>
          <cell r="AG4465">
            <v>0</v>
          </cell>
        </row>
        <row r="4466">
          <cell r="AD4466" t="str"/>
          <cell r="AE4466" t="str"/>
          <cell r="AF4466">
            <v>0</v>
          </cell>
          <cell r="AG4466">
            <v>0</v>
          </cell>
        </row>
        <row r="4467">
          <cell r="AD4467" t="str"/>
          <cell r="AE4467" t="str"/>
          <cell r="AF4467">
            <v>0</v>
          </cell>
          <cell r="AG4467">
            <v>0</v>
          </cell>
        </row>
        <row r="4468">
          <cell r="AD4468" t="str"/>
          <cell r="AE4468" t="str"/>
          <cell r="AF4468">
            <v>0</v>
          </cell>
          <cell r="AG4468">
            <v>0</v>
          </cell>
        </row>
        <row r="4469">
          <cell r="AD4469" t="str"/>
          <cell r="AE4469" t="str"/>
          <cell r="AF4469">
            <v>0</v>
          </cell>
          <cell r="AG4469">
            <v>0</v>
          </cell>
        </row>
        <row r="4470">
          <cell r="AD4470" t="str"/>
          <cell r="AE4470" t="str"/>
          <cell r="AF4470">
            <v>0</v>
          </cell>
          <cell r="AG4470">
            <v>0</v>
          </cell>
        </row>
        <row r="4471">
          <cell r="AD4471" t="str"/>
          <cell r="AE4471" t="str"/>
          <cell r="AF4471">
            <v>0</v>
          </cell>
          <cell r="AG4471">
            <v>0</v>
          </cell>
        </row>
        <row r="4472">
          <cell r="AD4472" t="str"/>
          <cell r="AE4472" t="str"/>
          <cell r="AF4472">
            <v>0</v>
          </cell>
          <cell r="AG4472">
            <v>0</v>
          </cell>
        </row>
        <row r="4473">
          <cell r="AD4473" t="str"/>
          <cell r="AE4473" t="str"/>
          <cell r="AF4473">
            <v>0</v>
          </cell>
          <cell r="AG4473">
            <v>0</v>
          </cell>
        </row>
        <row r="4474">
          <cell r="AD4474" t="str"/>
          <cell r="AE4474" t="str"/>
          <cell r="AF4474">
            <v>0</v>
          </cell>
          <cell r="AG4474">
            <v>0</v>
          </cell>
        </row>
        <row r="4475">
          <cell r="AD4475" t="str"/>
          <cell r="AE4475" t="str"/>
          <cell r="AF4475">
            <v>0</v>
          </cell>
          <cell r="AG4475">
            <v>0</v>
          </cell>
        </row>
        <row r="4476">
          <cell r="AD4476" t="str"/>
          <cell r="AE4476" t="str"/>
          <cell r="AF4476">
            <v>0</v>
          </cell>
          <cell r="AG4476">
            <v>0</v>
          </cell>
        </row>
        <row r="4477">
          <cell r="AD4477" t="str"/>
          <cell r="AE4477" t="str"/>
          <cell r="AF4477">
            <v>0</v>
          </cell>
          <cell r="AG4477">
            <v>0</v>
          </cell>
        </row>
        <row r="4478">
          <cell r="AD4478" t="str"/>
          <cell r="AE4478" t="str"/>
          <cell r="AF4478">
            <v>0</v>
          </cell>
          <cell r="AG4478">
            <v>0</v>
          </cell>
        </row>
        <row r="4479">
          <cell r="AD4479" t="str"/>
          <cell r="AE4479" t="str"/>
          <cell r="AF4479">
            <v>0</v>
          </cell>
          <cell r="AG4479">
            <v>0</v>
          </cell>
        </row>
        <row r="4480">
          <cell r="AD4480" t="str"/>
          <cell r="AE4480" t="str"/>
          <cell r="AF4480">
            <v>0</v>
          </cell>
          <cell r="AG4480">
            <v>0</v>
          </cell>
        </row>
        <row r="4481">
          <cell r="AD4481" t="str"/>
          <cell r="AE4481" t="str"/>
          <cell r="AF4481">
            <v>0</v>
          </cell>
          <cell r="AG4481">
            <v>0</v>
          </cell>
        </row>
        <row r="4482">
          <cell r="AD4482" t="str"/>
          <cell r="AE4482" t="str"/>
          <cell r="AF4482">
            <v>0</v>
          </cell>
          <cell r="AG4482">
            <v>0</v>
          </cell>
        </row>
        <row r="4483">
          <cell r="AD4483" t="str"/>
          <cell r="AE4483" t="str"/>
          <cell r="AF4483">
            <v>0</v>
          </cell>
          <cell r="AG4483">
            <v>0</v>
          </cell>
        </row>
        <row r="4484">
          <cell r="AD4484" t="str"/>
          <cell r="AE4484" t="str"/>
          <cell r="AF4484">
            <v>0</v>
          </cell>
          <cell r="AG4484">
            <v>0</v>
          </cell>
        </row>
        <row r="4485">
          <cell r="AD4485" t="str"/>
          <cell r="AE4485" t="str"/>
          <cell r="AF4485">
            <v>0</v>
          </cell>
          <cell r="AG4485">
            <v>0</v>
          </cell>
        </row>
        <row r="4486">
          <cell r="AD4486" t="str"/>
          <cell r="AE4486" t="str"/>
          <cell r="AF4486">
            <v>0</v>
          </cell>
          <cell r="AG4486">
            <v>0</v>
          </cell>
        </row>
        <row r="4487">
          <cell r="AD4487" t="str"/>
          <cell r="AE4487" t="str"/>
          <cell r="AF4487">
            <v>0</v>
          </cell>
          <cell r="AG4487">
            <v>0</v>
          </cell>
        </row>
        <row r="4488">
          <cell r="AD4488" t="str"/>
          <cell r="AE4488" t="str"/>
          <cell r="AF4488">
            <v>0</v>
          </cell>
          <cell r="AG4488">
            <v>0</v>
          </cell>
        </row>
        <row r="4489">
          <cell r="AD4489" t="str"/>
          <cell r="AE4489" t="str"/>
          <cell r="AF4489">
            <v>0</v>
          </cell>
          <cell r="AG4489">
            <v>0</v>
          </cell>
        </row>
        <row r="4490">
          <cell r="AD4490" t="str"/>
          <cell r="AE4490" t="str"/>
          <cell r="AF4490">
            <v>0</v>
          </cell>
          <cell r="AG4490">
            <v>0</v>
          </cell>
        </row>
        <row r="4491">
          <cell r="AD4491" t="str"/>
          <cell r="AE4491" t="str"/>
          <cell r="AF4491">
            <v>0</v>
          </cell>
          <cell r="AG4491">
            <v>0</v>
          </cell>
        </row>
        <row r="4492">
          <cell r="AD4492" t="str"/>
          <cell r="AE4492" t="str"/>
          <cell r="AF4492">
            <v>0</v>
          </cell>
          <cell r="AG4492">
            <v>0</v>
          </cell>
        </row>
        <row r="4493">
          <cell r="AD4493" t="str"/>
          <cell r="AE4493" t="str"/>
          <cell r="AF4493">
            <v>0</v>
          </cell>
          <cell r="AG4493">
            <v>0</v>
          </cell>
        </row>
        <row r="4494">
          <cell r="AD4494" t="str"/>
          <cell r="AE4494" t="str"/>
          <cell r="AF4494">
            <v>0</v>
          </cell>
          <cell r="AG4494">
            <v>0</v>
          </cell>
        </row>
        <row r="4495">
          <cell r="AD4495" t="str"/>
          <cell r="AE4495" t="str"/>
          <cell r="AF4495">
            <v>0</v>
          </cell>
          <cell r="AG4495">
            <v>0</v>
          </cell>
        </row>
        <row r="4496">
          <cell r="AD4496" t="str"/>
          <cell r="AE4496" t="str"/>
          <cell r="AF4496">
            <v>0</v>
          </cell>
          <cell r="AG4496">
            <v>0</v>
          </cell>
        </row>
        <row r="4497">
          <cell r="AD4497" t="str"/>
          <cell r="AE4497" t="str"/>
          <cell r="AF4497">
            <v>0</v>
          </cell>
          <cell r="AG4497">
            <v>0</v>
          </cell>
        </row>
        <row r="4498">
          <cell r="AD4498" t="str"/>
          <cell r="AE4498" t="str"/>
          <cell r="AF4498">
            <v>0</v>
          </cell>
          <cell r="AG4498">
            <v>0</v>
          </cell>
        </row>
        <row r="4499">
          <cell r="AD4499" t="str"/>
          <cell r="AE4499" t="str"/>
          <cell r="AF4499">
            <v>0</v>
          </cell>
          <cell r="AG4499">
            <v>0</v>
          </cell>
        </row>
        <row r="4500">
          <cell r="AD4500" t="str"/>
          <cell r="AE4500" t="str"/>
          <cell r="AF4500">
            <v>0</v>
          </cell>
          <cell r="AG4500">
            <v>0</v>
          </cell>
        </row>
        <row r="4501">
          <cell r="AD4501" t="str"/>
          <cell r="AE4501" t="str"/>
          <cell r="AF4501">
            <v>0</v>
          </cell>
          <cell r="AG4501">
            <v>0</v>
          </cell>
        </row>
        <row r="4502">
          <cell r="AD4502" t="str"/>
          <cell r="AE4502" t="str"/>
          <cell r="AF4502">
            <v>0</v>
          </cell>
          <cell r="AG4502">
            <v>0</v>
          </cell>
        </row>
        <row r="4503">
          <cell r="AD4503" t="str"/>
          <cell r="AE4503" t="str"/>
          <cell r="AF4503">
            <v>0</v>
          </cell>
          <cell r="AG4503">
            <v>0</v>
          </cell>
        </row>
        <row r="4504">
          <cell r="AD4504" t="str"/>
          <cell r="AE4504" t="str"/>
          <cell r="AF4504">
            <v>0</v>
          </cell>
          <cell r="AG4504">
            <v>0</v>
          </cell>
        </row>
        <row r="4505">
          <cell r="AD4505" t="str"/>
          <cell r="AE4505" t="str"/>
          <cell r="AF4505">
            <v>0</v>
          </cell>
          <cell r="AG4505">
            <v>0</v>
          </cell>
        </row>
        <row r="4506">
          <cell r="AD4506" t="str"/>
          <cell r="AE4506" t="str"/>
          <cell r="AF4506">
            <v>0</v>
          </cell>
          <cell r="AG4506">
            <v>0</v>
          </cell>
        </row>
        <row r="4507">
          <cell r="AD4507" t="str"/>
          <cell r="AE4507" t="str"/>
          <cell r="AF4507">
            <v>0</v>
          </cell>
          <cell r="AG4507">
            <v>0</v>
          </cell>
        </row>
        <row r="4508">
          <cell r="AD4508" t="str"/>
          <cell r="AE4508" t="str"/>
          <cell r="AF4508">
            <v>0</v>
          </cell>
          <cell r="AG4508">
            <v>0</v>
          </cell>
        </row>
        <row r="4509">
          <cell r="AD4509" t="str"/>
          <cell r="AE4509" t="str"/>
          <cell r="AF4509">
            <v>0</v>
          </cell>
          <cell r="AG4509">
            <v>0</v>
          </cell>
        </row>
        <row r="4510">
          <cell r="AD4510" t="str"/>
          <cell r="AE4510" t="str"/>
          <cell r="AF4510">
            <v>0</v>
          </cell>
          <cell r="AG4510">
            <v>0</v>
          </cell>
        </row>
        <row r="4511">
          <cell r="AD4511" t="str"/>
          <cell r="AE4511" t="str"/>
          <cell r="AF4511">
            <v>0</v>
          </cell>
          <cell r="AG4511">
            <v>0</v>
          </cell>
        </row>
        <row r="4512">
          <cell r="AD4512" t="str"/>
          <cell r="AE4512" t="str"/>
          <cell r="AF4512">
            <v>0</v>
          </cell>
          <cell r="AG4512">
            <v>0</v>
          </cell>
        </row>
        <row r="4513">
          <cell r="AD4513" t="str"/>
          <cell r="AE4513" t="str"/>
          <cell r="AF4513">
            <v>0</v>
          </cell>
          <cell r="AG4513">
            <v>0</v>
          </cell>
        </row>
        <row r="4514">
          <cell r="AD4514" t="str"/>
          <cell r="AE4514" t="str"/>
          <cell r="AF4514">
            <v>0</v>
          </cell>
          <cell r="AG4514">
            <v>0</v>
          </cell>
        </row>
        <row r="4515">
          <cell r="AD4515" t="str"/>
          <cell r="AE4515" t="str"/>
          <cell r="AF4515">
            <v>0</v>
          </cell>
          <cell r="AG4515">
            <v>0</v>
          </cell>
        </row>
        <row r="4516">
          <cell r="AD4516" t="str"/>
          <cell r="AE4516" t="str"/>
          <cell r="AF4516">
            <v>0</v>
          </cell>
          <cell r="AG4516">
            <v>0</v>
          </cell>
        </row>
        <row r="4517">
          <cell r="AD4517" t="str"/>
          <cell r="AE4517" t="str"/>
          <cell r="AF4517">
            <v>0</v>
          </cell>
          <cell r="AG4517">
            <v>0</v>
          </cell>
        </row>
        <row r="4518">
          <cell r="AD4518" t="str"/>
          <cell r="AE4518" t="str"/>
          <cell r="AF4518">
            <v>0</v>
          </cell>
          <cell r="AG4518">
            <v>0</v>
          </cell>
        </row>
        <row r="4519">
          <cell r="AD4519" t="str"/>
          <cell r="AE4519" t="str"/>
          <cell r="AF4519">
            <v>0</v>
          </cell>
          <cell r="AG4519">
            <v>0</v>
          </cell>
        </row>
        <row r="4520">
          <cell r="AD4520" t="str"/>
          <cell r="AE4520" t="str"/>
          <cell r="AF4520">
            <v>0</v>
          </cell>
          <cell r="AG4520">
            <v>0</v>
          </cell>
        </row>
        <row r="4521">
          <cell r="AD4521" t="str"/>
          <cell r="AE4521" t="str"/>
          <cell r="AF4521">
            <v>0</v>
          </cell>
          <cell r="AG4521">
            <v>0</v>
          </cell>
        </row>
        <row r="4522">
          <cell r="AD4522" t="str"/>
          <cell r="AE4522" t="str"/>
          <cell r="AF4522">
            <v>0</v>
          </cell>
          <cell r="AG4522">
            <v>0</v>
          </cell>
        </row>
        <row r="4523">
          <cell r="AD4523" t="str"/>
          <cell r="AE4523" t="str"/>
          <cell r="AF4523">
            <v>0</v>
          </cell>
          <cell r="AG4523">
            <v>0</v>
          </cell>
        </row>
        <row r="4524">
          <cell r="AD4524" t="str"/>
          <cell r="AE4524" t="str"/>
          <cell r="AF4524">
            <v>0</v>
          </cell>
          <cell r="AG4524">
            <v>0</v>
          </cell>
        </row>
        <row r="4525">
          <cell r="AD4525" t="str"/>
          <cell r="AE4525" t="str"/>
          <cell r="AF4525">
            <v>0</v>
          </cell>
          <cell r="AG4525">
            <v>0</v>
          </cell>
        </row>
        <row r="4526">
          <cell r="AD4526" t="str"/>
          <cell r="AE4526" t="str"/>
          <cell r="AF4526">
            <v>0</v>
          </cell>
          <cell r="AG4526">
            <v>0</v>
          </cell>
        </row>
        <row r="4527">
          <cell r="AD4527" t="str"/>
          <cell r="AE4527" t="str"/>
          <cell r="AF4527">
            <v>0</v>
          </cell>
          <cell r="AG4527">
            <v>0</v>
          </cell>
        </row>
        <row r="4528">
          <cell r="AD4528" t="str"/>
          <cell r="AE4528" t="str"/>
          <cell r="AF4528">
            <v>0</v>
          </cell>
          <cell r="AG4528">
            <v>0</v>
          </cell>
        </row>
        <row r="4529">
          <cell r="AD4529" t="str"/>
          <cell r="AE4529" t="str"/>
          <cell r="AF4529">
            <v>0</v>
          </cell>
          <cell r="AG4529">
            <v>0</v>
          </cell>
        </row>
        <row r="4530">
          <cell r="AD4530" t="str"/>
          <cell r="AE4530" t="str"/>
          <cell r="AF4530">
            <v>0</v>
          </cell>
          <cell r="AG4530">
            <v>0</v>
          </cell>
        </row>
        <row r="4531">
          <cell r="AD4531" t="str"/>
          <cell r="AE4531" t="str"/>
          <cell r="AF4531">
            <v>0</v>
          </cell>
          <cell r="AG4531">
            <v>0</v>
          </cell>
        </row>
        <row r="4532">
          <cell r="AD4532" t="str"/>
          <cell r="AE4532" t="str"/>
          <cell r="AF4532">
            <v>0</v>
          </cell>
          <cell r="AG4532">
            <v>0</v>
          </cell>
        </row>
        <row r="4533">
          <cell r="AD4533" t="str"/>
          <cell r="AE4533" t="str"/>
          <cell r="AF4533">
            <v>0</v>
          </cell>
          <cell r="AG4533">
            <v>0</v>
          </cell>
        </row>
        <row r="4534">
          <cell r="AD4534" t="str"/>
          <cell r="AE4534" t="str"/>
          <cell r="AF4534">
            <v>0</v>
          </cell>
          <cell r="AG4534">
            <v>0</v>
          </cell>
        </row>
        <row r="4535">
          <cell r="AD4535" t="str"/>
          <cell r="AE4535" t="str"/>
          <cell r="AF4535">
            <v>0</v>
          </cell>
          <cell r="AG4535">
            <v>0</v>
          </cell>
        </row>
        <row r="4536">
          <cell r="AD4536" t="str"/>
          <cell r="AE4536" t="str"/>
          <cell r="AF4536">
            <v>0</v>
          </cell>
          <cell r="AG4536">
            <v>0</v>
          </cell>
        </row>
        <row r="4537">
          <cell r="AD4537" t="str"/>
          <cell r="AE4537" t="str"/>
          <cell r="AF4537">
            <v>0</v>
          </cell>
          <cell r="AG4537">
            <v>0</v>
          </cell>
        </row>
        <row r="4538">
          <cell r="AD4538" t="str"/>
          <cell r="AE4538" t="str"/>
          <cell r="AF4538">
            <v>0</v>
          </cell>
          <cell r="AG4538">
            <v>0</v>
          </cell>
        </row>
        <row r="4539">
          <cell r="AD4539" t="str"/>
          <cell r="AE4539" t="str"/>
          <cell r="AF4539">
            <v>0</v>
          </cell>
          <cell r="AG4539">
            <v>0</v>
          </cell>
        </row>
        <row r="4540">
          <cell r="AD4540" t="str"/>
          <cell r="AE4540" t="str"/>
          <cell r="AF4540">
            <v>0</v>
          </cell>
          <cell r="AG4540">
            <v>0</v>
          </cell>
        </row>
        <row r="4541">
          <cell r="AD4541" t="str"/>
          <cell r="AE4541" t="str"/>
          <cell r="AF4541">
            <v>0</v>
          </cell>
          <cell r="AG4541">
            <v>0</v>
          </cell>
        </row>
        <row r="4542">
          <cell r="AD4542" t="str"/>
          <cell r="AE4542" t="str"/>
          <cell r="AF4542">
            <v>0</v>
          </cell>
          <cell r="AG4542">
            <v>0</v>
          </cell>
        </row>
        <row r="4543">
          <cell r="AD4543" t="str"/>
          <cell r="AE4543" t="str"/>
          <cell r="AF4543">
            <v>0</v>
          </cell>
          <cell r="AG4543">
            <v>0</v>
          </cell>
        </row>
        <row r="4544">
          <cell r="AD4544" t="str"/>
          <cell r="AE4544" t="str"/>
          <cell r="AF4544">
            <v>0</v>
          </cell>
          <cell r="AG4544">
            <v>0</v>
          </cell>
        </row>
        <row r="4545">
          <cell r="AD4545" t="str"/>
          <cell r="AE4545" t="str"/>
          <cell r="AF4545">
            <v>0</v>
          </cell>
          <cell r="AG4545">
            <v>0</v>
          </cell>
        </row>
        <row r="4546">
          <cell r="AD4546" t="str"/>
          <cell r="AE4546" t="str"/>
          <cell r="AF4546">
            <v>0</v>
          </cell>
          <cell r="AG4546">
            <v>0</v>
          </cell>
        </row>
        <row r="4547">
          <cell r="AD4547" t="str"/>
          <cell r="AE4547" t="str"/>
          <cell r="AF4547">
            <v>0</v>
          </cell>
          <cell r="AG4547">
            <v>0</v>
          </cell>
        </row>
        <row r="4548">
          <cell r="AD4548" t="str"/>
          <cell r="AE4548" t="str"/>
          <cell r="AF4548">
            <v>0</v>
          </cell>
          <cell r="AG4548">
            <v>0</v>
          </cell>
        </row>
        <row r="4549">
          <cell r="AD4549" t="str"/>
          <cell r="AE4549" t="str"/>
          <cell r="AF4549">
            <v>0</v>
          </cell>
          <cell r="AG4549">
            <v>0</v>
          </cell>
        </row>
        <row r="4550">
          <cell r="AD4550" t="str"/>
          <cell r="AE4550" t="str"/>
          <cell r="AF4550">
            <v>0</v>
          </cell>
          <cell r="AG4550">
            <v>0</v>
          </cell>
        </row>
        <row r="4551">
          <cell r="AD4551" t="str"/>
          <cell r="AE4551" t="str"/>
          <cell r="AF4551">
            <v>0</v>
          </cell>
          <cell r="AG4551">
            <v>0</v>
          </cell>
        </row>
        <row r="4552">
          <cell r="AD4552" t="str"/>
          <cell r="AE4552" t="str"/>
          <cell r="AF4552">
            <v>0</v>
          </cell>
          <cell r="AG4552">
            <v>0</v>
          </cell>
        </row>
        <row r="4553">
          <cell r="AD4553" t="str"/>
          <cell r="AE4553" t="str"/>
          <cell r="AF4553">
            <v>0</v>
          </cell>
          <cell r="AG4553">
            <v>0</v>
          </cell>
        </row>
        <row r="4554">
          <cell r="AD4554" t="str"/>
          <cell r="AE4554" t="str"/>
          <cell r="AF4554">
            <v>0</v>
          </cell>
          <cell r="AG4554">
            <v>0</v>
          </cell>
        </row>
        <row r="4555">
          <cell r="AD4555" t="str"/>
          <cell r="AE4555" t="str"/>
          <cell r="AF4555">
            <v>0</v>
          </cell>
          <cell r="AG4555">
            <v>0</v>
          </cell>
        </row>
        <row r="4556">
          <cell r="AD4556" t="str"/>
          <cell r="AE4556" t="str"/>
          <cell r="AF4556">
            <v>0</v>
          </cell>
          <cell r="AG4556">
            <v>0</v>
          </cell>
        </row>
        <row r="4557">
          <cell r="AD4557" t="str"/>
          <cell r="AE4557" t="str"/>
          <cell r="AF4557">
            <v>0</v>
          </cell>
          <cell r="AG4557">
            <v>0</v>
          </cell>
        </row>
        <row r="4558">
          <cell r="AD4558" t="str"/>
          <cell r="AE4558" t="str"/>
          <cell r="AF4558">
            <v>0</v>
          </cell>
          <cell r="AG4558">
            <v>0</v>
          </cell>
        </row>
        <row r="4559">
          <cell r="AD4559" t="str"/>
          <cell r="AE4559" t="str"/>
          <cell r="AF4559">
            <v>0</v>
          </cell>
          <cell r="AG4559">
            <v>0</v>
          </cell>
        </row>
        <row r="4560">
          <cell r="AD4560" t="str"/>
          <cell r="AE4560" t="str"/>
          <cell r="AF4560">
            <v>0</v>
          </cell>
          <cell r="AG4560">
            <v>0</v>
          </cell>
        </row>
        <row r="4561">
          <cell r="AD4561" t="str"/>
          <cell r="AE4561" t="str"/>
          <cell r="AF4561">
            <v>0</v>
          </cell>
          <cell r="AG4561">
            <v>0</v>
          </cell>
        </row>
        <row r="4562">
          <cell r="AD4562" t="str"/>
          <cell r="AE4562" t="str"/>
          <cell r="AF4562">
            <v>0</v>
          </cell>
          <cell r="AG4562">
            <v>0</v>
          </cell>
        </row>
        <row r="4563">
          <cell r="AD4563" t="str"/>
          <cell r="AE4563" t="str"/>
          <cell r="AF4563">
            <v>0</v>
          </cell>
          <cell r="AG4563">
            <v>0</v>
          </cell>
        </row>
        <row r="4564">
          <cell r="AD4564" t="str"/>
          <cell r="AE4564" t="str"/>
          <cell r="AF4564">
            <v>0</v>
          </cell>
          <cell r="AG4564">
            <v>0</v>
          </cell>
        </row>
        <row r="4565">
          <cell r="AD4565" t="str"/>
          <cell r="AE4565" t="str"/>
          <cell r="AF4565">
            <v>0</v>
          </cell>
          <cell r="AG4565">
            <v>0</v>
          </cell>
        </row>
        <row r="4566">
          <cell r="AD4566" t="str"/>
          <cell r="AE4566" t="str"/>
          <cell r="AF4566">
            <v>0</v>
          </cell>
          <cell r="AG4566">
            <v>0</v>
          </cell>
        </row>
        <row r="4567">
          <cell r="AD4567" t="str"/>
          <cell r="AE4567" t="str"/>
          <cell r="AF4567">
            <v>0</v>
          </cell>
          <cell r="AG4567">
            <v>0</v>
          </cell>
        </row>
        <row r="4568">
          <cell r="AD4568" t="str"/>
          <cell r="AE4568" t="str"/>
          <cell r="AF4568">
            <v>0</v>
          </cell>
          <cell r="AG4568">
            <v>0</v>
          </cell>
        </row>
        <row r="4569">
          <cell r="AD4569" t="str"/>
          <cell r="AE4569" t="str"/>
          <cell r="AF4569">
            <v>0</v>
          </cell>
          <cell r="AG4569">
            <v>0</v>
          </cell>
        </row>
        <row r="4570">
          <cell r="AD4570" t="str"/>
          <cell r="AE4570" t="str"/>
          <cell r="AF4570">
            <v>0</v>
          </cell>
          <cell r="AG4570">
            <v>0</v>
          </cell>
        </row>
        <row r="4571">
          <cell r="AD4571" t="str"/>
          <cell r="AE4571" t="str"/>
          <cell r="AF4571">
            <v>0</v>
          </cell>
          <cell r="AG4571">
            <v>0</v>
          </cell>
        </row>
        <row r="4572">
          <cell r="AD4572" t="str"/>
          <cell r="AE4572" t="str"/>
          <cell r="AF4572">
            <v>0</v>
          </cell>
          <cell r="AG4572">
            <v>0</v>
          </cell>
        </row>
        <row r="4573">
          <cell r="AD4573" t="str"/>
          <cell r="AE4573" t="str"/>
          <cell r="AF4573">
            <v>0</v>
          </cell>
          <cell r="AG4573">
            <v>0</v>
          </cell>
        </row>
        <row r="4574">
          <cell r="AD4574" t="str"/>
          <cell r="AE4574" t="str"/>
          <cell r="AF4574">
            <v>0</v>
          </cell>
          <cell r="AG4574">
            <v>0</v>
          </cell>
        </row>
        <row r="4575">
          <cell r="AD4575" t="str"/>
          <cell r="AE4575" t="str"/>
          <cell r="AF4575">
            <v>0</v>
          </cell>
          <cell r="AG4575">
            <v>0</v>
          </cell>
        </row>
        <row r="4576">
          <cell r="AD4576" t="str"/>
          <cell r="AE4576" t="str"/>
          <cell r="AF4576">
            <v>0</v>
          </cell>
          <cell r="AG4576">
            <v>0</v>
          </cell>
        </row>
        <row r="4577">
          <cell r="AD4577" t="str"/>
          <cell r="AE4577" t="str"/>
          <cell r="AF4577">
            <v>0</v>
          </cell>
          <cell r="AG4577">
            <v>0</v>
          </cell>
        </row>
        <row r="4578">
          <cell r="AD4578" t="str"/>
          <cell r="AE4578" t="str"/>
          <cell r="AF4578">
            <v>0</v>
          </cell>
          <cell r="AG4578">
            <v>0</v>
          </cell>
        </row>
        <row r="4579">
          <cell r="AD4579" t="str"/>
          <cell r="AE4579" t="str"/>
          <cell r="AF4579">
            <v>0</v>
          </cell>
          <cell r="AG4579">
            <v>0</v>
          </cell>
        </row>
        <row r="4580">
          <cell r="AD4580" t="str"/>
          <cell r="AE4580" t="str"/>
          <cell r="AF4580">
            <v>0</v>
          </cell>
          <cell r="AG4580">
            <v>0</v>
          </cell>
        </row>
        <row r="4581">
          <cell r="AD4581" t="str"/>
          <cell r="AE4581" t="str"/>
          <cell r="AF4581">
            <v>0</v>
          </cell>
          <cell r="AG4581">
            <v>0</v>
          </cell>
        </row>
        <row r="4582">
          <cell r="AD4582" t="str"/>
          <cell r="AE4582" t="str"/>
          <cell r="AF4582">
            <v>0</v>
          </cell>
          <cell r="AG4582">
            <v>0</v>
          </cell>
        </row>
        <row r="4583">
          <cell r="AD4583" t="str"/>
          <cell r="AE4583" t="str"/>
          <cell r="AF4583">
            <v>0</v>
          </cell>
          <cell r="AG4583">
            <v>0</v>
          </cell>
        </row>
        <row r="4584">
          <cell r="AD4584" t="str"/>
          <cell r="AE4584" t="str"/>
          <cell r="AF4584">
            <v>0</v>
          </cell>
          <cell r="AG4584">
            <v>0</v>
          </cell>
        </row>
        <row r="4585">
          <cell r="AD4585" t="str"/>
          <cell r="AE4585" t="str"/>
          <cell r="AF4585">
            <v>0</v>
          </cell>
          <cell r="AG4585">
            <v>0</v>
          </cell>
        </row>
        <row r="4586">
          <cell r="AD4586" t="str"/>
          <cell r="AE4586" t="str"/>
          <cell r="AF4586">
            <v>0</v>
          </cell>
          <cell r="AG4586">
            <v>0</v>
          </cell>
        </row>
        <row r="4587">
          <cell r="AD4587" t="str"/>
          <cell r="AE4587" t="str"/>
          <cell r="AF4587">
            <v>0</v>
          </cell>
          <cell r="AG4587">
            <v>0</v>
          </cell>
        </row>
        <row r="4588">
          <cell r="AD4588" t="str"/>
          <cell r="AE4588" t="str"/>
          <cell r="AF4588">
            <v>0</v>
          </cell>
          <cell r="AG4588">
            <v>0</v>
          </cell>
        </row>
        <row r="4589">
          <cell r="AD4589" t="str"/>
          <cell r="AE4589" t="str"/>
          <cell r="AF4589">
            <v>0</v>
          </cell>
          <cell r="AG4589">
            <v>0</v>
          </cell>
        </row>
        <row r="4590">
          <cell r="AD4590" t="str"/>
          <cell r="AE4590" t="str"/>
          <cell r="AF4590">
            <v>0</v>
          </cell>
          <cell r="AG4590">
            <v>0</v>
          </cell>
        </row>
        <row r="4591">
          <cell r="AD4591" t="str"/>
          <cell r="AE4591" t="str"/>
          <cell r="AF4591">
            <v>0</v>
          </cell>
          <cell r="AG4591">
            <v>0</v>
          </cell>
        </row>
        <row r="4592">
          <cell r="AD4592" t="str"/>
          <cell r="AE4592" t="str"/>
          <cell r="AF4592">
            <v>0</v>
          </cell>
          <cell r="AG4592">
            <v>0</v>
          </cell>
        </row>
        <row r="4593">
          <cell r="AD4593" t="str"/>
          <cell r="AE4593" t="str"/>
          <cell r="AF4593">
            <v>0</v>
          </cell>
          <cell r="AG4593">
            <v>0</v>
          </cell>
        </row>
        <row r="4594">
          <cell r="AD4594" t="str"/>
          <cell r="AE4594" t="str"/>
          <cell r="AF4594">
            <v>0</v>
          </cell>
          <cell r="AG4594">
            <v>0</v>
          </cell>
        </row>
        <row r="4595">
          <cell r="AD4595" t="str"/>
          <cell r="AE4595" t="str"/>
          <cell r="AF4595">
            <v>0</v>
          </cell>
          <cell r="AG4595">
            <v>0</v>
          </cell>
        </row>
        <row r="4596">
          <cell r="AD4596" t="str"/>
          <cell r="AE4596" t="str"/>
          <cell r="AF4596">
            <v>0</v>
          </cell>
          <cell r="AG4596">
            <v>0</v>
          </cell>
        </row>
        <row r="4597">
          <cell r="AD4597" t="str"/>
          <cell r="AE4597" t="str"/>
          <cell r="AF4597">
            <v>0</v>
          </cell>
          <cell r="AG4597">
            <v>0</v>
          </cell>
        </row>
        <row r="4598">
          <cell r="AD4598" t="str"/>
          <cell r="AE4598" t="str"/>
          <cell r="AF4598">
            <v>0</v>
          </cell>
          <cell r="AG4598">
            <v>0</v>
          </cell>
        </row>
        <row r="4599">
          <cell r="AD4599" t="str"/>
          <cell r="AE4599" t="str"/>
          <cell r="AF4599">
            <v>0</v>
          </cell>
          <cell r="AG4599">
            <v>0</v>
          </cell>
        </row>
        <row r="4600">
          <cell r="AD4600" t="str"/>
          <cell r="AE4600" t="str"/>
          <cell r="AF4600">
            <v>0</v>
          </cell>
          <cell r="AG4600">
            <v>0</v>
          </cell>
        </row>
        <row r="4601">
          <cell r="AD4601" t="str"/>
          <cell r="AE4601" t="str"/>
          <cell r="AF4601">
            <v>0</v>
          </cell>
          <cell r="AG4601">
            <v>0</v>
          </cell>
        </row>
        <row r="4602">
          <cell r="AD4602" t="str"/>
          <cell r="AE4602" t="str"/>
          <cell r="AF4602">
            <v>0</v>
          </cell>
          <cell r="AG4602">
            <v>0</v>
          </cell>
        </row>
        <row r="4603">
          <cell r="AD4603" t="str"/>
          <cell r="AE4603" t="str"/>
          <cell r="AF4603">
            <v>0</v>
          </cell>
          <cell r="AG4603">
            <v>0</v>
          </cell>
        </row>
        <row r="4604">
          <cell r="AD4604" t="str"/>
          <cell r="AE4604" t="str"/>
          <cell r="AF4604">
            <v>0</v>
          </cell>
          <cell r="AG4604">
            <v>0</v>
          </cell>
        </row>
        <row r="4605">
          <cell r="AD4605" t="str"/>
          <cell r="AE4605" t="str"/>
          <cell r="AF4605">
            <v>0</v>
          </cell>
          <cell r="AG4605">
            <v>0</v>
          </cell>
        </row>
        <row r="4606">
          <cell r="AD4606" t="str"/>
          <cell r="AE4606" t="str"/>
          <cell r="AF4606">
            <v>0</v>
          </cell>
          <cell r="AG4606">
            <v>0</v>
          </cell>
        </row>
        <row r="4607">
          <cell r="AD4607" t="str"/>
          <cell r="AE4607" t="str"/>
          <cell r="AF4607">
            <v>0</v>
          </cell>
          <cell r="AG4607">
            <v>0</v>
          </cell>
        </row>
        <row r="4608">
          <cell r="AD4608" t="str"/>
          <cell r="AE4608" t="str"/>
          <cell r="AF4608">
            <v>0</v>
          </cell>
          <cell r="AG4608">
            <v>0</v>
          </cell>
        </row>
        <row r="4609">
          <cell r="AD4609" t="str"/>
          <cell r="AE4609" t="str"/>
          <cell r="AF4609">
            <v>0</v>
          </cell>
          <cell r="AG4609">
            <v>0</v>
          </cell>
        </row>
        <row r="4610">
          <cell r="AD4610" t="str"/>
          <cell r="AE4610" t="str"/>
          <cell r="AF4610">
            <v>0</v>
          </cell>
          <cell r="AG4610">
            <v>0</v>
          </cell>
        </row>
        <row r="4611">
          <cell r="AD4611" t="str"/>
          <cell r="AE4611" t="str"/>
          <cell r="AF4611">
            <v>0</v>
          </cell>
          <cell r="AG4611">
            <v>0</v>
          </cell>
        </row>
        <row r="4612">
          <cell r="AD4612" t="str"/>
          <cell r="AE4612" t="str"/>
          <cell r="AF4612">
            <v>0</v>
          </cell>
          <cell r="AG4612">
            <v>0</v>
          </cell>
        </row>
        <row r="4613">
          <cell r="AD4613" t="str"/>
          <cell r="AE4613" t="str"/>
          <cell r="AF4613">
            <v>0</v>
          </cell>
          <cell r="AG4613">
            <v>0</v>
          </cell>
        </row>
        <row r="4614">
          <cell r="AD4614" t="str"/>
          <cell r="AE4614" t="str"/>
          <cell r="AF4614">
            <v>0</v>
          </cell>
          <cell r="AG4614">
            <v>0</v>
          </cell>
        </row>
        <row r="4615">
          <cell r="AD4615" t="str"/>
          <cell r="AE4615" t="str"/>
          <cell r="AF4615">
            <v>0</v>
          </cell>
          <cell r="AG4615">
            <v>0</v>
          </cell>
        </row>
        <row r="4616">
          <cell r="AD4616" t="str"/>
          <cell r="AE4616" t="str"/>
          <cell r="AF4616">
            <v>0</v>
          </cell>
          <cell r="AG4616">
            <v>0</v>
          </cell>
        </row>
        <row r="4617">
          <cell r="AD4617" t="str"/>
          <cell r="AE4617" t="str"/>
          <cell r="AF4617">
            <v>0</v>
          </cell>
          <cell r="AG4617">
            <v>0</v>
          </cell>
        </row>
        <row r="4618">
          <cell r="AD4618" t="str"/>
          <cell r="AE4618" t="str"/>
          <cell r="AF4618">
            <v>0</v>
          </cell>
          <cell r="AG4618">
            <v>0</v>
          </cell>
        </row>
        <row r="4619">
          <cell r="AD4619" t="str"/>
          <cell r="AE4619" t="str"/>
          <cell r="AF4619">
            <v>0</v>
          </cell>
          <cell r="AG4619">
            <v>0</v>
          </cell>
        </row>
        <row r="4620">
          <cell r="AD4620" t="str"/>
          <cell r="AE4620" t="str"/>
          <cell r="AF4620">
            <v>0</v>
          </cell>
          <cell r="AG4620">
            <v>0</v>
          </cell>
        </row>
        <row r="4621">
          <cell r="AD4621" t="str"/>
          <cell r="AE4621" t="str"/>
          <cell r="AF4621">
            <v>0</v>
          </cell>
          <cell r="AG4621">
            <v>0</v>
          </cell>
        </row>
        <row r="4622">
          <cell r="AD4622" t="str"/>
          <cell r="AE4622" t="str"/>
          <cell r="AF4622">
            <v>0</v>
          </cell>
          <cell r="AG4622">
            <v>0</v>
          </cell>
        </row>
        <row r="4623">
          <cell r="AD4623" t="str"/>
          <cell r="AE4623" t="str"/>
          <cell r="AF4623">
            <v>0</v>
          </cell>
          <cell r="AG4623">
            <v>0</v>
          </cell>
        </row>
        <row r="4624">
          <cell r="AD4624" t="str"/>
          <cell r="AE4624" t="str"/>
          <cell r="AF4624">
            <v>0</v>
          </cell>
          <cell r="AG4624">
            <v>0</v>
          </cell>
        </row>
        <row r="4625">
          <cell r="AD4625" t="str"/>
          <cell r="AE4625" t="str"/>
          <cell r="AF4625">
            <v>0</v>
          </cell>
          <cell r="AG4625">
            <v>0</v>
          </cell>
        </row>
        <row r="4626">
          <cell r="AD4626" t="str"/>
          <cell r="AE4626" t="str"/>
          <cell r="AF4626">
            <v>0</v>
          </cell>
          <cell r="AG4626">
            <v>0</v>
          </cell>
        </row>
        <row r="4627">
          <cell r="AD4627" t="str"/>
          <cell r="AE4627" t="str"/>
          <cell r="AF4627">
            <v>0</v>
          </cell>
          <cell r="AG4627">
            <v>0</v>
          </cell>
        </row>
        <row r="4628">
          <cell r="AD4628" t="str"/>
          <cell r="AE4628" t="str"/>
          <cell r="AF4628">
            <v>0</v>
          </cell>
          <cell r="AG4628">
            <v>0</v>
          </cell>
        </row>
        <row r="4629">
          <cell r="AD4629" t="str"/>
          <cell r="AE4629" t="str"/>
          <cell r="AF4629">
            <v>0</v>
          </cell>
          <cell r="AG4629">
            <v>0</v>
          </cell>
        </row>
        <row r="4630">
          <cell r="AD4630" t="str"/>
          <cell r="AE4630" t="str"/>
          <cell r="AF4630">
            <v>0</v>
          </cell>
          <cell r="AG4630">
            <v>0</v>
          </cell>
        </row>
        <row r="4631">
          <cell r="AD4631" t="str"/>
          <cell r="AE4631" t="str"/>
          <cell r="AF4631">
            <v>0</v>
          </cell>
          <cell r="AG4631">
            <v>0</v>
          </cell>
        </row>
        <row r="4632">
          <cell r="AD4632" t="str"/>
          <cell r="AE4632" t="str"/>
          <cell r="AF4632">
            <v>0</v>
          </cell>
          <cell r="AG4632">
            <v>0</v>
          </cell>
        </row>
        <row r="4633">
          <cell r="AD4633" t="str"/>
          <cell r="AE4633" t="str"/>
          <cell r="AF4633">
            <v>0</v>
          </cell>
          <cell r="AG4633">
            <v>0</v>
          </cell>
        </row>
        <row r="4634">
          <cell r="AD4634" t="str"/>
          <cell r="AE4634" t="str"/>
          <cell r="AF4634">
            <v>0</v>
          </cell>
          <cell r="AG4634">
            <v>0</v>
          </cell>
        </row>
        <row r="4635">
          <cell r="AD4635" t="str"/>
          <cell r="AE4635" t="str"/>
          <cell r="AF4635">
            <v>0</v>
          </cell>
          <cell r="AG4635">
            <v>0</v>
          </cell>
        </row>
        <row r="4636">
          <cell r="AD4636" t="str"/>
          <cell r="AE4636" t="str"/>
          <cell r="AF4636">
            <v>0</v>
          </cell>
          <cell r="AG4636">
            <v>0</v>
          </cell>
        </row>
        <row r="4637">
          <cell r="AD4637" t="str"/>
          <cell r="AE4637" t="str"/>
          <cell r="AF4637">
            <v>0</v>
          </cell>
          <cell r="AG4637">
            <v>0</v>
          </cell>
        </row>
        <row r="4638">
          <cell r="AD4638" t="str"/>
          <cell r="AE4638" t="str"/>
          <cell r="AF4638">
            <v>0</v>
          </cell>
          <cell r="AG4638">
            <v>0</v>
          </cell>
        </row>
        <row r="4639">
          <cell r="AD4639" t="str"/>
          <cell r="AE4639" t="str"/>
          <cell r="AF4639">
            <v>0</v>
          </cell>
          <cell r="AG4639">
            <v>0</v>
          </cell>
        </row>
        <row r="4640">
          <cell r="AD4640" t="str"/>
          <cell r="AE4640" t="str"/>
          <cell r="AF4640">
            <v>0</v>
          </cell>
          <cell r="AG4640">
            <v>0</v>
          </cell>
        </row>
        <row r="4641">
          <cell r="AD4641" t="str"/>
          <cell r="AE4641" t="str"/>
          <cell r="AF4641">
            <v>0</v>
          </cell>
          <cell r="AG4641">
            <v>0</v>
          </cell>
        </row>
        <row r="4642">
          <cell r="AD4642" t="str"/>
          <cell r="AE4642" t="str"/>
          <cell r="AF4642">
            <v>0</v>
          </cell>
          <cell r="AG4642">
            <v>0</v>
          </cell>
        </row>
        <row r="4643">
          <cell r="AD4643" t="str"/>
          <cell r="AE4643" t="str"/>
          <cell r="AF4643">
            <v>0</v>
          </cell>
          <cell r="AG4643">
            <v>0</v>
          </cell>
        </row>
        <row r="4644">
          <cell r="AD4644" t="str"/>
          <cell r="AE4644" t="str"/>
          <cell r="AF4644">
            <v>0</v>
          </cell>
          <cell r="AG4644">
            <v>0</v>
          </cell>
        </row>
        <row r="4645">
          <cell r="AD4645" t="str"/>
          <cell r="AE4645" t="str"/>
          <cell r="AF4645">
            <v>0</v>
          </cell>
          <cell r="AG4645">
            <v>0</v>
          </cell>
        </row>
        <row r="4646">
          <cell r="AD4646" t="str"/>
          <cell r="AE4646" t="str"/>
          <cell r="AF4646">
            <v>0</v>
          </cell>
          <cell r="AG4646">
            <v>0</v>
          </cell>
        </row>
        <row r="4647">
          <cell r="AD4647" t="str"/>
          <cell r="AE4647" t="str"/>
          <cell r="AF4647">
            <v>0</v>
          </cell>
          <cell r="AG4647">
            <v>0</v>
          </cell>
        </row>
        <row r="4648">
          <cell r="AD4648" t="str"/>
          <cell r="AE4648" t="str"/>
          <cell r="AF4648">
            <v>0</v>
          </cell>
          <cell r="AG4648">
            <v>0</v>
          </cell>
        </row>
        <row r="4649">
          <cell r="AD4649" t="str"/>
          <cell r="AE4649" t="str"/>
          <cell r="AF4649">
            <v>0</v>
          </cell>
          <cell r="AG4649">
            <v>0</v>
          </cell>
        </row>
        <row r="4650">
          <cell r="AD4650" t="str"/>
          <cell r="AE4650" t="str"/>
          <cell r="AF4650">
            <v>0</v>
          </cell>
          <cell r="AG4650">
            <v>0</v>
          </cell>
        </row>
        <row r="4651">
          <cell r="AD4651" t="str"/>
          <cell r="AE4651" t="str"/>
          <cell r="AF4651">
            <v>0</v>
          </cell>
          <cell r="AG4651">
            <v>0</v>
          </cell>
        </row>
        <row r="4652">
          <cell r="AD4652" t="str"/>
          <cell r="AE4652" t="str"/>
          <cell r="AF4652">
            <v>0</v>
          </cell>
          <cell r="AG4652">
            <v>0</v>
          </cell>
        </row>
        <row r="4653">
          <cell r="AD4653" t="str"/>
          <cell r="AE4653" t="str"/>
          <cell r="AF4653">
            <v>0</v>
          </cell>
          <cell r="AG4653">
            <v>0</v>
          </cell>
        </row>
        <row r="4654">
          <cell r="AD4654" t="str"/>
          <cell r="AE4654" t="str"/>
          <cell r="AF4654">
            <v>0</v>
          </cell>
          <cell r="AG4654">
            <v>0</v>
          </cell>
        </row>
        <row r="4655">
          <cell r="AD4655" t="str"/>
          <cell r="AE4655" t="str"/>
          <cell r="AF4655">
            <v>0</v>
          </cell>
          <cell r="AG4655">
            <v>0</v>
          </cell>
        </row>
        <row r="4656">
          <cell r="AD4656" t="str"/>
          <cell r="AE4656" t="str"/>
          <cell r="AF4656">
            <v>0</v>
          </cell>
          <cell r="AG4656">
            <v>0</v>
          </cell>
        </row>
        <row r="4657">
          <cell r="AD4657" t="str"/>
          <cell r="AE4657" t="str"/>
          <cell r="AF4657">
            <v>0</v>
          </cell>
          <cell r="AG4657">
            <v>0</v>
          </cell>
        </row>
        <row r="4658">
          <cell r="AD4658" t="str"/>
          <cell r="AE4658" t="str"/>
          <cell r="AF4658">
            <v>0</v>
          </cell>
          <cell r="AG4658">
            <v>0</v>
          </cell>
        </row>
        <row r="4659">
          <cell r="AD4659" t="str"/>
          <cell r="AE4659" t="str"/>
          <cell r="AF4659">
            <v>0</v>
          </cell>
          <cell r="AG4659">
            <v>0</v>
          </cell>
        </row>
        <row r="4660">
          <cell r="AD4660" t="str"/>
          <cell r="AE4660" t="str"/>
          <cell r="AF4660">
            <v>0</v>
          </cell>
          <cell r="AG4660">
            <v>0</v>
          </cell>
        </row>
        <row r="4661">
          <cell r="AD4661" t="str"/>
          <cell r="AE4661" t="str"/>
          <cell r="AF4661">
            <v>0</v>
          </cell>
          <cell r="AG4661">
            <v>0</v>
          </cell>
        </row>
        <row r="4662">
          <cell r="AD4662" t="str"/>
          <cell r="AE4662" t="str"/>
          <cell r="AF4662">
            <v>0</v>
          </cell>
          <cell r="AG4662">
            <v>0</v>
          </cell>
        </row>
        <row r="4663">
          <cell r="AD4663" t="str"/>
          <cell r="AE4663" t="str"/>
          <cell r="AF4663">
            <v>0</v>
          </cell>
          <cell r="AG4663">
            <v>0</v>
          </cell>
        </row>
        <row r="4664">
          <cell r="AD4664" t="str"/>
          <cell r="AE4664" t="str"/>
          <cell r="AF4664">
            <v>0</v>
          </cell>
          <cell r="AG4664">
            <v>0</v>
          </cell>
        </row>
        <row r="4665">
          <cell r="AD4665" t="str"/>
          <cell r="AE4665" t="str"/>
          <cell r="AF4665">
            <v>0</v>
          </cell>
          <cell r="AG4665">
            <v>0</v>
          </cell>
        </row>
        <row r="4666">
          <cell r="AD4666" t="str"/>
          <cell r="AE4666" t="str"/>
          <cell r="AF4666">
            <v>0</v>
          </cell>
          <cell r="AG4666">
            <v>0</v>
          </cell>
        </row>
        <row r="4667">
          <cell r="AD4667" t="str"/>
          <cell r="AE4667" t="str"/>
          <cell r="AF4667">
            <v>0</v>
          </cell>
          <cell r="AG4667">
            <v>0</v>
          </cell>
        </row>
        <row r="4668">
          <cell r="AD4668" t="str"/>
          <cell r="AE4668" t="str"/>
          <cell r="AF4668">
            <v>0</v>
          </cell>
          <cell r="AG4668">
            <v>0</v>
          </cell>
        </row>
        <row r="4669">
          <cell r="AD4669" t="str"/>
          <cell r="AE4669" t="str"/>
          <cell r="AF4669">
            <v>0</v>
          </cell>
          <cell r="AG4669">
            <v>0</v>
          </cell>
        </row>
        <row r="4670">
          <cell r="AD4670" t="str"/>
          <cell r="AE4670" t="str"/>
          <cell r="AF4670">
            <v>0</v>
          </cell>
          <cell r="AG4670">
            <v>0</v>
          </cell>
        </row>
        <row r="4671">
          <cell r="AD4671" t="str"/>
          <cell r="AE4671" t="str"/>
          <cell r="AF4671">
            <v>0</v>
          </cell>
          <cell r="AG4671">
            <v>0</v>
          </cell>
        </row>
        <row r="4672">
          <cell r="AD4672" t="str"/>
          <cell r="AE4672" t="str"/>
          <cell r="AF4672">
            <v>0</v>
          </cell>
          <cell r="AG4672">
            <v>0</v>
          </cell>
        </row>
        <row r="4673">
          <cell r="AD4673" t="str"/>
          <cell r="AE4673" t="str"/>
          <cell r="AF4673">
            <v>0</v>
          </cell>
          <cell r="AG4673">
            <v>0</v>
          </cell>
        </row>
        <row r="4674">
          <cell r="AD4674" t="str"/>
          <cell r="AE4674" t="str"/>
          <cell r="AF4674">
            <v>0</v>
          </cell>
          <cell r="AG4674">
            <v>0</v>
          </cell>
        </row>
        <row r="4675">
          <cell r="AD4675" t="str"/>
          <cell r="AE4675" t="str"/>
          <cell r="AF4675">
            <v>0</v>
          </cell>
          <cell r="AG4675">
            <v>0</v>
          </cell>
        </row>
        <row r="4676">
          <cell r="AD4676" t="str"/>
          <cell r="AE4676" t="str"/>
          <cell r="AF4676">
            <v>0</v>
          </cell>
          <cell r="AG4676">
            <v>0</v>
          </cell>
        </row>
        <row r="4677">
          <cell r="AD4677" t="str"/>
          <cell r="AE4677" t="str"/>
          <cell r="AF4677">
            <v>0</v>
          </cell>
          <cell r="AG4677">
            <v>0</v>
          </cell>
        </row>
        <row r="4678">
          <cell r="AD4678" t="str"/>
          <cell r="AE4678" t="str"/>
          <cell r="AF4678">
            <v>0</v>
          </cell>
          <cell r="AG4678">
            <v>0</v>
          </cell>
        </row>
        <row r="4679">
          <cell r="AD4679" t="str"/>
          <cell r="AE4679" t="str"/>
          <cell r="AF4679">
            <v>0</v>
          </cell>
          <cell r="AG4679">
            <v>0</v>
          </cell>
        </row>
        <row r="4680">
          <cell r="AD4680" t="str"/>
          <cell r="AE4680" t="str"/>
          <cell r="AF4680">
            <v>0</v>
          </cell>
          <cell r="AG4680">
            <v>0</v>
          </cell>
        </row>
        <row r="4681">
          <cell r="AD4681" t="str"/>
          <cell r="AE4681" t="str"/>
          <cell r="AF4681">
            <v>0</v>
          </cell>
          <cell r="AG4681">
            <v>0</v>
          </cell>
        </row>
        <row r="4682">
          <cell r="AD4682" t="str"/>
          <cell r="AE4682" t="str"/>
          <cell r="AF4682">
            <v>0</v>
          </cell>
          <cell r="AG4682">
            <v>0</v>
          </cell>
        </row>
        <row r="4683">
          <cell r="AD4683" t="str"/>
          <cell r="AE4683" t="str"/>
          <cell r="AF4683">
            <v>0</v>
          </cell>
          <cell r="AG4683">
            <v>0</v>
          </cell>
        </row>
        <row r="4684">
          <cell r="AD4684" t="str"/>
          <cell r="AE4684" t="str"/>
          <cell r="AF4684">
            <v>0</v>
          </cell>
          <cell r="AG4684">
            <v>0</v>
          </cell>
        </row>
        <row r="4685">
          <cell r="AD4685" t="str"/>
          <cell r="AE4685" t="str"/>
          <cell r="AF4685">
            <v>0</v>
          </cell>
          <cell r="AG4685">
            <v>0</v>
          </cell>
        </row>
        <row r="4686">
          <cell r="AD4686" t="str"/>
          <cell r="AE4686" t="str"/>
          <cell r="AF4686">
            <v>0</v>
          </cell>
          <cell r="AG4686">
            <v>0</v>
          </cell>
        </row>
        <row r="4687">
          <cell r="AD4687" t="str"/>
          <cell r="AE4687" t="str"/>
          <cell r="AF4687">
            <v>0</v>
          </cell>
          <cell r="AG4687">
            <v>0</v>
          </cell>
        </row>
        <row r="4688">
          <cell r="AD4688" t="str"/>
          <cell r="AE4688" t="str"/>
          <cell r="AF4688">
            <v>0</v>
          </cell>
          <cell r="AG4688">
            <v>0</v>
          </cell>
        </row>
        <row r="4689">
          <cell r="AD4689" t="str"/>
          <cell r="AE4689" t="str"/>
          <cell r="AF4689">
            <v>0</v>
          </cell>
          <cell r="AG4689">
            <v>0</v>
          </cell>
        </row>
        <row r="4690">
          <cell r="AD4690" t="str"/>
          <cell r="AE4690" t="str"/>
          <cell r="AF4690">
            <v>0</v>
          </cell>
          <cell r="AG4690">
            <v>0</v>
          </cell>
        </row>
        <row r="4691">
          <cell r="AD4691" t="str"/>
          <cell r="AE4691" t="str"/>
          <cell r="AF4691">
            <v>0</v>
          </cell>
          <cell r="AG4691">
            <v>0</v>
          </cell>
        </row>
        <row r="4692">
          <cell r="AD4692" t="str"/>
          <cell r="AE4692" t="str"/>
          <cell r="AF4692">
            <v>0</v>
          </cell>
          <cell r="AG4692">
            <v>0</v>
          </cell>
        </row>
        <row r="4693">
          <cell r="AD4693" t="str"/>
          <cell r="AE4693" t="str"/>
          <cell r="AF4693">
            <v>0</v>
          </cell>
          <cell r="AG4693">
            <v>0</v>
          </cell>
        </row>
        <row r="4694">
          <cell r="AD4694" t="str"/>
          <cell r="AE4694" t="str"/>
          <cell r="AF4694">
            <v>0</v>
          </cell>
          <cell r="AG4694">
            <v>0</v>
          </cell>
        </row>
        <row r="4695">
          <cell r="AD4695" t="str"/>
          <cell r="AE4695" t="str"/>
          <cell r="AF4695">
            <v>0</v>
          </cell>
          <cell r="AG4695">
            <v>0</v>
          </cell>
        </row>
        <row r="4696">
          <cell r="AD4696" t="str"/>
          <cell r="AE4696" t="str"/>
          <cell r="AF4696">
            <v>0</v>
          </cell>
          <cell r="AG4696">
            <v>0</v>
          </cell>
        </row>
        <row r="4697">
          <cell r="AD4697" t="str"/>
          <cell r="AE4697" t="str"/>
          <cell r="AF4697">
            <v>0</v>
          </cell>
          <cell r="AG4697">
            <v>0</v>
          </cell>
        </row>
        <row r="4698">
          <cell r="AD4698" t="str"/>
          <cell r="AE4698" t="str"/>
          <cell r="AF4698">
            <v>0</v>
          </cell>
          <cell r="AG4698">
            <v>0</v>
          </cell>
        </row>
        <row r="4699">
          <cell r="AD4699" t="str"/>
          <cell r="AE4699" t="str"/>
          <cell r="AF4699">
            <v>0</v>
          </cell>
          <cell r="AG4699">
            <v>0</v>
          </cell>
        </row>
        <row r="4700">
          <cell r="AD4700" t="str"/>
          <cell r="AE4700" t="str"/>
          <cell r="AF4700">
            <v>0</v>
          </cell>
          <cell r="AG4700">
            <v>0</v>
          </cell>
        </row>
        <row r="4701">
          <cell r="AD4701" t="str"/>
          <cell r="AE4701" t="str"/>
          <cell r="AF4701">
            <v>0</v>
          </cell>
          <cell r="AG4701">
            <v>0</v>
          </cell>
        </row>
        <row r="4702">
          <cell r="AD4702" t="str"/>
          <cell r="AE4702" t="str"/>
          <cell r="AF4702">
            <v>0</v>
          </cell>
          <cell r="AG4702">
            <v>0</v>
          </cell>
        </row>
        <row r="4703">
          <cell r="AD4703" t="str"/>
          <cell r="AE4703" t="str"/>
          <cell r="AF4703">
            <v>0</v>
          </cell>
          <cell r="AG4703">
            <v>0</v>
          </cell>
        </row>
        <row r="4704">
          <cell r="AD4704" t="str"/>
          <cell r="AE4704" t="str"/>
          <cell r="AF4704">
            <v>0</v>
          </cell>
          <cell r="AG4704">
            <v>0</v>
          </cell>
        </row>
        <row r="4705">
          <cell r="AD4705" t="str"/>
          <cell r="AE4705" t="str"/>
          <cell r="AF4705">
            <v>0</v>
          </cell>
          <cell r="AG4705">
            <v>0</v>
          </cell>
        </row>
        <row r="4706">
          <cell r="AD4706" t="str"/>
          <cell r="AE4706" t="str"/>
          <cell r="AF4706">
            <v>0</v>
          </cell>
          <cell r="AG4706">
            <v>0</v>
          </cell>
        </row>
        <row r="4707">
          <cell r="AD4707" t="str"/>
          <cell r="AE4707" t="str"/>
          <cell r="AF4707">
            <v>0</v>
          </cell>
          <cell r="AG4707">
            <v>0</v>
          </cell>
        </row>
        <row r="4708">
          <cell r="AD4708" t="str"/>
          <cell r="AE4708" t="str"/>
          <cell r="AF4708">
            <v>0</v>
          </cell>
          <cell r="AG4708">
            <v>0</v>
          </cell>
        </row>
        <row r="4709">
          <cell r="AD4709" t="str"/>
          <cell r="AE4709" t="str"/>
          <cell r="AF4709">
            <v>0</v>
          </cell>
          <cell r="AG4709">
            <v>0</v>
          </cell>
        </row>
        <row r="4710">
          <cell r="AD4710" t="str"/>
          <cell r="AE4710" t="str"/>
          <cell r="AF4710">
            <v>0</v>
          </cell>
          <cell r="AG4710">
            <v>0</v>
          </cell>
        </row>
        <row r="4711">
          <cell r="AD4711" t="str"/>
          <cell r="AE4711" t="str"/>
          <cell r="AF4711">
            <v>0</v>
          </cell>
          <cell r="AG4711">
            <v>0</v>
          </cell>
        </row>
        <row r="4712">
          <cell r="AD4712" t="str"/>
          <cell r="AE4712" t="str"/>
          <cell r="AF4712">
            <v>0</v>
          </cell>
          <cell r="AG4712">
            <v>0</v>
          </cell>
        </row>
        <row r="4713">
          <cell r="AD4713" t="str"/>
          <cell r="AE4713" t="str"/>
          <cell r="AF4713">
            <v>0</v>
          </cell>
          <cell r="AG4713">
            <v>0</v>
          </cell>
        </row>
        <row r="4714">
          <cell r="AD4714" t="str"/>
          <cell r="AE4714" t="str"/>
          <cell r="AF4714">
            <v>0</v>
          </cell>
          <cell r="AG4714">
            <v>0</v>
          </cell>
        </row>
        <row r="4715">
          <cell r="AD4715" t="str"/>
          <cell r="AE4715" t="str"/>
          <cell r="AF4715">
            <v>0</v>
          </cell>
          <cell r="AG4715">
            <v>0</v>
          </cell>
        </row>
        <row r="4716">
          <cell r="AD4716" t="str"/>
          <cell r="AE4716" t="str"/>
          <cell r="AF4716">
            <v>0</v>
          </cell>
          <cell r="AG4716">
            <v>0</v>
          </cell>
        </row>
        <row r="4717">
          <cell r="AD4717" t="str"/>
          <cell r="AE4717" t="str"/>
          <cell r="AF4717">
            <v>0</v>
          </cell>
          <cell r="AG4717">
            <v>0</v>
          </cell>
        </row>
        <row r="4718">
          <cell r="AD4718" t="str"/>
          <cell r="AE4718" t="str"/>
          <cell r="AF4718">
            <v>0</v>
          </cell>
          <cell r="AG4718">
            <v>0</v>
          </cell>
        </row>
        <row r="4719">
          <cell r="AD4719" t="str"/>
          <cell r="AE4719" t="str"/>
          <cell r="AF4719">
            <v>0</v>
          </cell>
          <cell r="AG4719">
            <v>0</v>
          </cell>
        </row>
        <row r="4720">
          <cell r="AD4720" t="str"/>
          <cell r="AE4720" t="str"/>
          <cell r="AF4720">
            <v>0</v>
          </cell>
          <cell r="AG4720">
            <v>0</v>
          </cell>
        </row>
        <row r="4721">
          <cell r="AD4721" t="str"/>
          <cell r="AE4721" t="str"/>
          <cell r="AF4721">
            <v>0</v>
          </cell>
          <cell r="AG4721">
            <v>0</v>
          </cell>
        </row>
        <row r="4722">
          <cell r="AD4722" t="str"/>
          <cell r="AE4722" t="str"/>
          <cell r="AF4722">
            <v>0</v>
          </cell>
          <cell r="AG4722">
            <v>0</v>
          </cell>
        </row>
        <row r="4723">
          <cell r="AD4723" t="str"/>
          <cell r="AE4723" t="str"/>
          <cell r="AF4723">
            <v>0</v>
          </cell>
          <cell r="AG4723">
            <v>0</v>
          </cell>
        </row>
        <row r="4724">
          <cell r="AD4724" t="str"/>
          <cell r="AE4724" t="str"/>
          <cell r="AF4724">
            <v>0</v>
          </cell>
          <cell r="AG4724">
            <v>0</v>
          </cell>
        </row>
        <row r="4725">
          <cell r="AD4725" t="str"/>
          <cell r="AE4725" t="str"/>
          <cell r="AF4725">
            <v>0</v>
          </cell>
          <cell r="AG4725">
            <v>0</v>
          </cell>
        </row>
        <row r="4726">
          <cell r="AD4726" t="str"/>
          <cell r="AE4726" t="str"/>
          <cell r="AF4726">
            <v>0</v>
          </cell>
          <cell r="AG4726">
            <v>0</v>
          </cell>
        </row>
        <row r="4727">
          <cell r="AD4727" t="str"/>
          <cell r="AE4727" t="str"/>
          <cell r="AF4727">
            <v>0</v>
          </cell>
          <cell r="AG4727">
            <v>0</v>
          </cell>
        </row>
        <row r="4728">
          <cell r="AD4728" t="str"/>
          <cell r="AE4728" t="str"/>
          <cell r="AF4728">
            <v>0</v>
          </cell>
          <cell r="AG4728">
            <v>0</v>
          </cell>
        </row>
        <row r="4729">
          <cell r="AD4729" t="str"/>
          <cell r="AE4729" t="str"/>
          <cell r="AF4729">
            <v>0</v>
          </cell>
          <cell r="AG4729">
            <v>0</v>
          </cell>
        </row>
        <row r="4730">
          <cell r="AD4730" t="str"/>
          <cell r="AE4730" t="str"/>
          <cell r="AF4730">
            <v>0</v>
          </cell>
          <cell r="AG4730">
            <v>0</v>
          </cell>
        </row>
        <row r="4731">
          <cell r="AD4731" t="str"/>
          <cell r="AE4731" t="str"/>
          <cell r="AF4731">
            <v>0</v>
          </cell>
          <cell r="AG4731">
            <v>0</v>
          </cell>
        </row>
        <row r="4732">
          <cell r="AD4732" t="str"/>
          <cell r="AE4732" t="str"/>
          <cell r="AF4732">
            <v>0</v>
          </cell>
          <cell r="AG4732">
            <v>0</v>
          </cell>
        </row>
        <row r="4733">
          <cell r="AD4733" t="str"/>
          <cell r="AE4733" t="str"/>
          <cell r="AF4733">
            <v>0</v>
          </cell>
          <cell r="AG4733">
            <v>0</v>
          </cell>
        </row>
        <row r="4734">
          <cell r="AD4734" t="str"/>
          <cell r="AE4734" t="str"/>
          <cell r="AF4734">
            <v>0</v>
          </cell>
          <cell r="AG4734">
            <v>0</v>
          </cell>
        </row>
        <row r="4735">
          <cell r="AD4735" t="str"/>
          <cell r="AE4735" t="str"/>
          <cell r="AF4735">
            <v>0</v>
          </cell>
          <cell r="AG4735">
            <v>0</v>
          </cell>
        </row>
        <row r="4736">
          <cell r="AD4736" t="str"/>
          <cell r="AE4736" t="str"/>
          <cell r="AF4736">
            <v>0</v>
          </cell>
          <cell r="AG4736">
            <v>0</v>
          </cell>
        </row>
        <row r="4737">
          <cell r="AD4737" t="str"/>
          <cell r="AE4737" t="str"/>
          <cell r="AF4737">
            <v>0</v>
          </cell>
          <cell r="AG4737">
            <v>0</v>
          </cell>
        </row>
        <row r="4738">
          <cell r="AD4738" t="str"/>
          <cell r="AE4738" t="str"/>
          <cell r="AF4738">
            <v>0</v>
          </cell>
          <cell r="AG4738">
            <v>0</v>
          </cell>
        </row>
        <row r="4739">
          <cell r="AD4739" t="str"/>
          <cell r="AE4739" t="str"/>
          <cell r="AF4739">
            <v>0</v>
          </cell>
          <cell r="AG4739">
            <v>0</v>
          </cell>
        </row>
        <row r="4740">
          <cell r="AD4740" t="str"/>
          <cell r="AE4740" t="str"/>
          <cell r="AF4740">
            <v>0</v>
          </cell>
          <cell r="AG4740">
            <v>0</v>
          </cell>
        </row>
        <row r="4741">
          <cell r="AD4741" t="str"/>
          <cell r="AE4741" t="str"/>
          <cell r="AF4741">
            <v>0</v>
          </cell>
          <cell r="AG4741">
            <v>0</v>
          </cell>
        </row>
        <row r="4742">
          <cell r="AD4742" t="str"/>
          <cell r="AE4742" t="str"/>
          <cell r="AF4742">
            <v>0</v>
          </cell>
          <cell r="AG4742">
            <v>0</v>
          </cell>
        </row>
        <row r="4743">
          <cell r="AD4743" t="str"/>
          <cell r="AE4743" t="str"/>
          <cell r="AF4743">
            <v>0</v>
          </cell>
          <cell r="AG4743">
            <v>0</v>
          </cell>
        </row>
        <row r="4744">
          <cell r="AD4744" t="str"/>
          <cell r="AE4744" t="str"/>
          <cell r="AF4744">
            <v>0</v>
          </cell>
          <cell r="AG4744">
            <v>0</v>
          </cell>
        </row>
        <row r="4745">
          <cell r="AD4745" t="str"/>
          <cell r="AE4745" t="str"/>
          <cell r="AF4745">
            <v>0</v>
          </cell>
          <cell r="AG4745">
            <v>0</v>
          </cell>
        </row>
        <row r="4746">
          <cell r="AD4746" t="str"/>
          <cell r="AE4746" t="str"/>
          <cell r="AF4746">
            <v>0</v>
          </cell>
          <cell r="AG4746">
            <v>0</v>
          </cell>
        </row>
        <row r="4747">
          <cell r="AD4747" t="str"/>
          <cell r="AE4747" t="str"/>
          <cell r="AF4747">
            <v>0</v>
          </cell>
          <cell r="AG4747">
            <v>0</v>
          </cell>
        </row>
        <row r="4748">
          <cell r="AD4748" t="str"/>
          <cell r="AE4748" t="str"/>
          <cell r="AF4748">
            <v>0</v>
          </cell>
          <cell r="AG4748">
            <v>0</v>
          </cell>
        </row>
        <row r="4749">
          <cell r="AD4749" t="str"/>
          <cell r="AE4749" t="str"/>
          <cell r="AF4749">
            <v>0</v>
          </cell>
          <cell r="AG4749">
            <v>0</v>
          </cell>
        </row>
        <row r="4750">
          <cell r="AD4750" t="str"/>
          <cell r="AE4750" t="str"/>
          <cell r="AF4750">
            <v>0</v>
          </cell>
          <cell r="AG4750">
            <v>0</v>
          </cell>
        </row>
        <row r="4751">
          <cell r="AD4751" t="str"/>
          <cell r="AE4751" t="str"/>
          <cell r="AF4751">
            <v>0</v>
          </cell>
          <cell r="AG4751">
            <v>0</v>
          </cell>
        </row>
        <row r="4752">
          <cell r="AD4752" t="str"/>
          <cell r="AE4752" t="str"/>
          <cell r="AF4752">
            <v>0</v>
          </cell>
          <cell r="AG4752">
            <v>0</v>
          </cell>
        </row>
        <row r="4753">
          <cell r="AD4753" t="str"/>
          <cell r="AE4753" t="str"/>
          <cell r="AF4753">
            <v>0</v>
          </cell>
          <cell r="AG4753">
            <v>0</v>
          </cell>
        </row>
        <row r="4754">
          <cell r="AD4754" t="str"/>
          <cell r="AE4754" t="str"/>
          <cell r="AF4754">
            <v>0</v>
          </cell>
          <cell r="AG4754">
            <v>0</v>
          </cell>
        </row>
        <row r="4755">
          <cell r="AD4755" t="str"/>
          <cell r="AE4755" t="str"/>
          <cell r="AF4755">
            <v>0</v>
          </cell>
          <cell r="AG4755">
            <v>0</v>
          </cell>
        </row>
        <row r="4756">
          <cell r="AD4756" t="str"/>
          <cell r="AE4756" t="str"/>
          <cell r="AF4756">
            <v>0</v>
          </cell>
          <cell r="AG4756">
            <v>0</v>
          </cell>
        </row>
        <row r="4757">
          <cell r="AD4757" t="str"/>
          <cell r="AE4757" t="str"/>
          <cell r="AF4757">
            <v>0</v>
          </cell>
          <cell r="AG4757">
            <v>0</v>
          </cell>
        </row>
        <row r="4758">
          <cell r="AD4758" t="str"/>
          <cell r="AE4758" t="str"/>
          <cell r="AF4758">
            <v>0</v>
          </cell>
          <cell r="AG4758">
            <v>0</v>
          </cell>
        </row>
        <row r="4759">
          <cell r="AD4759" t="str"/>
          <cell r="AE4759" t="str"/>
          <cell r="AF4759">
            <v>0</v>
          </cell>
          <cell r="AG4759">
            <v>0</v>
          </cell>
        </row>
        <row r="4760">
          <cell r="AD4760" t="str"/>
          <cell r="AE4760" t="str"/>
          <cell r="AF4760">
            <v>0</v>
          </cell>
          <cell r="AG4760">
            <v>0</v>
          </cell>
        </row>
        <row r="4761">
          <cell r="AD4761" t="str"/>
          <cell r="AE4761" t="str"/>
          <cell r="AF4761">
            <v>0</v>
          </cell>
          <cell r="AG4761">
            <v>0</v>
          </cell>
        </row>
        <row r="4762">
          <cell r="AD4762" t="str"/>
          <cell r="AE4762" t="str"/>
          <cell r="AF4762">
            <v>0</v>
          </cell>
          <cell r="AG4762">
            <v>0</v>
          </cell>
        </row>
        <row r="4763">
          <cell r="AD4763" t="str"/>
          <cell r="AE4763" t="str"/>
          <cell r="AF4763">
            <v>0</v>
          </cell>
          <cell r="AG4763">
            <v>0</v>
          </cell>
        </row>
        <row r="4764">
          <cell r="AD4764" t="str"/>
          <cell r="AE4764" t="str"/>
          <cell r="AF4764">
            <v>0</v>
          </cell>
          <cell r="AG4764">
            <v>0</v>
          </cell>
        </row>
        <row r="4765">
          <cell r="AD4765" t="str"/>
          <cell r="AE4765" t="str"/>
          <cell r="AF4765">
            <v>0</v>
          </cell>
          <cell r="AG4765">
            <v>0</v>
          </cell>
        </row>
        <row r="4766">
          <cell r="AD4766" t="str"/>
          <cell r="AE4766" t="str"/>
          <cell r="AF4766">
            <v>0</v>
          </cell>
          <cell r="AG4766">
            <v>0</v>
          </cell>
        </row>
        <row r="4767">
          <cell r="AD4767" t="str"/>
          <cell r="AE4767" t="str"/>
          <cell r="AF4767">
            <v>0</v>
          </cell>
          <cell r="AG4767">
            <v>0</v>
          </cell>
        </row>
        <row r="4768">
          <cell r="AD4768" t="str"/>
          <cell r="AE4768" t="str"/>
          <cell r="AF4768">
            <v>0</v>
          </cell>
          <cell r="AG4768">
            <v>0</v>
          </cell>
        </row>
        <row r="4769">
          <cell r="AD4769" t="str"/>
          <cell r="AE4769" t="str"/>
          <cell r="AF4769">
            <v>0</v>
          </cell>
          <cell r="AG4769">
            <v>0</v>
          </cell>
        </row>
        <row r="4770">
          <cell r="AD4770" t="str"/>
          <cell r="AE4770" t="str"/>
          <cell r="AF4770">
            <v>0</v>
          </cell>
          <cell r="AG4770">
            <v>0</v>
          </cell>
        </row>
        <row r="4771">
          <cell r="AD4771" t="str"/>
          <cell r="AE4771" t="str"/>
          <cell r="AF4771">
            <v>0</v>
          </cell>
          <cell r="AG4771">
            <v>0</v>
          </cell>
        </row>
        <row r="4772">
          <cell r="AD4772" t="str"/>
          <cell r="AE4772" t="str"/>
          <cell r="AF4772">
            <v>0</v>
          </cell>
          <cell r="AG4772">
            <v>0</v>
          </cell>
        </row>
        <row r="4773">
          <cell r="AD4773" t="str"/>
          <cell r="AE4773" t="str"/>
          <cell r="AF4773">
            <v>0</v>
          </cell>
          <cell r="AG4773">
            <v>0</v>
          </cell>
        </row>
        <row r="4774">
          <cell r="AD4774" t="str"/>
          <cell r="AE4774" t="str"/>
          <cell r="AF4774">
            <v>0</v>
          </cell>
          <cell r="AG4774">
            <v>0</v>
          </cell>
        </row>
        <row r="4775">
          <cell r="AD4775" t="str"/>
          <cell r="AE4775" t="str"/>
          <cell r="AF4775">
            <v>0</v>
          </cell>
          <cell r="AG4775">
            <v>0</v>
          </cell>
        </row>
        <row r="4776">
          <cell r="AD4776" t="str"/>
          <cell r="AE4776" t="str"/>
          <cell r="AF4776">
            <v>0</v>
          </cell>
          <cell r="AG4776">
            <v>0</v>
          </cell>
        </row>
        <row r="4777">
          <cell r="AD4777" t="str"/>
          <cell r="AE4777" t="str"/>
          <cell r="AF4777">
            <v>0</v>
          </cell>
          <cell r="AG4777">
            <v>0</v>
          </cell>
        </row>
        <row r="4778">
          <cell r="AD4778" t="str"/>
          <cell r="AE4778" t="str"/>
          <cell r="AF4778">
            <v>0</v>
          </cell>
          <cell r="AG4778">
            <v>0</v>
          </cell>
        </row>
        <row r="4779">
          <cell r="AD4779" t="str"/>
          <cell r="AE4779" t="str"/>
          <cell r="AF4779">
            <v>0</v>
          </cell>
          <cell r="AG4779">
            <v>0</v>
          </cell>
        </row>
        <row r="4780">
          <cell r="AD4780" t="str"/>
          <cell r="AE4780" t="str"/>
          <cell r="AF4780">
            <v>0</v>
          </cell>
          <cell r="AG4780">
            <v>0</v>
          </cell>
        </row>
        <row r="4781">
          <cell r="AD4781" t="str"/>
          <cell r="AE4781" t="str"/>
          <cell r="AF4781">
            <v>0</v>
          </cell>
          <cell r="AG4781">
            <v>0</v>
          </cell>
        </row>
        <row r="4782">
          <cell r="AD4782" t="str"/>
          <cell r="AE4782" t="str"/>
          <cell r="AF4782">
            <v>0</v>
          </cell>
          <cell r="AG4782">
            <v>0</v>
          </cell>
        </row>
        <row r="4783">
          <cell r="AD4783" t="str"/>
          <cell r="AE4783" t="str"/>
          <cell r="AF4783">
            <v>0</v>
          </cell>
          <cell r="AG4783">
            <v>0</v>
          </cell>
        </row>
        <row r="4784">
          <cell r="AD4784" t="str"/>
          <cell r="AE4784" t="str"/>
          <cell r="AF4784">
            <v>0</v>
          </cell>
          <cell r="AG4784">
            <v>0</v>
          </cell>
        </row>
        <row r="4785">
          <cell r="AD4785" t="str"/>
          <cell r="AE4785" t="str"/>
          <cell r="AF4785">
            <v>0</v>
          </cell>
          <cell r="AG4785">
            <v>0</v>
          </cell>
        </row>
        <row r="4786">
          <cell r="AD4786" t="str"/>
          <cell r="AE4786" t="str"/>
          <cell r="AF4786">
            <v>0</v>
          </cell>
          <cell r="AG4786">
            <v>0</v>
          </cell>
        </row>
        <row r="4787">
          <cell r="AD4787" t="str"/>
          <cell r="AE4787" t="str"/>
          <cell r="AF4787">
            <v>0</v>
          </cell>
          <cell r="AG4787">
            <v>0</v>
          </cell>
        </row>
        <row r="4788">
          <cell r="AD4788" t="str"/>
          <cell r="AE4788" t="str"/>
          <cell r="AF4788">
            <v>0</v>
          </cell>
          <cell r="AG4788">
            <v>0</v>
          </cell>
        </row>
        <row r="4789">
          <cell r="AD4789" t="str"/>
          <cell r="AE4789" t="str"/>
          <cell r="AF4789">
            <v>0</v>
          </cell>
          <cell r="AG4789">
            <v>0</v>
          </cell>
        </row>
        <row r="4790">
          <cell r="AD4790" t="str"/>
          <cell r="AE4790" t="str"/>
          <cell r="AF4790">
            <v>0</v>
          </cell>
          <cell r="AG4790">
            <v>0</v>
          </cell>
        </row>
        <row r="4791">
          <cell r="AD4791" t="str"/>
          <cell r="AE4791" t="str"/>
          <cell r="AF4791">
            <v>0</v>
          </cell>
          <cell r="AG4791">
            <v>0</v>
          </cell>
        </row>
        <row r="4792">
          <cell r="AD4792" t="str"/>
          <cell r="AE4792" t="str"/>
          <cell r="AF4792">
            <v>0</v>
          </cell>
          <cell r="AG4792">
            <v>0</v>
          </cell>
        </row>
        <row r="4793">
          <cell r="AD4793" t="str"/>
          <cell r="AE4793" t="str"/>
          <cell r="AF4793">
            <v>0</v>
          </cell>
          <cell r="AG4793">
            <v>0</v>
          </cell>
        </row>
        <row r="4794">
          <cell r="AD4794" t="str"/>
          <cell r="AE4794" t="str"/>
          <cell r="AF4794">
            <v>0</v>
          </cell>
          <cell r="AG4794">
            <v>0</v>
          </cell>
        </row>
        <row r="4795">
          <cell r="AD4795" t="str"/>
          <cell r="AE4795" t="str"/>
          <cell r="AF4795">
            <v>0</v>
          </cell>
          <cell r="AG4795">
            <v>0</v>
          </cell>
        </row>
        <row r="4796">
          <cell r="AD4796" t="str"/>
          <cell r="AE4796" t="str"/>
          <cell r="AF4796">
            <v>0</v>
          </cell>
          <cell r="AG4796">
            <v>0</v>
          </cell>
        </row>
        <row r="4797">
          <cell r="AD4797" t="str"/>
          <cell r="AE4797" t="str"/>
          <cell r="AF4797">
            <v>0</v>
          </cell>
          <cell r="AG4797">
            <v>0</v>
          </cell>
        </row>
        <row r="4798">
          <cell r="AD4798" t="str"/>
          <cell r="AE4798" t="str"/>
          <cell r="AF4798">
            <v>0</v>
          </cell>
          <cell r="AG4798">
            <v>0</v>
          </cell>
        </row>
        <row r="4799">
          <cell r="AD4799" t="str"/>
          <cell r="AE4799" t="str"/>
          <cell r="AF4799">
            <v>0</v>
          </cell>
          <cell r="AG4799">
            <v>0</v>
          </cell>
        </row>
        <row r="4800">
          <cell r="AD4800" t="str"/>
          <cell r="AE4800" t="str"/>
          <cell r="AF4800">
            <v>0</v>
          </cell>
          <cell r="AG4800">
            <v>0</v>
          </cell>
        </row>
        <row r="4801">
          <cell r="AD4801" t="str"/>
          <cell r="AE4801" t="str"/>
          <cell r="AF4801">
            <v>0</v>
          </cell>
          <cell r="AG4801">
            <v>0</v>
          </cell>
        </row>
        <row r="4802">
          <cell r="AD4802" t="str"/>
          <cell r="AE4802" t="str"/>
          <cell r="AF4802">
            <v>0</v>
          </cell>
          <cell r="AG4802">
            <v>0</v>
          </cell>
        </row>
        <row r="4803">
          <cell r="AD4803" t="str"/>
          <cell r="AE4803" t="str"/>
          <cell r="AF4803">
            <v>0</v>
          </cell>
          <cell r="AG4803">
            <v>0</v>
          </cell>
        </row>
        <row r="4804">
          <cell r="AD4804" t="str"/>
          <cell r="AE4804" t="str"/>
          <cell r="AF4804">
            <v>0</v>
          </cell>
          <cell r="AG4804">
            <v>0</v>
          </cell>
        </row>
        <row r="4805">
          <cell r="AD4805" t="str"/>
          <cell r="AE4805" t="str"/>
          <cell r="AF4805">
            <v>0</v>
          </cell>
          <cell r="AG4805">
            <v>0</v>
          </cell>
        </row>
        <row r="4806">
          <cell r="AD4806" t="str"/>
          <cell r="AE4806" t="str"/>
          <cell r="AF4806">
            <v>0</v>
          </cell>
          <cell r="AG4806">
            <v>0</v>
          </cell>
        </row>
        <row r="4807">
          <cell r="AD4807" t="str"/>
          <cell r="AE4807" t="str"/>
          <cell r="AF4807">
            <v>0</v>
          </cell>
          <cell r="AG4807">
            <v>0</v>
          </cell>
        </row>
        <row r="4808">
          <cell r="AD4808" t="str"/>
          <cell r="AE4808" t="str"/>
          <cell r="AF4808">
            <v>0</v>
          </cell>
          <cell r="AG4808">
            <v>0</v>
          </cell>
        </row>
        <row r="4809">
          <cell r="AD4809" t="str"/>
          <cell r="AE4809" t="str"/>
          <cell r="AF4809">
            <v>0</v>
          </cell>
          <cell r="AG4809">
            <v>0</v>
          </cell>
        </row>
        <row r="4810">
          <cell r="AD4810" t="str"/>
          <cell r="AE4810" t="str"/>
          <cell r="AF4810">
            <v>0</v>
          </cell>
          <cell r="AG4810">
            <v>0</v>
          </cell>
        </row>
        <row r="4811">
          <cell r="AD4811" t="str"/>
          <cell r="AE4811" t="str"/>
          <cell r="AF4811">
            <v>0</v>
          </cell>
          <cell r="AG4811">
            <v>0</v>
          </cell>
        </row>
        <row r="4812">
          <cell r="AD4812" t="str"/>
          <cell r="AE4812" t="str"/>
          <cell r="AF4812">
            <v>0</v>
          </cell>
          <cell r="AG4812">
            <v>0</v>
          </cell>
        </row>
        <row r="4813">
          <cell r="AD4813" t="str"/>
          <cell r="AE4813" t="str"/>
          <cell r="AF4813">
            <v>0</v>
          </cell>
          <cell r="AG4813">
            <v>0</v>
          </cell>
        </row>
        <row r="4814">
          <cell r="AD4814" t="str"/>
          <cell r="AE4814" t="str"/>
          <cell r="AF4814">
            <v>0</v>
          </cell>
          <cell r="AG4814">
            <v>0</v>
          </cell>
        </row>
        <row r="4815">
          <cell r="AD4815" t="str"/>
          <cell r="AE4815" t="str"/>
          <cell r="AF4815">
            <v>0</v>
          </cell>
          <cell r="AG4815">
            <v>0</v>
          </cell>
        </row>
        <row r="4816">
          <cell r="AD4816" t="str"/>
          <cell r="AE4816" t="str"/>
          <cell r="AF4816">
            <v>0</v>
          </cell>
          <cell r="AG4816">
            <v>0</v>
          </cell>
        </row>
        <row r="4817">
          <cell r="AD4817" t="str"/>
          <cell r="AE4817" t="str"/>
          <cell r="AF4817">
            <v>0</v>
          </cell>
          <cell r="AG4817">
            <v>0</v>
          </cell>
        </row>
        <row r="4818">
          <cell r="AD4818" t="str"/>
          <cell r="AE4818" t="str"/>
          <cell r="AF4818">
            <v>0</v>
          </cell>
          <cell r="AG4818">
            <v>0</v>
          </cell>
        </row>
        <row r="4819">
          <cell r="AD4819" t="str"/>
          <cell r="AE4819" t="str"/>
          <cell r="AF4819">
            <v>0</v>
          </cell>
          <cell r="AG4819">
            <v>0</v>
          </cell>
        </row>
        <row r="4820">
          <cell r="AD4820" t="str"/>
          <cell r="AE4820" t="str"/>
          <cell r="AF4820">
            <v>0</v>
          </cell>
          <cell r="AG4820">
            <v>0</v>
          </cell>
        </row>
        <row r="4821">
          <cell r="AD4821" t="str"/>
          <cell r="AE4821" t="str"/>
          <cell r="AF4821">
            <v>0</v>
          </cell>
          <cell r="AG4821">
            <v>0</v>
          </cell>
        </row>
        <row r="4822">
          <cell r="AD4822" t="str"/>
          <cell r="AE4822" t="str"/>
          <cell r="AF4822">
            <v>0</v>
          </cell>
          <cell r="AG4822">
            <v>0</v>
          </cell>
        </row>
        <row r="4823">
          <cell r="AD4823" t="str"/>
          <cell r="AE4823" t="str"/>
          <cell r="AF4823">
            <v>0</v>
          </cell>
          <cell r="AG4823">
            <v>0</v>
          </cell>
        </row>
        <row r="4824">
          <cell r="AD4824" t="str"/>
          <cell r="AE4824" t="str"/>
          <cell r="AF4824">
            <v>0</v>
          </cell>
          <cell r="AG4824">
            <v>0</v>
          </cell>
        </row>
        <row r="4825">
          <cell r="AD4825" t="str"/>
          <cell r="AE4825" t="str"/>
          <cell r="AF4825">
            <v>0</v>
          </cell>
          <cell r="AG4825">
            <v>0</v>
          </cell>
        </row>
        <row r="4826">
          <cell r="AD4826" t="str"/>
          <cell r="AE4826" t="str"/>
          <cell r="AF4826">
            <v>0</v>
          </cell>
          <cell r="AG4826">
            <v>0</v>
          </cell>
        </row>
        <row r="4827">
          <cell r="AD4827" t="str"/>
          <cell r="AE4827" t="str"/>
          <cell r="AF4827">
            <v>0</v>
          </cell>
          <cell r="AG4827">
            <v>0</v>
          </cell>
        </row>
        <row r="4828">
          <cell r="AD4828" t="str"/>
          <cell r="AE4828" t="str"/>
          <cell r="AF4828">
            <v>0</v>
          </cell>
          <cell r="AG4828">
            <v>0</v>
          </cell>
        </row>
        <row r="4829">
          <cell r="AD4829" t="str"/>
          <cell r="AE4829" t="str"/>
          <cell r="AF4829">
            <v>0</v>
          </cell>
          <cell r="AG4829">
            <v>0</v>
          </cell>
        </row>
        <row r="4830">
          <cell r="AD4830" t="str"/>
          <cell r="AE4830" t="str"/>
          <cell r="AF4830">
            <v>0</v>
          </cell>
          <cell r="AG4830">
            <v>0</v>
          </cell>
        </row>
        <row r="4831">
          <cell r="AD4831" t="str"/>
          <cell r="AE4831" t="str"/>
          <cell r="AF4831">
            <v>0</v>
          </cell>
          <cell r="AG4831">
            <v>0</v>
          </cell>
        </row>
        <row r="4832">
          <cell r="AD4832" t="str"/>
          <cell r="AE4832" t="str"/>
          <cell r="AF4832">
            <v>0</v>
          </cell>
          <cell r="AG4832">
            <v>0</v>
          </cell>
        </row>
        <row r="4833">
          <cell r="AD4833" t="str"/>
          <cell r="AE4833" t="str"/>
          <cell r="AF4833">
            <v>0</v>
          </cell>
          <cell r="AG4833">
            <v>0</v>
          </cell>
        </row>
        <row r="4834">
          <cell r="AD4834" t="str"/>
          <cell r="AE4834" t="str"/>
          <cell r="AF4834">
            <v>0</v>
          </cell>
          <cell r="AG4834">
            <v>0</v>
          </cell>
        </row>
        <row r="4835">
          <cell r="AD4835" t="str"/>
          <cell r="AE4835" t="str"/>
          <cell r="AF4835">
            <v>0</v>
          </cell>
          <cell r="AG4835">
            <v>0</v>
          </cell>
        </row>
        <row r="4836">
          <cell r="AD4836" t="str"/>
          <cell r="AE4836" t="str"/>
          <cell r="AF4836">
            <v>0</v>
          </cell>
          <cell r="AG4836">
            <v>0</v>
          </cell>
        </row>
        <row r="4837">
          <cell r="AD4837" t="str"/>
          <cell r="AE4837" t="str"/>
          <cell r="AF4837">
            <v>0</v>
          </cell>
          <cell r="AG4837">
            <v>0</v>
          </cell>
        </row>
        <row r="4838">
          <cell r="AD4838" t="str"/>
          <cell r="AE4838" t="str"/>
          <cell r="AF4838">
            <v>0</v>
          </cell>
          <cell r="AG4838">
            <v>0</v>
          </cell>
        </row>
        <row r="4839">
          <cell r="AD4839" t="str"/>
          <cell r="AE4839" t="str"/>
          <cell r="AF4839">
            <v>0</v>
          </cell>
          <cell r="AG4839">
            <v>0</v>
          </cell>
        </row>
        <row r="4840">
          <cell r="AD4840" t="str"/>
          <cell r="AE4840" t="str"/>
          <cell r="AF4840">
            <v>0</v>
          </cell>
          <cell r="AG4840">
            <v>0</v>
          </cell>
        </row>
        <row r="4841">
          <cell r="AD4841" t="str"/>
          <cell r="AE4841" t="str"/>
          <cell r="AF4841">
            <v>0</v>
          </cell>
          <cell r="AG4841">
            <v>0</v>
          </cell>
        </row>
        <row r="4842">
          <cell r="AD4842" t="str"/>
          <cell r="AE4842" t="str"/>
          <cell r="AF4842">
            <v>0</v>
          </cell>
          <cell r="AG4842">
            <v>0</v>
          </cell>
        </row>
        <row r="4843">
          <cell r="AD4843" t="str"/>
          <cell r="AE4843" t="str"/>
          <cell r="AF4843">
            <v>0</v>
          </cell>
          <cell r="AG4843">
            <v>0</v>
          </cell>
        </row>
        <row r="4844">
          <cell r="AD4844" t="str"/>
          <cell r="AE4844" t="str"/>
          <cell r="AF4844">
            <v>0</v>
          </cell>
          <cell r="AG4844">
            <v>0</v>
          </cell>
        </row>
        <row r="4845">
          <cell r="AD4845" t="str"/>
          <cell r="AE4845" t="str"/>
          <cell r="AF4845">
            <v>0</v>
          </cell>
          <cell r="AG4845">
            <v>0</v>
          </cell>
        </row>
        <row r="4846">
          <cell r="AD4846" t="str"/>
          <cell r="AE4846" t="str"/>
          <cell r="AF4846">
            <v>0</v>
          </cell>
          <cell r="AG4846">
            <v>0</v>
          </cell>
        </row>
        <row r="4847">
          <cell r="AD4847" t="str"/>
          <cell r="AE4847" t="str"/>
          <cell r="AF4847">
            <v>0</v>
          </cell>
          <cell r="AG4847">
            <v>0</v>
          </cell>
        </row>
        <row r="4848">
          <cell r="AD4848" t="str"/>
          <cell r="AE4848" t="str"/>
          <cell r="AF4848">
            <v>0</v>
          </cell>
          <cell r="AG4848">
            <v>0</v>
          </cell>
        </row>
        <row r="4849">
          <cell r="AD4849" t="str"/>
          <cell r="AE4849" t="str"/>
          <cell r="AF4849">
            <v>0</v>
          </cell>
          <cell r="AG4849">
            <v>0</v>
          </cell>
        </row>
        <row r="4850">
          <cell r="AD4850" t="str"/>
          <cell r="AE4850" t="str"/>
          <cell r="AF4850">
            <v>0</v>
          </cell>
          <cell r="AG4850">
            <v>0</v>
          </cell>
        </row>
        <row r="4851">
          <cell r="AD4851" t="str"/>
          <cell r="AE4851" t="str"/>
          <cell r="AF4851">
            <v>0</v>
          </cell>
          <cell r="AG4851">
            <v>0</v>
          </cell>
        </row>
        <row r="4852">
          <cell r="AD4852" t="str"/>
          <cell r="AE4852" t="str"/>
          <cell r="AF4852">
            <v>0</v>
          </cell>
          <cell r="AG4852">
            <v>0</v>
          </cell>
        </row>
        <row r="4853">
          <cell r="AD4853" t="str"/>
          <cell r="AE4853" t="str"/>
          <cell r="AF4853">
            <v>0</v>
          </cell>
          <cell r="AG4853">
            <v>0</v>
          </cell>
        </row>
        <row r="4854">
          <cell r="AD4854" t="str"/>
          <cell r="AE4854" t="str"/>
          <cell r="AF4854">
            <v>0</v>
          </cell>
          <cell r="AG4854">
            <v>0</v>
          </cell>
        </row>
        <row r="4855">
          <cell r="AD4855" t="str"/>
          <cell r="AE4855" t="str"/>
          <cell r="AF4855">
            <v>0</v>
          </cell>
          <cell r="AG4855">
            <v>0</v>
          </cell>
        </row>
        <row r="4856">
          <cell r="AD4856" t="str"/>
          <cell r="AE4856" t="str"/>
          <cell r="AF4856">
            <v>0</v>
          </cell>
          <cell r="AG4856">
            <v>0</v>
          </cell>
        </row>
        <row r="4857">
          <cell r="AD4857" t="str"/>
          <cell r="AE4857" t="str"/>
          <cell r="AF4857">
            <v>0</v>
          </cell>
          <cell r="AG4857">
            <v>0</v>
          </cell>
        </row>
        <row r="4858">
          <cell r="AD4858" t="str"/>
          <cell r="AE4858" t="str"/>
          <cell r="AF4858">
            <v>0</v>
          </cell>
          <cell r="AG4858">
            <v>0</v>
          </cell>
        </row>
        <row r="4859">
          <cell r="AD4859" t="str"/>
          <cell r="AE4859" t="str"/>
          <cell r="AF4859">
            <v>0</v>
          </cell>
          <cell r="AG4859">
            <v>0</v>
          </cell>
        </row>
        <row r="4860">
          <cell r="AD4860" t="str"/>
          <cell r="AE4860" t="str"/>
          <cell r="AF4860">
            <v>0</v>
          </cell>
          <cell r="AG4860">
            <v>0</v>
          </cell>
        </row>
        <row r="4861">
          <cell r="AD4861" t="str"/>
          <cell r="AE4861" t="str"/>
          <cell r="AF4861">
            <v>0</v>
          </cell>
          <cell r="AG4861">
            <v>0</v>
          </cell>
        </row>
        <row r="4862">
          <cell r="AD4862" t="str"/>
          <cell r="AE4862" t="str"/>
          <cell r="AF4862">
            <v>0</v>
          </cell>
          <cell r="AG4862">
            <v>0</v>
          </cell>
        </row>
        <row r="4863">
          <cell r="AD4863" t="str"/>
          <cell r="AE4863" t="str"/>
          <cell r="AF4863">
            <v>0</v>
          </cell>
          <cell r="AG4863">
            <v>0</v>
          </cell>
        </row>
        <row r="4864">
          <cell r="AD4864" t="str"/>
          <cell r="AE4864" t="str"/>
          <cell r="AF4864">
            <v>0</v>
          </cell>
          <cell r="AG4864">
            <v>0</v>
          </cell>
        </row>
        <row r="4865">
          <cell r="AD4865" t="str"/>
          <cell r="AE4865" t="str"/>
          <cell r="AF4865">
            <v>0</v>
          </cell>
          <cell r="AG4865">
            <v>0</v>
          </cell>
        </row>
        <row r="4866">
          <cell r="AD4866" t="str"/>
          <cell r="AE4866" t="str"/>
          <cell r="AF4866">
            <v>0</v>
          </cell>
          <cell r="AG4866">
            <v>0</v>
          </cell>
        </row>
        <row r="4867">
          <cell r="AD4867" t="str"/>
          <cell r="AE4867" t="str"/>
          <cell r="AF4867">
            <v>0</v>
          </cell>
          <cell r="AG4867">
            <v>0</v>
          </cell>
        </row>
        <row r="4868">
          <cell r="AD4868" t="str"/>
          <cell r="AE4868" t="str"/>
          <cell r="AF4868">
            <v>0</v>
          </cell>
          <cell r="AG4868">
            <v>0</v>
          </cell>
        </row>
        <row r="4869">
          <cell r="AD4869" t="str"/>
          <cell r="AE4869" t="str"/>
          <cell r="AF4869">
            <v>0</v>
          </cell>
          <cell r="AG4869">
            <v>0</v>
          </cell>
        </row>
        <row r="4870">
          <cell r="AD4870" t="str"/>
          <cell r="AE4870" t="str"/>
          <cell r="AF4870">
            <v>0</v>
          </cell>
          <cell r="AG4870">
            <v>0</v>
          </cell>
        </row>
        <row r="4871">
          <cell r="AD4871" t="str"/>
          <cell r="AE4871" t="str"/>
          <cell r="AF4871">
            <v>0</v>
          </cell>
          <cell r="AG4871">
            <v>0</v>
          </cell>
        </row>
        <row r="4872">
          <cell r="AD4872" t="str"/>
          <cell r="AE4872" t="str"/>
          <cell r="AF4872">
            <v>0</v>
          </cell>
          <cell r="AG4872">
            <v>0</v>
          </cell>
        </row>
        <row r="4873">
          <cell r="AD4873" t="str"/>
          <cell r="AE4873" t="str"/>
          <cell r="AF4873">
            <v>0</v>
          </cell>
          <cell r="AG4873">
            <v>0</v>
          </cell>
        </row>
        <row r="4874">
          <cell r="AD4874" t="str"/>
          <cell r="AE4874" t="str"/>
          <cell r="AF4874">
            <v>0</v>
          </cell>
          <cell r="AG4874">
            <v>0</v>
          </cell>
        </row>
        <row r="4875">
          <cell r="AD4875" t="str"/>
          <cell r="AE4875" t="str"/>
          <cell r="AF4875">
            <v>0</v>
          </cell>
          <cell r="AG4875">
            <v>0</v>
          </cell>
        </row>
        <row r="4876">
          <cell r="AD4876" t="str"/>
          <cell r="AE4876" t="str"/>
          <cell r="AF4876">
            <v>0</v>
          </cell>
          <cell r="AG4876">
            <v>0</v>
          </cell>
        </row>
        <row r="4877">
          <cell r="AD4877" t="str"/>
          <cell r="AE4877" t="str"/>
          <cell r="AF4877">
            <v>0</v>
          </cell>
          <cell r="AG4877">
            <v>0</v>
          </cell>
        </row>
        <row r="4878">
          <cell r="AD4878" t="str"/>
          <cell r="AE4878" t="str"/>
          <cell r="AF4878">
            <v>0</v>
          </cell>
          <cell r="AG4878">
            <v>0</v>
          </cell>
        </row>
        <row r="4879">
          <cell r="AD4879" t="str"/>
          <cell r="AE4879" t="str"/>
          <cell r="AF4879">
            <v>0</v>
          </cell>
          <cell r="AG4879">
            <v>0</v>
          </cell>
        </row>
        <row r="4880">
          <cell r="AD4880" t="str"/>
          <cell r="AE4880" t="str"/>
          <cell r="AF4880">
            <v>0</v>
          </cell>
          <cell r="AG4880">
            <v>0</v>
          </cell>
        </row>
        <row r="4881">
          <cell r="AD4881" t="str"/>
          <cell r="AE4881" t="str"/>
          <cell r="AF4881">
            <v>0</v>
          </cell>
          <cell r="AG4881">
            <v>0</v>
          </cell>
        </row>
        <row r="4882">
          <cell r="AD4882" t="str"/>
          <cell r="AE4882" t="str"/>
          <cell r="AF4882">
            <v>0</v>
          </cell>
          <cell r="AG4882">
            <v>0</v>
          </cell>
        </row>
        <row r="4883">
          <cell r="AD4883" t="str"/>
          <cell r="AE4883" t="str"/>
          <cell r="AF4883">
            <v>0</v>
          </cell>
          <cell r="AG4883">
            <v>0</v>
          </cell>
        </row>
        <row r="4884">
          <cell r="AD4884" t="str"/>
          <cell r="AE4884" t="str"/>
          <cell r="AF4884">
            <v>0</v>
          </cell>
          <cell r="AG4884">
            <v>0</v>
          </cell>
        </row>
        <row r="4885">
          <cell r="AD4885" t="str"/>
          <cell r="AE4885" t="str"/>
          <cell r="AF4885">
            <v>0</v>
          </cell>
          <cell r="AG4885">
            <v>0</v>
          </cell>
        </row>
        <row r="4886">
          <cell r="AD4886" t="str"/>
          <cell r="AE4886" t="str"/>
          <cell r="AF4886">
            <v>0</v>
          </cell>
          <cell r="AG4886">
            <v>0</v>
          </cell>
        </row>
        <row r="4887">
          <cell r="AD4887" t="str"/>
          <cell r="AE4887" t="str"/>
          <cell r="AF4887">
            <v>0</v>
          </cell>
          <cell r="AG4887">
            <v>0</v>
          </cell>
        </row>
        <row r="4888">
          <cell r="AD4888" t="str"/>
          <cell r="AE4888" t="str"/>
          <cell r="AF4888">
            <v>0</v>
          </cell>
          <cell r="AG4888">
            <v>0</v>
          </cell>
        </row>
        <row r="4889">
          <cell r="AD4889" t="str"/>
          <cell r="AE4889" t="str"/>
          <cell r="AF4889">
            <v>0</v>
          </cell>
          <cell r="AG4889">
            <v>0</v>
          </cell>
        </row>
        <row r="4890">
          <cell r="AD4890" t="str"/>
          <cell r="AE4890" t="str"/>
          <cell r="AF4890">
            <v>0</v>
          </cell>
          <cell r="AG4890">
            <v>0</v>
          </cell>
        </row>
        <row r="4891">
          <cell r="AD4891" t="str"/>
          <cell r="AE4891" t="str"/>
          <cell r="AF4891">
            <v>0</v>
          </cell>
          <cell r="AG4891">
            <v>0</v>
          </cell>
        </row>
        <row r="4892">
          <cell r="AD4892" t="str"/>
          <cell r="AE4892" t="str"/>
          <cell r="AF4892">
            <v>0</v>
          </cell>
          <cell r="AG4892">
            <v>0</v>
          </cell>
        </row>
        <row r="4893">
          <cell r="AD4893" t="str"/>
          <cell r="AE4893" t="str"/>
          <cell r="AF4893">
            <v>0</v>
          </cell>
          <cell r="AG4893">
            <v>0</v>
          </cell>
        </row>
        <row r="4894">
          <cell r="AD4894" t="str"/>
          <cell r="AE4894" t="str"/>
          <cell r="AF4894">
            <v>0</v>
          </cell>
          <cell r="AG4894">
            <v>0</v>
          </cell>
        </row>
        <row r="4895">
          <cell r="AD4895" t="str"/>
          <cell r="AE4895" t="str"/>
          <cell r="AF4895">
            <v>0</v>
          </cell>
          <cell r="AG4895">
            <v>0</v>
          </cell>
        </row>
        <row r="4896">
          <cell r="AD4896" t="str"/>
          <cell r="AE4896" t="str"/>
          <cell r="AF4896">
            <v>0</v>
          </cell>
          <cell r="AG4896">
            <v>0</v>
          </cell>
        </row>
        <row r="4897">
          <cell r="AD4897" t="str"/>
          <cell r="AE4897" t="str"/>
          <cell r="AF4897">
            <v>0</v>
          </cell>
          <cell r="AG4897">
            <v>0</v>
          </cell>
        </row>
        <row r="4898">
          <cell r="AD4898" t="str"/>
          <cell r="AE4898" t="str"/>
          <cell r="AF4898">
            <v>0</v>
          </cell>
          <cell r="AG4898">
            <v>0</v>
          </cell>
        </row>
        <row r="4899">
          <cell r="AD4899" t="str"/>
          <cell r="AE4899" t="str"/>
          <cell r="AF4899">
            <v>0</v>
          </cell>
          <cell r="AG4899">
            <v>0</v>
          </cell>
        </row>
        <row r="4900">
          <cell r="AD4900" t="str"/>
          <cell r="AE4900" t="str"/>
          <cell r="AF4900">
            <v>0</v>
          </cell>
          <cell r="AG4900">
            <v>0</v>
          </cell>
        </row>
        <row r="4901">
          <cell r="AD4901" t="str"/>
          <cell r="AE4901" t="str"/>
          <cell r="AF4901">
            <v>0</v>
          </cell>
          <cell r="AG4901">
            <v>0</v>
          </cell>
        </row>
        <row r="4902">
          <cell r="AD4902" t="str"/>
          <cell r="AE4902" t="str"/>
          <cell r="AF4902">
            <v>0</v>
          </cell>
          <cell r="AG4902">
            <v>0</v>
          </cell>
        </row>
        <row r="4903">
          <cell r="AD4903" t="str"/>
          <cell r="AE4903" t="str"/>
          <cell r="AF4903">
            <v>0</v>
          </cell>
          <cell r="AG4903">
            <v>0</v>
          </cell>
        </row>
        <row r="4904">
          <cell r="AD4904" t="str"/>
          <cell r="AE4904" t="str"/>
          <cell r="AF4904">
            <v>0</v>
          </cell>
          <cell r="AG4904">
            <v>0</v>
          </cell>
        </row>
        <row r="4905">
          <cell r="AD4905" t="str"/>
          <cell r="AE4905" t="str"/>
          <cell r="AF4905">
            <v>0</v>
          </cell>
          <cell r="AG4905">
            <v>0</v>
          </cell>
        </row>
        <row r="4906">
          <cell r="AD4906" t="str"/>
          <cell r="AE4906" t="str"/>
          <cell r="AF4906">
            <v>0</v>
          </cell>
          <cell r="AG4906">
            <v>0</v>
          </cell>
        </row>
        <row r="4907">
          <cell r="AD4907" t="str"/>
          <cell r="AE4907" t="str"/>
          <cell r="AF4907">
            <v>0</v>
          </cell>
          <cell r="AG4907">
            <v>0</v>
          </cell>
        </row>
        <row r="4908">
          <cell r="AD4908" t="str"/>
          <cell r="AE4908" t="str"/>
          <cell r="AF4908">
            <v>0</v>
          </cell>
          <cell r="AG4908">
            <v>0</v>
          </cell>
        </row>
        <row r="4909">
          <cell r="AD4909" t="str"/>
          <cell r="AE4909" t="str"/>
          <cell r="AF4909">
            <v>0</v>
          </cell>
          <cell r="AG4909">
            <v>0</v>
          </cell>
        </row>
        <row r="4910">
          <cell r="AD4910" t="str"/>
          <cell r="AE4910" t="str"/>
          <cell r="AF4910">
            <v>0</v>
          </cell>
          <cell r="AG4910">
            <v>0</v>
          </cell>
        </row>
        <row r="4911">
          <cell r="AD4911" t="str"/>
          <cell r="AE4911" t="str"/>
          <cell r="AF4911">
            <v>0</v>
          </cell>
          <cell r="AG4911">
            <v>0</v>
          </cell>
        </row>
        <row r="4912">
          <cell r="AD4912" t="str"/>
          <cell r="AE4912" t="str"/>
          <cell r="AF4912">
            <v>0</v>
          </cell>
          <cell r="AG4912">
            <v>0</v>
          </cell>
        </row>
        <row r="4913">
          <cell r="AD4913" t="str"/>
          <cell r="AE4913" t="str"/>
          <cell r="AF4913">
            <v>0</v>
          </cell>
          <cell r="AG4913">
            <v>0</v>
          </cell>
        </row>
        <row r="4914">
          <cell r="AD4914" t="str"/>
          <cell r="AE4914" t="str"/>
          <cell r="AF4914">
            <v>0</v>
          </cell>
          <cell r="AG4914">
            <v>0</v>
          </cell>
        </row>
        <row r="4915">
          <cell r="AD4915" t="str"/>
          <cell r="AE4915" t="str"/>
          <cell r="AF4915">
            <v>0</v>
          </cell>
          <cell r="AG4915">
            <v>0</v>
          </cell>
        </row>
        <row r="4916">
          <cell r="AD4916" t="str"/>
          <cell r="AE4916" t="str"/>
          <cell r="AF4916">
            <v>0</v>
          </cell>
          <cell r="AG4916">
            <v>0</v>
          </cell>
        </row>
        <row r="4917">
          <cell r="AD4917" t="str"/>
          <cell r="AE4917" t="str"/>
          <cell r="AF4917">
            <v>0</v>
          </cell>
          <cell r="AG4917">
            <v>0</v>
          </cell>
        </row>
        <row r="4918">
          <cell r="AD4918" t="str"/>
          <cell r="AE4918" t="str"/>
          <cell r="AF4918">
            <v>0</v>
          </cell>
          <cell r="AG4918">
            <v>0</v>
          </cell>
        </row>
        <row r="4919">
          <cell r="AD4919" t="str"/>
          <cell r="AE4919" t="str"/>
          <cell r="AF4919">
            <v>0</v>
          </cell>
          <cell r="AG4919">
            <v>0</v>
          </cell>
        </row>
        <row r="4920">
          <cell r="AD4920" t="str"/>
          <cell r="AE4920" t="str"/>
          <cell r="AF4920">
            <v>0</v>
          </cell>
          <cell r="AG4920">
            <v>0</v>
          </cell>
        </row>
        <row r="4921">
          <cell r="AD4921" t="str"/>
          <cell r="AE4921" t="str"/>
          <cell r="AF4921">
            <v>0</v>
          </cell>
          <cell r="AG4921">
            <v>0</v>
          </cell>
        </row>
        <row r="4922">
          <cell r="AD4922" t="str"/>
          <cell r="AE4922" t="str"/>
          <cell r="AF4922">
            <v>0</v>
          </cell>
          <cell r="AG4922">
            <v>0</v>
          </cell>
        </row>
        <row r="4923">
          <cell r="AD4923" t="str"/>
          <cell r="AE4923" t="str"/>
          <cell r="AF4923">
            <v>0</v>
          </cell>
          <cell r="AG4923">
            <v>0</v>
          </cell>
        </row>
        <row r="4924">
          <cell r="AD4924" t="str"/>
          <cell r="AE4924" t="str"/>
          <cell r="AF4924">
            <v>0</v>
          </cell>
          <cell r="AG4924">
            <v>0</v>
          </cell>
        </row>
        <row r="4925">
          <cell r="AD4925" t="str"/>
          <cell r="AE4925" t="str"/>
          <cell r="AF4925">
            <v>0</v>
          </cell>
          <cell r="AG4925">
            <v>0</v>
          </cell>
        </row>
        <row r="4926">
          <cell r="AD4926" t="str"/>
          <cell r="AE4926" t="str"/>
          <cell r="AF4926">
            <v>0</v>
          </cell>
          <cell r="AG4926">
            <v>0</v>
          </cell>
        </row>
        <row r="4927">
          <cell r="AD4927" t="str"/>
          <cell r="AE4927" t="str"/>
          <cell r="AF4927">
            <v>0</v>
          </cell>
          <cell r="AG4927">
            <v>0</v>
          </cell>
        </row>
        <row r="4928">
          <cell r="AD4928" t="str"/>
          <cell r="AE4928" t="str"/>
          <cell r="AF4928">
            <v>0</v>
          </cell>
          <cell r="AG4928">
            <v>0</v>
          </cell>
        </row>
        <row r="4929">
          <cell r="AD4929" t="str"/>
          <cell r="AE4929" t="str"/>
          <cell r="AF4929">
            <v>0</v>
          </cell>
          <cell r="AG4929">
            <v>0</v>
          </cell>
        </row>
        <row r="4930">
          <cell r="AD4930" t="str"/>
          <cell r="AE4930" t="str"/>
          <cell r="AF4930">
            <v>0</v>
          </cell>
          <cell r="AG4930">
            <v>0</v>
          </cell>
        </row>
        <row r="4931">
          <cell r="AD4931" t="str"/>
          <cell r="AE4931" t="str"/>
          <cell r="AF4931">
            <v>0</v>
          </cell>
          <cell r="AG4931">
            <v>0</v>
          </cell>
        </row>
        <row r="4932">
          <cell r="AD4932" t="str"/>
          <cell r="AE4932" t="str"/>
          <cell r="AF4932">
            <v>0</v>
          </cell>
          <cell r="AG4932">
            <v>0</v>
          </cell>
        </row>
        <row r="4933">
          <cell r="AD4933" t="str"/>
          <cell r="AE4933" t="str"/>
          <cell r="AF4933">
            <v>0</v>
          </cell>
          <cell r="AG4933">
            <v>0</v>
          </cell>
        </row>
        <row r="4934">
          <cell r="AD4934" t="str"/>
          <cell r="AE4934" t="str"/>
          <cell r="AF4934">
            <v>0</v>
          </cell>
          <cell r="AG4934">
            <v>0</v>
          </cell>
        </row>
        <row r="4935">
          <cell r="AD4935" t="str"/>
          <cell r="AE4935" t="str"/>
          <cell r="AF4935">
            <v>0</v>
          </cell>
          <cell r="AG4935">
            <v>0</v>
          </cell>
        </row>
        <row r="4936">
          <cell r="AD4936" t="str"/>
          <cell r="AE4936" t="str"/>
          <cell r="AF4936">
            <v>0</v>
          </cell>
          <cell r="AG4936">
            <v>0</v>
          </cell>
        </row>
        <row r="4937">
          <cell r="AD4937" t="str"/>
          <cell r="AE4937" t="str"/>
          <cell r="AF4937">
            <v>0</v>
          </cell>
          <cell r="AG4937">
            <v>0</v>
          </cell>
        </row>
        <row r="4938">
          <cell r="AD4938" t="str"/>
          <cell r="AE4938" t="str"/>
          <cell r="AF4938">
            <v>0</v>
          </cell>
          <cell r="AG4938">
            <v>0</v>
          </cell>
        </row>
        <row r="4939">
          <cell r="AD4939" t="str"/>
          <cell r="AE4939" t="str"/>
          <cell r="AF4939">
            <v>0</v>
          </cell>
          <cell r="AG4939">
            <v>0</v>
          </cell>
        </row>
        <row r="4940">
          <cell r="AD4940" t="str"/>
          <cell r="AE4940" t="str"/>
          <cell r="AF4940">
            <v>0</v>
          </cell>
          <cell r="AG4940">
            <v>0</v>
          </cell>
        </row>
        <row r="4941">
          <cell r="AD4941" t="str"/>
          <cell r="AE4941" t="str"/>
          <cell r="AF4941">
            <v>0</v>
          </cell>
          <cell r="AG4941">
            <v>0</v>
          </cell>
        </row>
        <row r="4942">
          <cell r="AD4942" t="str"/>
          <cell r="AE4942" t="str"/>
          <cell r="AF4942">
            <v>0</v>
          </cell>
          <cell r="AG4942">
            <v>0</v>
          </cell>
        </row>
        <row r="4943">
          <cell r="AD4943" t="str"/>
          <cell r="AE4943" t="str"/>
          <cell r="AF4943">
            <v>0</v>
          </cell>
          <cell r="AG4943">
            <v>0</v>
          </cell>
        </row>
        <row r="4944">
          <cell r="AD4944" t="str"/>
          <cell r="AE4944" t="str"/>
          <cell r="AF4944">
            <v>0</v>
          </cell>
          <cell r="AG4944">
            <v>0</v>
          </cell>
        </row>
        <row r="4945">
          <cell r="AD4945" t="str"/>
          <cell r="AE4945" t="str"/>
          <cell r="AF4945">
            <v>0</v>
          </cell>
          <cell r="AG4945">
            <v>0</v>
          </cell>
        </row>
        <row r="4946">
          <cell r="AD4946" t="str"/>
          <cell r="AE4946" t="str"/>
          <cell r="AF4946">
            <v>0</v>
          </cell>
          <cell r="AG4946">
            <v>0</v>
          </cell>
        </row>
        <row r="4947">
          <cell r="AD4947" t="str"/>
          <cell r="AE4947" t="str"/>
          <cell r="AF4947">
            <v>0</v>
          </cell>
          <cell r="AG4947">
            <v>0</v>
          </cell>
        </row>
        <row r="4948">
          <cell r="AD4948" t="str"/>
          <cell r="AE4948" t="str"/>
          <cell r="AF4948">
            <v>0</v>
          </cell>
          <cell r="AG4948">
            <v>0</v>
          </cell>
        </row>
        <row r="4949">
          <cell r="AD4949" t="str"/>
          <cell r="AE4949" t="str"/>
          <cell r="AF4949">
            <v>0</v>
          </cell>
          <cell r="AG4949">
            <v>0</v>
          </cell>
        </row>
        <row r="4950">
          <cell r="AD4950" t="str"/>
          <cell r="AE4950" t="str"/>
          <cell r="AF4950">
            <v>0</v>
          </cell>
          <cell r="AG4950">
            <v>0</v>
          </cell>
        </row>
        <row r="4951">
          <cell r="AD4951" t="str"/>
          <cell r="AE4951" t="str"/>
          <cell r="AF4951">
            <v>0</v>
          </cell>
          <cell r="AG4951">
            <v>0</v>
          </cell>
        </row>
        <row r="4952">
          <cell r="AD4952" t="str"/>
          <cell r="AE4952" t="str"/>
          <cell r="AF4952">
            <v>0</v>
          </cell>
          <cell r="AG4952">
            <v>0</v>
          </cell>
        </row>
        <row r="4953">
          <cell r="AD4953" t="str"/>
          <cell r="AE4953" t="str"/>
          <cell r="AF4953">
            <v>0</v>
          </cell>
          <cell r="AG4953">
            <v>0</v>
          </cell>
        </row>
        <row r="4954">
          <cell r="AD4954" t="str"/>
          <cell r="AE4954" t="str"/>
          <cell r="AF4954">
            <v>0</v>
          </cell>
          <cell r="AG4954">
            <v>0</v>
          </cell>
        </row>
        <row r="4955">
          <cell r="AD4955" t="str"/>
          <cell r="AE4955" t="str"/>
          <cell r="AF4955">
            <v>0</v>
          </cell>
          <cell r="AG4955">
            <v>0</v>
          </cell>
        </row>
        <row r="4956">
          <cell r="AD4956" t="str"/>
          <cell r="AE4956" t="str"/>
          <cell r="AF4956">
            <v>0</v>
          </cell>
          <cell r="AG4956">
            <v>0</v>
          </cell>
        </row>
        <row r="4957">
          <cell r="AD4957" t="str"/>
          <cell r="AE4957" t="str"/>
          <cell r="AF4957">
            <v>0</v>
          </cell>
          <cell r="AG4957">
            <v>0</v>
          </cell>
        </row>
        <row r="4958">
          <cell r="AD4958" t="str"/>
          <cell r="AE4958" t="str"/>
          <cell r="AF4958">
            <v>0</v>
          </cell>
          <cell r="AG4958">
            <v>0</v>
          </cell>
        </row>
        <row r="4959">
          <cell r="AD4959" t="str"/>
          <cell r="AE4959" t="str"/>
          <cell r="AF4959">
            <v>0</v>
          </cell>
          <cell r="AG4959">
            <v>0</v>
          </cell>
        </row>
        <row r="4960">
          <cell r="AD4960" t="str"/>
          <cell r="AE4960" t="str"/>
          <cell r="AF4960">
            <v>0</v>
          </cell>
          <cell r="AG4960">
            <v>0</v>
          </cell>
        </row>
        <row r="4961">
          <cell r="AD4961" t="str"/>
          <cell r="AE4961" t="str"/>
          <cell r="AF4961">
            <v>0</v>
          </cell>
          <cell r="AG4961">
            <v>0</v>
          </cell>
        </row>
        <row r="4962">
          <cell r="AD4962" t="str"/>
          <cell r="AE4962" t="str"/>
          <cell r="AF4962">
            <v>0</v>
          </cell>
          <cell r="AG4962">
            <v>0</v>
          </cell>
        </row>
        <row r="4963">
          <cell r="AD4963" t="str"/>
          <cell r="AE4963" t="str"/>
          <cell r="AF4963">
            <v>0</v>
          </cell>
          <cell r="AG4963">
            <v>0</v>
          </cell>
        </row>
        <row r="4964">
          <cell r="AD4964" t="str"/>
          <cell r="AE4964" t="str"/>
          <cell r="AF4964">
            <v>0</v>
          </cell>
          <cell r="AG4964">
            <v>0</v>
          </cell>
        </row>
        <row r="4965">
          <cell r="AD4965" t="str"/>
          <cell r="AE4965" t="str"/>
          <cell r="AF4965">
            <v>0</v>
          </cell>
          <cell r="AG4965">
            <v>0</v>
          </cell>
        </row>
        <row r="4966">
          <cell r="AD4966" t="str"/>
          <cell r="AE4966" t="str"/>
          <cell r="AF4966">
            <v>0</v>
          </cell>
          <cell r="AG4966">
            <v>0</v>
          </cell>
        </row>
        <row r="4967">
          <cell r="AD4967" t="str"/>
          <cell r="AE4967" t="str"/>
          <cell r="AF4967">
            <v>0</v>
          </cell>
          <cell r="AG4967">
            <v>0</v>
          </cell>
        </row>
        <row r="4968">
          <cell r="AD4968" t="str"/>
          <cell r="AE4968" t="str"/>
          <cell r="AF4968">
            <v>0</v>
          </cell>
          <cell r="AG4968">
            <v>0</v>
          </cell>
        </row>
        <row r="4969">
          <cell r="AD4969" t="str"/>
          <cell r="AE4969" t="str"/>
          <cell r="AF4969">
            <v>0</v>
          </cell>
          <cell r="AG4969">
            <v>0</v>
          </cell>
        </row>
        <row r="4970">
          <cell r="AD4970" t="str"/>
          <cell r="AE4970" t="str"/>
          <cell r="AF4970">
            <v>0</v>
          </cell>
          <cell r="AG4970">
            <v>0</v>
          </cell>
        </row>
        <row r="4971">
          <cell r="AD4971" t="str"/>
          <cell r="AE4971" t="str"/>
          <cell r="AF4971">
            <v>0</v>
          </cell>
          <cell r="AG4971">
            <v>0</v>
          </cell>
        </row>
        <row r="4972">
          <cell r="AD4972" t="str"/>
          <cell r="AE4972" t="str"/>
          <cell r="AF4972">
            <v>0</v>
          </cell>
          <cell r="AG4972">
            <v>0</v>
          </cell>
        </row>
        <row r="4973">
          <cell r="AD4973" t="str"/>
          <cell r="AE4973" t="str"/>
          <cell r="AF4973">
            <v>0</v>
          </cell>
          <cell r="AG4973">
            <v>0</v>
          </cell>
        </row>
        <row r="4974">
          <cell r="AD4974" t="str"/>
          <cell r="AE4974" t="str"/>
          <cell r="AF4974">
            <v>0</v>
          </cell>
          <cell r="AG4974">
            <v>0</v>
          </cell>
        </row>
        <row r="4975">
          <cell r="AD4975" t="str"/>
          <cell r="AE4975" t="str"/>
          <cell r="AF4975">
            <v>0</v>
          </cell>
          <cell r="AG4975">
            <v>0</v>
          </cell>
        </row>
        <row r="4976">
          <cell r="AD4976" t="str"/>
          <cell r="AE4976" t="str"/>
          <cell r="AF4976">
            <v>0</v>
          </cell>
          <cell r="AG4976">
            <v>0</v>
          </cell>
        </row>
        <row r="4977">
          <cell r="AD4977" t="str"/>
          <cell r="AE4977" t="str"/>
          <cell r="AF4977">
            <v>0</v>
          </cell>
          <cell r="AG4977">
            <v>0</v>
          </cell>
        </row>
        <row r="4978">
          <cell r="AD4978" t="str"/>
          <cell r="AE4978" t="str"/>
          <cell r="AF4978">
            <v>0</v>
          </cell>
          <cell r="AG4978">
            <v>0</v>
          </cell>
        </row>
        <row r="4979">
          <cell r="AD4979" t="str"/>
          <cell r="AE4979" t="str"/>
          <cell r="AF4979">
            <v>0</v>
          </cell>
          <cell r="AG4979">
            <v>0</v>
          </cell>
        </row>
        <row r="4980">
          <cell r="AD4980" t="str"/>
          <cell r="AE4980" t="str"/>
          <cell r="AF4980">
            <v>0</v>
          </cell>
          <cell r="AG4980">
            <v>0</v>
          </cell>
        </row>
        <row r="4981">
          <cell r="AD4981" t="str"/>
          <cell r="AE4981" t="str"/>
          <cell r="AF4981">
            <v>0</v>
          </cell>
          <cell r="AG4981">
            <v>0</v>
          </cell>
        </row>
        <row r="4982">
          <cell r="AD4982" t="str"/>
          <cell r="AE4982" t="str"/>
          <cell r="AF4982">
            <v>0</v>
          </cell>
          <cell r="AG4982">
            <v>0</v>
          </cell>
        </row>
        <row r="4983">
          <cell r="AD4983" t="str"/>
          <cell r="AE4983" t="str"/>
          <cell r="AF4983">
            <v>0</v>
          </cell>
          <cell r="AG4983">
            <v>0</v>
          </cell>
        </row>
        <row r="4984">
          <cell r="AD4984" t="str"/>
          <cell r="AE4984" t="str"/>
          <cell r="AF4984">
            <v>0</v>
          </cell>
          <cell r="AG4984">
            <v>0</v>
          </cell>
        </row>
        <row r="4985">
          <cell r="AD4985" t="str"/>
          <cell r="AE4985" t="str"/>
          <cell r="AF4985">
            <v>0</v>
          </cell>
          <cell r="AG4985">
            <v>0</v>
          </cell>
        </row>
        <row r="4986">
          <cell r="AD4986" t="str"/>
          <cell r="AE4986" t="str"/>
          <cell r="AF4986">
            <v>0</v>
          </cell>
          <cell r="AG4986">
            <v>0</v>
          </cell>
        </row>
        <row r="4987">
          <cell r="AD4987" t="str"/>
          <cell r="AE4987" t="str"/>
          <cell r="AF4987">
            <v>0</v>
          </cell>
          <cell r="AG4987">
            <v>0</v>
          </cell>
        </row>
        <row r="4988">
          <cell r="AD4988" t="str"/>
          <cell r="AE4988" t="str"/>
          <cell r="AF4988">
            <v>0</v>
          </cell>
          <cell r="AG4988">
            <v>0</v>
          </cell>
        </row>
        <row r="4989">
          <cell r="AD4989" t="str"/>
          <cell r="AE4989" t="str"/>
          <cell r="AF4989">
            <v>0</v>
          </cell>
          <cell r="AG4989">
            <v>0</v>
          </cell>
        </row>
        <row r="4990">
          <cell r="AD4990" t="str"/>
          <cell r="AE4990" t="str"/>
          <cell r="AF4990">
            <v>0</v>
          </cell>
          <cell r="AG4990">
            <v>0</v>
          </cell>
        </row>
        <row r="4991">
          <cell r="AD4991" t="str"/>
          <cell r="AE4991" t="str"/>
          <cell r="AF4991">
            <v>0</v>
          </cell>
          <cell r="AG4991">
            <v>0</v>
          </cell>
        </row>
        <row r="4992">
          <cell r="AD4992" t="str"/>
          <cell r="AE4992" t="str"/>
          <cell r="AF4992">
            <v>0</v>
          </cell>
          <cell r="AG4992">
            <v>0</v>
          </cell>
        </row>
        <row r="4993">
          <cell r="AD4993" t="str"/>
          <cell r="AE4993" t="str"/>
          <cell r="AF4993">
            <v>0</v>
          </cell>
          <cell r="AG4993">
            <v>0</v>
          </cell>
        </row>
        <row r="4994">
          <cell r="AD4994" t="str"/>
          <cell r="AE4994" t="str"/>
          <cell r="AF4994">
            <v>0</v>
          </cell>
          <cell r="AG4994">
            <v>0</v>
          </cell>
        </row>
        <row r="4995">
          <cell r="AD4995" t="str"/>
          <cell r="AE4995" t="str"/>
          <cell r="AF4995">
            <v>0</v>
          </cell>
          <cell r="AG4995">
            <v>0</v>
          </cell>
        </row>
        <row r="4996">
          <cell r="AD4996" t="str"/>
          <cell r="AE4996" t="str"/>
          <cell r="AF4996">
            <v>0</v>
          </cell>
          <cell r="AG4996">
            <v>0</v>
          </cell>
        </row>
        <row r="4997">
          <cell r="AD4997" t="str"/>
          <cell r="AE4997" t="str"/>
          <cell r="AF4997">
            <v>0</v>
          </cell>
          <cell r="AG4997">
            <v>0</v>
          </cell>
        </row>
        <row r="4998">
          <cell r="AD4998" t="str"/>
          <cell r="AE4998" t="str"/>
          <cell r="AF4998">
            <v>0</v>
          </cell>
          <cell r="AG4998">
            <v>0</v>
          </cell>
        </row>
        <row r="4999">
          <cell r="AD4999" t="str"/>
          <cell r="AE4999" t="str"/>
          <cell r="AF4999">
            <v>0</v>
          </cell>
          <cell r="AG4999">
            <v>0</v>
          </cell>
        </row>
        <row r="5000">
          <cell r="AD5000" t="str"/>
          <cell r="AE5000" t="str"/>
          <cell r="AF5000">
            <v>0</v>
          </cell>
          <cell r="AG5000">
            <v>0</v>
          </cell>
        </row>
        <row r="5001">
          <cell r="AD5001" t="str"/>
          <cell r="AE5001" t="str"/>
          <cell r="AF5001">
            <v>0</v>
          </cell>
          <cell r="AG5001">
            <v>0</v>
          </cell>
        </row>
        <row r="5002">
          <cell r="AD5002" t="str"/>
          <cell r="AE5002" t="str"/>
          <cell r="AF5002">
            <v>0</v>
          </cell>
          <cell r="AG5002">
            <v>0</v>
          </cell>
        </row>
        <row r="5003">
          <cell r="AD5003" t="str"/>
          <cell r="AE5003" t="str"/>
          <cell r="AF5003">
            <v>0</v>
          </cell>
          <cell r="AG5003">
            <v>0</v>
          </cell>
        </row>
        <row r="5004">
          <cell r="AD5004" t="str"/>
          <cell r="AE5004" t="str"/>
          <cell r="AF5004">
            <v>0</v>
          </cell>
          <cell r="AG5004">
            <v>0</v>
          </cell>
        </row>
        <row r="5005">
          <cell r="AD5005" t="str"/>
          <cell r="AE5005" t="str"/>
          <cell r="AF5005">
            <v>0</v>
          </cell>
          <cell r="AG5005">
            <v>0</v>
          </cell>
        </row>
        <row r="5006">
          <cell r="AD5006" t="str"/>
          <cell r="AE5006" t="str"/>
          <cell r="AF5006">
            <v>0</v>
          </cell>
          <cell r="AG5006">
            <v>0</v>
          </cell>
        </row>
        <row r="5007">
          <cell r="AD5007" t="str"/>
          <cell r="AE5007" t="str"/>
          <cell r="AF5007">
            <v>0</v>
          </cell>
          <cell r="AG5007">
            <v>0</v>
          </cell>
        </row>
        <row r="5008">
          <cell r="AD5008" t="str"/>
          <cell r="AE5008" t="str"/>
          <cell r="AF5008">
            <v>0</v>
          </cell>
          <cell r="AG5008">
            <v>0</v>
          </cell>
        </row>
        <row r="5009">
          <cell r="AD5009" t="str">
            <v>總計</v>
          </cell>
          <cell r="AG5009">
            <v>0</v>
          </cell>
        </row>
        <row r="5010">
          <cell r="AD5010" t="str">
            <v>01-中華全佑廢胎回收</v>
          </cell>
        </row>
        <row r="5011">
          <cell r="AD5011" t="str">
            <v>01-中華全佑拆裝工295R</v>
          </cell>
        </row>
        <row r="5012">
          <cell r="AD5012" t="str">
            <v>10-億勝-正新700-16*內胎</v>
          </cell>
        </row>
        <row r="5013">
          <cell r="AD5013" t="str">
            <v>32-弘新700-16*OB</v>
          </cell>
        </row>
        <row r="5014">
          <cell r="AD5014" t="str">
            <v>17-萬全氣門嘴*1支</v>
          </cell>
        </row>
        <row r="5015">
          <cell r="AD5015" t="str">
            <v>05-普利司通215/45R17*T001</v>
          </cell>
        </row>
        <row r="5016">
          <cell r="AD5016" t="str">
            <v>05-普利司通215/55R17*ER33</v>
          </cell>
        </row>
        <row r="5017">
          <cell r="AD5017" t="str">
            <v>133-李冠輝315/80R22.5*NF03+</v>
          </cell>
        </row>
        <row r="5018">
          <cell r="AD5018" t="str">
            <v>133-李冠輝315/80R22.5*DD905</v>
          </cell>
        </row>
        <row r="5019">
          <cell r="AD5019" t="str">
            <v>06-國住-登祿普315/80R22.5*SP571倉庫</v>
          </cell>
        </row>
        <row r="5020">
          <cell r="AD5020" t="str">
            <v>133-李冠輝315/80R22.5*NF03+</v>
          </cell>
        </row>
        <row r="5021">
          <cell r="AD5021" t="str">
            <v>133-李冠輝315/80R22.5*DD905</v>
          </cell>
        </row>
        <row r="5022">
          <cell r="AD5022" t="str">
            <v>133-李冠輝315/80R22.5*DA818</v>
          </cell>
        </row>
        <row r="5023">
          <cell r="AD5023" t="str">
            <v>18-精輪-金宇295R*KT2正冷(NG)</v>
          </cell>
        </row>
        <row r="5024">
          <cell r="AD5024" t="str">
            <v>18-精輪-金宇295R*KT2正冷(NG)</v>
          </cell>
        </row>
      </sheetData>
      <sheetData sheetId="16"/>
      <sheetData sheetId="17">
        <row r="6">
          <cell r="B6">
            <v>1</v>
          </cell>
          <cell r="C6" t="str">
            <v>98-11-05</v>
          </cell>
          <cell r="D6" t="str">
            <v>001-中華全佑</v>
          </cell>
          <cell r="E6" t="str">
            <v>中華全佑有限公司</v>
          </cell>
          <cell r="F6" t="str">
            <v>2791＞1467＞未稅</v>
          </cell>
          <cell r="G6" t="str">
            <v>未稅</v>
          </cell>
          <cell r="H6" t="str">
            <v>輪胎</v>
          </cell>
          <cell r="J6" t="str">
            <v>037-463990&gt;037-463991&gt;0932-528360老闆.胡振新&gt;0952-360000老闆娘.陳婉玲&gt;傳真037-477953</v>
          </cell>
          <cell r="N6">
            <v>350</v>
          </cell>
          <cell r="O6" t="str">
            <v>苗栗縣竹南鎮中美里10鄰保安林52-10號。</v>
          </cell>
          <cell r="P6" t="str">
            <v>001-中華全佑</v>
          </cell>
          <cell r="Q6" t="str">
            <v>350苗栗縣竹南鎮中美里10鄰保安林52-10號。</v>
          </cell>
          <cell r="R6">
            <v>30</v>
          </cell>
        </row>
        <row r="7">
          <cell r="B7">
            <v>2</v>
          </cell>
          <cell r="C7" t="str">
            <v>102-11-19</v>
          </cell>
          <cell r="D7" t="str">
            <v>002-聯緯會計</v>
          </cell>
          <cell r="E7" t="str">
            <v>聯緯會計事務所</v>
          </cell>
          <cell r="F7" t="str">
            <v>3519＞0441＞未稅</v>
          </cell>
          <cell r="G7" t="str">
            <v>未稅</v>
          </cell>
          <cell r="H7" t="str">
            <v>稅務申報＞發票2個月一期</v>
          </cell>
          <cell r="I7" t="str">
            <v>約定匯款聯邦銀行 新竹分行 017100022778 聯緯聯合會計師事務所</v>
          </cell>
          <cell r="J7" t="str">
            <v>03-6673668#212陳小姐&gt;0933-177967老闆.呂仁琦&gt;0933-670646老闆娘.鄭秋月&gt;傳真03-6672096</v>
          </cell>
          <cell r="N7">
            <v>302</v>
          </cell>
          <cell r="O7" t="str">
            <v>新竹縣竹北巿勝利三街77號。</v>
          </cell>
          <cell r="P7" t="str">
            <v>002-聯緯會計</v>
          </cell>
          <cell r="Q7" t="str">
            <v>新竹縣竹北巿勝利三街77號。</v>
          </cell>
          <cell r="R7">
            <v>30</v>
          </cell>
        </row>
        <row r="8">
          <cell r="B8">
            <v>3</v>
          </cell>
          <cell r="C8" t="str">
            <v>98-11-05</v>
          </cell>
          <cell r="D8" t="str">
            <v>003-東大</v>
          </cell>
          <cell r="E8" t="str">
            <v>東大工業股份有限公司</v>
          </cell>
          <cell r="F8" t="str">
            <v>3519＞0441＞未稅</v>
          </cell>
          <cell r="G8" t="str">
            <v>未稅</v>
          </cell>
          <cell r="H8" t="str">
            <v>輪胎＞翻修胎</v>
          </cell>
          <cell r="I8" t="str">
            <v>匯款</v>
          </cell>
          <cell r="J8" t="str">
            <v>02-22028666&gt;傳真02-22028662</v>
          </cell>
          <cell r="N8">
            <v>242</v>
          </cell>
          <cell r="O8" t="str">
            <v>台北縣新莊巿建國二路87號。</v>
          </cell>
          <cell r="P8" t="str">
            <v>003-東大</v>
          </cell>
          <cell r="Q8" t="str">
            <v>242台北縣新莊巿建國二路87號。</v>
          </cell>
          <cell r="R8">
            <v>30</v>
          </cell>
        </row>
        <row r="9">
          <cell r="B9">
            <v>4</v>
          </cell>
          <cell r="C9" t="str">
            <v>98-11-05</v>
          </cell>
          <cell r="D9" t="str">
            <v>004-建發</v>
          </cell>
          <cell r="E9" t="str">
            <v>建發橡膠工廠股份有限公司</v>
          </cell>
          <cell r="F9" t="str">
            <v>7534＞9375＞含稅</v>
          </cell>
          <cell r="G9" t="str">
            <v>含稅</v>
          </cell>
          <cell r="H9" t="str">
            <v>輪胎＞翻修胎＞現金價扣×0.97</v>
          </cell>
          <cell r="I9" t="str">
            <v>開票1.15個月</v>
          </cell>
          <cell r="J9" t="str">
            <v>037-922063&gt;07-7312191&gt;0933-195284邱國正</v>
          </cell>
          <cell r="N9">
            <v>368</v>
          </cell>
          <cell r="O9" t="str">
            <v>苗栗縣西湖鄉金獅村8鄰1號。</v>
          </cell>
          <cell r="P9" t="str">
            <v>004-建發</v>
          </cell>
          <cell r="Q9" t="str">
            <v>368苗栗縣西湖鄉金獅村8鄰1號。</v>
          </cell>
          <cell r="R9">
            <v>30</v>
          </cell>
        </row>
        <row r="10">
          <cell r="B10">
            <v>5</v>
          </cell>
          <cell r="C10" t="str">
            <v>98-11-05</v>
          </cell>
          <cell r="D10" t="str">
            <v>005-米其林(公司)-大胎</v>
          </cell>
          <cell r="E10" t="str">
            <v>米其林忠欣股份有限公司-大胎</v>
          </cell>
          <cell r="F10" t="str">
            <v>7035＞7185＞含稅(發票開全威企業社)</v>
          </cell>
          <cell r="G10" t="str">
            <v>含稅</v>
          </cell>
          <cell r="H10" t="str">
            <v>輪胎＞大胎.中型胎&gt;現金價扣×0.97&gt;每月20日前匯款&gt;請款單金額已扣現金%了&gt;已設定存單</v>
          </cell>
          <cell r="I10" t="str">
            <v>約定匯款花旗銀行 5049863014 台灣米其林輪胎股份有限公司</v>
          </cell>
          <cell r="J10" t="str">
            <v>訂貨專線&gt;02-26976222&gt;02-8647222#712陳小姐&gt;02-26976111(總機)&gt;大胎業務0928-608677卓岩良&gt;傳真02-26972763&gt;訂貨傳真0800-000-275&gt;02-26976111#156會計(發票).#151會計(對帳)</v>
          </cell>
          <cell r="N10">
            <v>22175</v>
          </cell>
          <cell r="O10" t="str">
            <v>新北市汐止區新台五路一段97號31樓</v>
          </cell>
          <cell r="P10" t="str">
            <v>005-米其林(公司)-大胎</v>
          </cell>
          <cell r="Q10" t="str">
            <v>221台北縣汐止巿大同路三段190號5樓之1。</v>
          </cell>
          <cell r="R10">
            <v>30</v>
          </cell>
        </row>
        <row r="11">
          <cell r="B11">
            <v>6</v>
          </cell>
          <cell r="C11" t="str">
            <v>98-11-05</v>
          </cell>
          <cell r="D11" t="str">
            <v>006-米其林(公司)-中胎</v>
          </cell>
          <cell r="E11" t="str">
            <v>米其林忠欣股份有限公司-中胎</v>
          </cell>
          <cell r="F11" t="str">
            <v>7035＞7185＞含稅(發票開全威企業社)</v>
          </cell>
          <cell r="G11" t="str">
            <v>含稅</v>
          </cell>
          <cell r="H11" t="str">
            <v>輪胎＞中型胎&gt;現金價扣×0.97&gt;每月20日前匯款&gt;請款單金額已扣現金%了&gt;已設定存單</v>
          </cell>
          <cell r="I11" t="str">
            <v>約定匯款花旗銀行 5049863014 台灣米其林輪胎股份有限公司</v>
          </cell>
          <cell r="J11" t="str">
            <v>訂貨專線&gt;02-26976222&gt;02-8647222#712陳小姐&gt;02-26976111(總機)&gt;傳真02-26972763&gt;訂貨傳真0800-000-275</v>
          </cell>
          <cell r="N11">
            <v>22175</v>
          </cell>
          <cell r="O11" t="str">
            <v>新北市汐止區新台五路一段97號31樓</v>
          </cell>
          <cell r="P11" t="str">
            <v>006-米其林(公司)-中胎</v>
          </cell>
          <cell r="Q11" t="str">
            <v>221台北縣汐止巿大同路三段190號5樓之1。</v>
          </cell>
          <cell r="R11">
            <v>30</v>
          </cell>
        </row>
        <row r="12">
          <cell r="B12">
            <v>7</v>
          </cell>
          <cell r="C12" t="str">
            <v>98-11-05</v>
          </cell>
          <cell r="D12" t="str">
            <v>007-米其林(公司)-小胎</v>
          </cell>
          <cell r="E12" t="str">
            <v>米其林忠欣股份有限公司-小胎</v>
          </cell>
          <cell r="F12" t="str">
            <v>7035＞7185＞含稅(發票開全威企業社)</v>
          </cell>
          <cell r="G12" t="str">
            <v>含稅</v>
          </cell>
          <cell r="H12" t="str">
            <v>輪胎＞小胎&gt;現金價扣×0.97&gt;每月20日前匯款&gt;請款單金額已扣現金%了&gt;已設定存單</v>
          </cell>
          <cell r="I12" t="str">
            <v>約定匯款花旗銀行 5049863014 台灣米其林輪胎股份有限公司</v>
          </cell>
          <cell r="J12" t="str">
            <v>訂貨專線&gt;02-26976222&gt;02-8647222#712陳小姐&gt;02-26976111(總機)&gt;傳真02-26972763&gt;訂貨傳真0800-000-275&gt;0937-543817&gt;小胎業務</v>
          </cell>
          <cell r="N12">
            <v>22175</v>
          </cell>
          <cell r="O12" t="str">
            <v>新北市汐止區新台五路一段97號31樓</v>
          </cell>
          <cell r="P12" t="str">
            <v>007-米其林(公司)-小胎</v>
          </cell>
          <cell r="Q12" t="str">
            <v>221台北縣汐止巿大同路三段190號5樓之1。</v>
          </cell>
          <cell r="R12">
            <v>30</v>
          </cell>
        </row>
        <row r="13">
          <cell r="B13">
            <v>8</v>
          </cell>
          <cell r="C13" t="str">
            <v>98-11-05</v>
          </cell>
          <cell r="D13" t="str">
            <v>008-米其林(工程胎)</v>
          </cell>
          <cell r="E13" t="str">
            <v>忠信實業股份有限公司</v>
          </cell>
          <cell r="F13" t="str">
            <v>1138＞3200＞含稅</v>
          </cell>
          <cell r="G13" t="str">
            <v>含稅</v>
          </cell>
          <cell r="H13" t="str">
            <v>輪胎＞工業翻修胎</v>
          </cell>
          <cell r="I13" t="str">
            <v>約定匯款花旗銀行 5049863014 台灣米其林輪胎股份有限公司</v>
          </cell>
          <cell r="J13" t="str">
            <v>02-26348556&gt;0935-557065蘇倉宏&gt;傳真02-26306797</v>
          </cell>
          <cell r="N13">
            <v>105</v>
          </cell>
          <cell r="O13" t="str">
            <v>台北巿民權東路六段272號10樓。</v>
          </cell>
          <cell r="P13" t="str">
            <v>008-米其林(工程胎)</v>
          </cell>
          <cell r="Q13" t="str">
            <v>台北巿民權東路六段272號10樓。</v>
          </cell>
          <cell r="R13">
            <v>30</v>
          </cell>
        </row>
        <row r="14">
          <cell r="B14">
            <v>9</v>
          </cell>
          <cell r="C14" t="str">
            <v>98-11-05</v>
          </cell>
          <cell r="D14" t="str">
            <v>009-利坤-上眾</v>
          </cell>
          <cell r="E14" t="str">
            <v>利坤輪胎有限公司(上眾)</v>
          </cell>
          <cell r="F14" t="str">
            <v>8987＞8729＞含稅</v>
          </cell>
          <cell r="G14" t="str">
            <v>含稅</v>
          </cell>
          <cell r="H14" t="str">
            <v>輪胎＞登祿普轎車胎</v>
          </cell>
          <cell r="I14" t="str">
            <v>開票期2.15個月</v>
          </cell>
          <cell r="J14" t="str">
            <v>03-5519420&gt;0935-628652官世強&gt;傳真03-5553591</v>
          </cell>
          <cell r="N14">
            <v>302</v>
          </cell>
          <cell r="O14" t="str">
            <v>新竹縣竹北巿溪州路345號A棟。</v>
          </cell>
          <cell r="P14" t="str">
            <v>009-利坤-上眾</v>
          </cell>
          <cell r="Q14" t="str">
            <v>新竹縣竹北巿溪州路345號A棟。</v>
          </cell>
          <cell r="R14">
            <v>30</v>
          </cell>
        </row>
        <row r="15">
          <cell r="B15">
            <v>10</v>
          </cell>
          <cell r="C15" t="str">
            <v>107-02-24</v>
          </cell>
          <cell r="D15" t="str">
            <v>010-吉喆-來令片</v>
          </cell>
          <cell r="E15" t="str">
            <v>吉喆貿易有限公司</v>
          </cell>
          <cell r="G15" t="str">
            <v>未稅</v>
          </cell>
          <cell r="H15" t="str">
            <v>來令片</v>
          </cell>
          <cell r="I15" t="str">
            <v>開票期0.15個月&gt;匯款台北富邦 松江分行 470210135266 李順堂</v>
          </cell>
          <cell r="J15" t="str">
            <v>02-25856155&gt;02-25868003&gt;傳真:02-25860909</v>
          </cell>
          <cell r="N15">
            <v>100</v>
          </cell>
          <cell r="O15" t="str">
            <v>台北市德惠街161號。</v>
          </cell>
          <cell r="P15" t="str">
            <v>010-吉喆-來令片</v>
          </cell>
          <cell r="Q15" t="str">
            <v>台北市德惠街161號。</v>
          </cell>
          <cell r="R15">
            <v>30</v>
          </cell>
        </row>
        <row r="16">
          <cell r="B16">
            <v>11</v>
          </cell>
          <cell r="C16" t="str">
            <v>98-11-05</v>
          </cell>
          <cell r="D16" t="str">
            <v>011-南鴻</v>
          </cell>
          <cell r="E16" t="str">
            <v>台北南鴻輪胎股份有限公司</v>
          </cell>
          <cell r="F16" t="str">
            <v>8426＞3300＞含稅</v>
          </cell>
          <cell r="G16" t="str">
            <v>含稅</v>
          </cell>
          <cell r="H16" t="str">
            <v>輪胎＞南港轎車胎</v>
          </cell>
          <cell r="J16" t="str">
            <v>037-725798&gt;傳真037-733032</v>
          </cell>
          <cell r="N16">
            <v>356</v>
          </cell>
          <cell r="O16" t="str">
            <v>苗栗縣後龍鎮中華路134號。</v>
          </cell>
          <cell r="P16" t="str">
            <v>011-南鴻</v>
          </cell>
          <cell r="Q16" t="str">
            <v>苗栗縣後龍鎮中華路134號。</v>
          </cell>
          <cell r="R16">
            <v>30</v>
          </cell>
        </row>
        <row r="17">
          <cell r="B17">
            <v>12</v>
          </cell>
          <cell r="C17" t="str">
            <v>98-11-05</v>
          </cell>
          <cell r="D17" t="str">
            <v>012-互信行&gt;富信行</v>
          </cell>
          <cell r="E17" t="str">
            <v>富信行有限公司&gt;互信行有限公司</v>
          </cell>
          <cell r="F17" t="str">
            <v>1231＞5075＞含稅</v>
          </cell>
          <cell r="G17" t="str">
            <v>含稅</v>
          </cell>
          <cell r="H17" t="str">
            <v>輪胎</v>
          </cell>
          <cell r="I17" t="str">
            <v>開票期1.15個月</v>
          </cell>
          <cell r="J17" t="str">
            <v>02-26583747&gt;0932-023311徐盛隆&gt;傳真02-26584870</v>
          </cell>
          <cell r="N17">
            <v>114</v>
          </cell>
          <cell r="O17" t="str">
            <v>台北巿內湖區江南街117-1號1樓。</v>
          </cell>
          <cell r="P17" t="str">
            <v>012-互信行&gt;富信行</v>
          </cell>
          <cell r="Q17" t="str">
            <v>台北巿內湖區江南街117-1號1樓。</v>
          </cell>
          <cell r="R17">
            <v>30</v>
          </cell>
        </row>
        <row r="18">
          <cell r="B18">
            <v>13</v>
          </cell>
          <cell r="C18" t="str">
            <v>98-11-05</v>
          </cell>
          <cell r="D18" t="str">
            <v>013-大勁</v>
          </cell>
          <cell r="E18" t="str">
            <v>大勁有限公司</v>
          </cell>
          <cell r="F18" t="str">
            <v>5378＞9792＞含稅</v>
          </cell>
          <cell r="G18" t="str">
            <v>含稅</v>
          </cell>
          <cell r="H18" t="str">
            <v>輪胎＞漢可固小胎</v>
          </cell>
          <cell r="J18" t="str">
            <v>03-5568099&gt;&gt;傳真03-5564439</v>
          </cell>
          <cell r="N18">
            <v>302</v>
          </cell>
          <cell r="O18" t="str">
            <v>新竹縣竹北巿白地里長青路一段243號。</v>
          </cell>
          <cell r="P18" t="str">
            <v>013-大勁</v>
          </cell>
          <cell r="Q18" t="str">
            <v>新竹縣竹北巿白地里長青路一段243號。</v>
          </cell>
          <cell r="R18">
            <v>30</v>
          </cell>
        </row>
        <row r="19">
          <cell r="B19">
            <v>14</v>
          </cell>
          <cell r="C19" t="str">
            <v>98-11-05</v>
          </cell>
          <cell r="D19" t="str">
            <v>014-福輪</v>
          </cell>
          <cell r="E19" t="str">
            <v>福輪汽車股份有限公司中壢分公司</v>
          </cell>
          <cell r="F19" t="str">
            <v>2906＞0435＞含稅</v>
          </cell>
          <cell r="G19" t="str">
            <v>含稅</v>
          </cell>
          <cell r="H19" t="str">
            <v>輪胎＞代售BS中型胎</v>
          </cell>
          <cell r="J19" t="str">
            <v>03-4332257&gt;傳真03-4514654</v>
          </cell>
          <cell r="N19">
            <v>320</v>
          </cell>
          <cell r="O19" t="str">
            <v>桃園縣中壢巿永福里西園路101號。</v>
          </cell>
          <cell r="P19" t="str">
            <v>014-福輪</v>
          </cell>
          <cell r="Q19" t="str">
            <v>桃園縣中壢巿永福里西園路101號。</v>
          </cell>
          <cell r="R19">
            <v>30</v>
          </cell>
        </row>
        <row r="20">
          <cell r="B20">
            <v>15</v>
          </cell>
          <cell r="C20" t="str">
            <v>98-11-05</v>
          </cell>
          <cell r="D20" t="str">
            <v>015-棋邦-建大</v>
          </cell>
          <cell r="E20" t="str">
            <v>棋邦有限公司(建大)</v>
          </cell>
          <cell r="F20" t="str">
            <v>8060＞3860＞含稅</v>
          </cell>
          <cell r="G20" t="str">
            <v>含稅</v>
          </cell>
          <cell r="H20" t="str">
            <v>輪胎＞代售登祿普小胎&gt;建大輪胎</v>
          </cell>
          <cell r="I20" t="str">
            <v>開票期2.15個月</v>
          </cell>
          <cell r="J20" t="str">
            <v>037-233095&gt;03-5368779&gt;傳真03-5369646</v>
          </cell>
          <cell r="N20">
            <v>363</v>
          </cell>
          <cell r="O20" t="str">
            <v>苗栗縣公館鄉玉谷村14鄰115-1號。</v>
          </cell>
          <cell r="P20" t="str">
            <v>015-棋邦-建大</v>
          </cell>
          <cell r="Q20" t="str">
            <v>新竹市光復路二段882號9F之5。</v>
          </cell>
          <cell r="R20">
            <v>25</v>
          </cell>
        </row>
        <row r="21">
          <cell r="B21">
            <v>16</v>
          </cell>
          <cell r="C21" t="str">
            <v>108-12-27</v>
          </cell>
          <cell r="D21" t="str">
            <v>016-台新輪胎有限公司</v>
          </cell>
          <cell r="E21" t="str">
            <v>台新輪胎有限公司</v>
          </cell>
          <cell r="F21" t="str">
            <v>8060＞3860＞含稅</v>
          </cell>
          <cell r="G21" t="str">
            <v>含稅</v>
          </cell>
          <cell r="H21" t="str">
            <v>正新輪胎＞請款單金額已扣現金%了</v>
          </cell>
          <cell r="I21" t="str">
            <v>開票期0.15個月</v>
          </cell>
          <cell r="J21" t="str">
            <v>03-5341234&gt;傳真:03-5341235&gt;0932-939361魏明福</v>
          </cell>
          <cell r="N21">
            <v>300</v>
          </cell>
          <cell r="O21" t="str">
            <v>新竹市公道五路三段589號</v>
          </cell>
          <cell r="P21" t="str">
            <v>016-台新輪胎有限公司</v>
          </cell>
          <cell r="Q21" t="str">
            <v>新竹市公道五路三段589號</v>
          </cell>
          <cell r="R21">
            <v>30</v>
          </cell>
        </row>
        <row r="22">
          <cell r="B22">
            <v>17</v>
          </cell>
          <cell r="C22" t="str">
            <v>98-11-05</v>
          </cell>
          <cell r="D22" t="str">
            <v>017-萬全</v>
          </cell>
          <cell r="E22" t="str">
            <v>萬全鋼圈有限公司</v>
          </cell>
          <cell r="F22" t="str">
            <v>8059＞4898＞含稅</v>
          </cell>
          <cell r="G22" t="str">
            <v>未稅</v>
          </cell>
          <cell r="H22" t="str">
            <v>鋼圈&gt;請款單金額已扣現金%了</v>
          </cell>
          <cell r="I22" t="str">
            <v>現金價開票期1.5個月&gt;匯款新竹市農會 94001110013316 葉清森</v>
          </cell>
          <cell r="J22" t="str">
            <v>03-5762990&gt;03-5204535&gt;0918-657372葉建男&gt;傳真03-5762950</v>
          </cell>
          <cell r="N22">
            <v>300</v>
          </cell>
          <cell r="O22" t="str">
            <v>新竹巿縣寶山鄉雙林路二段168號。</v>
          </cell>
          <cell r="P22" t="str">
            <v>017-萬全</v>
          </cell>
          <cell r="Q22" t="str">
            <v>新竹巿縣寶山鄉雙林路二段168號。</v>
          </cell>
          <cell r="R22">
            <v>30</v>
          </cell>
        </row>
        <row r="23">
          <cell r="B23">
            <v>18</v>
          </cell>
          <cell r="C23" t="str">
            <v>98-11-05</v>
          </cell>
          <cell r="D23" t="str">
            <v>018-金宇&gt;精輪&gt;聯碩</v>
          </cell>
          <cell r="E23" t="str">
            <v>精輪輪胎企業社&gt;金輪國際實業社&gt;聯碩輪業有限公司&gt;精輪輪胎有限公司</v>
          </cell>
          <cell r="F23" t="str">
            <v>1920＞0443＞含稅</v>
          </cell>
          <cell r="G23" t="str">
            <v>含稅</v>
          </cell>
          <cell r="H23" t="str">
            <v>輪胎＞翻修胎&gt;新胎＞翻修胎可扣現金價x0.97，新胎不可扣現金價1條扣200元</v>
          </cell>
          <cell r="I23" t="str">
            <v>約定匯款一銀0070000033110029493</v>
          </cell>
          <cell r="J23" t="str">
            <v>037-586435工廠＞0932-111132倉管賴先生&gt;0912-618690老闆.黃士郎＞0922-413801老闆娘.陳顏琪&gt;傳真037-585186&gt;0911-397286外務羅先生</v>
          </cell>
          <cell r="N23">
            <v>350</v>
          </cell>
          <cell r="O23" t="str">
            <v>苗栗縣竹南鎮崎頂里15鄰尖山101號。</v>
          </cell>
          <cell r="P23" t="str">
            <v>018-金宇&gt;精輪&gt;聯碩</v>
          </cell>
          <cell r="Q23" t="str">
            <v>苗栗縣竹南鎮崎頂里15鄰尖山101號。</v>
          </cell>
          <cell r="R23">
            <v>25</v>
          </cell>
        </row>
        <row r="24">
          <cell r="B24">
            <v>19</v>
          </cell>
          <cell r="C24" t="str">
            <v>106-09-27</v>
          </cell>
          <cell r="D24" t="str">
            <v>019-立城</v>
          </cell>
          <cell r="E24" t="str">
            <v>立城輪胎股份有限公司</v>
          </cell>
          <cell r="G24" t="str">
            <v>含稅</v>
          </cell>
          <cell r="H24" t="str">
            <v>輪胎</v>
          </cell>
          <cell r="I24" t="str">
            <v>開票期2.15個月</v>
          </cell>
          <cell r="J24" t="str">
            <v>03-5983211&gt;0988-322812彭志良&gt;傳真03-5983215</v>
          </cell>
          <cell r="N24">
            <v>300</v>
          </cell>
          <cell r="O24" t="str">
            <v>新竹市新竹工業區實踐路33號。</v>
          </cell>
          <cell r="P24" t="str">
            <v>019-立城</v>
          </cell>
          <cell r="Q24" t="str">
            <v>新竹市新竹工業區實踐路33號。</v>
          </cell>
          <cell r="R24">
            <v>30</v>
          </cell>
        </row>
        <row r="25">
          <cell r="B25">
            <v>20</v>
          </cell>
          <cell r="C25" t="str">
            <v>98-11-05</v>
          </cell>
          <cell r="D25" t="str">
            <v>020-大城</v>
          </cell>
          <cell r="E25" t="str">
            <v>大城輪胎機械股份有限公司</v>
          </cell>
          <cell r="F25" t="str">
            <v>4712＞2503＞含稅</v>
          </cell>
          <cell r="G25" t="str">
            <v>含稅</v>
          </cell>
          <cell r="H25" t="str">
            <v>機械</v>
          </cell>
          <cell r="I25" t="str">
            <v>開票期0.15個月</v>
          </cell>
          <cell r="J25" t="str">
            <v>03-5983211&gt;0988-322812彭志良&gt;傳真03-5983215</v>
          </cell>
          <cell r="N25">
            <v>300</v>
          </cell>
          <cell r="O25" t="str">
            <v>新竹市新竹工業區實踐路33號。</v>
          </cell>
          <cell r="P25" t="str">
            <v>020-大城</v>
          </cell>
          <cell r="Q25" t="str">
            <v>新竹市新竹工業區實踐路33號。</v>
          </cell>
          <cell r="R25">
            <v>30</v>
          </cell>
        </row>
        <row r="26">
          <cell r="B26">
            <v>21</v>
          </cell>
          <cell r="C26" t="str">
            <v>98-11-05</v>
          </cell>
          <cell r="D26" t="str">
            <v>021-歐峰</v>
          </cell>
          <cell r="E26" t="str">
            <v>歐峰汽車材料有限公司</v>
          </cell>
          <cell r="F26" t="str">
            <v>2815＞2695＞未稅</v>
          </cell>
          <cell r="G26" t="str">
            <v>未稅</v>
          </cell>
          <cell r="H26" t="str">
            <v>材料</v>
          </cell>
          <cell r="I26" t="str">
            <v>開票期1.15個月</v>
          </cell>
          <cell r="J26" t="str">
            <v>037-696247&gt;037-696248&gt;0910-388260翁新雄&gt;傳真037-696173</v>
          </cell>
          <cell r="N26">
            <v>351</v>
          </cell>
          <cell r="O26" t="str">
            <v>苗栗縣頭份鎮成功里成功路51號。</v>
          </cell>
          <cell r="P26" t="str">
            <v>021-歐峰</v>
          </cell>
          <cell r="Q26" t="str">
            <v>苗栗縣頭份鎮成功里成功路51號。</v>
          </cell>
          <cell r="R26">
            <v>30</v>
          </cell>
        </row>
        <row r="27">
          <cell r="B27">
            <v>22</v>
          </cell>
          <cell r="C27" t="str">
            <v>98-11-05</v>
          </cell>
          <cell r="D27" t="str">
            <v>022-統富</v>
          </cell>
          <cell r="E27" t="str">
            <v>統富汽車材料</v>
          </cell>
          <cell r="F27" t="str">
            <v>1733＞7696＞未稅</v>
          </cell>
          <cell r="G27" t="str">
            <v>未稅</v>
          </cell>
          <cell r="H27" t="str">
            <v>材料</v>
          </cell>
          <cell r="I27" t="str">
            <v>開票期1.15個月&gt;匯款玉山銀行 1285966163614 王麗珠</v>
          </cell>
          <cell r="J27" t="str">
            <v>037-661400&gt;037-595468姜慶嶽</v>
          </cell>
          <cell r="N27">
            <v>351</v>
          </cell>
          <cell r="O27" t="str">
            <v>苗栗縣頭份鎮信東路270號。</v>
          </cell>
          <cell r="P27" t="str">
            <v>022-統富</v>
          </cell>
          <cell r="Q27" t="str">
            <v>苗栗縣頭份鎮信東路270號。</v>
          </cell>
          <cell r="R27">
            <v>30</v>
          </cell>
        </row>
        <row r="28">
          <cell r="B28">
            <v>23</v>
          </cell>
          <cell r="C28" t="str">
            <v>98-11-05</v>
          </cell>
          <cell r="D28" t="str">
            <v>023-欣葆</v>
          </cell>
          <cell r="E28" t="str">
            <v>欣葆興業有限公司</v>
          </cell>
          <cell r="F28" t="str">
            <v>8442＞0337＞未稅</v>
          </cell>
          <cell r="G28" t="str">
            <v>未稅</v>
          </cell>
          <cell r="H28" t="str">
            <v>油品</v>
          </cell>
          <cell r="I28" t="str">
            <v>開票期2.15個月&gt;無私人戶頭</v>
          </cell>
          <cell r="J28" t="str">
            <v>04-26810729&gt;037-733889&gt;0922-259998林素伊</v>
          </cell>
          <cell r="N28">
            <v>437</v>
          </cell>
          <cell r="O28" t="str">
            <v>台中縣大甲鎮銅安里長壽路51-8號。</v>
          </cell>
          <cell r="P28" t="str">
            <v>023-欣葆</v>
          </cell>
          <cell r="Q28" t="str">
            <v>台中縣大甲鎮銅安里長壽路51-8號。</v>
          </cell>
          <cell r="R28">
            <v>30</v>
          </cell>
        </row>
        <row r="29">
          <cell r="B29">
            <v>24</v>
          </cell>
          <cell r="C29" t="str">
            <v>98-11-05</v>
          </cell>
          <cell r="D29" t="str">
            <v>024-光一</v>
          </cell>
          <cell r="E29" t="str">
            <v>光一汽車材料行</v>
          </cell>
          <cell r="F29" t="str">
            <v>4973＞9785＞未稅</v>
          </cell>
          <cell r="G29" t="str">
            <v>未稅</v>
          </cell>
          <cell r="H29" t="str">
            <v>材料</v>
          </cell>
          <cell r="I29" t="str">
            <v>開票期1.15個月&gt;無私人戶頭</v>
          </cell>
          <cell r="J29" t="str">
            <v>037-668085&gt;0932-614477范順光&gt;傳真037-688451</v>
          </cell>
          <cell r="N29">
            <v>351</v>
          </cell>
          <cell r="O29" t="str">
            <v>苗栗縣頭份鎮中華路1119號。</v>
          </cell>
          <cell r="P29" t="str">
            <v>024-光一</v>
          </cell>
          <cell r="Q29" t="str">
            <v>苗栗縣頭份鎮中華路1119號。</v>
          </cell>
          <cell r="R29">
            <v>30</v>
          </cell>
        </row>
        <row r="30">
          <cell r="B30">
            <v>25</v>
          </cell>
          <cell r="C30" t="str">
            <v>98-11-05</v>
          </cell>
          <cell r="D30" t="str">
            <v>025-光聯</v>
          </cell>
          <cell r="E30" t="str">
            <v>光聯汽車材料行</v>
          </cell>
          <cell r="F30" t="str">
            <v>4973＞9785＞未稅</v>
          </cell>
          <cell r="G30" t="str">
            <v>未稅</v>
          </cell>
          <cell r="H30" t="str">
            <v>材料</v>
          </cell>
          <cell r="I30" t="str">
            <v>開票期1.15個月&gt;無私人戶頭</v>
          </cell>
          <cell r="J30" t="str">
            <v>037-620889&gt;傳真037-623002</v>
          </cell>
          <cell r="N30">
            <v>351</v>
          </cell>
          <cell r="O30" t="str">
            <v>苗栗縣頭份鎮永貞路一段161號。</v>
          </cell>
          <cell r="P30" t="str">
            <v>025-光聯</v>
          </cell>
          <cell r="Q30" t="str">
            <v>苗栗縣頭份鎮永貞路一段161號。</v>
          </cell>
          <cell r="R30">
            <v>30</v>
          </cell>
        </row>
        <row r="31">
          <cell r="B31">
            <v>26</v>
          </cell>
          <cell r="C31" t="str">
            <v>98-11-05</v>
          </cell>
          <cell r="D31" t="str">
            <v>026-聯盛</v>
          </cell>
          <cell r="E31" t="str">
            <v>聯盛汽車材料行</v>
          </cell>
          <cell r="F31" t="str">
            <v>5053＞8343＞未稅</v>
          </cell>
          <cell r="G31" t="str">
            <v>未稅</v>
          </cell>
          <cell r="H31" t="str">
            <v>材料</v>
          </cell>
          <cell r="I31" t="str">
            <v>開票期1.15個月</v>
          </cell>
          <cell r="J31" t="str">
            <v>037-631352&gt;037-666512&gt;0937-223669杜明生&gt;傳真037-627510</v>
          </cell>
          <cell r="N31">
            <v>351</v>
          </cell>
          <cell r="O31" t="str">
            <v>苗栗縣頭份鎮民族路516號。</v>
          </cell>
          <cell r="P31" t="str">
            <v>026-聯盛</v>
          </cell>
          <cell r="Q31" t="str">
            <v>苗栗縣頭份鎮民族路516號。</v>
          </cell>
          <cell r="R31">
            <v>30</v>
          </cell>
        </row>
        <row r="32">
          <cell r="B32">
            <v>27</v>
          </cell>
          <cell r="C32" t="str">
            <v>98-11-05</v>
          </cell>
          <cell r="D32" t="str">
            <v>027-福士</v>
          </cell>
          <cell r="E32" t="str">
            <v>福士股份有限公司</v>
          </cell>
          <cell r="F32" t="str">
            <v>2343＞0002＞含稅</v>
          </cell>
          <cell r="G32" t="str">
            <v>含稅</v>
          </cell>
          <cell r="H32" t="str">
            <v>油品</v>
          </cell>
          <cell r="I32" t="str">
            <v>開票期1.15個月</v>
          </cell>
          <cell r="J32" t="str">
            <v>037-721100&gt;02-26017701&gt;0970-423268游舜宇&gt;傳真037-732299&gt;02-26017702</v>
          </cell>
          <cell r="N32">
            <v>356</v>
          </cell>
          <cell r="O32" t="str">
            <v>苗栗縣後龍鎮厝勝路205-33號</v>
          </cell>
          <cell r="P32" t="str">
            <v>027-福士</v>
          </cell>
          <cell r="Q32" t="str">
            <v>苗栗縣後龍鎮厝勝路205-33號</v>
          </cell>
          <cell r="R32">
            <v>30</v>
          </cell>
        </row>
        <row r="33">
          <cell r="B33">
            <v>28</v>
          </cell>
          <cell r="C33" t="str">
            <v>98-11-05</v>
          </cell>
          <cell r="D33" t="str">
            <v>028-澳商環球克林</v>
          </cell>
          <cell r="E33" t="str">
            <v>澳商環球克林股份有限公司台灣分公司</v>
          </cell>
          <cell r="F33" t="str">
            <v>2725＞5005＞含稅</v>
          </cell>
          <cell r="G33" t="str">
            <v>未稅</v>
          </cell>
          <cell r="H33" t="str">
            <v>清洗機</v>
          </cell>
          <cell r="J33" t="str">
            <v>02-29698201&gt;04-23863122&gt;0972-078298陳嘉進&gt;傳真02-29698163</v>
          </cell>
          <cell r="N33">
            <v>220</v>
          </cell>
          <cell r="O33" t="str">
            <v>台北縣板橋巿文化路一段46巷37號。</v>
          </cell>
          <cell r="P33" t="str">
            <v>028-澳商環球克林</v>
          </cell>
          <cell r="Q33" t="str">
            <v>台北縣板橋巿文化路一段46巷37號。</v>
          </cell>
          <cell r="R33">
            <v>30</v>
          </cell>
        </row>
        <row r="34">
          <cell r="B34">
            <v>29</v>
          </cell>
          <cell r="C34" t="str">
            <v>98-11-05</v>
          </cell>
          <cell r="D34" t="str">
            <v>029-昌樺</v>
          </cell>
          <cell r="E34" t="str">
            <v>昌樺汽車材料有限公司</v>
          </cell>
          <cell r="F34" t="str">
            <v>8481＞0047＞未稅</v>
          </cell>
          <cell r="G34" t="str">
            <v>未稅</v>
          </cell>
          <cell r="H34" t="str">
            <v>材料</v>
          </cell>
          <cell r="I34" t="str">
            <v>開票期1.15個月&gt;匯款渣打銀行 頭份分行 05221000033518 吳長琳</v>
          </cell>
          <cell r="J34" t="str">
            <v>037-689708&gt;037-689709&gt;傳真037-689710</v>
          </cell>
          <cell r="N34">
            <v>351</v>
          </cell>
          <cell r="O34" t="str">
            <v>苗栗縣頭份鎮中央路570號。</v>
          </cell>
          <cell r="P34" t="str">
            <v>029-昌樺</v>
          </cell>
          <cell r="Q34" t="str">
            <v>苗栗縣頭份鎮中央路570號。</v>
          </cell>
          <cell r="R34">
            <v>30</v>
          </cell>
        </row>
        <row r="35">
          <cell r="B35">
            <v>30</v>
          </cell>
          <cell r="C35" t="str">
            <v>98-11-05</v>
          </cell>
          <cell r="D35" t="str">
            <v>030-秀和</v>
          </cell>
          <cell r="E35" t="str">
            <v>秀和車材實業有限公司</v>
          </cell>
          <cell r="F35" t="str">
            <v>1316＞0401＞未稅</v>
          </cell>
          <cell r="G35" t="str">
            <v>未稅</v>
          </cell>
          <cell r="H35" t="str">
            <v>材料＞螺絲</v>
          </cell>
          <cell r="I35" t="str">
            <v>開票期1.15個月</v>
          </cell>
          <cell r="J35" t="str">
            <v>07-6511546&gt;0919-263809龍源湖&gt;傳真07-6525403</v>
          </cell>
          <cell r="N35">
            <v>840</v>
          </cell>
          <cell r="O35" t="str">
            <v>高雄縣大樹鄉竹寮路324號。</v>
          </cell>
          <cell r="P35" t="str">
            <v>030-秀和</v>
          </cell>
          <cell r="Q35" t="str">
            <v>高雄縣大樹鄉竹寮路324號。</v>
          </cell>
          <cell r="R35">
            <v>30</v>
          </cell>
        </row>
        <row r="36">
          <cell r="B36">
            <v>31</v>
          </cell>
          <cell r="C36" t="str">
            <v>98-11-05</v>
          </cell>
          <cell r="D36" t="str">
            <v>031-峰揮</v>
          </cell>
          <cell r="E36" t="str">
            <v>峰揮企業有限公司</v>
          </cell>
          <cell r="F36" t="str">
            <v>未稅</v>
          </cell>
          <cell r="G36" t="str">
            <v>未稅</v>
          </cell>
          <cell r="J36" t="str">
            <v>07-5856868&gt;0937-320320陳項雨&gt;傳真07-5825959</v>
          </cell>
          <cell r="N36">
            <v>804</v>
          </cell>
          <cell r="O36" t="str">
            <v>高雄巿鼓山區銘傳路99號。</v>
          </cell>
          <cell r="P36" t="str">
            <v>031-峰揮</v>
          </cell>
          <cell r="Q36" t="str">
            <v>高雄巿鼓山區銘傳路99號。</v>
          </cell>
          <cell r="R36">
            <v>30</v>
          </cell>
        </row>
        <row r="37">
          <cell r="B37">
            <v>32</v>
          </cell>
          <cell r="C37" t="str">
            <v>98-11-05</v>
          </cell>
          <cell r="D37" t="str">
            <v>032-弘新&gt;銀王</v>
          </cell>
          <cell r="E37" t="str">
            <v>銀王企業有限公司＞弘新橡膠工業股份有限公司</v>
          </cell>
          <cell r="F37" t="str">
            <v>5479＞8714＞含稅</v>
          </cell>
          <cell r="G37" t="str">
            <v>含稅</v>
          </cell>
          <cell r="H37" t="str">
            <v>輪胎＞內胎.OB</v>
          </cell>
          <cell r="I37" t="str">
            <v>開票期1.15個月</v>
          </cell>
          <cell r="J37" t="str">
            <v>04-8291863&gt;04-8282084張如美&gt;&gt;傳真04-8296513</v>
          </cell>
          <cell r="N37">
            <v>513</v>
          </cell>
          <cell r="O37" t="str">
            <v>彰化縣埔心鄉瓦南村西安南路245號。</v>
          </cell>
          <cell r="P37" t="str">
            <v>032-弘新&gt;銀王</v>
          </cell>
          <cell r="Q37" t="str">
            <v>彰化縣埔心鄉瓦南村西安南路245號。</v>
          </cell>
          <cell r="R37">
            <v>30</v>
          </cell>
        </row>
        <row r="38">
          <cell r="B38">
            <v>33</v>
          </cell>
          <cell r="C38" t="str">
            <v>98-11-05</v>
          </cell>
          <cell r="D38" t="str">
            <v>033-台一&gt;實心胎</v>
          </cell>
          <cell r="E38" t="str">
            <v>台一輪胎行(實心胎)</v>
          </cell>
          <cell r="F38" t="str">
            <v>1718＞9479＞未稅</v>
          </cell>
          <cell r="G38" t="str">
            <v>未稅</v>
          </cell>
          <cell r="H38" t="str">
            <v>輪胎＞實心胎</v>
          </cell>
          <cell r="I38" t="str">
            <v>開票期2.15個月&gt;匯款台新 大雅分行 帳號08310122335700 戶名 吳慶堂</v>
          </cell>
          <cell r="J38" t="str">
            <v>0932-547205吳慶堂&gt;04-24523234</v>
          </cell>
          <cell r="N38">
            <v>428</v>
          </cell>
          <cell r="O38" t="str">
            <v>台中縣大雅郵政22-174號信箱。</v>
          </cell>
          <cell r="P38" t="str">
            <v>033-台一&gt;實心胎</v>
          </cell>
          <cell r="Q38" t="str">
            <v>台中縣大雅郵政22-174號信箱。</v>
          </cell>
          <cell r="R38">
            <v>30</v>
          </cell>
        </row>
        <row r="39">
          <cell r="B39">
            <v>34</v>
          </cell>
          <cell r="C39" t="str">
            <v>98-11-05</v>
          </cell>
          <cell r="D39" t="str">
            <v>034-天綸</v>
          </cell>
          <cell r="E39" t="str">
            <v>天綸貿易有限公司</v>
          </cell>
          <cell r="F39" t="str">
            <v>2125＞5464＞含稅</v>
          </cell>
          <cell r="G39" t="str">
            <v>含稅</v>
          </cell>
          <cell r="H39" t="str">
            <v>機器</v>
          </cell>
          <cell r="I39" t="str">
            <v>開票期0.15個月</v>
          </cell>
          <cell r="J39" t="str">
            <v>02-27639408&gt;0936-251378老闆娘.陳太太＞0931-236926小老闆.陳博倫&gt;0958-700000林育賢＞0925-822115林育賢＞0937-961970王*融(阿融)＞0922-899519張永年&gt;傳真02-27646663</v>
          </cell>
          <cell r="N39">
            <v>105</v>
          </cell>
          <cell r="O39" t="str">
            <v>台北巿松山區南京東路五段70號10樓之1。</v>
          </cell>
          <cell r="P39" t="str">
            <v>034-天綸</v>
          </cell>
          <cell r="Q39" t="str">
            <v>台北巿松山區南京東路五段70號10樓之1。</v>
          </cell>
          <cell r="R39">
            <v>30</v>
          </cell>
        </row>
        <row r="40">
          <cell r="B40">
            <v>35</v>
          </cell>
          <cell r="C40" t="str">
            <v>98-11-05</v>
          </cell>
          <cell r="D40" t="str">
            <v>035-3M</v>
          </cell>
          <cell r="E40" t="str">
            <v>台灣道格企業有限公司</v>
          </cell>
          <cell r="F40" t="str">
            <v>8927＞5797＞未稅</v>
          </cell>
          <cell r="G40" t="str">
            <v>未稅</v>
          </cell>
          <cell r="H40" t="str">
            <v>油品＞3M</v>
          </cell>
          <cell r="J40" t="str">
            <v>04-22153165&gt;04-22153265&gt;0987-087529張耀友&gt;傳真04-22153786</v>
          </cell>
          <cell r="N40">
            <v>401</v>
          </cell>
          <cell r="O40" t="str">
            <v>台中巿東區東英二街122號。</v>
          </cell>
          <cell r="P40" t="str">
            <v>035-3M</v>
          </cell>
          <cell r="Q40" t="str">
            <v>台中巿東區東英二街122號。</v>
          </cell>
          <cell r="R40">
            <v>30</v>
          </cell>
        </row>
        <row r="41">
          <cell r="B41">
            <v>36</v>
          </cell>
          <cell r="C41" t="str">
            <v>98-11-05</v>
          </cell>
          <cell r="D41" t="str">
            <v>036-祥崴五金</v>
          </cell>
          <cell r="E41" t="str">
            <v>祥崴油壓五金行</v>
          </cell>
          <cell r="F41" t="str">
            <v>4575＞9035＞未稅</v>
          </cell>
          <cell r="G41" t="str">
            <v>未稅</v>
          </cell>
          <cell r="H41" t="str">
            <v>材料</v>
          </cell>
          <cell r="I41" t="str">
            <v>開票期1.15個月&gt;付現</v>
          </cell>
          <cell r="J41" t="str">
            <v>037-633288&gt;0960-577305黎俊佑&gt;傳真037-633278</v>
          </cell>
          <cell r="N41">
            <v>351</v>
          </cell>
          <cell r="O41" t="str">
            <v>苗栗縣頭份鎮廣興里2鄰廣興27-3號1樓。</v>
          </cell>
          <cell r="P41" t="str">
            <v>036-祥崴五金</v>
          </cell>
          <cell r="Q41" t="str">
            <v>苗栗縣頭份鎮廣興里2鄰廣興27-3號1樓。</v>
          </cell>
          <cell r="R41">
            <v>30</v>
          </cell>
        </row>
        <row r="42">
          <cell r="B42">
            <v>37</v>
          </cell>
          <cell r="C42" t="str">
            <v>98-11-05</v>
          </cell>
          <cell r="D42" t="str">
            <v>037-飛達</v>
          </cell>
          <cell r="E42" t="str">
            <v>飛得力國際股份有限公司</v>
          </cell>
          <cell r="F42" t="str">
            <v>8628＞4667＞含稅(發票開.中華全佑)</v>
          </cell>
          <cell r="G42" t="str">
            <v>含稅</v>
          </cell>
          <cell r="H42" t="str">
            <v>輪胎</v>
          </cell>
          <cell r="I42" t="str">
            <v>開票期2.15個月</v>
          </cell>
          <cell r="J42" t="str">
            <v>03-4603811桃園營業所&gt;0988-715327張顥騰&gt;傳真03-4603850</v>
          </cell>
          <cell r="N42">
            <v>324</v>
          </cell>
          <cell r="O42" t="str">
            <v>桃園市平鎮區快速路2段3鄰5號</v>
          </cell>
          <cell r="P42" t="str">
            <v>037-飛達</v>
          </cell>
          <cell r="Q42" t="str">
            <v>桃園市平鎮區快速路2段3鄰5號</v>
          </cell>
          <cell r="R42">
            <v>30</v>
          </cell>
        </row>
        <row r="43">
          <cell r="B43">
            <v>38</v>
          </cell>
          <cell r="C43" t="str">
            <v>98-11-05</v>
          </cell>
          <cell r="D43" t="str">
            <v>038-亞獵士</v>
          </cell>
          <cell r="E43" t="str">
            <v>亞獵士航太科技股份有限公司</v>
          </cell>
          <cell r="F43" t="str">
            <v>2777＞5786＞含稅</v>
          </cell>
          <cell r="G43" t="str">
            <v>含稅</v>
          </cell>
          <cell r="H43" t="str">
            <v>鋁圈</v>
          </cell>
          <cell r="I43" t="str">
            <v>開票期1.15個月</v>
          </cell>
          <cell r="J43" t="str">
            <v>06-5782151分機1304陳小姐&gt;0980-263111陳建辰</v>
          </cell>
          <cell r="N43">
            <v>743</v>
          </cell>
          <cell r="O43" t="str">
            <v>台南縣山上鄉明和村北劫洲21-2號。</v>
          </cell>
          <cell r="P43" t="str">
            <v>038-亞獵士</v>
          </cell>
          <cell r="Q43" t="str">
            <v>台南縣山上鄉明和村北劫洲21-2號。</v>
          </cell>
          <cell r="R43">
            <v>30</v>
          </cell>
        </row>
        <row r="44">
          <cell r="B44">
            <v>39</v>
          </cell>
          <cell r="C44" t="str">
            <v>101-12-27</v>
          </cell>
          <cell r="D44" t="str">
            <v>039-三井</v>
          </cell>
          <cell r="E44" t="str">
            <v>三井汽車材料有限公司</v>
          </cell>
          <cell r="F44" t="str">
            <v>5317＞5555＞未稅</v>
          </cell>
          <cell r="G44" t="str">
            <v>未稅</v>
          </cell>
          <cell r="H44" t="str">
            <v>材料</v>
          </cell>
          <cell r="I44" t="str">
            <v>開票期1.15個月&gt;匯款玉山銀行 0440966626357 潘芊佑</v>
          </cell>
          <cell r="J44" t="str">
            <v>037-591751李泳龍&gt;傳真037-665191</v>
          </cell>
          <cell r="N44">
            <v>351</v>
          </cell>
          <cell r="O44" t="str">
            <v>苗栗縣頭份鎮德義路209號。</v>
          </cell>
          <cell r="P44" t="str">
            <v>039-三井</v>
          </cell>
          <cell r="Q44" t="str">
            <v>苗栗縣頭份鎮德義路209號。</v>
          </cell>
          <cell r="R44">
            <v>30</v>
          </cell>
        </row>
        <row r="45">
          <cell r="B45">
            <v>40</v>
          </cell>
          <cell r="C45" t="str">
            <v>98-11-05</v>
          </cell>
          <cell r="D45" t="str">
            <v>040-信利行</v>
          </cell>
          <cell r="E45" t="str">
            <v>信利汽車五金行</v>
          </cell>
          <cell r="F45" t="str">
            <v>未稅</v>
          </cell>
          <cell r="G45" t="str">
            <v>未稅</v>
          </cell>
          <cell r="H45" t="str">
            <v>材料</v>
          </cell>
          <cell r="I45" t="str">
            <v>開票期1.15個月</v>
          </cell>
          <cell r="J45" t="str">
            <v>03-4016686&gt;0919-100777鄒立山&gt;傳真03-4010211</v>
          </cell>
          <cell r="N45">
            <v>324</v>
          </cell>
          <cell r="O45" t="str">
            <v>新竹巿延平路二段1481-1號3樓之2。</v>
          </cell>
          <cell r="P45" t="str">
            <v>040-信利行</v>
          </cell>
          <cell r="Q45" t="str">
            <v>新竹巿延平路二段1481-1號3樓之2。</v>
          </cell>
          <cell r="R45">
            <v>30</v>
          </cell>
        </row>
        <row r="46">
          <cell r="B46">
            <v>41</v>
          </cell>
          <cell r="C46" t="str">
            <v>98-11-10</v>
          </cell>
          <cell r="D46" t="str">
            <v>041-政宏</v>
          </cell>
          <cell r="E46" t="str">
            <v>政宏輪胎有限公司</v>
          </cell>
          <cell r="F46" t="str">
            <v>1665＞7874＞未稅</v>
          </cell>
          <cell r="G46" t="str">
            <v>未稅</v>
          </cell>
          <cell r="H46" t="str">
            <v>輪胎＞翻修胎</v>
          </cell>
          <cell r="J46" t="str">
            <v>04-8792359&gt;0932-603167楊慶旺&gt;傳真04-8792524</v>
          </cell>
          <cell r="N46">
            <v>524</v>
          </cell>
          <cell r="O46" t="str">
            <v>彰化縣溪州鄉榮光村政民路170巷65號。</v>
          </cell>
          <cell r="P46" t="str">
            <v>041-政宏</v>
          </cell>
          <cell r="Q46" t="str">
            <v>彰化縣溪州鄉榮光村政民路170巷65號。</v>
          </cell>
          <cell r="R46">
            <v>30</v>
          </cell>
        </row>
        <row r="47">
          <cell r="B47">
            <v>42</v>
          </cell>
          <cell r="C47" t="str">
            <v>98-11-05</v>
          </cell>
          <cell r="D47" t="str">
            <v>042-益德</v>
          </cell>
          <cell r="E47" t="str">
            <v>益德印刷企業有限公司</v>
          </cell>
          <cell r="F47" t="str">
            <v>8057＞8145＞未稅</v>
          </cell>
          <cell r="G47" t="str">
            <v>未稅</v>
          </cell>
          <cell r="H47" t="str">
            <v>印刷品＞美工-黃小姐,老闆娘陳月</v>
          </cell>
          <cell r="J47" t="str">
            <v>03-5182202&gt;0958-451712楊順仁&gt;傳真03-5182205</v>
          </cell>
          <cell r="N47">
            <v>300</v>
          </cell>
          <cell r="O47" t="str">
            <v>新竹巿中華路六段67巷1-1號。</v>
          </cell>
          <cell r="P47" t="str">
            <v>042-益德</v>
          </cell>
          <cell r="Q47" t="str">
            <v>新竹巿中華路六段67巷1-1號。</v>
          </cell>
          <cell r="R47">
            <v>30</v>
          </cell>
        </row>
        <row r="48">
          <cell r="B48">
            <v>43</v>
          </cell>
          <cell r="C48" t="str">
            <v>98-11-05</v>
          </cell>
          <cell r="D48" t="str">
            <v>043-穩達</v>
          </cell>
          <cell r="E48" t="str">
            <v>穩達開發有限公司</v>
          </cell>
          <cell r="F48" t="str">
            <v>2440＞5831＞未稅</v>
          </cell>
          <cell r="G48" t="str">
            <v>未稅</v>
          </cell>
          <cell r="H48" t="str">
            <v>清洗機</v>
          </cell>
          <cell r="J48" t="str">
            <v>04-24065516&gt;0989-428106許木水&gt;傳真04-24061229</v>
          </cell>
          <cell r="N48">
            <v>412</v>
          </cell>
          <cell r="O48" t="str">
            <v>台中巿大肚區遊園路二段38號。</v>
          </cell>
          <cell r="P48" t="str">
            <v>043-穩達</v>
          </cell>
          <cell r="Q48" t="str">
            <v>台中巿大肚區遊園路二段38號。</v>
          </cell>
          <cell r="R48">
            <v>30</v>
          </cell>
        </row>
        <row r="49">
          <cell r="B49">
            <v>44</v>
          </cell>
          <cell r="C49" t="str">
            <v>98-11-05</v>
          </cell>
          <cell r="D49" t="str">
            <v>044-國勝</v>
          </cell>
          <cell r="E49" t="str">
            <v>國勝鐵工廠</v>
          </cell>
          <cell r="G49" t="str">
            <v>未稅</v>
          </cell>
          <cell r="H49" t="str">
            <v>鋼圈</v>
          </cell>
          <cell r="J49" t="str">
            <v>04-26866490&gt;0928-337829張林金生</v>
          </cell>
          <cell r="N49">
            <v>437</v>
          </cell>
          <cell r="O49" t="str">
            <v>台中縣大甲鎮頂店里中山路一段1299巷28號。</v>
          </cell>
          <cell r="P49" t="str">
            <v>044-國勝</v>
          </cell>
          <cell r="Q49" t="str">
            <v>台中縣大甲鎮頂店里中山路一段1299巷28號。</v>
          </cell>
          <cell r="R49">
            <v>30</v>
          </cell>
        </row>
        <row r="50">
          <cell r="B50">
            <v>45</v>
          </cell>
          <cell r="C50" t="str">
            <v>100-09-01</v>
          </cell>
          <cell r="D50" t="str">
            <v>045-阿吉普</v>
          </cell>
          <cell r="E50" t="str">
            <v>樺聲貿易股份有限公司</v>
          </cell>
          <cell r="F50" t="str">
            <v>1292＞9799＞未稅</v>
          </cell>
          <cell r="G50" t="str">
            <v>未稅</v>
          </cell>
          <cell r="H50" t="str">
            <v>油品</v>
          </cell>
          <cell r="I50" t="str">
            <v>開票期1.15個月</v>
          </cell>
          <cell r="J50" t="str">
            <v>037-366377&gt;0911-850570辜江台&gt;傳真037-366002</v>
          </cell>
          <cell r="N50">
            <v>360</v>
          </cell>
          <cell r="O50" t="str">
            <v>苗栗巿英才路671-2號。</v>
          </cell>
          <cell r="P50" t="str">
            <v>045-阿吉普</v>
          </cell>
          <cell r="Q50" t="str">
            <v>苗栗巿英才路671-2號。</v>
          </cell>
          <cell r="R50">
            <v>30</v>
          </cell>
        </row>
        <row r="51">
          <cell r="B51">
            <v>46</v>
          </cell>
          <cell r="C51" t="str">
            <v>100-09-01</v>
          </cell>
          <cell r="D51" t="str">
            <v>046-龍毅</v>
          </cell>
          <cell r="E51" t="str">
            <v>龍毅輪胎有限公司</v>
          </cell>
          <cell r="F51" t="str">
            <v>未稅</v>
          </cell>
          <cell r="G51" t="str">
            <v>未稅</v>
          </cell>
          <cell r="H51" t="str">
            <v>輪胎</v>
          </cell>
          <cell r="J51" t="str">
            <v>03-5308005&gt;0920-065073呂振全&gt;傳真03-5308010</v>
          </cell>
          <cell r="N51">
            <v>300</v>
          </cell>
          <cell r="O51" t="str">
            <v>新竹巿經國路三段85號。</v>
          </cell>
          <cell r="P51" t="str">
            <v>046-龍毅</v>
          </cell>
          <cell r="Q51" t="str">
            <v>新竹巿經國路三段85號。</v>
          </cell>
          <cell r="R51">
            <v>30</v>
          </cell>
        </row>
        <row r="52">
          <cell r="B52">
            <v>47</v>
          </cell>
          <cell r="C52" t="str">
            <v>100-09-01</v>
          </cell>
          <cell r="D52" t="str">
            <v>047-華豐</v>
          </cell>
          <cell r="E52" t="str">
            <v>華豐橡膠工業股份有限公司</v>
          </cell>
          <cell r="F52" t="str">
            <v>5976＞0104＞含稅</v>
          </cell>
          <cell r="G52" t="str">
            <v>含稅</v>
          </cell>
          <cell r="H52" t="str">
            <v>輪胎</v>
          </cell>
          <cell r="J52" t="str">
            <v>04-8520121于子超&gt;傳真04-8527704</v>
          </cell>
          <cell r="N52">
            <v>515</v>
          </cell>
          <cell r="O52" t="str">
            <v>彰化縣大村鄉中山路二段300號。</v>
          </cell>
          <cell r="P52" t="str">
            <v>047-華豐</v>
          </cell>
          <cell r="Q52" t="str">
            <v>彰化縣大村鄉中山路二段300號。</v>
          </cell>
          <cell r="R52">
            <v>30</v>
          </cell>
        </row>
        <row r="53">
          <cell r="B53">
            <v>48</v>
          </cell>
          <cell r="C53" t="str">
            <v>100-09-01</v>
          </cell>
          <cell r="D53" t="str">
            <v>048-漢可固(公司)</v>
          </cell>
          <cell r="E53" t="str">
            <v>歐特耐國際股份有限公司</v>
          </cell>
          <cell r="F53" t="str">
            <v>1266＞2709＞含稅</v>
          </cell>
          <cell r="G53" t="str">
            <v>含稅</v>
          </cell>
          <cell r="H53" t="str">
            <v>輪胎</v>
          </cell>
          <cell r="J53" t="str">
            <v>02-25453499#103會計&gt;傳真02-25461399</v>
          </cell>
          <cell r="N53">
            <v>105</v>
          </cell>
          <cell r="O53" t="str">
            <v>台北巿復興北路331號7樓。</v>
          </cell>
          <cell r="P53" t="str">
            <v>048-漢可固(公司)</v>
          </cell>
          <cell r="Q53" t="str">
            <v>台北巿復興北路331號7樓。</v>
          </cell>
          <cell r="R53">
            <v>30</v>
          </cell>
        </row>
        <row r="54">
          <cell r="B54">
            <v>49</v>
          </cell>
          <cell r="C54" t="str">
            <v>100-12-19</v>
          </cell>
          <cell r="D54" t="str">
            <v>049-至晟</v>
          </cell>
          <cell r="E54" t="str">
            <v>至晟貿易股份有限公司</v>
          </cell>
          <cell r="F54" t="str">
            <v>2820＞1008＞稅外</v>
          </cell>
          <cell r="G54" t="str">
            <v>稅外</v>
          </cell>
          <cell r="H54" t="str">
            <v>ABS</v>
          </cell>
          <cell r="I54" t="str">
            <v>開票期2.15個月</v>
          </cell>
          <cell r="J54" t="str">
            <v>037-463360&gt;0911-972579楊瑞帆&gt;傳真037-473350</v>
          </cell>
          <cell r="N54">
            <v>350</v>
          </cell>
          <cell r="O54" t="str">
            <v>苗栗縣竹南鎮照南路185號。</v>
          </cell>
          <cell r="P54" t="str">
            <v>049-至晟</v>
          </cell>
          <cell r="Q54" t="str">
            <v>苗栗縣竹南鎮照南路185號。</v>
          </cell>
          <cell r="R54">
            <v>30</v>
          </cell>
        </row>
        <row r="55">
          <cell r="B55">
            <v>50</v>
          </cell>
          <cell r="C55" t="str">
            <v>100-12-01</v>
          </cell>
          <cell r="D55" t="str">
            <v>050-天龍</v>
          </cell>
          <cell r="E55" t="str">
            <v>天龍加油站有限公司</v>
          </cell>
          <cell r="F55" t="str">
            <v>1625＞4893＞含稅(發票開.中華全佑)</v>
          </cell>
          <cell r="G55" t="str">
            <v>含稅</v>
          </cell>
          <cell r="H55" t="str">
            <v>油品＞加油站</v>
          </cell>
          <cell r="I55" t="str">
            <v>現金價開票期1.15個月</v>
          </cell>
          <cell r="J55" t="str">
            <v>037-612859</v>
          </cell>
          <cell r="N55">
            <v>351</v>
          </cell>
          <cell r="O55" t="str">
            <v>苗栗縣頭份鎮尖豐路221號。</v>
          </cell>
          <cell r="P55" t="str">
            <v>050-天龍</v>
          </cell>
          <cell r="Q55" t="str">
            <v>苗栗縣頭份鎮尖豐路221號。</v>
          </cell>
          <cell r="R55">
            <v>30</v>
          </cell>
        </row>
        <row r="56">
          <cell r="B56">
            <v>51</v>
          </cell>
          <cell r="C56" t="str">
            <v>100-12-01</v>
          </cell>
          <cell r="D56" t="str">
            <v>051-永益</v>
          </cell>
          <cell r="E56" t="str">
            <v>永益鋼圈有限公司</v>
          </cell>
          <cell r="F56" t="str">
            <v>7648＞1909＞稅外</v>
          </cell>
          <cell r="G56" t="str">
            <v>含稅</v>
          </cell>
          <cell r="H56" t="str">
            <v>鋼圈</v>
          </cell>
          <cell r="I56" t="str">
            <v>開票期0.15個月</v>
          </cell>
          <cell r="J56" t="str">
            <v>07-7516789&gt;傳真04-23398908</v>
          </cell>
          <cell r="N56">
            <v>830</v>
          </cell>
          <cell r="O56" t="str">
            <v>高雄巿鳳山巿輜汽北二路2號之2。</v>
          </cell>
          <cell r="P56" t="str">
            <v>051-永益</v>
          </cell>
          <cell r="Q56" t="str">
            <v>高雄巿鳳山巿輜汽北二路2號之2。</v>
          </cell>
          <cell r="R56">
            <v>30</v>
          </cell>
        </row>
        <row r="57">
          <cell r="B57">
            <v>52</v>
          </cell>
          <cell r="C57" t="str">
            <v>101-04-17</v>
          </cell>
          <cell r="D57" t="str">
            <v>052-鯊魚</v>
          </cell>
          <cell r="E57" t="str">
            <v>全力企業社</v>
          </cell>
          <cell r="F57" t="str">
            <v>7648＞1909＞未稅</v>
          </cell>
          <cell r="G57" t="str">
            <v>未稅</v>
          </cell>
          <cell r="H57" t="str">
            <v>輪胎</v>
          </cell>
          <cell r="I57" t="str">
            <v>開票期1.15個月</v>
          </cell>
          <cell r="J57" t="str">
            <v>03-3676800&gt;0910-665117熊修宏&gt;傳真03-3676800</v>
          </cell>
          <cell r="N57">
            <v>334</v>
          </cell>
          <cell r="O57" t="str">
            <v>桃園縣八德巿大勤街100巷18弄6號。</v>
          </cell>
          <cell r="P57" t="str">
            <v>052-鯊魚</v>
          </cell>
          <cell r="Q57" t="str">
            <v>桃園縣八德巿大勤街100巷18弄6號。</v>
          </cell>
          <cell r="R57">
            <v>30</v>
          </cell>
        </row>
        <row r="58">
          <cell r="B58">
            <v>53</v>
          </cell>
          <cell r="C58" t="str">
            <v>101-07-24</v>
          </cell>
          <cell r="D58" t="str">
            <v>053-楨元</v>
          </cell>
          <cell r="E58" t="str">
            <v>楨元有限公司</v>
          </cell>
          <cell r="F58" t="str">
            <v>8637＞4055＞含稅</v>
          </cell>
          <cell r="G58" t="str">
            <v>含稅</v>
          </cell>
          <cell r="H58" t="str">
            <v>鋼圈</v>
          </cell>
          <cell r="I58" t="str">
            <v>開票期1.15個月</v>
          </cell>
          <cell r="J58" t="str">
            <v>04-25287268&gt;0936-870211張楨堂&gt;傳真04-25287167</v>
          </cell>
          <cell r="N58">
            <v>420</v>
          </cell>
          <cell r="O58" t="str">
            <v>台中巿豐原區東北街59號。</v>
          </cell>
          <cell r="P58" t="str">
            <v>053-楨元</v>
          </cell>
          <cell r="Q58" t="str">
            <v>台中巿豐原區東北街59號。</v>
          </cell>
          <cell r="R58">
            <v>30</v>
          </cell>
        </row>
        <row r="59">
          <cell r="B59">
            <v>54</v>
          </cell>
          <cell r="C59" t="str">
            <v>101-09-07</v>
          </cell>
          <cell r="D59" t="str">
            <v>054-貴麟</v>
          </cell>
          <cell r="E59" t="str">
            <v>縉麟企業有限公司</v>
          </cell>
          <cell r="F59" t="str">
            <v>8467＞9320＞未稅</v>
          </cell>
          <cell r="G59" t="str">
            <v>未稅</v>
          </cell>
          <cell r="H59" t="str">
            <v>材料＞鉛塊＞補片＞輪胎臘</v>
          </cell>
          <cell r="I59" t="str">
            <v>開票期1.15個月</v>
          </cell>
          <cell r="J59" t="str">
            <v>04-24967255&gt;0928-318456郭文一&gt;傳真04-24928497</v>
          </cell>
          <cell r="N59">
            <v>412</v>
          </cell>
          <cell r="O59" t="str">
            <v>台中巿大里區大峰路293巷60號。</v>
          </cell>
          <cell r="P59" t="str">
            <v>054-貴麟</v>
          </cell>
          <cell r="Q59" t="str">
            <v>台中巿大里區大峰路293巷60號。</v>
          </cell>
          <cell r="R59">
            <v>30</v>
          </cell>
        </row>
        <row r="60">
          <cell r="B60">
            <v>55</v>
          </cell>
          <cell r="C60" t="str">
            <v>101-11-20</v>
          </cell>
          <cell r="D60" t="str">
            <v>055-辰陽</v>
          </cell>
          <cell r="E60" t="str">
            <v>辰陽氣動工具有限公司</v>
          </cell>
          <cell r="F60" t="str">
            <v>5348＞4102＞未稅</v>
          </cell>
          <cell r="G60" t="str">
            <v>未稅</v>
          </cell>
          <cell r="H60" t="str">
            <v>氣動工具</v>
          </cell>
          <cell r="I60" t="str">
            <v>開票期0.15個月</v>
          </cell>
          <cell r="J60" t="str">
            <v>04-8530277&gt;0927-101152賴威仁&gt;傳真04-8530287</v>
          </cell>
          <cell r="N60">
            <v>515</v>
          </cell>
          <cell r="O60" t="str">
            <v>彰化縣大村鄉美港村美港橫巷10之30號。</v>
          </cell>
          <cell r="P60" t="str">
            <v>055-辰陽</v>
          </cell>
          <cell r="Q60" t="str">
            <v>彰化縣大村鄉美港村美港橫巷10之30號。</v>
          </cell>
          <cell r="R60">
            <v>30</v>
          </cell>
        </row>
        <row r="61">
          <cell r="B61">
            <v>56</v>
          </cell>
          <cell r="C61" t="str">
            <v>101-11-20</v>
          </cell>
          <cell r="D61" t="str">
            <v>056-良器</v>
          </cell>
          <cell r="E61" t="str">
            <v>良器有限公司</v>
          </cell>
          <cell r="F61" t="str">
            <v>2343＞8068＞稅外</v>
          </cell>
          <cell r="G61" t="str">
            <v>稅外</v>
          </cell>
          <cell r="H61" t="str">
            <v>輪胎蠟桶子</v>
          </cell>
          <cell r="J61" t="str">
            <v>03-3610806&gt;傳真03-3610706</v>
          </cell>
          <cell r="N61">
            <v>333</v>
          </cell>
          <cell r="O61" t="str">
            <v>桃園縣龜山鄉建國東路32-1號。</v>
          </cell>
          <cell r="P61" t="str">
            <v>056-良器</v>
          </cell>
          <cell r="Q61" t="str">
            <v>桃園縣龜山鄉建國東路32-1號。</v>
          </cell>
          <cell r="R61">
            <v>30</v>
          </cell>
        </row>
        <row r="62">
          <cell r="B62">
            <v>57</v>
          </cell>
          <cell r="C62" t="str">
            <v>101-12-04</v>
          </cell>
          <cell r="D62" t="str">
            <v>057-寶喬群</v>
          </cell>
          <cell r="E62" t="str">
            <v>寶喬群生物科技有限公司</v>
          </cell>
          <cell r="F62" t="str">
            <v>2729＞3731＞稅外</v>
          </cell>
          <cell r="G62" t="str">
            <v>含稅</v>
          </cell>
          <cell r="H62" t="str">
            <v>輪胎蠟&gt;洗手皂</v>
          </cell>
          <cell r="I62" t="str">
            <v>約定匯款玉山8080000222979042430</v>
          </cell>
          <cell r="J62" t="str">
            <v>04-23390083&gt;0937-228136林志鑫&gt;傳真04-23398908</v>
          </cell>
          <cell r="N62">
            <v>413</v>
          </cell>
          <cell r="O62" t="str">
            <v>台中巿霧峰區中正路329號。</v>
          </cell>
          <cell r="P62" t="str">
            <v>057-寶喬群</v>
          </cell>
          <cell r="Q62" t="str">
            <v>台中巿霧峰區中正路329號。</v>
          </cell>
          <cell r="R62">
            <v>30</v>
          </cell>
        </row>
        <row r="63">
          <cell r="B63">
            <v>58</v>
          </cell>
          <cell r="C63" t="str">
            <v>102-01-24</v>
          </cell>
          <cell r="D63" t="str">
            <v>058-源順</v>
          </cell>
          <cell r="E63" t="str">
            <v>源順包裝材料有限公司</v>
          </cell>
          <cell r="F63" t="str">
            <v>1692＞6082＞未稅</v>
          </cell>
          <cell r="G63" t="str">
            <v>未稅</v>
          </cell>
          <cell r="H63" t="str">
            <v>紙箱</v>
          </cell>
          <cell r="J63" t="str">
            <v>037-552930&gt;037-460397&gt;0918-801932&gt;傳真037-481967</v>
          </cell>
          <cell r="N63">
            <v>350</v>
          </cell>
          <cell r="O63" t="str">
            <v>苗栗縣竹南鎮中英里17鄰復興路621號。</v>
          </cell>
          <cell r="P63" t="str">
            <v>058-源順</v>
          </cell>
          <cell r="Q63" t="str">
            <v>苗栗縣竹南鎮中英里17鄰復興路621號。</v>
          </cell>
          <cell r="R63">
            <v>30</v>
          </cell>
        </row>
        <row r="64">
          <cell r="B64">
            <v>59</v>
          </cell>
          <cell r="C64" t="str">
            <v>102-02-23</v>
          </cell>
          <cell r="D64" t="str">
            <v>059-馬牌(公司)</v>
          </cell>
          <cell r="E64" t="str">
            <v>台灣開利耐特有限公司</v>
          </cell>
          <cell r="F64" t="str">
            <v>1295＞0856＞含稅(發票開.中華全佑)</v>
          </cell>
          <cell r="G64" t="str">
            <v>含稅</v>
          </cell>
          <cell r="H64" t="str">
            <v>輪胎＞現金價扣×0.97&gt;請款單金額已扣現金%了&gt;已設定存單</v>
          </cell>
          <cell r="I64" t="str">
            <v>約定匯款巴黎0820080191427708312</v>
          </cell>
          <cell r="J64" t="str">
            <v>02-23515533#607財務&gt;02-23514460&gt;0978-260879李俊霖&gt;傳真02-23583131</v>
          </cell>
          <cell r="N64">
            <v>100</v>
          </cell>
          <cell r="O64" t="str">
            <v>台北巿忠孝東路二段88號2樓。</v>
          </cell>
          <cell r="P64" t="str">
            <v>059-馬牌(公司)</v>
          </cell>
          <cell r="Q64" t="str">
            <v>台北巿忠孝東路二段88號2樓。</v>
          </cell>
          <cell r="R64">
            <v>30</v>
          </cell>
        </row>
        <row r="65">
          <cell r="B65">
            <v>60</v>
          </cell>
          <cell r="C65" t="str">
            <v>102-06-19</v>
          </cell>
          <cell r="D65" t="str">
            <v>060-竹大</v>
          </cell>
          <cell r="E65" t="str">
            <v>竹大行股份有限公司</v>
          </cell>
          <cell r="F65" t="str">
            <v>4603＞7000＞含稅</v>
          </cell>
          <cell r="G65" t="str">
            <v>含稅</v>
          </cell>
          <cell r="H65" t="str">
            <v>輪胎</v>
          </cell>
          <cell r="I65" t="str">
            <v>開票期1.15個月</v>
          </cell>
          <cell r="J65" t="str">
            <v>037-338801&gt;0912-268843朱奕璋&gt;傳真037-338803</v>
          </cell>
          <cell r="N65">
            <v>360</v>
          </cell>
          <cell r="O65" t="str">
            <v>苗栗縣文發路833巷69號之1。</v>
          </cell>
          <cell r="P65" t="str">
            <v>060-竹大</v>
          </cell>
          <cell r="Q65" t="str">
            <v>苗栗縣文發路833巷69號之1。</v>
          </cell>
          <cell r="R65">
            <v>30</v>
          </cell>
        </row>
        <row r="66">
          <cell r="B66">
            <v>61</v>
          </cell>
          <cell r="C66" t="str">
            <v>102-06-24</v>
          </cell>
          <cell r="D66" t="str">
            <v>061-聖聯</v>
          </cell>
          <cell r="E66" t="str">
            <v>聖聯輪胎有限公司</v>
          </cell>
          <cell r="F66" t="str">
            <v>7049＞1599＞含稅</v>
          </cell>
          <cell r="G66" t="str">
            <v>含稅</v>
          </cell>
          <cell r="H66" t="str">
            <v>輪胎</v>
          </cell>
          <cell r="I66" t="str">
            <v>開票期1.15個月</v>
          </cell>
          <cell r="J66" t="str">
            <v>037-271151&gt;傳真037-276095</v>
          </cell>
          <cell r="N66">
            <v>360</v>
          </cell>
          <cell r="O66" t="str">
            <v>苗栗巿為公路514號。</v>
          </cell>
          <cell r="P66" t="str">
            <v>061-聖聯</v>
          </cell>
          <cell r="Q66" t="str">
            <v>苗栗巿為公路514號。</v>
          </cell>
          <cell r="R66">
            <v>30</v>
          </cell>
        </row>
        <row r="67">
          <cell r="B67">
            <v>62</v>
          </cell>
          <cell r="C67" t="str">
            <v>102-07-24</v>
          </cell>
          <cell r="D67" t="str">
            <v>062-好運</v>
          </cell>
          <cell r="E67" t="str">
            <v>台灣好運輪胎有限公司</v>
          </cell>
          <cell r="F67" t="str">
            <v>2785＞6458＞含稅</v>
          </cell>
          <cell r="G67" t="str">
            <v>含稅</v>
          </cell>
          <cell r="H67" t="str">
            <v>輪胎＞現金價</v>
          </cell>
          <cell r="I67" t="str">
            <v>匯款</v>
          </cell>
          <cell r="J67" t="str">
            <v>03-4900526&gt;0915-050963葉少青&gt;傳真03-4900536</v>
          </cell>
          <cell r="N67">
            <v>327</v>
          </cell>
          <cell r="O67" t="str">
            <v>桃園縣新屋鄉頭洲村犁頭洲20-6號。</v>
          </cell>
          <cell r="P67" t="str">
            <v>062-好運</v>
          </cell>
          <cell r="Q67" t="str">
            <v>桃園縣新屋鄉頭洲村犁頭洲20-6號。</v>
          </cell>
          <cell r="R67">
            <v>30</v>
          </cell>
        </row>
        <row r="68">
          <cell r="B68">
            <v>63</v>
          </cell>
          <cell r="C68" t="str">
            <v>98-11-05</v>
          </cell>
          <cell r="D68" t="str">
            <v>063-萬代</v>
          </cell>
          <cell r="E68" t="str">
            <v>台灣萬代輪胎股份有限公司</v>
          </cell>
          <cell r="F68" t="str">
            <v>0355＞3315＞含稅</v>
          </cell>
          <cell r="G68" t="str">
            <v>含稅</v>
          </cell>
          <cell r="H68" t="str">
            <v>輪胎＞翻修胎</v>
          </cell>
          <cell r="J68" t="str">
            <v>03-4718805&gt;03-4718807&gt;傳真03-4717201</v>
          </cell>
          <cell r="N68">
            <v>325</v>
          </cell>
          <cell r="O68" t="str">
            <v>桃園縣龍潭鄉銅鑼圈中原路二段176號。</v>
          </cell>
          <cell r="P68" t="str">
            <v>063-萬代</v>
          </cell>
          <cell r="Q68" t="str">
            <v>325桃園縣龍潭鄉銅鑼圈中原路二段176號。</v>
          </cell>
          <cell r="R68">
            <v>30</v>
          </cell>
        </row>
        <row r="69">
          <cell r="B69">
            <v>64</v>
          </cell>
          <cell r="C69" t="str">
            <v>102-11-19</v>
          </cell>
          <cell r="D69" t="str">
            <v>064-豐車</v>
          </cell>
          <cell r="E69" t="str">
            <v>豐車實業有限公司</v>
          </cell>
          <cell r="F69" t="str">
            <v>8686＞1225＞含稅</v>
          </cell>
          <cell r="G69" t="str">
            <v>含稅</v>
          </cell>
          <cell r="H69" t="str">
            <v>輪胎</v>
          </cell>
          <cell r="I69" t="str">
            <v>現金價開票期1.5月&gt;豐車實業有限公司.北投區農會.關渡辦事處.帳號2803-20-013175-00&gt;</v>
          </cell>
          <cell r="J69" t="str">
            <v>02-28583505&gt;02-28583789&gt;詹淑蘭</v>
          </cell>
          <cell r="N69">
            <v>112</v>
          </cell>
          <cell r="O69" t="str">
            <v>臺北市北投區大度路3段187號。</v>
          </cell>
          <cell r="P69" t="str">
            <v>064-豐車</v>
          </cell>
          <cell r="Q69" t="str">
            <v>臺北市北投區大度路3段187號。</v>
          </cell>
          <cell r="R69">
            <v>30</v>
          </cell>
        </row>
        <row r="70">
          <cell r="B70">
            <v>65</v>
          </cell>
          <cell r="C70" t="str">
            <v>102-11-19</v>
          </cell>
          <cell r="D70" t="str">
            <v>065-福炫</v>
          </cell>
          <cell r="E70" t="str">
            <v>福炫股份有限公司</v>
          </cell>
          <cell r="F70" t="str">
            <v>8606＞9225＞未稅</v>
          </cell>
          <cell r="G70" t="str">
            <v>未稅</v>
          </cell>
          <cell r="H70" t="str">
            <v>材料＞螺帽＞現金價</v>
          </cell>
          <cell r="I70" t="str">
            <v>匯款新光銀行 帳號:0912-50-018745-7 戶名:賴宏宇</v>
          </cell>
          <cell r="J70" t="str">
            <v>04-25343770&gt;04-25343771&gt;0953-100451賴永杰&gt;傳真04-25344429</v>
          </cell>
          <cell r="N70">
            <v>428</v>
          </cell>
          <cell r="O70" t="str">
            <v>台中市大雅區三和村港尾路2之8號。</v>
          </cell>
          <cell r="P70" t="str">
            <v>065-福炫</v>
          </cell>
          <cell r="Q70" t="str">
            <v>台中市大雅區三和村港尾路2之8號。</v>
          </cell>
          <cell r="R70">
            <v>30</v>
          </cell>
        </row>
        <row r="71">
          <cell r="B71">
            <v>66</v>
          </cell>
          <cell r="C71" t="str">
            <v>102-11-19</v>
          </cell>
          <cell r="D71" t="str">
            <v>066-永益</v>
          </cell>
          <cell r="E71" t="str">
            <v>永益布手套</v>
          </cell>
          <cell r="F71" t="str">
            <v>未稅</v>
          </cell>
          <cell r="G71" t="str">
            <v>未稅</v>
          </cell>
          <cell r="H71" t="str">
            <v>材料＞灰色布手套10打560元＞現金價</v>
          </cell>
          <cell r="I71" t="str">
            <v>付現</v>
          </cell>
          <cell r="J71" t="str">
            <v>037-751902&gt;0926-394137張永昌</v>
          </cell>
          <cell r="N71" t="str"/>
          <cell r="P71" t="str">
            <v>066-永益</v>
          </cell>
          <cell r="R71">
            <v>30</v>
          </cell>
        </row>
        <row r="72">
          <cell r="B72">
            <v>67</v>
          </cell>
          <cell r="C72" t="str">
            <v>102-11-19</v>
          </cell>
          <cell r="D72" t="str">
            <v>067-鋐興</v>
          </cell>
          <cell r="E72" t="str">
            <v>鋐興科技發票機</v>
          </cell>
          <cell r="F72" t="str">
            <v>1640＞4400＞未稅</v>
          </cell>
          <cell r="G72" t="str">
            <v>未稅</v>
          </cell>
          <cell r="H72" t="str">
            <v>材料＞色帶1盒5入1500＞現金價</v>
          </cell>
          <cell r="J72" t="str">
            <v>03-5152000&gt;0986-080080&gt;傳真03-5343000</v>
          </cell>
          <cell r="N72">
            <v>300</v>
          </cell>
          <cell r="O72" t="str">
            <v>新竹巿國華街57號1樓。</v>
          </cell>
          <cell r="P72" t="str">
            <v>067-鋐興</v>
          </cell>
          <cell r="Q72" t="str">
            <v>新竹巿國華街57號1樓。</v>
          </cell>
          <cell r="R72">
            <v>30</v>
          </cell>
        </row>
        <row r="73">
          <cell r="B73">
            <v>68</v>
          </cell>
          <cell r="C73" t="str">
            <v>102-11-19</v>
          </cell>
          <cell r="D73" t="str">
            <v>068-范萬權</v>
          </cell>
          <cell r="E73" t="str">
            <v>寫電腦程式</v>
          </cell>
          <cell r="F73" t="str">
            <v>未稅</v>
          </cell>
          <cell r="G73" t="str">
            <v>未稅</v>
          </cell>
          <cell r="H73" t="str">
            <v>寫電腦程式</v>
          </cell>
          <cell r="J73" t="str">
            <v>03-4795017&gt;0935-209989范萬權</v>
          </cell>
          <cell r="N73">
            <v>325</v>
          </cell>
          <cell r="O73" t="str">
            <v>住:桃園縣龍潭鄉永興村2鄰中興路685巷24號。</v>
          </cell>
          <cell r="P73" t="str">
            <v>068-范萬權</v>
          </cell>
          <cell r="Q73" t="str">
            <v>住:桃園縣龍潭鄉永興村2鄰中興路685巷24號。</v>
          </cell>
          <cell r="R73">
            <v>30</v>
          </cell>
        </row>
        <row r="74">
          <cell r="B74">
            <v>69</v>
          </cell>
          <cell r="C74" t="str">
            <v>102-11-19</v>
          </cell>
          <cell r="D74" t="str">
            <v>069-禾田</v>
          </cell>
          <cell r="E74" t="str">
            <v>禾田廣告筆</v>
          </cell>
          <cell r="F74" t="str">
            <v>2370＞1530＞未稅</v>
          </cell>
          <cell r="G74" t="str">
            <v>未稅</v>
          </cell>
          <cell r="H74" t="str">
            <v xml:space="preserve">小南瓜筆&gt;含運費&gt;現金價需先匯款 </v>
          </cell>
          <cell r="I74" t="str">
            <v>匯款彰化銀行 4010123455800 禾田禮品百貨有限公司</v>
          </cell>
          <cell r="J74" t="str">
            <v>04-22874289&gt;傳真04-22872614</v>
          </cell>
          <cell r="N74">
            <v>402</v>
          </cell>
          <cell r="O74" t="str">
            <v>台中巿南區永東街47號。</v>
          </cell>
          <cell r="P74" t="str">
            <v>069-禾田</v>
          </cell>
          <cell r="Q74" t="str">
            <v>台中巿南區永東街47號。</v>
          </cell>
          <cell r="R74">
            <v>30</v>
          </cell>
        </row>
        <row r="75">
          <cell r="B75">
            <v>70</v>
          </cell>
          <cell r="C75" t="str">
            <v>102-11-19</v>
          </cell>
          <cell r="D75" t="str">
            <v>070-宏翔</v>
          </cell>
          <cell r="E75" t="str">
            <v>宏翔服飾</v>
          </cell>
          <cell r="F75" t="str">
            <v>未稅</v>
          </cell>
          <cell r="G75" t="str">
            <v>未稅</v>
          </cell>
          <cell r="H75" t="str">
            <v>公司製服＞現金價</v>
          </cell>
          <cell r="J75" t="str">
            <v>03-230532&gt;03-230927&gt;0919-258083吳育翔</v>
          </cell>
          <cell r="N75">
            <v>300</v>
          </cell>
          <cell r="O75" t="str">
            <v>新竹巿長安街73號。</v>
          </cell>
          <cell r="P75" t="str">
            <v>070-宏翔</v>
          </cell>
          <cell r="Q75" t="str">
            <v>新竹巿長安街73號。</v>
          </cell>
          <cell r="R75">
            <v>30</v>
          </cell>
        </row>
        <row r="76">
          <cell r="B76">
            <v>71</v>
          </cell>
          <cell r="C76" t="str">
            <v>102-11-19</v>
          </cell>
          <cell r="D76" t="str">
            <v>071-GPS</v>
          </cell>
          <cell r="E76" t="str">
            <v>GPS定位機</v>
          </cell>
          <cell r="F76" t="str">
            <v>未稅</v>
          </cell>
          <cell r="G76" t="str">
            <v>未稅</v>
          </cell>
          <cell r="H76" t="str">
            <v>GPS＞現金價</v>
          </cell>
          <cell r="J76" t="str">
            <v>04-23813988&gt;中區維修部專線0926-938882&gt;0986-379230賴志勝</v>
          </cell>
          <cell r="N76">
            <v>408</v>
          </cell>
          <cell r="O76" t="str">
            <v>台中巿南屯區環中路四段698號。</v>
          </cell>
          <cell r="P76" t="str">
            <v>071-GPS</v>
          </cell>
          <cell r="Q76" t="str">
            <v>台中巿南屯區環中路四段698號。</v>
          </cell>
          <cell r="R76">
            <v>30</v>
          </cell>
        </row>
        <row r="77">
          <cell r="B77">
            <v>72</v>
          </cell>
          <cell r="C77" t="str">
            <v>102-11-19</v>
          </cell>
          <cell r="D77" t="str">
            <v>072-尖端</v>
          </cell>
          <cell r="E77" t="str">
            <v>尖端‧小范</v>
          </cell>
          <cell r="F77" t="str">
            <v>未稅</v>
          </cell>
          <cell r="G77" t="str">
            <v>未稅</v>
          </cell>
          <cell r="H77" t="str">
            <v>電話&gt;監控系統＞現金價&gt;設定時間 功能-9-#-儲存-輸入日期-儲存</v>
          </cell>
          <cell r="I77" t="str">
            <v>付現</v>
          </cell>
          <cell r="J77" t="str">
            <v>037-676325&gt;0936-492880范宏明</v>
          </cell>
          <cell r="N77">
            <v>351</v>
          </cell>
          <cell r="O77" t="str">
            <v>苗栗縣頭份巿中華路831號。</v>
          </cell>
          <cell r="P77" t="str">
            <v>072-尖端</v>
          </cell>
          <cell r="Q77" t="str">
            <v>苗栗縣頭份巿中華路831號。</v>
          </cell>
          <cell r="R77">
            <v>30</v>
          </cell>
        </row>
        <row r="78">
          <cell r="B78">
            <v>73</v>
          </cell>
          <cell r="C78" t="str">
            <v>102-11-19</v>
          </cell>
          <cell r="D78" t="str">
            <v>073-加尼賀</v>
          </cell>
          <cell r="E78" t="str">
            <v>加尼賀製作網站</v>
          </cell>
          <cell r="F78" t="str">
            <v>未稅</v>
          </cell>
          <cell r="G78" t="str">
            <v>未稅</v>
          </cell>
          <cell r="H78" t="str">
            <v>網頁設計</v>
          </cell>
          <cell r="I78" t="str">
            <v>匯款</v>
          </cell>
          <cell r="J78" t="str">
            <v>04-24613038&gt;傳真0945-677278</v>
          </cell>
          <cell r="N78" t="str"/>
          <cell r="P78" t="str">
            <v>073-加尼賀</v>
          </cell>
          <cell r="R78">
            <v>30</v>
          </cell>
        </row>
        <row r="79">
          <cell r="B79">
            <v>74</v>
          </cell>
          <cell r="C79" t="str">
            <v>102-11-19</v>
          </cell>
          <cell r="D79" t="str">
            <v>074-中友</v>
          </cell>
          <cell r="E79" t="str">
            <v>中友印刷廠</v>
          </cell>
          <cell r="F79" t="str">
            <v>未稅</v>
          </cell>
          <cell r="G79" t="str">
            <v>未稅</v>
          </cell>
          <cell r="H79" t="str">
            <v>名片＞現金價</v>
          </cell>
          <cell r="J79" t="str">
            <v>037-466056&gt;E-mail:michael.abc1023@msa.hinet.net&gt;0932-667366楊元隆</v>
          </cell>
          <cell r="N79">
            <v>350</v>
          </cell>
          <cell r="O79" t="str">
            <v>苗栗縣竹南鎮大厝里16鄰開元路240號。</v>
          </cell>
          <cell r="P79" t="str">
            <v>074-中友</v>
          </cell>
          <cell r="Q79" t="str">
            <v>苗栗縣竹南鎮大厝里16鄰開元路240號。</v>
          </cell>
          <cell r="R79">
            <v>30</v>
          </cell>
        </row>
        <row r="80">
          <cell r="B80">
            <v>75</v>
          </cell>
          <cell r="C80" t="str">
            <v>102-10-23</v>
          </cell>
          <cell r="D80" t="str">
            <v>075-竹新</v>
          </cell>
          <cell r="E80" t="str">
            <v>竹新化學股份有限公司</v>
          </cell>
          <cell r="F80" t="str">
            <v>未稅</v>
          </cell>
          <cell r="G80" t="str">
            <v>未稅</v>
          </cell>
          <cell r="H80" t="str">
            <v>臘筆粉＞現金價</v>
          </cell>
          <cell r="J80" t="str">
            <v>03-537212&gt;0912-328671方先生</v>
          </cell>
          <cell r="N80">
            <v>300</v>
          </cell>
          <cell r="O80" t="str">
            <v>新竹巿中華路6段67巷3號。</v>
          </cell>
          <cell r="P80" t="str">
            <v>075-竹新</v>
          </cell>
          <cell r="Q80" t="str">
            <v>新竹巿中華路6段67巷3號。</v>
          </cell>
          <cell r="R80">
            <v>30</v>
          </cell>
        </row>
        <row r="81">
          <cell r="B81">
            <v>76</v>
          </cell>
          <cell r="C81" t="str">
            <v>102-12-14</v>
          </cell>
          <cell r="D81" t="str">
            <v>076-展劭</v>
          </cell>
          <cell r="E81" t="str">
            <v>展劭有限公司</v>
          </cell>
          <cell r="G81" t="str">
            <v>未稅</v>
          </cell>
          <cell r="H81" t="str">
            <v>油品</v>
          </cell>
          <cell r="I81" t="str">
            <v>開票期1.15個月</v>
          </cell>
          <cell r="J81" t="str">
            <v>04-22341093</v>
          </cell>
          <cell r="N81">
            <v>406</v>
          </cell>
          <cell r="O81" t="str">
            <v>台中巿北屯區文昌東三街89號。</v>
          </cell>
          <cell r="P81" t="str">
            <v>076-展劭</v>
          </cell>
          <cell r="Q81" t="str">
            <v>台中巿北屯區文昌東三街89號。</v>
          </cell>
          <cell r="R81">
            <v>30</v>
          </cell>
        </row>
        <row r="82">
          <cell r="B82">
            <v>77</v>
          </cell>
          <cell r="C82" t="str">
            <v>102-12-14</v>
          </cell>
          <cell r="D82" t="str">
            <v>077-冠宏</v>
          </cell>
          <cell r="E82" t="str">
            <v>敏銓實業股份有限公司</v>
          </cell>
          <cell r="G82" t="str">
            <v>未稅</v>
          </cell>
          <cell r="H82" t="str">
            <v>輪胎＞翻修胎</v>
          </cell>
          <cell r="J82" t="str">
            <v>02-29061197&gt;0937-420177吳明芳</v>
          </cell>
          <cell r="N82">
            <v>243</v>
          </cell>
          <cell r="O82" t="str">
            <v>台北縣泰山鄉中山路二段730號。</v>
          </cell>
          <cell r="P82" t="str">
            <v>077-冠宏</v>
          </cell>
          <cell r="Q82" t="str">
            <v>台北縣泰山鄉中山路二段730號。</v>
          </cell>
          <cell r="R82">
            <v>30</v>
          </cell>
        </row>
        <row r="83">
          <cell r="B83">
            <v>78</v>
          </cell>
          <cell r="C83" t="str">
            <v>103-05-06</v>
          </cell>
          <cell r="D83" t="str">
            <v>078-昇達</v>
          </cell>
          <cell r="E83" t="str">
            <v>昇達橡膠企業股份有限公司</v>
          </cell>
          <cell r="F83" t="str">
            <v>0766&gt;0028&gt;含稅</v>
          </cell>
          <cell r="G83" t="str">
            <v>含稅</v>
          </cell>
          <cell r="H83" t="str">
            <v>輪胎＞翻修胎</v>
          </cell>
          <cell r="I83" t="str">
            <v>開票期0.15個月</v>
          </cell>
          <cell r="J83" t="str">
            <v>會計02-25944185&gt;業務0987-333949林聖原&gt;03-4771616分機380叫貨 &gt;新胎分機354李儀宣&gt;翻修胎分機332蒙小姐&gt;單價詢問分機331&gt;0932-107184李宗典&gt;傳真02-25924462</v>
          </cell>
          <cell r="N83">
            <v>103</v>
          </cell>
          <cell r="O83" t="str">
            <v>總公司:台北巿承德路三段66號。&gt;分公司:工廠(桃園)桃園市新屋區中華南路2段411號</v>
          </cell>
          <cell r="P83" t="str">
            <v>078-昇達</v>
          </cell>
          <cell r="Q83" t="str">
            <v>桃園市新屋區中華南路二段411號</v>
          </cell>
          <cell r="R83">
            <v>30</v>
          </cell>
        </row>
        <row r="84">
          <cell r="B84">
            <v>79</v>
          </cell>
          <cell r="C84" t="str">
            <v>103-05-12</v>
          </cell>
          <cell r="D84" t="str">
            <v>079-東禾</v>
          </cell>
          <cell r="E84" t="str">
            <v>東禾企業社</v>
          </cell>
          <cell r="F84" t="str">
            <v>1387＞4147＞未稅</v>
          </cell>
          <cell r="G84" t="str">
            <v>未稅</v>
          </cell>
          <cell r="H84" t="str">
            <v>修理廠</v>
          </cell>
          <cell r="I84" t="str">
            <v>開票期2.15個月</v>
          </cell>
          <cell r="J84" t="str">
            <v>03-5378459&gt;0933-791932馬銀亮</v>
          </cell>
          <cell r="N84">
            <v>300</v>
          </cell>
          <cell r="O84" t="str">
            <v>新竹巿鹽水里中華路六段96之1號。</v>
          </cell>
          <cell r="P84" t="str">
            <v>079-東禾</v>
          </cell>
          <cell r="Q84" t="str">
            <v>新竹巿鹽水里中華路六段96之1號。</v>
          </cell>
          <cell r="R84">
            <v>30</v>
          </cell>
        </row>
        <row r="85">
          <cell r="B85">
            <v>80</v>
          </cell>
          <cell r="C85" t="str">
            <v>103-05-12</v>
          </cell>
          <cell r="D85" t="str">
            <v>080-六友</v>
          </cell>
          <cell r="E85" t="str">
            <v>六友汽車企業社</v>
          </cell>
          <cell r="F85" t="str">
            <v>1421＞3047＞未稅</v>
          </cell>
          <cell r="G85" t="str">
            <v>未稅</v>
          </cell>
          <cell r="H85" t="str">
            <v>輪胎&gt;米其林&gt;現金價</v>
          </cell>
          <cell r="I85" t="str">
            <v>匯款</v>
          </cell>
          <cell r="J85" t="str">
            <v>037-591291江瑞濱&gt;傳真037-591279</v>
          </cell>
          <cell r="N85">
            <v>351</v>
          </cell>
          <cell r="O85" t="str">
            <v>苗栗縣頭份鎮忠孝二路150號。</v>
          </cell>
          <cell r="P85" t="str">
            <v>080-六友</v>
          </cell>
          <cell r="Q85" t="str">
            <v>苗栗縣頭份鎮忠孝二路150號。</v>
          </cell>
          <cell r="R85">
            <v>30</v>
          </cell>
        </row>
        <row r="86">
          <cell r="B86">
            <v>81</v>
          </cell>
          <cell r="C86" t="str">
            <v>103-07-12</v>
          </cell>
          <cell r="D86" t="str">
            <v>081-巨輪興</v>
          </cell>
          <cell r="E86" t="str">
            <v>巨輪興股份有限公司＞山佛司企業有限公司＞明合企業行</v>
          </cell>
          <cell r="F86" t="str">
            <v>未稅</v>
          </cell>
          <cell r="G86" t="str">
            <v>未稅</v>
          </cell>
          <cell r="H86" t="str">
            <v>維修千斤頂&gt;現金價</v>
          </cell>
          <cell r="I86" t="str">
            <v>開票期1.15個月＞支票抬頭開:明合企業行</v>
          </cell>
          <cell r="J86" t="str">
            <v>07-6210505蘇秋月&gt;傳真07-6217575</v>
          </cell>
          <cell r="N86">
            <v>820</v>
          </cell>
          <cell r="O86" t="str">
            <v>高雄巿岡山區岡山北路199號。</v>
          </cell>
          <cell r="P86" t="str">
            <v>081-巨輪興</v>
          </cell>
          <cell r="Q86" t="str">
            <v>高雄巿岡山區岡山北路199號。</v>
          </cell>
          <cell r="R86">
            <v>30</v>
          </cell>
        </row>
        <row r="87">
          <cell r="B87">
            <v>82</v>
          </cell>
          <cell r="C87" t="str">
            <v>103-07-12</v>
          </cell>
          <cell r="D87" t="str">
            <v>082-統群電機</v>
          </cell>
          <cell r="E87" t="str">
            <v>統群汽車修護廠</v>
          </cell>
          <cell r="F87" t="str">
            <v>未稅</v>
          </cell>
          <cell r="G87" t="str">
            <v>未稅</v>
          </cell>
          <cell r="H87" t="str">
            <v>電機行＞現金價</v>
          </cell>
          <cell r="I87" t="str">
            <v>開票期1.15個月</v>
          </cell>
          <cell r="J87" t="str">
            <v>037-622251&gt;037-613973&gt;0922-622251</v>
          </cell>
          <cell r="N87">
            <v>350</v>
          </cell>
          <cell r="O87" t="str">
            <v>苗栗縣竹南鎮公館里7鄰5-3號。</v>
          </cell>
          <cell r="P87" t="str">
            <v>082-統群電機</v>
          </cell>
          <cell r="Q87" t="str">
            <v>苗栗縣竹南鎮公館里7鄰5-3號。</v>
          </cell>
          <cell r="R87">
            <v>30</v>
          </cell>
        </row>
        <row r="88">
          <cell r="B88">
            <v>83</v>
          </cell>
          <cell r="C88" t="str">
            <v>103-07-12</v>
          </cell>
          <cell r="D88" t="str">
            <v>083-南宏電機</v>
          </cell>
          <cell r="E88" t="str">
            <v>南宏汽車電機行</v>
          </cell>
          <cell r="F88" t="str">
            <v>未稅</v>
          </cell>
          <cell r="G88" t="str">
            <v>未稅</v>
          </cell>
          <cell r="H88" t="str">
            <v>電機行＞現金價</v>
          </cell>
          <cell r="I88" t="str">
            <v>開票期1.15個月&gt;支票抬頭開:廖宏祥</v>
          </cell>
          <cell r="J88" t="str">
            <v>037-552269&gt;0925-994376廖宏祥</v>
          </cell>
          <cell r="N88">
            <v>350</v>
          </cell>
          <cell r="O88" t="str">
            <v>苗栗縣竹南鎮龍山路二段265號。</v>
          </cell>
          <cell r="P88" t="str">
            <v>083-南宏電機</v>
          </cell>
          <cell r="Q88" t="str">
            <v>苗栗縣竹南鎮龍山路二段265號。</v>
          </cell>
          <cell r="R88">
            <v>30</v>
          </cell>
        </row>
        <row r="89">
          <cell r="B89">
            <v>84</v>
          </cell>
          <cell r="C89" t="str">
            <v>103-07-18</v>
          </cell>
          <cell r="D89" t="str">
            <v>084-施明宏</v>
          </cell>
          <cell r="E89" t="str">
            <v>韶斌輪胎行＞張銀池-彰化</v>
          </cell>
          <cell r="F89" t="str">
            <v>2548＞5620＞未稅</v>
          </cell>
          <cell r="G89" t="str">
            <v>未稅</v>
          </cell>
          <cell r="H89" t="str">
            <v>輪胎</v>
          </cell>
          <cell r="I89" t="str">
            <v>開票期1.15個月</v>
          </cell>
          <cell r="J89" t="str">
            <v>0931-045993施明宏</v>
          </cell>
          <cell r="N89">
            <v>632</v>
          </cell>
          <cell r="O89" t="str">
            <v>雲林縣虎尾鎮頂湳路64-1號。</v>
          </cell>
          <cell r="P89" t="str">
            <v>084-施明宏</v>
          </cell>
          <cell r="Q89" t="str">
            <v>雲林縣虎尾鎮頂湳路64-1號。</v>
          </cell>
          <cell r="R89">
            <v>30</v>
          </cell>
        </row>
        <row r="90">
          <cell r="B90">
            <v>85</v>
          </cell>
          <cell r="C90" t="str">
            <v>103-08-11</v>
          </cell>
          <cell r="D90" t="str">
            <v>085-欣承</v>
          </cell>
          <cell r="E90" t="str">
            <v>欣承企業社</v>
          </cell>
          <cell r="F90" t="str">
            <v>1055＞9052＞未稅</v>
          </cell>
          <cell r="G90" t="str">
            <v>未稅</v>
          </cell>
          <cell r="H90" t="str">
            <v>空壓機</v>
          </cell>
          <cell r="J90" t="str">
            <v>0934-322222彭展俊</v>
          </cell>
          <cell r="N90">
            <v>327</v>
          </cell>
          <cell r="O90" t="str">
            <v>桃園巿新屋區後湖里寶樹路316巷96號。</v>
          </cell>
          <cell r="P90" t="str">
            <v>085-欣承</v>
          </cell>
          <cell r="Q90" t="str">
            <v>桃園巿新屋區後湖里寶樹路316巷96號。</v>
          </cell>
          <cell r="R90">
            <v>30</v>
          </cell>
        </row>
        <row r="91">
          <cell r="B91">
            <v>86</v>
          </cell>
          <cell r="C91" t="str">
            <v>103-11-10</v>
          </cell>
          <cell r="D91" t="str">
            <v>086-佳通</v>
          </cell>
          <cell r="E91" t="str">
            <v>台灣佳通輪胎研發有限公司</v>
          </cell>
          <cell r="F91" t="str">
            <v>2460＞7273＞含稅</v>
          </cell>
          <cell r="G91" t="str">
            <v>含稅</v>
          </cell>
          <cell r="H91" t="str">
            <v>輪胎＞佳通</v>
          </cell>
          <cell r="I91" t="str">
            <v>開票期1.15個月</v>
          </cell>
          <cell r="J91" t="str">
            <v>03-4985612&gt;0933-762501羅家壽&gt;傳真03-4985623</v>
          </cell>
          <cell r="N91">
            <v>328</v>
          </cell>
          <cell r="O91" t="str">
            <v>桃園巿觀音區忠愛路二段283號桃。</v>
          </cell>
          <cell r="P91" t="str">
            <v>086-佳通</v>
          </cell>
          <cell r="Q91" t="str">
            <v>桃園巿觀音區忠愛路二段283號桃。</v>
          </cell>
          <cell r="R91">
            <v>30</v>
          </cell>
        </row>
        <row r="92">
          <cell r="B92">
            <v>87</v>
          </cell>
          <cell r="C92" t="str">
            <v>103-08-11</v>
          </cell>
          <cell r="D92" t="str">
            <v>087-繁榮</v>
          </cell>
          <cell r="E92" t="str">
            <v>繁榮企業社</v>
          </cell>
          <cell r="F92" t="str">
            <v>未稅</v>
          </cell>
          <cell r="G92" t="str">
            <v>未稅</v>
          </cell>
          <cell r="H92" t="str">
            <v>研磨</v>
          </cell>
          <cell r="I92" t="str">
            <v>付現</v>
          </cell>
          <cell r="J92" t="str">
            <v>037-665749&gt;0928-911308邱紋生&gt;傳真037-680995</v>
          </cell>
          <cell r="N92">
            <v>351</v>
          </cell>
          <cell r="O92" t="str">
            <v>苗栗縣頭份鎮中華路865號。</v>
          </cell>
          <cell r="P92" t="str">
            <v>087-繁榮</v>
          </cell>
          <cell r="Q92" t="str">
            <v>苗栗縣頭份鎮中華路865號。</v>
          </cell>
          <cell r="R92">
            <v>30</v>
          </cell>
        </row>
        <row r="93">
          <cell r="B93">
            <v>88</v>
          </cell>
          <cell r="C93" t="str">
            <v>103-08-22</v>
          </cell>
          <cell r="D93" t="str">
            <v>088-龍陞</v>
          </cell>
          <cell r="E93" t="str">
            <v>龍陞專業汽車拷漆</v>
          </cell>
          <cell r="F93" t="str">
            <v>未稅</v>
          </cell>
          <cell r="G93" t="str">
            <v>未稅</v>
          </cell>
          <cell r="H93" t="str">
            <v>拷漆</v>
          </cell>
          <cell r="I93" t="str">
            <v>付現</v>
          </cell>
          <cell r="J93" t="str">
            <v>037-638741&gt;0937-992586陳士傑&gt;傳真037-613003</v>
          </cell>
          <cell r="N93">
            <v>351</v>
          </cell>
          <cell r="O93" t="str">
            <v>苗栗縣頭份鎮尖山里尖豐路206巷112號</v>
          </cell>
          <cell r="P93" t="str">
            <v>088-龍陞</v>
          </cell>
          <cell r="Q93" t="str">
            <v>苗栗縣頭份鎮尖山里尖豐路206巷112號</v>
          </cell>
          <cell r="R93">
            <v>30</v>
          </cell>
        </row>
        <row r="94">
          <cell r="B94">
            <v>89</v>
          </cell>
          <cell r="C94" t="str">
            <v>103-11-13</v>
          </cell>
          <cell r="D94" t="str">
            <v>089-京徽</v>
          </cell>
          <cell r="E94" t="str">
            <v>京徽企業有限公司＞立展化工原料行</v>
          </cell>
          <cell r="F94" t="str">
            <v>未稅</v>
          </cell>
          <cell r="G94" t="str">
            <v>未稅</v>
          </cell>
          <cell r="H94" t="str">
            <v>化清劑</v>
          </cell>
          <cell r="I94" t="str">
            <v>開票期1.15個月</v>
          </cell>
          <cell r="J94" t="str">
            <v>04-25651588&gt;0922-952903劉昭甫</v>
          </cell>
          <cell r="N94">
            <v>428</v>
          </cell>
          <cell r="O94" t="str">
            <v>台中巿大雅區港尾路27號。</v>
          </cell>
          <cell r="P94" t="str">
            <v>089-京徽</v>
          </cell>
          <cell r="Q94" t="str">
            <v>台中巿大雅區港尾路27號。</v>
          </cell>
          <cell r="R94">
            <v>30</v>
          </cell>
        </row>
        <row r="95">
          <cell r="B95">
            <v>90</v>
          </cell>
          <cell r="C95" t="str">
            <v>103-11-17</v>
          </cell>
          <cell r="D95" t="str">
            <v>090-八一&gt;昆翔</v>
          </cell>
          <cell r="E95" t="str">
            <v>昆翔國際股份有限公司&gt;八一</v>
          </cell>
          <cell r="F95" t="str">
            <v>5453＞2378＞含稅</v>
          </cell>
          <cell r="G95" t="str">
            <v>含稅</v>
          </cell>
          <cell r="H95" t="str">
            <v>輪胎</v>
          </cell>
          <cell r="I95" t="str">
            <v>約定匯款中國信託8220000325540537475</v>
          </cell>
          <cell r="J95" t="str">
            <v>04-8372950&gt;0932-546201潘建宏&gt;0988-978095袁子杰&gt;傳真04-8239191</v>
          </cell>
          <cell r="N95">
            <v>510</v>
          </cell>
          <cell r="O95" t="str">
            <v>彰化縣員林巿惠安街1號。</v>
          </cell>
          <cell r="P95" t="str">
            <v>090-八一&gt;昆翔</v>
          </cell>
          <cell r="Q95" t="str">
            <v>彰化縣員林巿惠安街1號。</v>
          </cell>
          <cell r="R95">
            <v>25</v>
          </cell>
        </row>
        <row r="96">
          <cell r="B96">
            <v>91</v>
          </cell>
          <cell r="C96" t="str">
            <v>103-12-15</v>
          </cell>
          <cell r="D96" t="str">
            <v>091-瑞能</v>
          </cell>
          <cell r="E96" t="str">
            <v>瑞能&gt;鋐陽貿易有限公司</v>
          </cell>
          <cell r="F96" t="str">
            <v>2501＞4635＞含稅</v>
          </cell>
          <cell r="G96" t="str">
            <v>含稅</v>
          </cell>
          <cell r="H96" t="str">
            <v>輪胎&gt;馬牌＞現金價</v>
          </cell>
          <cell r="J96" t="str">
            <v>03-5308018&gt;0963-909378林展輝&gt;傳真03-5383218</v>
          </cell>
          <cell r="N96">
            <v>300</v>
          </cell>
          <cell r="O96" t="str">
            <v>新竹巿牛埔南路456號。</v>
          </cell>
          <cell r="P96" t="str">
            <v>091-瑞能</v>
          </cell>
          <cell r="Q96" t="str">
            <v>新竹巿牛埔南路456號。</v>
          </cell>
          <cell r="R96">
            <v>30</v>
          </cell>
        </row>
        <row r="97">
          <cell r="B97">
            <v>92</v>
          </cell>
          <cell r="C97" t="str">
            <v>104-01-13</v>
          </cell>
          <cell r="D97" t="str">
            <v>092-鴻昌</v>
          </cell>
          <cell r="E97" t="str">
            <v>鴻昌農機行</v>
          </cell>
          <cell r="F97" t="str">
            <v>4973＞2930＞未稅</v>
          </cell>
          <cell r="G97" t="str">
            <v>未稅</v>
          </cell>
          <cell r="H97" t="str">
            <v>修鐵牛頭.空壓機＞現金價</v>
          </cell>
          <cell r="I97" t="str">
            <v>付現</v>
          </cell>
          <cell r="J97" t="str">
            <v>037-477038林昌盛</v>
          </cell>
          <cell r="N97">
            <v>350</v>
          </cell>
          <cell r="O97" t="str">
            <v>苗栗縣竹南鎮光復路470號。</v>
          </cell>
          <cell r="P97" t="str">
            <v>092-鴻昌</v>
          </cell>
          <cell r="Q97" t="str">
            <v>苗栗縣竹南鎮光復路470號。</v>
          </cell>
          <cell r="R97">
            <v>30</v>
          </cell>
        </row>
        <row r="98">
          <cell r="B98">
            <v>93</v>
          </cell>
          <cell r="C98" t="str">
            <v>104-01-19</v>
          </cell>
          <cell r="D98" t="str">
            <v>093-有利</v>
          </cell>
          <cell r="E98" t="str">
            <v>有利汽動工具總匯</v>
          </cell>
          <cell r="F98" t="str">
            <v>未稅</v>
          </cell>
          <cell r="G98" t="str">
            <v>未稅</v>
          </cell>
          <cell r="H98" t="str">
            <v>機器零件＞現金價</v>
          </cell>
          <cell r="J98" t="str">
            <v>02-28488961&gt;0939-330169李小平＞0910-165393李小平</v>
          </cell>
          <cell r="N98">
            <v>247</v>
          </cell>
          <cell r="O98" t="str">
            <v>台北縣藘洲巿水湳街23號7樓。</v>
          </cell>
          <cell r="P98" t="str">
            <v>093-有利</v>
          </cell>
          <cell r="Q98" t="str">
            <v>台北縣藘洲巿水湳街23號7樓。</v>
          </cell>
          <cell r="R98">
            <v>30</v>
          </cell>
        </row>
        <row r="99">
          <cell r="B99">
            <v>94</v>
          </cell>
          <cell r="C99" t="str">
            <v>104-02-27</v>
          </cell>
          <cell r="D99" t="str">
            <v>094-淞洋</v>
          </cell>
          <cell r="E99" t="str">
            <v>淞洋有限公司</v>
          </cell>
          <cell r="F99" t="str">
            <v>5361＞3035＞含稅</v>
          </cell>
          <cell r="G99" t="str">
            <v>含稅</v>
          </cell>
          <cell r="H99" t="str">
            <v>輪胎&gt;馬牌</v>
          </cell>
          <cell r="I99" t="str">
            <v>開票期1.15個月</v>
          </cell>
          <cell r="J99" t="str">
            <v>03-5510466&gt;0978-100291吳文君&gt;0955-204560吳文君&gt;傳真03-5510436</v>
          </cell>
          <cell r="N99">
            <v>302</v>
          </cell>
          <cell r="O99" t="str">
            <v>桃園市桃園區國強十三街93號。</v>
          </cell>
          <cell r="P99" t="str">
            <v>094-淞洋</v>
          </cell>
          <cell r="Q99" t="str">
            <v>新竹縣竹北巿新溪街75號</v>
          </cell>
          <cell r="R99">
            <v>30</v>
          </cell>
        </row>
        <row r="100">
          <cell r="B100">
            <v>95</v>
          </cell>
          <cell r="C100" t="str">
            <v>104-02-27</v>
          </cell>
          <cell r="D100" t="str">
            <v>095-彰化回收胎底</v>
          </cell>
          <cell r="E100" t="str">
            <v>回收買賣胎底</v>
          </cell>
          <cell r="F100" t="str">
            <v>未稅</v>
          </cell>
          <cell r="G100" t="str">
            <v>未稅</v>
          </cell>
          <cell r="H100" t="str">
            <v>輪胎&gt;回收買賣胎底&gt;現金價</v>
          </cell>
          <cell r="J100" t="str">
            <v>0932-543271&gt;0932-543271劉先生</v>
          </cell>
          <cell r="N100" t="str"/>
          <cell r="P100" t="str">
            <v>095-彰化回收胎底</v>
          </cell>
          <cell r="R100">
            <v>30</v>
          </cell>
        </row>
        <row r="101">
          <cell r="B101">
            <v>96</v>
          </cell>
          <cell r="C101" t="str">
            <v>104-02-27</v>
          </cell>
          <cell r="D101" t="str">
            <v>096-建榮</v>
          </cell>
          <cell r="E101" t="str">
            <v>建榮-賴建彬-奎伯</v>
          </cell>
          <cell r="F101" t="str">
            <v>未稅</v>
          </cell>
          <cell r="G101" t="str">
            <v>未稅</v>
          </cell>
          <cell r="H101" t="str">
            <v>輪胎&gt;收廢胎＞現金價</v>
          </cell>
          <cell r="J101" t="str">
            <v>0910-923323&gt;0910-923323賴建彬</v>
          </cell>
          <cell r="N101">
            <v>368</v>
          </cell>
          <cell r="O101" t="str">
            <v>苗栗縣西湖鄉湖東村9鄰10-21號。</v>
          </cell>
          <cell r="P101" t="str">
            <v>096-建榮</v>
          </cell>
          <cell r="Q101" t="str">
            <v>苗栗縣西湖鄉湖東村9鄰10-21號。</v>
          </cell>
          <cell r="R101">
            <v>30</v>
          </cell>
        </row>
        <row r="102">
          <cell r="B102">
            <v>97</v>
          </cell>
          <cell r="C102" t="str">
            <v>104-02-27</v>
          </cell>
          <cell r="D102" t="str">
            <v>097-頂好</v>
          </cell>
          <cell r="E102" t="str">
            <v>赫德利集團-頂好優質水</v>
          </cell>
          <cell r="F102" t="str">
            <v>未稅</v>
          </cell>
          <cell r="G102" t="str">
            <v>未稅</v>
          </cell>
          <cell r="H102" t="str">
            <v>飲水機＞現金價</v>
          </cell>
          <cell r="J102" t="str">
            <v>02-22626000&gt;02-22749421&gt;0955-033980</v>
          </cell>
          <cell r="N102">
            <v>236</v>
          </cell>
          <cell r="O102" t="str">
            <v>新北巿土城區永豐路195巷27弄34號。</v>
          </cell>
          <cell r="P102" t="str">
            <v>097-頂好</v>
          </cell>
          <cell r="Q102" t="str">
            <v>新北巿土城區永豐路195巷27弄34號。</v>
          </cell>
          <cell r="R102">
            <v>30</v>
          </cell>
        </row>
        <row r="103">
          <cell r="B103">
            <v>98</v>
          </cell>
          <cell r="C103" t="str">
            <v>104-03-24</v>
          </cell>
          <cell r="D103" t="str">
            <v>098-岑美</v>
          </cell>
          <cell r="E103" t="str">
            <v>岑美國際有限公司</v>
          </cell>
          <cell r="F103" t="str">
            <v>8057＞9088＞未稅</v>
          </cell>
          <cell r="G103" t="str">
            <v>未稅</v>
          </cell>
          <cell r="H103" t="str">
            <v>機油</v>
          </cell>
          <cell r="I103" t="str">
            <v>開票期1.15個月</v>
          </cell>
          <cell r="J103" t="str">
            <v>03-5944851&gt;0936-656293常晏榕&gt;傳真03-5964150</v>
          </cell>
          <cell r="N103">
            <v>310</v>
          </cell>
          <cell r="O103" t="str">
            <v>新竹縣竹東鎮中正南路102-1號。</v>
          </cell>
          <cell r="P103" t="str">
            <v>098-岑美</v>
          </cell>
          <cell r="Q103" t="str">
            <v>新竹縣竹東鎮中正南路102-1號。</v>
          </cell>
          <cell r="R103">
            <v>30</v>
          </cell>
        </row>
        <row r="104">
          <cell r="B104">
            <v>99</v>
          </cell>
          <cell r="C104" t="str">
            <v>104-03-26</v>
          </cell>
          <cell r="D104" t="str">
            <v>099-LED&gt;大利光電</v>
          </cell>
          <cell r="E104" t="str">
            <v>大利光電科技股份有限公司&gt;銘宥科技廣告工程行</v>
          </cell>
          <cell r="F104" t="str">
            <v>5493&gt;5409&gt;8262&gt;8156</v>
          </cell>
          <cell r="G104" t="str">
            <v>含稅</v>
          </cell>
          <cell r="H104" t="str">
            <v>LED字幕機＞播放檔案格式:.np4或.wmv</v>
          </cell>
          <cell r="J104" t="str">
            <v>0910-660759譚先生</v>
          </cell>
          <cell r="N104">
            <v>412</v>
          </cell>
          <cell r="O104" t="str">
            <v>台中市大里區瑞城里中興路一段26巷93弄15號1樓</v>
          </cell>
          <cell r="P104" t="str">
            <v>099-LED&gt;大利光電</v>
          </cell>
          <cell r="Q104" t="str">
            <v>台中市大里區瑞城里中興路一段26巷93弄15號1樓</v>
          </cell>
          <cell r="R104">
            <v>30</v>
          </cell>
        </row>
        <row r="105">
          <cell r="B105">
            <v>100</v>
          </cell>
          <cell r="C105" t="str">
            <v>104-05-11</v>
          </cell>
          <cell r="D105" t="str">
            <v>100-漢可固(機器)</v>
          </cell>
          <cell r="E105" t="str">
            <v>漢可固輪胎機械有限公司</v>
          </cell>
          <cell r="F105" t="str">
            <v>8486&gt;7580未稅</v>
          </cell>
          <cell r="G105" t="str">
            <v>未稅</v>
          </cell>
          <cell r="H105" t="str">
            <v>機器.千斤頂</v>
          </cell>
          <cell r="I105" t="str">
            <v>開票期1.15個月&gt;匯款台中銀行 內壢分行 133220004406 鄭夙華</v>
          </cell>
          <cell r="J105" t="str">
            <v>03-4520955</v>
          </cell>
          <cell r="N105">
            <v>320</v>
          </cell>
          <cell r="O105" t="str">
            <v>中壢巿內定16街327-1號。</v>
          </cell>
          <cell r="P105" t="str">
            <v>100-漢可固(機器)</v>
          </cell>
          <cell r="Q105" t="str">
            <v>中壢巿內定16街327-1號。</v>
          </cell>
          <cell r="R105">
            <v>30</v>
          </cell>
        </row>
        <row r="106">
          <cell r="B106">
            <v>101</v>
          </cell>
          <cell r="C106" t="str">
            <v>104-05-14</v>
          </cell>
          <cell r="D106" t="str">
            <v>101-大來</v>
          </cell>
          <cell r="E106" t="str">
            <v>大來會計事務所</v>
          </cell>
          <cell r="F106" t="str">
            <v>未稅</v>
          </cell>
          <cell r="G106" t="str">
            <v>未稅</v>
          </cell>
          <cell r="H106" t="str">
            <v>稅務申報＞發票2個月一期＞現金價</v>
          </cell>
          <cell r="J106" t="str">
            <v>03-5251081&gt;03-5238728&gt;0922-885336王麗雪&gt;傳真03-5280338</v>
          </cell>
          <cell r="N106">
            <v>300</v>
          </cell>
          <cell r="O106" t="str">
            <v>新竹巿中正路107號9樓9室。</v>
          </cell>
          <cell r="P106" t="str">
            <v>101-大來</v>
          </cell>
          <cell r="Q106" t="str">
            <v>新竹巿中正路107號9樓9室。</v>
          </cell>
          <cell r="R106">
            <v>30</v>
          </cell>
        </row>
        <row r="107">
          <cell r="B107">
            <v>102</v>
          </cell>
          <cell r="C107" t="str">
            <v>104-06-15</v>
          </cell>
          <cell r="D107" t="str">
            <v>102-永利他</v>
          </cell>
          <cell r="E107" t="str">
            <v>永利他有限公司</v>
          </cell>
          <cell r="F107" t="str">
            <v>5488＞2254＞含稅</v>
          </cell>
          <cell r="G107" t="str">
            <v>含稅</v>
          </cell>
          <cell r="H107" t="str">
            <v>雙喜輪胎＞</v>
          </cell>
          <cell r="J107" t="str">
            <v>04-23362677&gt;0911-371329蕭瑋錚&gt;傳真04-23362582</v>
          </cell>
          <cell r="N107">
            <v>457</v>
          </cell>
          <cell r="O107" t="str">
            <v>台中巿烏日區新興路177號。</v>
          </cell>
          <cell r="P107" t="str">
            <v>102-永利他</v>
          </cell>
          <cell r="Q107" t="str">
            <v>台中巿烏日區新興路177號。</v>
          </cell>
          <cell r="R107">
            <v>30</v>
          </cell>
        </row>
        <row r="108">
          <cell r="B108">
            <v>103</v>
          </cell>
          <cell r="C108" t="str">
            <v>104-06-23</v>
          </cell>
          <cell r="D108" t="str">
            <v>103-翊豐</v>
          </cell>
          <cell r="E108" t="str">
            <v>翊豐通風有限公司</v>
          </cell>
          <cell r="F108" t="str">
            <v>未稅</v>
          </cell>
          <cell r="G108" t="str">
            <v>未稅</v>
          </cell>
          <cell r="H108" t="str">
            <v>冷風扇＞現金價</v>
          </cell>
          <cell r="I108" t="str">
            <v>付現</v>
          </cell>
          <cell r="J108" t="str">
            <v>049-2330808&gt;0914-000707林士傑&gt;傳真049-2330303</v>
          </cell>
          <cell r="N108">
            <v>542</v>
          </cell>
          <cell r="O108" t="str">
            <v>南投縣草屯鎮石川里石川路47-9號</v>
          </cell>
          <cell r="P108" t="str">
            <v>103-翊豐</v>
          </cell>
          <cell r="Q108" t="str">
            <v>南投縣草屯鎮石川里石川路47-9號</v>
          </cell>
          <cell r="R108">
            <v>30</v>
          </cell>
        </row>
        <row r="109">
          <cell r="B109">
            <v>104</v>
          </cell>
          <cell r="C109" t="str">
            <v>104-06-27</v>
          </cell>
          <cell r="D109" t="str">
            <v>104-昇威</v>
          </cell>
          <cell r="E109" t="str">
            <v>昇威電機企業有限公司</v>
          </cell>
          <cell r="F109" t="str">
            <v>8676＞3961＞未稅</v>
          </cell>
          <cell r="G109" t="str">
            <v>未稅</v>
          </cell>
          <cell r="H109" t="str">
            <v>發電機＞現金價</v>
          </cell>
          <cell r="J109" t="str">
            <v>037-460951&gt;0910-178739林建興&gt;傳真037-460692</v>
          </cell>
          <cell r="N109">
            <v>350</v>
          </cell>
          <cell r="O109" t="str">
            <v>苗栗縣竹南鎮天文里龍山路二段190號。</v>
          </cell>
          <cell r="P109" t="str">
            <v>104-昇威</v>
          </cell>
          <cell r="Q109" t="str">
            <v>苗栗縣竹南鎮天文里龍山路二段190號。</v>
          </cell>
          <cell r="R109">
            <v>30</v>
          </cell>
        </row>
        <row r="110">
          <cell r="B110">
            <v>105</v>
          </cell>
          <cell r="C110" t="str">
            <v>104-08-05</v>
          </cell>
          <cell r="D110" t="str">
            <v>105-富美</v>
          </cell>
          <cell r="E110" t="str">
            <v>富美企業社</v>
          </cell>
          <cell r="F110" t="str">
            <v>未稅</v>
          </cell>
          <cell r="G110" t="str">
            <v>未稅</v>
          </cell>
          <cell r="H110" t="str">
            <v>布色手套＞現金價</v>
          </cell>
          <cell r="I110" t="str">
            <v>付現</v>
          </cell>
          <cell r="J110" t="str">
            <v>037-783229&gt;0923-137750邱德富</v>
          </cell>
          <cell r="N110">
            <v>357</v>
          </cell>
          <cell r="O110" t="str">
            <v>苗栗縣通霄鎮城南里7鄰97號。</v>
          </cell>
          <cell r="P110" t="str">
            <v>105-富美</v>
          </cell>
          <cell r="Q110" t="str">
            <v>苗栗縣通霄鎮城南里7鄰97號。</v>
          </cell>
          <cell r="R110">
            <v>30</v>
          </cell>
        </row>
        <row r="111">
          <cell r="B111">
            <v>106</v>
          </cell>
          <cell r="C111" t="str">
            <v>98-11-05</v>
          </cell>
          <cell r="D111" t="str">
            <v>106-勝鋼- 豐驛</v>
          </cell>
          <cell r="E111" t="str">
            <v>勝鋼企業有限公司&gt;豐驛企業社</v>
          </cell>
          <cell r="F111" t="str">
            <v>1290＞3860＞未稅</v>
          </cell>
          <cell r="G111" t="str">
            <v>未稅</v>
          </cell>
          <cell r="H111" t="str">
            <v>堆高機＞現金價</v>
          </cell>
          <cell r="J111" t="str">
            <v>03-4909816&gt;0910-179191陳富祥&gt;傳真03-4905156</v>
          </cell>
          <cell r="N111">
            <v>320</v>
          </cell>
          <cell r="O111" t="str">
            <v>中壢巿福嶺路一段188號。</v>
          </cell>
          <cell r="P111" t="str">
            <v>106-勝鋼- 豐驛</v>
          </cell>
          <cell r="Q111" t="str">
            <v>中壢巿福嶺路一段188號。</v>
          </cell>
          <cell r="R111">
            <v>30</v>
          </cell>
        </row>
        <row r="112">
          <cell r="B112">
            <v>107</v>
          </cell>
          <cell r="C112" t="str">
            <v>98-11-05</v>
          </cell>
          <cell r="D112" t="str">
            <v>107-康恆</v>
          </cell>
          <cell r="E112" t="str">
            <v>康恆電腦軟體設計有限公司</v>
          </cell>
          <cell r="F112" t="str">
            <v>2911＞9457＞未稅</v>
          </cell>
          <cell r="G112" t="str">
            <v>未稅</v>
          </cell>
          <cell r="H112" t="str">
            <v>電腦硬體＞現金價</v>
          </cell>
          <cell r="J112" t="str">
            <v>037-672077&gt;0923-366227許先生小老闆&gt;0932-955352鍾子浩&gt;傳真037-672284</v>
          </cell>
          <cell r="N112">
            <v>351</v>
          </cell>
          <cell r="O112" t="str">
            <v>苗栗縣頭份鎮中正路260號。</v>
          </cell>
          <cell r="P112" t="str">
            <v>107-康恆</v>
          </cell>
          <cell r="Q112" t="str">
            <v>苗栗縣頭份鎮中正路260號。</v>
          </cell>
          <cell r="R112">
            <v>30</v>
          </cell>
        </row>
        <row r="113">
          <cell r="B113">
            <v>108</v>
          </cell>
          <cell r="C113" t="str">
            <v>98-11-05</v>
          </cell>
          <cell r="D113" t="str">
            <v>108-仲車坊</v>
          </cell>
          <cell r="E113" t="str">
            <v>仲車坊＞收中古輪胎＞中型胎</v>
          </cell>
          <cell r="F113" t="str">
            <v>未稅</v>
          </cell>
          <cell r="G113" t="str">
            <v>未稅</v>
          </cell>
          <cell r="H113" t="str">
            <v>輪胎&gt;回收買賣胎底&gt;現金價</v>
          </cell>
          <cell r="J113" t="str">
            <v>03-4802378&gt;0937-238928吳國義&gt;傳真03-4803425</v>
          </cell>
          <cell r="N113">
            <v>325</v>
          </cell>
          <cell r="O113" t="str">
            <v>園縣龍潭鄉建林村建國路127號。</v>
          </cell>
          <cell r="P113" t="str">
            <v>108-仲車坊</v>
          </cell>
          <cell r="Q113" t="str">
            <v>園縣龍潭鄉建林村建國路127號。</v>
          </cell>
          <cell r="R113">
            <v>30</v>
          </cell>
        </row>
        <row r="114">
          <cell r="B114">
            <v>109</v>
          </cell>
          <cell r="C114" t="str">
            <v>98-11-05</v>
          </cell>
          <cell r="D114" t="str">
            <v>109-台中收廢內胎</v>
          </cell>
          <cell r="E114" t="str">
            <v>收廢內胎</v>
          </cell>
          <cell r="F114" t="str">
            <v>未稅</v>
          </cell>
          <cell r="G114" t="str">
            <v>未稅</v>
          </cell>
          <cell r="H114" t="str">
            <v>輪胎&gt;收廢內胎&gt;現金價</v>
          </cell>
          <cell r="I114" t="str">
            <v>開票期2.15個月</v>
          </cell>
          <cell r="J114" t="str">
            <v>04-492351215&gt;0958-858075王証彥</v>
          </cell>
          <cell r="P114" t="str">
            <v>109-台中收廢內胎</v>
          </cell>
          <cell r="R114">
            <v>30</v>
          </cell>
        </row>
        <row r="115">
          <cell r="B115">
            <v>110</v>
          </cell>
          <cell r="C115" t="str">
            <v>98-11-05</v>
          </cell>
          <cell r="D115" t="str">
            <v>110-上鼎照明</v>
          </cell>
          <cell r="E115" t="str">
            <v>上鼎照明</v>
          </cell>
          <cell r="F115" t="str">
            <v>未稅</v>
          </cell>
          <cell r="G115" t="str">
            <v>未稅</v>
          </cell>
          <cell r="H115" t="str">
            <v>燈炮＞現金價</v>
          </cell>
          <cell r="I115" t="str">
            <v>付現</v>
          </cell>
          <cell r="J115" t="str">
            <v>037-550855&gt;傳真037-550799</v>
          </cell>
          <cell r="N115">
            <v>350</v>
          </cell>
          <cell r="O115" t="str">
            <v>苗栗縣竹南鎮博愛街336號。</v>
          </cell>
          <cell r="P115" t="str">
            <v>110-上鼎照明</v>
          </cell>
          <cell r="Q115" t="str">
            <v>苗栗縣竹南鎮博愛街336號。</v>
          </cell>
          <cell r="R115">
            <v>30</v>
          </cell>
        </row>
        <row r="116">
          <cell r="B116">
            <v>111</v>
          </cell>
          <cell r="C116" t="str">
            <v>98-11-05</v>
          </cell>
          <cell r="D116" t="str">
            <v>111-北德文</v>
          </cell>
          <cell r="E116" t="str">
            <v>北德文有限公司</v>
          </cell>
          <cell r="F116" t="str">
            <v>7061＞7056＞含稅</v>
          </cell>
          <cell r="G116" t="str">
            <v>含稅</v>
          </cell>
          <cell r="H116" t="str">
            <v>轎車鋁圈,鋼圈</v>
          </cell>
          <cell r="J116" t="str">
            <v>03-4813866桃園&gt;02-82950035台北&gt;0912-912758鄭紹炫&gt;傳真03-4813867桃園. 02-82950038台北</v>
          </cell>
          <cell r="N116">
            <v>326</v>
          </cell>
          <cell r="O116" t="str">
            <v>桃園市楊梅區新農街2段161號。</v>
          </cell>
          <cell r="P116" t="str">
            <v>111-北德文</v>
          </cell>
          <cell r="Q116" t="str">
            <v>桃園市楊梅區新農街2段161號。</v>
          </cell>
          <cell r="R116">
            <v>30</v>
          </cell>
        </row>
        <row r="117">
          <cell r="B117">
            <v>112</v>
          </cell>
          <cell r="C117" t="str">
            <v>98-11-05</v>
          </cell>
          <cell r="D117" t="str">
            <v>112-超越群科技</v>
          </cell>
          <cell r="E117" t="str">
            <v>超越群科技有限公司</v>
          </cell>
          <cell r="F117" t="str">
            <v>未稅</v>
          </cell>
          <cell r="G117" t="str">
            <v>未稅</v>
          </cell>
          <cell r="H117" t="str">
            <v>行車記錄器&gt;測速器＞現金價</v>
          </cell>
          <cell r="I117" t="str">
            <v>宅配付現</v>
          </cell>
          <cell r="J117" t="str">
            <v>03-3285120&gt;傳真03-3274973</v>
          </cell>
          <cell r="N117">
            <v>333</v>
          </cell>
          <cell r="O117" t="str">
            <v>桃園市龜山區興華2街28號。</v>
          </cell>
          <cell r="P117" t="str">
            <v>112-超越群科技</v>
          </cell>
          <cell r="Q117" t="str">
            <v>桃園市龜山區興華2街28號。</v>
          </cell>
          <cell r="R117">
            <v>30</v>
          </cell>
        </row>
        <row r="118">
          <cell r="B118">
            <v>113</v>
          </cell>
          <cell r="C118" t="str">
            <v>98-11-05</v>
          </cell>
          <cell r="D118" t="str">
            <v>113-收廢胎</v>
          </cell>
          <cell r="E118" t="str">
            <v>收廢胎台中</v>
          </cell>
          <cell r="F118" t="str">
            <v>未稅</v>
          </cell>
          <cell r="G118" t="str">
            <v>未稅</v>
          </cell>
          <cell r="H118" t="str">
            <v>輪胎&gt;收廢胎&gt;現金價</v>
          </cell>
          <cell r="J118" t="str">
            <v>0932-639613老闆娘&gt;0970-559773老闆兒子</v>
          </cell>
          <cell r="P118" t="str">
            <v>113-收廢胎</v>
          </cell>
          <cell r="R118">
            <v>30</v>
          </cell>
        </row>
        <row r="119">
          <cell r="B119">
            <v>114</v>
          </cell>
          <cell r="C119" t="str">
            <v>98-11-05</v>
          </cell>
          <cell r="D119" t="str">
            <v>114-巨浩</v>
          </cell>
          <cell r="E119" t="str">
            <v>收廢機油</v>
          </cell>
          <cell r="F119" t="str">
            <v>未稅</v>
          </cell>
          <cell r="G119" t="str">
            <v>未稅</v>
          </cell>
          <cell r="H119" t="str">
            <v>收廢機油＞現金價</v>
          </cell>
          <cell r="J119" t="str">
            <v>0932-666036謝明志</v>
          </cell>
          <cell r="N119">
            <v>350</v>
          </cell>
          <cell r="O119" t="str">
            <v>苗栗縣竹南鎮崎頂仁愛路1439號。</v>
          </cell>
          <cell r="P119" t="str">
            <v>114-巨浩</v>
          </cell>
          <cell r="Q119" t="str">
            <v>苗栗縣竹南鎮崎頂仁愛路1439號。</v>
          </cell>
          <cell r="R119">
            <v>30</v>
          </cell>
        </row>
        <row r="120">
          <cell r="B120">
            <v>115</v>
          </cell>
          <cell r="C120" t="str">
            <v>98-11-05</v>
          </cell>
          <cell r="D120" t="str">
            <v>115-勝晹</v>
          </cell>
          <cell r="E120" t="str">
            <v>勝晹汽機車材料行</v>
          </cell>
          <cell r="F120" t="str">
            <v>未稅</v>
          </cell>
          <cell r="G120" t="str">
            <v>未稅</v>
          </cell>
          <cell r="H120" t="str">
            <v>汽機車材料</v>
          </cell>
          <cell r="J120" t="str">
            <v>04-7621779&gt;0923-168573柯宗明</v>
          </cell>
          <cell r="N120">
            <v>508</v>
          </cell>
          <cell r="O120" t="str">
            <v>彰化縣和美鎮彰草路2段126巷9號。</v>
          </cell>
          <cell r="P120" t="str">
            <v>115-勝晹</v>
          </cell>
          <cell r="Q120" t="str">
            <v>彰化縣和美鎮彰草路2段126巷9號。</v>
          </cell>
          <cell r="R120">
            <v>30</v>
          </cell>
        </row>
        <row r="121">
          <cell r="B121">
            <v>116</v>
          </cell>
          <cell r="C121" t="str">
            <v>98-11-05</v>
          </cell>
          <cell r="D121" t="str">
            <v>116-全方位</v>
          </cell>
          <cell r="E121" t="str">
            <v>全方位事務科技有限公司</v>
          </cell>
          <cell r="F121" t="str">
            <v>未稅</v>
          </cell>
          <cell r="G121" t="str">
            <v>未稅</v>
          </cell>
          <cell r="H121" t="str">
            <v>報表紙.影印紙＞14:30前定可隔天到貨&gt;現金價&gt;全方位</v>
          </cell>
          <cell r="I121" t="str">
            <v>付現</v>
          </cell>
          <cell r="J121" t="str">
            <v>04-24824945&gt;04-24824578&gt;0980-361721范瑞紜</v>
          </cell>
          <cell r="N121">
            <v>412</v>
          </cell>
          <cell r="O121" t="str">
            <v>台中市大里區西榮路289號1F。</v>
          </cell>
          <cell r="P121" t="str">
            <v>116-全方位</v>
          </cell>
          <cell r="Q121" t="str">
            <v>台中市大里區西榮路289號1F。</v>
          </cell>
          <cell r="R121">
            <v>30</v>
          </cell>
        </row>
        <row r="122">
          <cell r="B122">
            <v>117</v>
          </cell>
          <cell r="C122" t="str">
            <v>105-09-01</v>
          </cell>
          <cell r="D122" t="str">
            <v>117-佳豪土木</v>
          </cell>
          <cell r="E122" t="str">
            <v>佳豪土木包工業</v>
          </cell>
          <cell r="F122" t="str">
            <v>3881＞2458＞未稅</v>
          </cell>
          <cell r="G122" t="str">
            <v>未稅</v>
          </cell>
          <cell r="H122" t="str">
            <v>建築工程＞現金價</v>
          </cell>
          <cell r="J122" t="str">
            <v>037-229095&gt;0912-330109葉徐睿&gt;傳真037-237095</v>
          </cell>
          <cell r="N122">
            <v>363</v>
          </cell>
          <cell r="O122" t="str">
            <v>苗栗縣公館鄉玉谷村6鄰159-3號。</v>
          </cell>
          <cell r="P122" t="str">
            <v>117-佳豪土木</v>
          </cell>
          <cell r="Q122" t="str">
            <v>苗栗縣公館鄉玉谷村6鄰159-3號。</v>
          </cell>
          <cell r="R122">
            <v>30</v>
          </cell>
        </row>
        <row r="123">
          <cell r="B123">
            <v>118</v>
          </cell>
          <cell r="C123" t="str">
            <v>105-11-17</v>
          </cell>
          <cell r="D123" t="str">
            <v>118-高雄越大</v>
          </cell>
          <cell r="E123" t="str">
            <v>越大輪胎有限公司</v>
          </cell>
          <cell r="F123" t="str">
            <v>2467＞7039＞未稅</v>
          </cell>
          <cell r="G123" t="str">
            <v>未稅</v>
          </cell>
          <cell r="H123" t="str">
            <v>輪胎行</v>
          </cell>
          <cell r="I123" t="str">
            <v>匯款第一銀行岡山分行 731-68-076180 曾美茹</v>
          </cell>
          <cell r="J123" t="str">
            <v>07-6266385&gt;0937-676265陳正彬&gt;傳真07-6268138</v>
          </cell>
          <cell r="N123">
            <v>820</v>
          </cell>
          <cell r="O123" t="str">
            <v>高雄巿岡山區大遼里介壽東路91-1號。</v>
          </cell>
          <cell r="P123" t="str">
            <v>118-高雄越大</v>
          </cell>
          <cell r="Q123" t="str">
            <v>高雄巿岡山區大遼里介壽東路91-1號。</v>
          </cell>
          <cell r="R123">
            <v>30</v>
          </cell>
        </row>
        <row r="124">
          <cell r="B124">
            <v>119</v>
          </cell>
          <cell r="C124" t="str">
            <v>105-11-22</v>
          </cell>
          <cell r="D124" t="str">
            <v>119-敏銓&gt;鍾寶隆</v>
          </cell>
          <cell r="E124" t="str">
            <v>敏銓輪胎行</v>
          </cell>
          <cell r="F124" t="str">
            <v>3780＞5227＞未稅</v>
          </cell>
          <cell r="G124" t="str">
            <v>未稅</v>
          </cell>
          <cell r="H124" t="str">
            <v>輪胎行</v>
          </cell>
          <cell r="I124" t="str">
            <v>付現</v>
          </cell>
          <cell r="J124" t="str">
            <v>03-3710217&gt;0980-760625鍾寶龍&gt;傳真03-3710218</v>
          </cell>
          <cell r="N124">
            <v>334</v>
          </cell>
          <cell r="O124" t="str">
            <v>桃園巿八德區廣福路656號。</v>
          </cell>
          <cell r="P124" t="str">
            <v>119-敏銓&gt;鍾寶隆</v>
          </cell>
          <cell r="Q124" t="str">
            <v>桃園巿八德區廣福路656號。</v>
          </cell>
          <cell r="R124">
            <v>30</v>
          </cell>
        </row>
        <row r="125">
          <cell r="B125">
            <v>120</v>
          </cell>
          <cell r="C125" t="str">
            <v>105-11-23</v>
          </cell>
          <cell r="D125" t="str">
            <v>120-福海</v>
          </cell>
          <cell r="E125" t="str">
            <v>福海輪胎企業有限公司</v>
          </cell>
          <cell r="F125" t="str">
            <v>2807＞5537＞未稅</v>
          </cell>
          <cell r="G125" t="str">
            <v>未稅</v>
          </cell>
          <cell r="H125" t="str">
            <v>輪胎行</v>
          </cell>
          <cell r="J125" t="str">
            <v>02-24974500&gt;0937-053500&gt;傳真02-24973272</v>
          </cell>
          <cell r="N125">
            <v>224</v>
          </cell>
          <cell r="O125" t="str">
            <v>新竹巿瑞芳區建基路一段四號。</v>
          </cell>
          <cell r="P125" t="str">
            <v>120-福海</v>
          </cell>
          <cell r="Q125" t="str">
            <v>新竹巿瑞芳區建基路一段四號。</v>
          </cell>
          <cell r="R125">
            <v>30</v>
          </cell>
        </row>
        <row r="126">
          <cell r="B126">
            <v>121</v>
          </cell>
          <cell r="C126" t="str">
            <v>105-11-25</v>
          </cell>
          <cell r="D126" t="str">
            <v>121-力璽</v>
          </cell>
          <cell r="E126" t="str">
            <v>力璽工程有限公司</v>
          </cell>
          <cell r="F126" t="str">
            <v>1292＞8623＞未稅</v>
          </cell>
          <cell r="G126" t="str">
            <v>未稅</v>
          </cell>
          <cell r="H126" t="str">
            <v>廠房建設</v>
          </cell>
          <cell r="J126" t="str">
            <v>037-911929&gt;0932-525705陳志忠</v>
          </cell>
          <cell r="N126">
            <v>360</v>
          </cell>
          <cell r="O126" t="str">
            <v>苗栗縣苗栗巿南勢里南勢20-7號＞登:苗栗縣公館鄉玉泉村16鄰248之7號。</v>
          </cell>
          <cell r="P126" t="str">
            <v>121-力璽</v>
          </cell>
          <cell r="Q126" t="str">
            <v>苗栗縣苗栗巿南勢里南勢20-7號</v>
          </cell>
          <cell r="R126">
            <v>30</v>
          </cell>
        </row>
        <row r="127">
          <cell r="B127">
            <v>122</v>
          </cell>
          <cell r="C127" t="str">
            <v>105-12-01</v>
          </cell>
          <cell r="D127" t="str">
            <v>122-順偉</v>
          </cell>
          <cell r="E127" t="str">
            <v>順偉輪胎有限公司</v>
          </cell>
          <cell r="F127" t="str">
            <v>5337＞8073＞未稅</v>
          </cell>
          <cell r="G127" t="str">
            <v>未稅</v>
          </cell>
          <cell r="H127" t="str">
            <v>輪胎行</v>
          </cell>
          <cell r="I127" t="str">
            <v>付現</v>
          </cell>
          <cell r="J127" t="str">
            <v>04-26398656&gt;0937-735325楊金龍</v>
          </cell>
          <cell r="N127">
            <v>435</v>
          </cell>
          <cell r="O127" t="str">
            <v>台中巿梧棲區自立路21號。</v>
          </cell>
          <cell r="P127" t="str">
            <v>122-順偉</v>
          </cell>
          <cell r="Q127" t="str">
            <v>台中巿梧棲區自立路21號。</v>
          </cell>
          <cell r="R127">
            <v>30</v>
          </cell>
        </row>
        <row r="128">
          <cell r="B128">
            <v>123</v>
          </cell>
          <cell r="C128" t="str">
            <v>105-12-01</v>
          </cell>
          <cell r="D128" t="str">
            <v>123-永順</v>
          </cell>
          <cell r="E128" t="str">
            <v>永順輪胎行</v>
          </cell>
          <cell r="G128" t="str">
            <v>未稅</v>
          </cell>
          <cell r="H128" t="str">
            <v>輪胎行</v>
          </cell>
          <cell r="I128" t="str">
            <v>付現</v>
          </cell>
          <cell r="J128" t="str">
            <v>037-872486&gt;037-870286</v>
          </cell>
          <cell r="N128">
            <v>367</v>
          </cell>
          <cell r="O128" t="str">
            <v>苗栗縣三義鄉西湖村下湖5-1號</v>
          </cell>
          <cell r="P128" t="str">
            <v>123-永順</v>
          </cell>
          <cell r="Q128" t="str">
            <v>苗栗縣三義鄉西湖村下湖5-1號</v>
          </cell>
          <cell r="R128">
            <v>30</v>
          </cell>
        </row>
        <row r="129">
          <cell r="B129">
            <v>124</v>
          </cell>
          <cell r="C129" t="str">
            <v>105-12-16</v>
          </cell>
          <cell r="D129" t="str">
            <v>124-日亨</v>
          </cell>
          <cell r="E129" t="str">
            <v>日亨輪胎有限公司</v>
          </cell>
          <cell r="G129" t="str">
            <v>未稅</v>
          </cell>
          <cell r="H129" t="str">
            <v>輪胎行</v>
          </cell>
          <cell r="I129" t="str">
            <v>匯款彰化銀行代號:009.分行代號:9348 93185118283700 陳仕宗</v>
          </cell>
          <cell r="J129" t="str">
            <v>03-4828593</v>
          </cell>
          <cell r="N129">
            <v>326</v>
          </cell>
          <cell r="O129" t="str">
            <v>桃園縣桃園巿</v>
          </cell>
          <cell r="P129" t="str">
            <v>日亨輪胎有限公司</v>
          </cell>
          <cell r="Q129" t="str">
            <v>桃園市楊梅區永美路410號</v>
          </cell>
          <cell r="R129">
            <v>30</v>
          </cell>
        </row>
        <row r="130">
          <cell r="B130">
            <v>125</v>
          </cell>
          <cell r="C130" t="str">
            <v>105-12-24</v>
          </cell>
          <cell r="D130" t="str">
            <v>125-勇和興</v>
          </cell>
          <cell r="E130" t="str">
            <v>勇和興輪胎行</v>
          </cell>
          <cell r="G130" t="str">
            <v>未稅</v>
          </cell>
          <cell r="H130" t="str">
            <v>輪胎行</v>
          </cell>
          <cell r="I130" t="str">
            <v>付現</v>
          </cell>
          <cell r="J130" t="str">
            <v>02-22633375&gt;0961-161088</v>
          </cell>
          <cell r="N130">
            <v>237</v>
          </cell>
          <cell r="O130" t="str">
            <v>新北巿三峽區佳興路3號。</v>
          </cell>
          <cell r="P130" t="str">
            <v>125-勇和興</v>
          </cell>
          <cell r="Q130" t="str">
            <v>新北巿三峽區佳興路3號。</v>
          </cell>
          <cell r="R130">
            <v>30</v>
          </cell>
        </row>
        <row r="131">
          <cell r="B131">
            <v>126</v>
          </cell>
          <cell r="C131" t="str">
            <v>105-12-24</v>
          </cell>
          <cell r="D131" t="str">
            <v>126-順暉&gt;順輝</v>
          </cell>
          <cell r="E131" t="str">
            <v>順暉&gt;順輝輪胎行</v>
          </cell>
          <cell r="G131" t="str">
            <v>未稅</v>
          </cell>
          <cell r="H131" t="str">
            <v>輪胎行</v>
          </cell>
          <cell r="I131" t="str">
            <v>付現</v>
          </cell>
          <cell r="J131" t="str">
            <v>037-747535&gt;0932-524783</v>
          </cell>
          <cell r="N131">
            <v>358</v>
          </cell>
          <cell r="O131" t="str">
            <v>苗栗縣苑裡鎮山柑里6鄰65-33號。</v>
          </cell>
          <cell r="P131" t="str">
            <v>126-順暉&gt;順輝</v>
          </cell>
          <cell r="Q131" t="str">
            <v>苗栗縣苑裡鎮山柑里6鄰65-33號。</v>
          </cell>
          <cell r="R131">
            <v>30</v>
          </cell>
        </row>
        <row r="132">
          <cell r="B132">
            <v>127</v>
          </cell>
          <cell r="C132" t="str">
            <v>106-01-06</v>
          </cell>
          <cell r="D132" t="str">
            <v>127-連豐</v>
          </cell>
          <cell r="E132" t="str">
            <v>連豐輪胎行</v>
          </cell>
          <cell r="G132" t="str">
            <v>未稅</v>
          </cell>
          <cell r="H132" t="str">
            <v>輪胎&gt;米其林&gt;現金價</v>
          </cell>
          <cell r="I132" t="str">
            <v>約定匯款三信銀行 大智分行 0731044256 石文永</v>
          </cell>
          <cell r="J132" t="str">
            <v>04-22878230&gt;04-22871718&gt;0933-405633石文永</v>
          </cell>
          <cell r="N132">
            <v>402</v>
          </cell>
          <cell r="O132" t="str">
            <v>台中巿南區建成路1132號。</v>
          </cell>
          <cell r="P132" t="str">
            <v>127-連豐</v>
          </cell>
          <cell r="Q132" t="str">
            <v>台中巿南區建成路1132號。</v>
          </cell>
          <cell r="R132">
            <v>30</v>
          </cell>
        </row>
        <row r="133">
          <cell r="B133">
            <v>128</v>
          </cell>
          <cell r="C133" t="str">
            <v>106-01-09</v>
          </cell>
          <cell r="D133" t="str">
            <v>128-正鋼</v>
          </cell>
          <cell r="E133" t="str">
            <v>正鋼專業汽車手工具</v>
          </cell>
          <cell r="F133" t="str">
            <v>未稅</v>
          </cell>
          <cell r="G133" t="str">
            <v>未稅</v>
          </cell>
          <cell r="H133" t="str">
            <v>開貨車賣手工具＞現金價</v>
          </cell>
          <cell r="I133" t="str">
            <v>付現</v>
          </cell>
          <cell r="J133" t="str">
            <v>0932-135412鄭剛</v>
          </cell>
          <cell r="N133" t="str"/>
          <cell r="P133" t="str">
            <v>128-正鋼</v>
          </cell>
          <cell r="R133">
            <v>30</v>
          </cell>
        </row>
        <row r="134">
          <cell r="B134">
            <v>129</v>
          </cell>
          <cell r="C134" t="str">
            <v>106-01-11</v>
          </cell>
          <cell r="D134" t="str">
            <v>129-大順</v>
          </cell>
          <cell r="E134" t="str">
            <v>大順輪胎行</v>
          </cell>
          <cell r="G134" t="str">
            <v>未稅</v>
          </cell>
          <cell r="H134" t="str">
            <v>輪胎行</v>
          </cell>
          <cell r="I134" t="str">
            <v>付現</v>
          </cell>
          <cell r="J134" t="str">
            <v>03-5693437&gt;03-5693439&gt;0937-949847</v>
          </cell>
          <cell r="N134" t="str"/>
          <cell r="P134" t="str">
            <v>129-大順</v>
          </cell>
          <cell r="R134">
            <v>30</v>
          </cell>
        </row>
        <row r="135">
          <cell r="B135">
            <v>130</v>
          </cell>
          <cell r="C135" t="str">
            <v>106-01-18</v>
          </cell>
          <cell r="D135" t="str">
            <v>130-緯達</v>
          </cell>
          <cell r="E135" t="str">
            <v>緯達輪胎行</v>
          </cell>
          <cell r="F135" t="str">
            <v>1335＞6334＞未稅</v>
          </cell>
          <cell r="G135" t="str">
            <v>未稅</v>
          </cell>
          <cell r="H135" t="str">
            <v>輪胎行</v>
          </cell>
          <cell r="J135" t="str">
            <v>037-672298&gt;0922-602112羅文標</v>
          </cell>
          <cell r="N135">
            <v>351</v>
          </cell>
          <cell r="O135" t="str">
            <v>苗栗縣頭份巿頭份里2鄰中正路291號。</v>
          </cell>
          <cell r="P135" t="str">
            <v>130-緯達</v>
          </cell>
          <cell r="Q135" t="str">
            <v>苗栗縣頭份巿頭份里2鄰中正路291號。</v>
          </cell>
          <cell r="R135">
            <v>30</v>
          </cell>
        </row>
        <row r="136">
          <cell r="B136">
            <v>131</v>
          </cell>
          <cell r="C136" t="str">
            <v>106-01-06</v>
          </cell>
          <cell r="D136" t="str">
            <v>131-廈門</v>
          </cell>
          <cell r="E136" t="str">
            <v>廈門自動科技有限公司</v>
          </cell>
          <cell r="G136" t="str">
            <v>未稅</v>
          </cell>
          <cell r="H136" t="str">
            <v>補片</v>
          </cell>
          <cell r="I136" t="str">
            <v>匯款</v>
          </cell>
          <cell r="J136" t="str">
            <v>86-592-3818088&gt;傳真86-592-3818028&gt;E-MAIL:sales@tiretec-lyndon.com</v>
          </cell>
          <cell r="O136" t="str">
            <v>中國福建省廈門巿湘北區興興工業區富興路451號。</v>
          </cell>
          <cell r="P136" t="str">
            <v>131-廈門</v>
          </cell>
          <cell r="Q136" t="str">
            <v>中國福建省廈門巿湘北區興興工業區富興路451號。</v>
          </cell>
          <cell r="R136">
            <v>30</v>
          </cell>
        </row>
        <row r="137">
          <cell r="B137">
            <v>132</v>
          </cell>
          <cell r="C137" t="str">
            <v>105-11-01</v>
          </cell>
          <cell r="D137" t="str">
            <v>132-太原氣體</v>
          </cell>
          <cell r="E137" t="str">
            <v>太原氣體股份有限公司＞負:溫穩鵬</v>
          </cell>
          <cell r="F137" t="str">
            <v>4970＞3344太原＞未稅</v>
          </cell>
          <cell r="G137" t="str">
            <v>未稅</v>
          </cell>
          <cell r="H137" t="str">
            <v>氣體</v>
          </cell>
          <cell r="I137" t="str">
            <v>付現</v>
          </cell>
          <cell r="J137" t="str">
            <v>037-623340＞037-625350＞傳真037-620036</v>
          </cell>
          <cell r="N137">
            <v>351</v>
          </cell>
          <cell r="O137" t="str">
            <v>苗栗縣頭份市蘆竹里16鄰中華路428號。</v>
          </cell>
          <cell r="P137" t="str">
            <v>132-太原氣體</v>
          </cell>
          <cell r="Q137" t="str">
            <v>苗栗縣頭份鎮蘆竹里16鄰中華路428號。</v>
          </cell>
          <cell r="R137">
            <v>30</v>
          </cell>
        </row>
        <row r="138">
          <cell r="B138">
            <v>133</v>
          </cell>
          <cell r="C138" t="str">
            <v>106-02-16</v>
          </cell>
          <cell r="D138" t="str">
            <v>133-大地</v>
          </cell>
          <cell r="E138" t="str">
            <v>駿固&gt;烏日大地&gt;李冠輝</v>
          </cell>
          <cell r="F138" t="str">
            <v>5480&gt;5861駿固&gt;含稅</v>
          </cell>
          <cell r="G138" t="str">
            <v>含稅</v>
          </cell>
          <cell r="H138" t="str">
            <v>輪胎行</v>
          </cell>
          <cell r="J138" t="str">
            <v>04-23370915&gt;0932-640236&gt;傳真04-23363906</v>
          </cell>
          <cell r="N138">
            <v>414</v>
          </cell>
          <cell r="O138" t="str">
            <v>台中市烏日鄉興祥街41巷22號6F</v>
          </cell>
          <cell r="P138" t="str">
            <v>133-大地</v>
          </cell>
          <cell r="Q138" t="str">
            <v>台中市烏日鄉興祥街41巷22號6F</v>
          </cell>
          <cell r="R138">
            <v>30</v>
          </cell>
        </row>
        <row r="139">
          <cell r="B139">
            <v>134</v>
          </cell>
          <cell r="C139" t="str">
            <v>106-02-24</v>
          </cell>
          <cell r="D139" t="str">
            <v>134-冠泓貿易</v>
          </cell>
          <cell r="E139" t="str">
            <v>冠泓貿易有限公司</v>
          </cell>
          <cell r="G139" t="str">
            <v>含稅</v>
          </cell>
          <cell r="H139" t="str">
            <v>機器</v>
          </cell>
          <cell r="J139" t="str">
            <v>04-7625699</v>
          </cell>
          <cell r="N139">
            <v>500</v>
          </cell>
          <cell r="O139" t="str">
            <v>彰化市彰鹿路120巷275號</v>
          </cell>
          <cell r="P139" t="str">
            <v>134-冠泓貿易</v>
          </cell>
          <cell r="Q139" t="str">
            <v>彰化市彰鹿路120巷275號</v>
          </cell>
          <cell r="R139">
            <v>30</v>
          </cell>
        </row>
        <row r="140">
          <cell r="B140">
            <v>135</v>
          </cell>
          <cell r="C140" t="str">
            <v>106-03-17</v>
          </cell>
          <cell r="D140" t="str">
            <v>135-新技資訊</v>
          </cell>
          <cell r="E140" t="str">
            <v>新技資訊有限公司</v>
          </cell>
          <cell r="F140" t="str">
            <v>2386&gt;3719新技&gt;未稅</v>
          </cell>
          <cell r="G140" t="str">
            <v>未稅</v>
          </cell>
          <cell r="H140" t="str">
            <v>電腦周邊商品&gt;碳粉夾&gt;現金價</v>
          </cell>
          <cell r="I140" t="str">
            <v>付現&gt;匯款華南銀行 大眾分行 3511-0000-3851 新技資訊有限公司</v>
          </cell>
          <cell r="J140" t="str">
            <v>03-5219016&gt;傳真03-5262986</v>
          </cell>
          <cell r="N140">
            <v>300</v>
          </cell>
          <cell r="O140" t="str">
            <v>新竹市勝利路132號</v>
          </cell>
          <cell r="P140" t="str">
            <v>135-新技資訊</v>
          </cell>
          <cell r="Q140" t="str">
            <v>新竹市勝利路132號</v>
          </cell>
          <cell r="R140">
            <v>30</v>
          </cell>
        </row>
        <row r="141">
          <cell r="B141">
            <v>136</v>
          </cell>
          <cell r="C141" t="str">
            <v>106-03-24</v>
          </cell>
          <cell r="D141" t="str">
            <v>136-熊屋商店</v>
          </cell>
          <cell r="E141" t="str">
            <v>熊屋商店</v>
          </cell>
          <cell r="G141" t="str">
            <v>未稅</v>
          </cell>
          <cell r="H141" t="str">
            <v>10P乾粉滅火器&gt;現金價</v>
          </cell>
          <cell r="J141" t="str">
            <v>02-89761568&gt;02-89761568</v>
          </cell>
          <cell r="N141">
            <v>241</v>
          </cell>
          <cell r="O141" t="str">
            <v>新北市三重區河邊北街142號</v>
          </cell>
          <cell r="P141" t="str">
            <v>136-熊屋商店</v>
          </cell>
          <cell r="Q141" t="str">
            <v>新北市三重區河邊北街142號</v>
          </cell>
          <cell r="R141">
            <v>30</v>
          </cell>
        </row>
        <row r="142">
          <cell r="B142">
            <v>137</v>
          </cell>
          <cell r="C142" t="str">
            <v>106-04-22</v>
          </cell>
          <cell r="D142" t="str">
            <v>137-祈星實業</v>
          </cell>
          <cell r="E142" t="str">
            <v>祈星實業股份有限公司</v>
          </cell>
          <cell r="F142" t="str">
            <v>8627&gt;9812&gt;未稅</v>
          </cell>
          <cell r="G142" t="str">
            <v>未稅</v>
          </cell>
          <cell r="H142" t="str">
            <v>輪胎蠟桶子</v>
          </cell>
          <cell r="I142" t="str">
            <v>付現</v>
          </cell>
          <cell r="J142" t="str">
            <v>02-27117656&gt;04-26818112&gt;傳真04-26817382</v>
          </cell>
          <cell r="N142">
            <v>437</v>
          </cell>
          <cell r="O142" t="str">
            <v>台中市大甲區通天路4號</v>
          </cell>
          <cell r="P142" t="str">
            <v>137-祈星實業</v>
          </cell>
          <cell r="Q142" t="str">
            <v>台中市大甲區通天路4號</v>
          </cell>
          <cell r="R142">
            <v>30</v>
          </cell>
        </row>
        <row r="143">
          <cell r="B143">
            <v>138</v>
          </cell>
          <cell r="C143" t="str">
            <v>106-04-24</v>
          </cell>
          <cell r="D143" t="str">
            <v>138-萬大</v>
          </cell>
          <cell r="E143" t="str">
            <v>萬大輪胎</v>
          </cell>
          <cell r="G143" t="str">
            <v>未稅</v>
          </cell>
          <cell r="H143" t="str">
            <v>輪胎行</v>
          </cell>
          <cell r="I143" t="str">
            <v>匯款</v>
          </cell>
          <cell r="J143" t="str">
            <v>0919-075114</v>
          </cell>
          <cell r="N143">
            <v>351</v>
          </cell>
          <cell r="O143" t="str">
            <v>苗栗縣頭份市民族路591號</v>
          </cell>
          <cell r="P143" t="str">
            <v>138-萬大</v>
          </cell>
          <cell r="Q143" t="str">
            <v>苗栗縣頭份市山下里建國路2段9鄰132號</v>
          </cell>
          <cell r="R143">
            <v>25</v>
          </cell>
        </row>
        <row r="144">
          <cell r="B144">
            <v>139</v>
          </cell>
          <cell r="C144" t="str">
            <v>106-05-04</v>
          </cell>
          <cell r="D144" t="str">
            <v>139-章化輪胎&gt;桃園廠</v>
          </cell>
          <cell r="E144" t="str">
            <v>章化輪胎有限公司</v>
          </cell>
          <cell r="F144" t="str">
            <v>5382＞9366＞含稅＞救車未稅</v>
          </cell>
          <cell r="G144" t="str">
            <v>含稅</v>
          </cell>
          <cell r="H144" t="str">
            <v>輪胎行</v>
          </cell>
          <cell r="I144" t="str">
            <v>付現</v>
          </cell>
          <cell r="J144" t="str">
            <v>03-4200125＞0913-326115陳昭任</v>
          </cell>
          <cell r="N144">
            <v>320</v>
          </cell>
          <cell r="O144" t="str">
            <v>桃園縣中壢巿過嶺里松勤路101巷3號1樓。</v>
          </cell>
          <cell r="P144" t="str">
            <v>139-章化輪胎</v>
          </cell>
          <cell r="Q144" t="str">
            <v>桃園縣新屋鄉頭洲村犁頭洲20-6號</v>
          </cell>
          <cell r="R144">
            <v>30</v>
          </cell>
        </row>
        <row r="145">
          <cell r="B145">
            <v>140</v>
          </cell>
          <cell r="C145" t="str">
            <v>106-05-05</v>
          </cell>
          <cell r="D145" t="str">
            <v>140-富山輪圈</v>
          </cell>
          <cell r="E145" t="str">
            <v>富山輪圈&gt;信樺昌企業有限公司</v>
          </cell>
          <cell r="G145" t="str">
            <v>未稅</v>
          </cell>
          <cell r="H145" t="str">
            <v>鋼圈</v>
          </cell>
          <cell r="I145" t="str">
            <v>開票期0.15個月</v>
          </cell>
          <cell r="J145" t="str">
            <v>07-374-2555&gt;06-266-2310</v>
          </cell>
          <cell r="N145">
            <v>717</v>
          </cell>
          <cell r="O145" t="str">
            <v>高雄市仁武區仁心路113巷49-1號</v>
          </cell>
          <cell r="P145" t="str">
            <v>140-富山輪圈</v>
          </cell>
          <cell r="Q145" t="str">
            <v>高雄市仁武區仁心路113巷49-1號</v>
          </cell>
          <cell r="R145">
            <v>30</v>
          </cell>
        </row>
        <row r="146">
          <cell r="B146">
            <v>141</v>
          </cell>
          <cell r="C146" t="str">
            <v>106-05-06</v>
          </cell>
          <cell r="D146" t="str">
            <v>141-侑享輪業</v>
          </cell>
          <cell r="E146" t="str">
            <v>侑享輪業企業社</v>
          </cell>
          <cell r="G146" t="str">
            <v>未稅</v>
          </cell>
          <cell r="H146" t="str">
            <v>鋼圈&gt;避震器&gt;制動</v>
          </cell>
          <cell r="J146" t="str">
            <v>07-310-3000&gt;07-341-5400&gt;傳真07-310-5148</v>
          </cell>
          <cell r="N146">
            <v>813</v>
          </cell>
          <cell r="O146" t="str">
            <v>高雄市左營區大中二路71號</v>
          </cell>
          <cell r="P146" t="str">
            <v>141-侑享輪業</v>
          </cell>
          <cell r="Q146" t="str">
            <v>高雄市左營區大中二路71號</v>
          </cell>
          <cell r="R146">
            <v>30</v>
          </cell>
        </row>
        <row r="147">
          <cell r="B147">
            <v>142</v>
          </cell>
          <cell r="C147" t="str">
            <v>106-05-18</v>
          </cell>
          <cell r="D147" t="str">
            <v>142-源一</v>
          </cell>
          <cell r="E147" t="str">
            <v>源一輪胎有限公司</v>
          </cell>
          <cell r="G147" t="str">
            <v>未稅</v>
          </cell>
          <cell r="H147" t="str">
            <v>輪胎</v>
          </cell>
          <cell r="J147" t="str">
            <v>0932-177276林益良</v>
          </cell>
          <cell r="N147" t="str"/>
          <cell r="P147" t="str">
            <v>142-源一</v>
          </cell>
          <cell r="R147">
            <v>30</v>
          </cell>
        </row>
        <row r="148">
          <cell r="B148">
            <v>143</v>
          </cell>
          <cell r="C148" t="str">
            <v>106-05-19</v>
          </cell>
          <cell r="D148" t="str">
            <v>143-玉山輪胎</v>
          </cell>
          <cell r="E148" t="str">
            <v>玉山輪胎股份有限公司</v>
          </cell>
          <cell r="G148" t="str">
            <v>含稅</v>
          </cell>
          <cell r="H148" t="str">
            <v>翻修胎</v>
          </cell>
          <cell r="I148" t="str">
            <v>開票期0.15個月</v>
          </cell>
          <cell r="J148" t="str">
            <v>05-2652176&gt;05-2652231&gt;0933-357732對帳李先生&gt;0932-525875輪胎收送羅先生</v>
          </cell>
          <cell r="N148">
            <v>622</v>
          </cell>
          <cell r="O148" t="str">
            <v>嘉義縣大林鎮明華里中正路191號</v>
          </cell>
          <cell r="P148" t="str">
            <v>143-玉山輪胎</v>
          </cell>
          <cell r="Q148" t="str">
            <v>嘉義縣大林鎮明華里中正路191號</v>
          </cell>
          <cell r="R148">
            <v>30</v>
          </cell>
        </row>
        <row r="149">
          <cell r="B149">
            <v>144</v>
          </cell>
          <cell r="C149" t="str">
            <v>106-06-02</v>
          </cell>
          <cell r="D149" t="str">
            <v>144-聯昕興業</v>
          </cell>
          <cell r="E149" t="str">
            <v>聯昕興業有限公司</v>
          </cell>
          <cell r="G149" t="str">
            <v>未稅</v>
          </cell>
          <cell r="H149" t="str">
            <v>特殊刀片&gt;現金價</v>
          </cell>
          <cell r="J149" t="str">
            <v>037-620091&gt;037-620093&gt;037-620193</v>
          </cell>
          <cell r="N149">
            <v>350</v>
          </cell>
          <cell r="O149" t="str">
            <v>苗栗縣頭份鎮永貞路1段336號</v>
          </cell>
          <cell r="P149" t="str">
            <v>144-聯昕興業</v>
          </cell>
          <cell r="Q149" t="str">
            <v>苗栗縣頭份鎮永貞路1段336號</v>
          </cell>
          <cell r="R149">
            <v>30</v>
          </cell>
        </row>
        <row r="150">
          <cell r="B150">
            <v>145</v>
          </cell>
          <cell r="C150" t="str">
            <v>106-06-14</v>
          </cell>
          <cell r="D150" t="str">
            <v>145-京展</v>
          </cell>
          <cell r="E150" t="str">
            <v>京展輪圈有限公司&gt;京展企業社</v>
          </cell>
          <cell r="F150" t="str">
            <v>2913&gt;4226&gt;未稅</v>
          </cell>
          <cell r="G150" t="str">
            <v>未稅</v>
          </cell>
          <cell r="H150" t="str">
            <v>輪胎行</v>
          </cell>
          <cell r="I150" t="str">
            <v>開票期0.15個月&gt;匯款彰化銀行 泰山分行 54708605126800 柯懿珊</v>
          </cell>
          <cell r="J150" t="str">
            <v>02-22966937會計&gt;02-22961987&gt;傳真02-29093515&gt;0939-652338李志強</v>
          </cell>
          <cell r="N150">
            <v>243</v>
          </cell>
          <cell r="O150" t="str">
            <v>新北市泰山區泰林路二段23-5號</v>
          </cell>
          <cell r="P150" t="str">
            <v>145-京展</v>
          </cell>
          <cell r="Q150" t="str">
            <v>新北市泰山區泰林路二段23-5號</v>
          </cell>
          <cell r="R150">
            <v>25</v>
          </cell>
        </row>
        <row r="151">
          <cell r="B151">
            <v>146</v>
          </cell>
          <cell r="C151" t="str">
            <v>106-06-16</v>
          </cell>
          <cell r="D151" t="str">
            <v>146-世全</v>
          </cell>
          <cell r="E151" t="str">
            <v>世全輪胎行&gt;益全輪胎館</v>
          </cell>
          <cell r="G151" t="str">
            <v>未稅</v>
          </cell>
          <cell r="H151" t="str">
            <v>輪胎行</v>
          </cell>
          <cell r="N151" t="str"/>
          <cell r="P151" t="str">
            <v>146-世全</v>
          </cell>
          <cell r="R151">
            <v>30</v>
          </cell>
        </row>
        <row r="152">
          <cell r="B152">
            <v>147</v>
          </cell>
          <cell r="C152" t="str">
            <v>106-07-28</v>
          </cell>
          <cell r="D152" t="str">
            <v>147-允成</v>
          </cell>
          <cell r="E152" t="str">
            <v>允成國際企業有限公司</v>
          </cell>
          <cell r="G152" t="str">
            <v>未稅</v>
          </cell>
          <cell r="H152" t="str">
            <v>胎壓偵測器&gt;現金價</v>
          </cell>
          <cell r="I152" t="str">
            <v>宅配付現</v>
          </cell>
          <cell r="J152" t="str">
            <v>03-5587330&gt;傳真:03-5586130&gt;</v>
          </cell>
          <cell r="N152">
            <v>302</v>
          </cell>
          <cell r="O152" t="str">
            <v>新竹縣竹北市縣政十四街36號</v>
          </cell>
          <cell r="P152" t="str">
            <v>147-允成</v>
          </cell>
          <cell r="Q152" t="str">
            <v>新竹縣竹北市縣政十四街36號</v>
          </cell>
          <cell r="R152">
            <v>30</v>
          </cell>
        </row>
        <row r="153">
          <cell r="B153">
            <v>148</v>
          </cell>
          <cell r="C153" t="str">
            <v>106-08-05</v>
          </cell>
          <cell r="D153" t="str">
            <v>148-世明.炘華泰輪胎-倍耐力</v>
          </cell>
          <cell r="E153" t="str">
            <v>世明輪胎</v>
          </cell>
          <cell r="F153" t="str">
            <v>3081&gt;8047&gt;未稅</v>
          </cell>
          <cell r="G153" t="str">
            <v>未稅</v>
          </cell>
          <cell r="H153" t="str">
            <v>倍耐力輪胎&gt;現金價</v>
          </cell>
          <cell r="I153" t="str">
            <v>開票期0.15個月</v>
          </cell>
          <cell r="J153" t="str">
            <v>04-8728380&gt;傳真:04-8728379&gt;0932598793巫宜明</v>
          </cell>
          <cell r="N153">
            <v>511</v>
          </cell>
          <cell r="O153" t="str">
            <v>彰化縣社頭鄉張厝村三巷170號</v>
          </cell>
          <cell r="P153" t="str">
            <v>148-世明.炘華泰輪胎-倍耐力</v>
          </cell>
          <cell r="Q153" t="str">
            <v>彰化縣社頭鄉張厝村三巷170號</v>
          </cell>
          <cell r="R153">
            <v>30</v>
          </cell>
        </row>
        <row r="154">
          <cell r="B154">
            <v>149</v>
          </cell>
          <cell r="C154" t="str">
            <v>106-08-23</v>
          </cell>
          <cell r="D154" t="str">
            <v>149-BEISSBARTH&gt;翔一汽車</v>
          </cell>
          <cell r="E154" t="str">
            <v>王昱融&gt;翔一汽車機械五金行</v>
          </cell>
          <cell r="G154" t="str">
            <v>含稅</v>
          </cell>
          <cell r="H154" t="str">
            <v>跑台維修&gt;現金價</v>
          </cell>
          <cell r="I154" t="str">
            <v>付現</v>
          </cell>
          <cell r="J154" t="str">
            <v>0937-961970王昱融</v>
          </cell>
          <cell r="N154" t="str"/>
          <cell r="P154" t="str">
            <v>149-BEISSBARTH&gt;翔一汽車</v>
          </cell>
          <cell r="R154">
            <v>30</v>
          </cell>
        </row>
        <row r="155">
          <cell r="B155">
            <v>150</v>
          </cell>
          <cell r="C155" t="str">
            <v>106-09-19</v>
          </cell>
          <cell r="D155" t="str">
            <v>150-盈鼎泰</v>
          </cell>
          <cell r="E155" t="str">
            <v>盈鼎泰汽車商行</v>
          </cell>
          <cell r="F155" t="str">
            <v>3881&gt;8283&gt;未稅</v>
          </cell>
          <cell r="G155" t="str">
            <v>未稅</v>
          </cell>
          <cell r="H155" t="str">
            <v>油品</v>
          </cell>
          <cell r="J155" t="str">
            <v>0989-800934-陳俊男</v>
          </cell>
          <cell r="N155">
            <v>361</v>
          </cell>
          <cell r="O155" t="str">
            <v>苗栗縣造橋鄉談文村6鄰淡文湖56號1樓</v>
          </cell>
          <cell r="P155" t="str">
            <v>150-盈鼎泰</v>
          </cell>
          <cell r="Q155" t="str">
            <v>苗栗縣造橋鄉談文村6鄰淡文湖56號1樓</v>
          </cell>
          <cell r="R155">
            <v>30</v>
          </cell>
        </row>
        <row r="156">
          <cell r="B156">
            <v>151</v>
          </cell>
          <cell r="C156" t="str">
            <v>98-11-05</v>
          </cell>
          <cell r="D156" t="str">
            <v>151-同一</v>
          </cell>
          <cell r="E156" t="str">
            <v>同一股份有限公司</v>
          </cell>
          <cell r="F156" t="str">
            <v>2218＞4636＞含稅</v>
          </cell>
          <cell r="G156" t="str">
            <v>含稅</v>
          </cell>
          <cell r="H156" t="str">
            <v>鋼圈</v>
          </cell>
          <cell r="J156" t="str">
            <v>02-29082110&gt;0910-064123曾慶群&gt;傳真02-29082112</v>
          </cell>
          <cell r="N156">
            <v>243</v>
          </cell>
          <cell r="O156" t="str">
            <v>台北縣泰山鄉中央路5巷57-1號。</v>
          </cell>
          <cell r="P156" t="str">
            <v>151-同一</v>
          </cell>
          <cell r="Q156" t="str">
            <v>台北縣泰山鄉中央路5巷57-1號。</v>
          </cell>
          <cell r="R156">
            <v>30</v>
          </cell>
        </row>
        <row r="157">
          <cell r="B157">
            <v>152</v>
          </cell>
          <cell r="C157" t="str">
            <v>106-10-10</v>
          </cell>
          <cell r="D157" t="str">
            <v>152-有勝-有程</v>
          </cell>
          <cell r="E157" t="str">
            <v>有勝&gt;有程企業有限公司</v>
          </cell>
          <cell r="G157" t="str">
            <v>未稅</v>
          </cell>
          <cell r="H157" t="str">
            <v>輪胎</v>
          </cell>
          <cell r="I157" t="str">
            <v>開票期0.15個月&gt;台灣新光商業銀行 沙鹿分行 0240501072181 張妤涵</v>
          </cell>
          <cell r="J157" t="str">
            <v>04-26580060&gt;0906-960060李景翔&gt;大車04-26580220&gt;傳真04-26582990&gt;</v>
          </cell>
          <cell r="N157">
            <v>435</v>
          </cell>
          <cell r="O157" t="str">
            <v>台中市梧棲區港埠路一段1008號</v>
          </cell>
          <cell r="P157" t="str">
            <v>152-有勝-有程</v>
          </cell>
          <cell r="Q157" t="str">
            <v>台中市梧棲區港埠路一段1008號</v>
          </cell>
          <cell r="R157">
            <v>30</v>
          </cell>
        </row>
        <row r="158">
          <cell r="B158">
            <v>153</v>
          </cell>
          <cell r="C158" t="str">
            <v>106-10-11</v>
          </cell>
          <cell r="D158" t="str">
            <v>153-耀麒鋼圈</v>
          </cell>
          <cell r="E158" t="str">
            <v>耀麒有限公司</v>
          </cell>
          <cell r="G158" t="str">
            <v>未稅</v>
          </cell>
          <cell r="H158" t="str">
            <v>鋼圈</v>
          </cell>
          <cell r="I158" t="str">
            <v>開票期1.15個月</v>
          </cell>
          <cell r="J158" t="str">
            <v>02-8787-1379&gt;傳真:02-8787-2659&gt;業務:林介雄</v>
          </cell>
          <cell r="N158">
            <v>105</v>
          </cell>
          <cell r="O158" t="str">
            <v>台北市松山區塔悠路201號</v>
          </cell>
          <cell r="P158" t="str">
            <v>153-耀麒鋼圈</v>
          </cell>
          <cell r="Q158" t="str">
            <v>台北市松山區塔悠路201號</v>
          </cell>
          <cell r="R158">
            <v>30</v>
          </cell>
        </row>
        <row r="159">
          <cell r="B159">
            <v>154</v>
          </cell>
          <cell r="C159" t="str">
            <v>106-10-17</v>
          </cell>
          <cell r="D159" t="str">
            <v>154-興暉貿易</v>
          </cell>
          <cell r="E159" t="str">
            <v>興暉貿易有限公司</v>
          </cell>
          <cell r="G159" t="str">
            <v>未稅</v>
          </cell>
          <cell r="H159" t="str">
            <v>油品</v>
          </cell>
          <cell r="J159" t="str">
            <v>02-2778-0065&gt;傳真:02-2778-2220&gt;</v>
          </cell>
          <cell r="N159">
            <v>106</v>
          </cell>
          <cell r="O159" t="str">
            <v>台北市大安區忠孝東路四段299號6樓603室</v>
          </cell>
          <cell r="P159" t="str">
            <v>154-興暉貿易</v>
          </cell>
          <cell r="Q159" t="str">
            <v>台北市大安區忠孝東路四段299號6樓603室</v>
          </cell>
          <cell r="R159">
            <v>30</v>
          </cell>
        </row>
        <row r="160">
          <cell r="B160">
            <v>155</v>
          </cell>
          <cell r="C160" t="str">
            <v>106-10-26</v>
          </cell>
          <cell r="D160" t="str">
            <v>155-翔威鋼圈</v>
          </cell>
          <cell r="E160" t="str">
            <v>翔威有限公司</v>
          </cell>
          <cell r="F160" t="str">
            <v>8026&gt;4382</v>
          </cell>
          <cell r="G160" t="str">
            <v>未稅</v>
          </cell>
          <cell r="H160" t="str">
            <v>鋼圈</v>
          </cell>
          <cell r="J160" t="str">
            <v>02-2295-2668&gt;傳真:02-2295-2665</v>
          </cell>
          <cell r="N160">
            <v>248</v>
          </cell>
          <cell r="O160" t="str">
            <v>新北市五股區成泰路三段42號1樓</v>
          </cell>
          <cell r="P160" t="str">
            <v>155-翔威鋼圈</v>
          </cell>
          <cell r="Q160" t="str">
            <v>新北市五股區成泰路三段42號1樓</v>
          </cell>
          <cell r="R160">
            <v>30</v>
          </cell>
        </row>
        <row r="161">
          <cell r="B161">
            <v>156</v>
          </cell>
          <cell r="C161" t="str">
            <v>106-11-10</v>
          </cell>
          <cell r="D161" t="str">
            <v>156-捷力客</v>
          </cell>
          <cell r="E161" t="str">
            <v>捷力客國際有限公司</v>
          </cell>
          <cell r="G161" t="str">
            <v>未稅</v>
          </cell>
          <cell r="H161" t="str">
            <v>太陽能胎感.米其林打氣機</v>
          </cell>
          <cell r="I161" t="str">
            <v>匯款合作金庫 1092765330578 許昆生</v>
          </cell>
          <cell r="J161" t="str">
            <v>0939-942949許昆生</v>
          </cell>
          <cell r="N161">
            <v>330</v>
          </cell>
          <cell r="O161" t="str">
            <v>桃園市同德五街276號9樓</v>
          </cell>
          <cell r="P161" t="str">
            <v>156-捷力客</v>
          </cell>
          <cell r="Q161" t="str">
            <v>桃園市同德五街276號9樓</v>
          </cell>
          <cell r="R161">
            <v>30</v>
          </cell>
        </row>
        <row r="162">
          <cell r="B162">
            <v>157</v>
          </cell>
          <cell r="C162" t="str">
            <v>106-11-23</v>
          </cell>
          <cell r="D162" t="str">
            <v>157-久代機械</v>
          </cell>
          <cell r="E162" t="str">
            <v>久代機械商行</v>
          </cell>
          <cell r="G162" t="str">
            <v>未稅</v>
          </cell>
          <cell r="H162" t="str">
            <v>乾燥機</v>
          </cell>
          <cell r="I162" t="str">
            <v>付現</v>
          </cell>
          <cell r="J162" t="str">
            <v>04-7277666</v>
          </cell>
          <cell r="N162">
            <v>500</v>
          </cell>
          <cell r="O162" t="str">
            <v>彰化市金馬路1段252.256-3號</v>
          </cell>
          <cell r="P162" t="str">
            <v>157-久代機械</v>
          </cell>
          <cell r="Q162" t="str">
            <v>彰化市金馬路1段252.256-3號</v>
          </cell>
          <cell r="R162">
            <v>30</v>
          </cell>
        </row>
        <row r="163">
          <cell r="B163">
            <v>158</v>
          </cell>
          <cell r="C163" t="str">
            <v>106-12-02</v>
          </cell>
          <cell r="D163" t="str">
            <v>158-宏昱輪業</v>
          </cell>
          <cell r="E163" t="str">
            <v>宏昱輪業.海浜幕張欣業有限公司</v>
          </cell>
          <cell r="F163" t="str">
            <v>4511&gt;4529&gt;含稅</v>
          </cell>
          <cell r="G163" t="str">
            <v>含稅</v>
          </cell>
          <cell r="H163" t="str">
            <v>輪胎</v>
          </cell>
          <cell r="I163" t="str">
            <v>付現</v>
          </cell>
          <cell r="J163" t="str">
            <v>04-8850022&gt;傳真:04-8818455</v>
          </cell>
          <cell r="N163">
            <v>514</v>
          </cell>
          <cell r="O163" t="str">
            <v>彰化縣溪湖鎮西環路583號</v>
          </cell>
          <cell r="P163" t="str">
            <v>158-宏昱輪業</v>
          </cell>
          <cell r="Q163" t="str">
            <v>彰化縣溪湖鎮西環路583號</v>
          </cell>
          <cell r="R163">
            <v>30</v>
          </cell>
        </row>
        <row r="164">
          <cell r="B164">
            <v>159</v>
          </cell>
          <cell r="C164" t="str">
            <v>106-12-07</v>
          </cell>
          <cell r="D164" t="str">
            <v>159-正鴻輪胎</v>
          </cell>
          <cell r="E164" t="str">
            <v>正鴻輪胎股份有限公司</v>
          </cell>
          <cell r="F164" t="str">
            <v>8429&gt;5133&gt;含稅</v>
          </cell>
          <cell r="G164" t="str">
            <v>含稅</v>
          </cell>
          <cell r="H164" t="str">
            <v>倍耐力輪胎</v>
          </cell>
          <cell r="I164" t="str">
            <v>開票期0.15個月</v>
          </cell>
          <cell r="J164" t="str">
            <v>02-29003536&gt;傳真:02-29003514&gt;0972-799523&gt;0910-070283 張學演</v>
          </cell>
          <cell r="N164">
            <v>243</v>
          </cell>
          <cell r="O164" t="str">
            <v>新北市泰山區中港西路176號</v>
          </cell>
          <cell r="P164" t="str">
            <v>159-正鴻輪胎</v>
          </cell>
          <cell r="Q164" t="str">
            <v>新北市泰山區中港西路176號</v>
          </cell>
          <cell r="R164">
            <v>30</v>
          </cell>
        </row>
        <row r="165">
          <cell r="B165">
            <v>160</v>
          </cell>
          <cell r="C165" t="str">
            <v>98-11-05</v>
          </cell>
          <cell r="D165" t="str">
            <v>160-普利司通(公司)-大胎</v>
          </cell>
          <cell r="E165" t="str">
            <v>普利司通中區銷售股份有限公司-大胎</v>
          </cell>
          <cell r="F165" t="str">
            <v>1274＞9608＞含稅(大胎.小胎發票開.中華全佑)</v>
          </cell>
          <cell r="G165" t="str">
            <v>含稅</v>
          </cell>
          <cell r="H165" t="str">
            <v>輪胎＞大胎&gt;現金價扣×0.965&gt;請款單金額已扣現金%了&gt;已設定尖下倉庫土地</v>
          </cell>
          <cell r="I165" t="str">
            <v>約定匯款華南銀行0080000321100060068</v>
          </cell>
          <cell r="J165" t="str">
            <v>037-680032&gt;0928-387792莊發興037-684352</v>
          </cell>
          <cell r="N165">
            <v>351</v>
          </cell>
          <cell r="O165" t="str">
            <v>苗栗縣頭份鎮東民路27號。</v>
          </cell>
          <cell r="P165" t="str">
            <v>160-普利司通(公司)-大胎</v>
          </cell>
          <cell r="Q165" t="str">
            <v>351苗栗縣頭份鎮東民路27號。</v>
          </cell>
          <cell r="R165">
            <v>30</v>
          </cell>
        </row>
        <row r="166">
          <cell r="B166">
            <v>161</v>
          </cell>
          <cell r="C166" t="str">
            <v>98-11-05</v>
          </cell>
          <cell r="D166" t="str">
            <v>161-普利司通(公司)-中胎</v>
          </cell>
          <cell r="E166" t="str">
            <v>普利司通中區銷售股份有限公司-中胎</v>
          </cell>
          <cell r="F166" t="str">
            <v>1274＞9608＞含稅(中型胎發票開.中華全佑)</v>
          </cell>
          <cell r="G166" t="str">
            <v>含稅</v>
          </cell>
          <cell r="H166" t="str">
            <v>輪胎＞中胎&gt;現金價扣×0.965&gt;請款單金額已扣現金%了&gt;已設定尖下倉庫土地</v>
          </cell>
          <cell r="I166" t="str">
            <v>約定匯款華南銀行0080000321100060068</v>
          </cell>
          <cell r="J166" t="str">
            <v>037-680032&gt;0928-387792莊發興037-684352</v>
          </cell>
          <cell r="N166">
            <v>351</v>
          </cell>
          <cell r="O166" t="str">
            <v>苗栗縣頭份鎮東民路27號。</v>
          </cell>
          <cell r="P166" t="str">
            <v>161-普利司通(公司)-中胎</v>
          </cell>
          <cell r="Q166" t="str">
            <v>351苗栗縣頭份鎮東民路27號。</v>
          </cell>
          <cell r="R166">
            <v>30</v>
          </cell>
        </row>
        <row r="167">
          <cell r="B167">
            <v>162</v>
          </cell>
          <cell r="C167" t="str">
            <v>98-11-05</v>
          </cell>
          <cell r="D167" t="str">
            <v>162-普利司通(公司)-小胎</v>
          </cell>
          <cell r="E167" t="str">
            <v>普利司通中區銷售股份有限公司-小胎</v>
          </cell>
          <cell r="F167" t="str">
            <v>1274＞9608＞含稅(大胎.小胎發票開.中華全佑)</v>
          </cell>
          <cell r="G167" t="str">
            <v>含稅</v>
          </cell>
          <cell r="H167" t="str">
            <v>輪胎＞小胎&gt;現金價扣×0.965&gt;請款單金額已扣現金%了&gt;已設定尖下倉庫土地</v>
          </cell>
          <cell r="I167" t="str">
            <v>約定匯款華南銀行0080000321100060068</v>
          </cell>
          <cell r="J167" t="str">
            <v>037-680032&gt;0928-387792莊發興037-684352</v>
          </cell>
          <cell r="N167">
            <v>351</v>
          </cell>
          <cell r="O167" t="str">
            <v>苗栗縣頭份鎮東民路27號。</v>
          </cell>
          <cell r="P167" t="str">
            <v>162-普利司通(公司)-小胎</v>
          </cell>
          <cell r="Q167" t="str">
            <v>351苗栗縣頭份鎮東民路27號。</v>
          </cell>
          <cell r="R167">
            <v>30</v>
          </cell>
        </row>
        <row r="168">
          <cell r="B168">
            <v>163</v>
          </cell>
          <cell r="C168" t="str">
            <v>98-11-05</v>
          </cell>
          <cell r="D168" t="str">
            <v>163-普利司通(公司)-翻修胎</v>
          </cell>
          <cell r="E168" t="str">
            <v>普利司通中區銷售股份有限公司-翻修胎</v>
          </cell>
          <cell r="F168" t="str">
            <v>1274＞9608＞含稅(大胎.小胎發票開.中華全佑)</v>
          </cell>
          <cell r="G168" t="str">
            <v>含稅</v>
          </cell>
          <cell r="H168" t="str">
            <v>輪胎＞翻修胎&gt;現金價扣×0.965&gt;請款單金額已扣現金%了&gt;已設定尖下倉庫土地</v>
          </cell>
          <cell r="I168" t="str">
            <v>約定匯款華南銀行0080000321100060068</v>
          </cell>
          <cell r="J168" t="str">
            <v>037-680032&gt;0928-387792莊發興037-684352</v>
          </cell>
          <cell r="N168">
            <v>351</v>
          </cell>
          <cell r="O168" t="str">
            <v>苗栗縣頭份鎮東民路27號。</v>
          </cell>
          <cell r="P168" t="str">
            <v>163-普利司通(公司)-翻修胎</v>
          </cell>
          <cell r="Q168" t="str">
            <v>351苗栗縣頭份鎮東民路27號。</v>
          </cell>
          <cell r="R168">
            <v>30</v>
          </cell>
        </row>
        <row r="169">
          <cell r="B169">
            <v>164</v>
          </cell>
          <cell r="C169" t="str">
            <v>98-11-05</v>
          </cell>
          <cell r="D169" t="str">
            <v>164-登祿普(公司)-大胎</v>
          </cell>
          <cell r="E169" t="str">
            <v>國住橡膠股份有限公司-大胎</v>
          </cell>
          <cell r="F169" t="str">
            <v>1226＞7209＞含稅(發票開.全威)</v>
          </cell>
          <cell r="G169" t="str">
            <v>含稅</v>
          </cell>
          <cell r="H169" t="str">
            <v>輪胎＞匯款&gt;現金價扣×0.97&gt;請款單金額已扣現金%了&gt;已設定竹南店後方土地</v>
          </cell>
          <cell r="I169" t="str">
            <v>約定匯款國泰世華0130000028010050164</v>
          </cell>
          <cell r="J169" t="str">
            <v>02-25012847&gt;02-25012850&gt;0933-768906吳東昇＞0973-263843黃朝琴＞0933-768790許丘銘&gt;傳真02-25064145&gt;送鑑定0987016633林先生</v>
          </cell>
          <cell r="N169">
            <v>104</v>
          </cell>
          <cell r="O169" t="str">
            <v>台北巿松江路363號5樓。</v>
          </cell>
          <cell r="P169" t="str">
            <v>164-登祿普(公司)-大胎</v>
          </cell>
          <cell r="Q169" t="str">
            <v>104台北巿松江路363號5樓。</v>
          </cell>
          <cell r="R169">
            <v>30</v>
          </cell>
        </row>
        <row r="170">
          <cell r="B170">
            <v>165</v>
          </cell>
          <cell r="C170" t="str">
            <v>98-11-05</v>
          </cell>
          <cell r="D170" t="str">
            <v>165-登祿普(公司)-中胎</v>
          </cell>
          <cell r="E170" t="str">
            <v>國住橡膠股份有限公司-中胎</v>
          </cell>
          <cell r="F170" t="str">
            <v>1226＞7209＞含稅(發票開.全威)</v>
          </cell>
          <cell r="G170" t="str">
            <v>含稅</v>
          </cell>
          <cell r="H170" t="str">
            <v>輪胎＞匯款&gt;現金價扣×0.97&gt;請款單金額已扣現金%了&gt;已設定竹南店後方土地</v>
          </cell>
          <cell r="I170" t="str">
            <v>約定匯款國泰世華0130000028010050164</v>
          </cell>
          <cell r="J170" t="str">
            <v>02-25012847&gt;02-25012850&gt;0933-768906吳東昇＞0973-263843黃朝琴＞0933-768790許丘銘&gt;傳真02-25064145&gt;送鑑定0987016633林先生</v>
          </cell>
          <cell r="N170">
            <v>104</v>
          </cell>
          <cell r="O170" t="str">
            <v>台北巿松江路363號5樓。</v>
          </cell>
          <cell r="P170" t="str">
            <v>165-登祿普(公司)-中胎</v>
          </cell>
          <cell r="Q170" t="str">
            <v>104台北巿松江路363號5樓。</v>
          </cell>
          <cell r="R170">
            <v>30</v>
          </cell>
        </row>
        <row r="171">
          <cell r="B171">
            <v>166</v>
          </cell>
          <cell r="C171" t="str">
            <v>98-11-05</v>
          </cell>
          <cell r="D171" t="str">
            <v>166-登祿普(公司)-小胎</v>
          </cell>
          <cell r="E171" t="str">
            <v>國住橡膠股份有限公司-小胎</v>
          </cell>
          <cell r="F171" t="str">
            <v>1226＞7209＞含稅(發票開.全威)</v>
          </cell>
          <cell r="G171" t="str">
            <v>含稅</v>
          </cell>
          <cell r="H171" t="str">
            <v>輪胎＞匯款&gt;現金價扣×0.97&gt;請款單金額已扣現金%了&gt;已設定竹南店後方土地</v>
          </cell>
          <cell r="I171" t="str">
            <v>約定匯款國泰世華0130000028010050164</v>
          </cell>
          <cell r="J171" t="str">
            <v>02-25012847&gt;02-25012850&gt;0933-768906吳東昇＞0933-768790許丘銘&gt;傳真02-25064145&gt;FK小胎0988-377687廖偉舜&gt;送鑑定0987016633林先生</v>
          </cell>
          <cell r="N171">
            <v>104</v>
          </cell>
          <cell r="O171" t="str">
            <v>台北巿松江路363號5樓。</v>
          </cell>
          <cell r="P171" t="str">
            <v>166-登祿普(公司)-小胎</v>
          </cell>
          <cell r="Q171" t="str">
            <v>104台北巿松江路363號5樓。</v>
          </cell>
          <cell r="R171">
            <v>30</v>
          </cell>
        </row>
        <row r="172">
          <cell r="B172">
            <v>167</v>
          </cell>
          <cell r="C172" t="str">
            <v>98-11-05</v>
          </cell>
          <cell r="D172" t="str">
            <v>167-瑪吉斯-大胎</v>
          </cell>
          <cell r="E172" t="str">
            <v>億勝輪胎股份有限公司-大胎</v>
          </cell>
          <cell r="F172" t="str">
            <v>8407＞6067＞含稅(發票開.中華全佑)</v>
          </cell>
          <cell r="G172" t="str">
            <v>含稅</v>
          </cell>
          <cell r="H172" t="str">
            <v>輪胎&gt;請款單金額已扣現金%了</v>
          </cell>
          <cell r="I172" t="str">
            <v>開票期1.15個月</v>
          </cell>
          <cell r="J172" t="str">
            <v>03-6590194&gt;03-6590194&gt;0963-421007鍾為閔&gt;傳真03-5374573</v>
          </cell>
          <cell r="N172">
            <v>300</v>
          </cell>
          <cell r="O172" t="str">
            <v>新竹巿中華路六段716巷19號。</v>
          </cell>
          <cell r="P172" t="str">
            <v>167-瑪吉斯-大胎</v>
          </cell>
          <cell r="Q172" t="str">
            <v>新竹巿中華路六段716巷19號。</v>
          </cell>
          <cell r="R172">
            <v>30</v>
          </cell>
        </row>
        <row r="173">
          <cell r="B173">
            <v>168</v>
          </cell>
          <cell r="C173" t="str">
            <v>98-11-05</v>
          </cell>
          <cell r="D173" t="str">
            <v>168-瑪吉斯-中胎</v>
          </cell>
          <cell r="E173" t="str">
            <v>億勝輪胎股份有限公司-中胎</v>
          </cell>
          <cell r="F173" t="str">
            <v>8407＞6067＞含稅(發票開.中華全佑)</v>
          </cell>
          <cell r="G173" t="str">
            <v>含稅</v>
          </cell>
          <cell r="H173" t="str">
            <v>輪胎&gt;請款單金額已扣現金%了</v>
          </cell>
          <cell r="I173" t="str">
            <v>開票期1.15個月</v>
          </cell>
          <cell r="J173" t="str">
            <v>03-6590194&gt;03-6590194&gt;0963-421007鍾為閔&gt;傳真03-5374573</v>
          </cell>
          <cell r="N173">
            <v>300</v>
          </cell>
          <cell r="O173" t="str">
            <v>新竹巿中華路六段716巷19號。</v>
          </cell>
          <cell r="P173" t="str">
            <v>168-瑪吉斯-中胎</v>
          </cell>
          <cell r="Q173" t="str">
            <v>新竹巿中華路六段716巷19號。</v>
          </cell>
          <cell r="R173">
            <v>30</v>
          </cell>
        </row>
        <row r="174">
          <cell r="B174">
            <v>169</v>
          </cell>
          <cell r="C174" t="str">
            <v>98-11-05</v>
          </cell>
          <cell r="D174" t="str">
            <v>169-瑪吉斯-小胎</v>
          </cell>
          <cell r="E174" t="str">
            <v>億勝輪胎股份有限公司-小胎</v>
          </cell>
          <cell r="F174" t="str">
            <v>8407＞6067＞含稅(發票開.中華全佑)</v>
          </cell>
          <cell r="G174" t="str">
            <v>含稅</v>
          </cell>
          <cell r="H174" t="str">
            <v>輪胎&gt;請款單金額已扣現金%了</v>
          </cell>
          <cell r="I174" t="str">
            <v>開票期1.15個月</v>
          </cell>
          <cell r="J174" t="str">
            <v>03-6590194&gt;03-6590194&gt;0963-421007鍾為閔&gt;傳真03-5374573</v>
          </cell>
          <cell r="N174">
            <v>300</v>
          </cell>
          <cell r="O174" t="str">
            <v>新竹巿中華路六段716巷19號。</v>
          </cell>
          <cell r="P174" t="str">
            <v>169-瑪吉斯-小胎</v>
          </cell>
          <cell r="Q174" t="str">
            <v>新竹巿中華路六段716巷19號。</v>
          </cell>
          <cell r="R174">
            <v>30</v>
          </cell>
        </row>
        <row r="175">
          <cell r="B175">
            <v>170</v>
          </cell>
          <cell r="C175" t="str">
            <v>98-11-05</v>
          </cell>
          <cell r="D175" t="str">
            <v>170-正新-內胎.OB</v>
          </cell>
          <cell r="E175" t="str">
            <v>億勝輪胎股份有限公司-內胎.OB</v>
          </cell>
          <cell r="F175" t="str">
            <v>8407＞6067＞含稅(發票開.中華全佑)</v>
          </cell>
          <cell r="G175" t="str">
            <v>含稅</v>
          </cell>
          <cell r="H175" t="str">
            <v>輪胎&gt;請款單金額已扣現金%了</v>
          </cell>
          <cell r="I175" t="str">
            <v>開票期1.15個月</v>
          </cell>
          <cell r="J175" t="str">
            <v>03-6590194&gt;03-6590194&gt;0963-421007鍾為閔&gt;傳真03-5374573</v>
          </cell>
          <cell r="N175">
            <v>300</v>
          </cell>
          <cell r="O175" t="str">
            <v>新竹巿中華路六段716巷19號。</v>
          </cell>
          <cell r="P175" t="str">
            <v>170-正新-內胎.OB</v>
          </cell>
          <cell r="Q175" t="str">
            <v>新竹巿中華路六段716巷19號。</v>
          </cell>
          <cell r="R175">
            <v>30</v>
          </cell>
        </row>
        <row r="176">
          <cell r="B176">
            <v>171</v>
          </cell>
          <cell r="C176" t="str">
            <v>107-03-12</v>
          </cell>
          <cell r="D176" t="str">
            <v>171-祐勝車業</v>
          </cell>
          <cell r="E176" t="str">
            <v>祐勝車業有限公司</v>
          </cell>
          <cell r="F176" t="str">
            <v>4518&gt;8084&gt;含稅</v>
          </cell>
          <cell r="G176" t="str">
            <v>未稅</v>
          </cell>
          <cell r="H176" t="str">
            <v>輪胎</v>
          </cell>
          <cell r="J176" t="str">
            <v>04-23690060&gt;傳真:04-23690062</v>
          </cell>
          <cell r="N176">
            <v>413</v>
          </cell>
          <cell r="O176" t="str">
            <v>台中市霧峰區峰堤路687號。</v>
          </cell>
          <cell r="P176" t="str">
            <v>171-祐勝車業</v>
          </cell>
          <cell r="Q176" t="str">
            <v>台中市霧峰區峰堤路687號。</v>
          </cell>
          <cell r="R176">
            <v>30</v>
          </cell>
        </row>
        <row r="177">
          <cell r="B177">
            <v>172</v>
          </cell>
          <cell r="C177" t="str">
            <v>107-03-14</v>
          </cell>
          <cell r="D177" t="str">
            <v>172-顧瑞峰</v>
          </cell>
          <cell r="E177" t="str">
            <v>顧瑞峰車業有限公司</v>
          </cell>
          <cell r="G177" t="str">
            <v>未稅</v>
          </cell>
          <cell r="H177" t="str">
            <v>輪框拋光修復&gt;現金價</v>
          </cell>
          <cell r="J177" t="str">
            <v>03-5558755&gt;傳真：03-5553499</v>
          </cell>
          <cell r="N177">
            <v>302</v>
          </cell>
          <cell r="O177" t="str">
            <v>新竹縣竹北市環北路一段236-1號。</v>
          </cell>
          <cell r="P177" t="str">
            <v>172-顧瑞峰</v>
          </cell>
          <cell r="Q177" t="str">
            <v>新竹縣竹北市環北路一段236-1號。</v>
          </cell>
          <cell r="R177">
            <v>30</v>
          </cell>
        </row>
        <row r="178">
          <cell r="B178">
            <v>173</v>
          </cell>
          <cell r="C178" t="str">
            <v>107-03-16</v>
          </cell>
          <cell r="D178" t="str">
            <v>173-上全材料</v>
          </cell>
          <cell r="E178" t="str">
            <v>上全汽車材料有限公司</v>
          </cell>
          <cell r="G178" t="str">
            <v>含稅</v>
          </cell>
          <cell r="H178" t="str">
            <v>材料</v>
          </cell>
          <cell r="J178" t="str">
            <v>03-5152757&gt;5152758王英豪&gt;傳真：03-5152759</v>
          </cell>
          <cell r="N178">
            <v>300</v>
          </cell>
          <cell r="O178" t="str">
            <v>新竹市民族路220號。</v>
          </cell>
          <cell r="P178" t="str">
            <v>173-上全材料</v>
          </cell>
          <cell r="Q178" t="str">
            <v>新竹市民族路220號。</v>
          </cell>
          <cell r="R178">
            <v>30</v>
          </cell>
        </row>
        <row r="179">
          <cell r="B179">
            <v>174</v>
          </cell>
          <cell r="C179" t="str">
            <v>107-03-23</v>
          </cell>
          <cell r="D179" t="str">
            <v>174-陳亮羽</v>
          </cell>
          <cell r="E179" t="str">
            <v>陳亮羽&gt;內胎加工廠</v>
          </cell>
          <cell r="G179" t="str">
            <v>未稅</v>
          </cell>
          <cell r="H179" t="str">
            <v>回收廢鉛塊&gt;小胎</v>
          </cell>
          <cell r="J179" t="str">
            <v>05-7827938&gt;0985-780946-陳亮羽</v>
          </cell>
          <cell r="K179" t="str">
            <v>0985-780946-陳亮羽</v>
          </cell>
          <cell r="N179" t="str"/>
          <cell r="P179" t="str">
            <v>174-陳亮羽</v>
          </cell>
          <cell r="R179">
            <v>30</v>
          </cell>
        </row>
        <row r="180">
          <cell r="B180">
            <v>175</v>
          </cell>
          <cell r="C180" t="str">
            <v>107-04-03</v>
          </cell>
          <cell r="D180" t="str">
            <v>175-南冠</v>
          </cell>
          <cell r="E180" t="str">
            <v>南冠輪胎股份有限公司(台中營業所)</v>
          </cell>
          <cell r="F180" t="str">
            <v>9874&gt;6762&gt;含稅(發票開.中華全佑)</v>
          </cell>
          <cell r="G180" t="str">
            <v>含稅</v>
          </cell>
          <cell r="H180" t="str">
            <v>輪胎&gt;現金價</v>
          </cell>
          <cell r="I180" t="str">
            <v>開票期0.15個月</v>
          </cell>
          <cell r="J180" t="str">
            <v>(04)25694578</v>
          </cell>
          <cell r="N180">
            <v>428</v>
          </cell>
          <cell r="O180" t="str">
            <v>台中市大雅區員林里神林路一段531號</v>
          </cell>
          <cell r="P180" t="str">
            <v>175-南冠</v>
          </cell>
          <cell r="Q180" t="str">
            <v>台中市大雅區員林里神林路一段531號。</v>
          </cell>
          <cell r="R180">
            <v>30</v>
          </cell>
        </row>
        <row r="181">
          <cell r="B181">
            <v>176</v>
          </cell>
          <cell r="C181" t="str">
            <v>107-03-06</v>
          </cell>
          <cell r="D181" t="str">
            <v>176-常益企業社</v>
          </cell>
          <cell r="E181" t="str">
            <v>常益企業社</v>
          </cell>
          <cell r="F181" t="str">
            <v>0989&gt;2241</v>
          </cell>
          <cell r="G181" t="str">
            <v>未稅</v>
          </cell>
          <cell r="H181" t="str">
            <v>廢輪胎回收-小胎</v>
          </cell>
          <cell r="J181" t="str">
            <v>03-4802378&gt;0937-238928-吳國義&gt;傳真：03-4803425</v>
          </cell>
          <cell r="K181" t="str">
            <v>0937-238928-吳國義</v>
          </cell>
          <cell r="L181" t="str">
            <v>03-4803425</v>
          </cell>
          <cell r="N181">
            <v>325</v>
          </cell>
          <cell r="O181" t="str">
            <v>桃園縣龍潭鄉建林村建國路127號</v>
          </cell>
          <cell r="P181" t="str">
            <v>176-常益企業社</v>
          </cell>
          <cell r="R181">
            <v>30</v>
          </cell>
        </row>
        <row r="182">
          <cell r="B182">
            <v>177</v>
          </cell>
          <cell r="C182" t="str">
            <v>107-04-18</v>
          </cell>
          <cell r="D182" t="str">
            <v>177-松埔</v>
          </cell>
          <cell r="E182" t="str">
            <v>松埔食品股份有限公司</v>
          </cell>
          <cell r="G182" t="str">
            <v>未稅</v>
          </cell>
          <cell r="H182" t="str">
            <v>販賣機</v>
          </cell>
          <cell r="I182" t="str">
            <v>開票期1.15個月</v>
          </cell>
          <cell r="J182" t="str">
            <v>03-5397011</v>
          </cell>
          <cell r="N182" t="str"/>
          <cell r="P182" t="str">
            <v>177-松埔</v>
          </cell>
          <cell r="R182">
            <v>30</v>
          </cell>
        </row>
        <row r="183">
          <cell r="B183">
            <v>178</v>
          </cell>
          <cell r="C183" t="str">
            <v>107-04-23</v>
          </cell>
          <cell r="D183" t="str">
            <v>178-吾愛車</v>
          </cell>
          <cell r="E183" t="str">
            <v>吾愛車車業</v>
          </cell>
          <cell r="G183" t="str">
            <v>未稅</v>
          </cell>
          <cell r="H183" t="str">
            <v>維修廠</v>
          </cell>
          <cell r="I183" t="str">
            <v>開票期0.15個月</v>
          </cell>
          <cell r="J183" t="str">
            <v>(037)583725&gt;傳真：582958</v>
          </cell>
          <cell r="N183">
            <v>350</v>
          </cell>
          <cell r="O183" t="str">
            <v>苗栗縣竹南鎮公義路392-1號</v>
          </cell>
          <cell r="P183" t="str">
            <v>178-吾愛車</v>
          </cell>
          <cell r="Q183" t="str">
            <v>苗栗縣竹南鎮公義路392-1號</v>
          </cell>
          <cell r="R183">
            <v>30</v>
          </cell>
        </row>
        <row r="184">
          <cell r="B184">
            <v>179</v>
          </cell>
          <cell r="C184" t="str">
            <v>107-04-26</v>
          </cell>
          <cell r="D184" t="str">
            <v>179-慶揚</v>
          </cell>
          <cell r="E184" t="str">
            <v>慶揚輪胎有限公司</v>
          </cell>
          <cell r="G184" t="str">
            <v>含稅</v>
          </cell>
          <cell r="H184" t="str">
            <v>輪胎</v>
          </cell>
          <cell r="I184" t="str">
            <v>開票期0.15個月</v>
          </cell>
          <cell r="J184" t="str">
            <v>04-8325660＞04-8374835＞0933-402457＞傳真04-8351917</v>
          </cell>
          <cell r="N184">
            <v>510</v>
          </cell>
          <cell r="O184" t="str">
            <v>彰化縣員林鎮中正里林森路273號。</v>
          </cell>
          <cell r="P184" t="str">
            <v>179-慶揚</v>
          </cell>
          <cell r="Q184" t="str">
            <v>彰化縣員林鎮中正里林森路273號。</v>
          </cell>
          <cell r="R184">
            <v>30</v>
          </cell>
        </row>
        <row r="185">
          <cell r="B185">
            <v>180</v>
          </cell>
          <cell r="C185" t="str">
            <v>107-04-27</v>
          </cell>
          <cell r="D185" t="str">
            <v>180-振群</v>
          </cell>
          <cell r="E185" t="str">
            <v>振群汽車材料有限公司</v>
          </cell>
          <cell r="G185" t="str">
            <v>稅外</v>
          </cell>
          <cell r="H185" t="str">
            <v>剎車盤&gt;進口汽車零件</v>
          </cell>
          <cell r="I185" t="str">
            <v>開票期0.15個月</v>
          </cell>
          <cell r="J185" t="str">
            <v>(02)25869800&gt;傳真：(02)25958257</v>
          </cell>
          <cell r="N185">
            <v>104</v>
          </cell>
          <cell r="O185" t="str">
            <v>台北市民族東路132號1樓</v>
          </cell>
          <cell r="P185" t="str">
            <v>180-振群</v>
          </cell>
          <cell r="Q185" t="str">
            <v>台北市民族東路132號1樓</v>
          </cell>
          <cell r="R185">
            <v>30</v>
          </cell>
        </row>
        <row r="186">
          <cell r="B186">
            <v>181</v>
          </cell>
          <cell r="C186" t="str">
            <v>107-05-03</v>
          </cell>
          <cell r="D186" t="str">
            <v>181-駿固&gt;李冠輝</v>
          </cell>
          <cell r="E186" t="str">
            <v>駿固實業有限公司</v>
          </cell>
          <cell r="G186" t="str">
            <v>含稅</v>
          </cell>
          <cell r="H186" t="str">
            <v>輪胎</v>
          </cell>
          <cell r="J186" t="str">
            <v>05-5918550&gt;傳真:05-5917457</v>
          </cell>
          <cell r="N186" t="str"/>
          <cell r="O186" t="str">
            <v>雲林縣大埤鄉延平路3段80巷30號.</v>
          </cell>
          <cell r="P186" t="str">
            <v>181-駿固&gt;李冠輝</v>
          </cell>
          <cell r="Q186" t="str">
            <v>雲林縣大埤鄉延平路3段80巷30號.</v>
          </cell>
          <cell r="R186">
            <v>30</v>
          </cell>
        </row>
        <row r="187">
          <cell r="B187">
            <v>182</v>
          </cell>
          <cell r="C187" t="str">
            <v>107-05-22</v>
          </cell>
          <cell r="D187" t="str">
            <v>182-榮新輪胎</v>
          </cell>
          <cell r="E187" t="str">
            <v>榮新輪胎貿易有限公司&gt;鉅富輪胎有限公司</v>
          </cell>
          <cell r="F187" t="str">
            <v>2860&gt;4109(榮新)含稅    2902&gt;2799(鉅富)</v>
          </cell>
          <cell r="G187" t="str">
            <v>未稅</v>
          </cell>
          <cell r="H187" t="str">
            <v>輪胎</v>
          </cell>
          <cell r="I187" t="str">
            <v>開票期0.15個月</v>
          </cell>
          <cell r="J187" t="str">
            <v>07-3756015&gt;傳真：(07)3758930</v>
          </cell>
          <cell r="L187" t="str">
            <v>37-3758930</v>
          </cell>
          <cell r="N187">
            <v>814</v>
          </cell>
          <cell r="O187" t="str">
            <v>高雄市仁武區鳳仁路78號</v>
          </cell>
          <cell r="P187" t="str">
            <v>182-榮新輪胎</v>
          </cell>
          <cell r="Q187" t="str">
            <v>高雄市仁武區鳳仁路78號</v>
          </cell>
          <cell r="R187">
            <v>30</v>
          </cell>
        </row>
        <row r="188">
          <cell r="B188">
            <v>183</v>
          </cell>
          <cell r="C188" t="str">
            <v>108-10-29</v>
          </cell>
          <cell r="D188" t="str">
            <v>183-駿昊企業社</v>
          </cell>
          <cell r="E188" t="str">
            <v>駿昊企業社</v>
          </cell>
          <cell r="G188" t="str">
            <v>未稅</v>
          </cell>
          <cell r="H188" t="str">
            <v>輪胎</v>
          </cell>
          <cell r="I188" t="str">
            <v>下貨後3日內匯款&gt;匯款:新光銀行竹南分行 0152501201976蔡俊宏</v>
          </cell>
          <cell r="J188" t="str">
            <v>0930-389551</v>
          </cell>
          <cell r="N188">
            <v>247</v>
          </cell>
          <cell r="O188" t="str">
            <v>新北市蘆洲區環堤大道590號</v>
          </cell>
          <cell r="P188" t="str">
            <v>183-駿昊企業社</v>
          </cell>
          <cell r="Q188" t="str">
            <v>新北市蘆洲區環堤大道590號</v>
          </cell>
          <cell r="R188">
            <v>30</v>
          </cell>
        </row>
        <row r="189">
          <cell r="B189">
            <v>184</v>
          </cell>
          <cell r="C189" t="str">
            <v>107-07-11</v>
          </cell>
          <cell r="D189" t="str">
            <v>184-鳴戶</v>
          </cell>
          <cell r="E189" t="str">
            <v xml:space="preserve">鳴戶國際企業有限公司&gt;錦准國際企業有限公司 </v>
          </cell>
          <cell r="F189" t="str">
            <v>6179&gt;3708(鳴戶)&gt;4273&gt;1561(錦准)</v>
          </cell>
          <cell r="G189" t="str">
            <v>未稅</v>
          </cell>
          <cell r="H189" t="str">
            <v>輪胎</v>
          </cell>
          <cell r="I189" t="str">
            <v>匯款玉山銀行 土城分行 戶名:林昱辰 帳號0266979183007</v>
          </cell>
          <cell r="J189" t="str">
            <v>0901-198199林昱辰</v>
          </cell>
          <cell r="N189">
            <v>413</v>
          </cell>
          <cell r="O189" t="str">
            <v>台中市霧峰區丁台路451號</v>
          </cell>
          <cell r="P189" t="str">
            <v>184-鳴戶</v>
          </cell>
          <cell r="Q189" t="str">
            <v>台中市霧峰區丁台路451號</v>
          </cell>
          <cell r="R189">
            <v>30</v>
          </cell>
        </row>
        <row r="190">
          <cell r="B190">
            <v>185</v>
          </cell>
          <cell r="C190" t="str">
            <v>107-08-30</v>
          </cell>
          <cell r="D190" t="str">
            <v>185-信通</v>
          </cell>
          <cell r="E190" t="str">
            <v>信通企業社</v>
          </cell>
          <cell r="F190">
            <v>19369407</v>
          </cell>
          <cell r="G190" t="str">
            <v>未稅</v>
          </cell>
          <cell r="H190" t="str">
            <v>電腦程式</v>
          </cell>
          <cell r="J190" t="str">
            <v>0936-123964&gt;傳真03-5713265</v>
          </cell>
          <cell r="N190" t="str"/>
          <cell r="O190" t="str">
            <v>新竹市建美路2巷56號</v>
          </cell>
          <cell r="P190" t="str">
            <v>185-信通</v>
          </cell>
          <cell r="Q190" t="str">
            <v>新竹市建美路2巷56號</v>
          </cell>
          <cell r="R190">
            <v>30</v>
          </cell>
        </row>
        <row r="191">
          <cell r="B191">
            <v>186</v>
          </cell>
          <cell r="C191" t="str">
            <v>107-09-13</v>
          </cell>
          <cell r="D191" t="str">
            <v>186-鴻鑫</v>
          </cell>
          <cell r="E191" t="str">
            <v>鴻鑫輪胎有限公司</v>
          </cell>
          <cell r="G191" t="str">
            <v>含稅</v>
          </cell>
          <cell r="H191" t="str">
            <v>輪胎</v>
          </cell>
          <cell r="I191" t="str">
            <v>開票期0.15個月</v>
          </cell>
          <cell r="J191" t="str">
            <v>02-29017980&gt;傳真:02-29018870</v>
          </cell>
          <cell r="K191" t="str">
            <v>0932-029993 簡哲宜</v>
          </cell>
          <cell r="L191" t="str">
            <v>02-29018870</v>
          </cell>
          <cell r="N191">
            <v>242</v>
          </cell>
          <cell r="O191" t="str">
            <v>新北市新莊區中正路508巷35弄75號</v>
          </cell>
          <cell r="P191" t="str">
            <v>186-鴻鑫</v>
          </cell>
          <cell r="Q191" t="str">
            <v>新北市新莊區中正路508巷35弄75號</v>
          </cell>
          <cell r="R191">
            <v>30</v>
          </cell>
        </row>
        <row r="192">
          <cell r="B192">
            <v>187</v>
          </cell>
          <cell r="C192" t="str">
            <v>107-10-13</v>
          </cell>
          <cell r="D192" t="str">
            <v>187-萬芳通運</v>
          </cell>
          <cell r="E192" t="str">
            <v>萬芳通運有限公司</v>
          </cell>
          <cell r="G192" t="str">
            <v>未稅</v>
          </cell>
          <cell r="H192" t="str">
            <v>貨櫃</v>
          </cell>
          <cell r="J192" t="str">
            <v>03-4706598&gt;0937177715&gt;廖運興&gt;傳真03-4802598</v>
          </cell>
          <cell r="N192">
            <v>325</v>
          </cell>
          <cell r="O192" t="str">
            <v>桃園市龍潭區建林里忠勇街89巷3號</v>
          </cell>
          <cell r="P192" t="str">
            <v>187-萬芳通運</v>
          </cell>
          <cell r="Q192" t="str">
            <v>桃園市龍潭區建林里忠勇街89巷3號</v>
          </cell>
          <cell r="R192">
            <v>30</v>
          </cell>
        </row>
        <row r="193">
          <cell r="B193">
            <v>188</v>
          </cell>
          <cell r="C193" t="str">
            <v>107-10-16</v>
          </cell>
          <cell r="D193" t="str">
            <v>188-寶力適</v>
          </cell>
          <cell r="E193" t="str">
            <v>寶力適科技有限公司</v>
          </cell>
          <cell r="F193" t="str">
            <v>5485&gt;8732</v>
          </cell>
          <cell r="G193" t="str">
            <v>未稅</v>
          </cell>
          <cell r="H193" t="str">
            <v>胎壓監測器&gt;感知器&gt;TPMS sensor</v>
          </cell>
          <cell r="J193" t="str">
            <v>02-29290359&gt;傳真:02-29290860&gt;0988-738976許智凱</v>
          </cell>
          <cell r="N193">
            <v>234</v>
          </cell>
          <cell r="O193" t="str">
            <v>新北市永和區安樂路194巷17弄1號4樓</v>
          </cell>
          <cell r="P193" t="str">
            <v>188-寶力適</v>
          </cell>
          <cell r="Q193" t="str">
            <v>新北市永和區安樂路194巷17弄1號4樓</v>
          </cell>
          <cell r="R193">
            <v>30</v>
          </cell>
        </row>
        <row r="194">
          <cell r="B194">
            <v>189</v>
          </cell>
          <cell r="C194" t="str">
            <v>107-11-05</v>
          </cell>
          <cell r="D194" t="str">
            <v>189-瑞迪</v>
          </cell>
          <cell r="E194" t="str">
            <v>瑞迪輪胎有限公司&gt;永臻輪胎有限公司</v>
          </cell>
          <cell r="F194" t="str">
            <v>5460&gt;0889</v>
          </cell>
          <cell r="G194" t="str">
            <v>含稅</v>
          </cell>
          <cell r="H194" t="str">
            <v>輪胎&gt;現金價</v>
          </cell>
          <cell r="I194" t="str">
            <v>開票期0.15個月</v>
          </cell>
          <cell r="J194" t="str">
            <v>0980-124168楊忠穎&gt;037-725798&gt;037-733032傳真</v>
          </cell>
          <cell r="N194" t="str"/>
          <cell r="P194" t="str">
            <v>189-瑞迪</v>
          </cell>
          <cell r="R194">
            <v>30</v>
          </cell>
        </row>
        <row r="195">
          <cell r="B195">
            <v>190</v>
          </cell>
          <cell r="C195" t="str">
            <v>107-11-12</v>
          </cell>
          <cell r="D195" t="str">
            <v>190-中興保全</v>
          </cell>
          <cell r="E195" t="str">
            <v>中興保全股份有限公司</v>
          </cell>
          <cell r="F195" t="str">
            <v>2311&gt;4791</v>
          </cell>
          <cell r="G195" t="str">
            <v>含稅</v>
          </cell>
          <cell r="H195" t="str">
            <v>設定&gt;監視器</v>
          </cell>
          <cell r="J195" t="str">
            <v>037-469028&gt;0988-572716徐彥民&gt;監視器.鐵捲門問題右上角顯示4MP打0800-221195客服&gt;監視器問題右上角顯示1080P維修打0933-547401老闆&gt;傳真037-462820&gt;0937-729028電腦工程師&gt;&gt;0931-233007林經理</v>
          </cell>
          <cell r="N195">
            <v>350</v>
          </cell>
          <cell r="O195" t="str">
            <v>苗栗縣竹南鎮大營路93號3樓</v>
          </cell>
          <cell r="P195" t="str">
            <v>190-中興保全</v>
          </cell>
          <cell r="Q195" t="str">
            <v>苗栗縣竹南鎮大營路93號3樓</v>
          </cell>
          <cell r="R195">
            <v>30</v>
          </cell>
        </row>
        <row r="196">
          <cell r="B196">
            <v>191</v>
          </cell>
          <cell r="C196" t="str">
            <v>109-04-21/黃凱筠</v>
          </cell>
          <cell r="D196" t="str">
            <v>191-安立汽車保養廠</v>
          </cell>
          <cell r="E196" t="str">
            <v>安立汽車保養廠</v>
          </cell>
          <cell r="F196" t="str">
            <v>42107&gt;5396</v>
          </cell>
          <cell r="G196" t="str">
            <v>未稅</v>
          </cell>
          <cell r="H196" t="str">
            <v>輪胎</v>
          </cell>
          <cell r="I196" t="str">
            <v>匯款渣打國際商業銀行 湖口分行 01220000253935王長立</v>
          </cell>
          <cell r="J196" t="str">
            <v>03-4758206&gt;0981-506022王長立</v>
          </cell>
          <cell r="N196">
            <v>326</v>
          </cell>
          <cell r="O196" t="str">
            <v>桃園市楊梅區中山南路50號</v>
          </cell>
          <cell r="P196" t="str">
            <v>191-安立汽車保養廠</v>
          </cell>
          <cell r="Q196" t="str">
            <v>桃園市楊梅區中山南路50號</v>
          </cell>
          <cell r="R196">
            <v>30</v>
          </cell>
        </row>
        <row r="197">
          <cell r="B197">
            <v>192</v>
          </cell>
          <cell r="C197" t="str">
            <v>107-12-15</v>
          </cell>
          <cell r="D197" t="str">
            <v>192-阿毅輪胎</v>
          </cell>
          <cell r="E197" t="str">
            <v>阿毅輪胎有限公司</v>
          </cell>
          <cell r="G197" t="str">
            <v>未稅</v>
          </cell>
          <cell r="H197" t="str">
            <v>輪胎</v>
          </cell>
          <cell r="I197" t="str">
            <v>開票期0.15個月&gt;抬頭:阿毅輪胎行有限公司&gt;匯款:合作金庫 0320765644172 翁喬毅</v>
          </cell>
          <cell r="J197" t="str">
            <v>07-7889830&gt;傳真07-7889833</v>
          </cell>
          <cell r="N197">
            <v>831</v>
          </cell>
          <cell r="O197" t="str">
            <v>高雄市大寮區大寮路856巷32號</v>
          </cell>
          <cell r="P197" t="str">
            <v>192-阿毅輪胎</v>
          </cell>
          <cell r="Q197" t="str">
            <v>高雄市大寮區大寮路856巷32號</v>
          </cell>
          <cell r="R197">
            <v>30</v>
          </cell>
        </row>
        <row r="198">
          <cell r="B198">
            <v>193</v>
          </cell>
          <cell r="C198" t="str">
            <v>107-12-15</v>
          </cell>
          <cell r="D198" t="str">
            <v>193-豪灃車業</v>
          </cell>
          <cell r="E198" t="str">
            <v>豪灃車業有限公司</v>
          </cell>
          <cell r="F198" t="str">
            <v>4256&gt;8673&gt;稅外</v>
          </cell>
          <cell r="G198" t="str">
            <v>稅外</v>
          </cell>
          <cell r="H198" t="str">
            <v>維修廠</v>
          </cell>
          <cell r="I198" t="str">
            <v>開票期0.15個月</v>
          </cell>
          <cell r="J198" t="str">
            <v>037-603434&gt;傳真037-603950&gt;0912-370911溫錦民</v>
          </cell>
          <cell r="N198">
            <v>351</v>
          </cell>
          <cell r="O198" t="str">
            <v>苗栗縣頭份市珊瑚里九芎林3鄰2-1號</v>
          </cell>
          <cell r="P198" t="str">
            <v>193-豪灃車業</v>
          </cell>
          <cell r="Q198" t="str">
            <v>苗栗縣頭份市珊瑚里九芎林3鄰2-1號</v>
          </cell>
          <cell r="R198">
            <v>30</v>
          </cell>
        </row>
        <row r="199">
          <cell r="B199">
            <v>194</v>
          </cell>
          <cell r="C199" t="str">
            <v>108-01-17</v>
          </cell>
          <cell r="D199" t="str">
            <v>194-日新輪胎行</v>
          </cell>
          <cell r="E199" t="str">
            <v>日新輪胎行</v>
          </cell>
          <cell r="F199" t="str">
            <v>0598&gt;1116&gt;含稅&gt;(發票開:中華全佑)</v>
          </cell>
          <cell r="G199" t="str">
            <v>含稅</v>
          </cell>
          <cell r="H199" t="str">
            <v>輪胎</v>
          </cell>
          <cell r="I199" t="str">
            <v>匯款台中銀行 帳號071221061283 日新輪胎行</v>
          </cell>
          <cell r="J199" t="str">
            <v>04-8735353&gt;老闆陳敏廷0920-687786</v>
          </cell>
          <cell r="N199">
            <v>511</v>
          </cell>
          <cell r="O199" t="str">
            <v>彰化縣社頭鄉廣興村員集路2段543號</v>
          </cell>
          <cell r="P199" t="str">
            <v>194-日新輪胎行</v>
          </cell>
          <cell r="Q199" t="str">
            <v>彰化縣社頭鄉廣興村員集路2段543號</v>
          </cell>
          <cell r="R199">
            <v>30</v>
          </cell>
        </row>
        <row r="200">
          <cell r="B200">
            <v>195</v>
          </cell>
          <cell r="C200" t="str">
            <v>108-02-25</v>
          </cell>
          <cell r="D200" t="str">
            <v>195-KSPORT迪兒思汽車精品行</v>
          </cell>
          <cell r="E200" t="str">
            <v>KSPORT迪兒思汽車精品行</v>
          </cell>
          <cell r="F200" t="str">
            <v>4750&gt;3828&gt;未稅</v>
          </cell>
          <cell r="G200" t="str">
            <v>未稅</v>
          </cell>
          <cell r="H200" t="str">
            <v>汽車精品行</v>
          </cell>
          <cell r="I200" t="str">
            <v>匯款台中銀行 帳號:020221103223 迪兒思汽車精品行</v>
          </cell>
          <cell r="J200" t="str">
            <v>04-22752678&gt;外務0923-111028</v>
          </cell>
          <cell r="N200">
            <v>411</v>
          </cell>
          <cell r="O200" t="str">
            <v>台中市太平區東平路264號</v>
          </cell>
          <cell r="P200" t="str">
            <v>195-KSPORT迪兒思汽車精品行</v>
          </cell>
          <cell r="Q200" t="str">
            <v>台中市太平區東平路264號</v>
          </cell>
          <cell r="R200">
            <v>30</v>
          </cell>
        </row>
        <row r="201">
          <cell r="B201">
            <v>196</v>
          </cell>
          <cell r="C201" t="str">
            <v>108-03-07</v>
          </cell>
          <cell r="D201" t="str">
            <v>196-SUMMIT龍穎國際</v>
          </cell>
          <cell r="E201" t="str">
            <v>龍潁國際產業有限公司</v>
          </cell>
          <cell r="G201" t="str">
            <v>未稅</v>
          </cell>
          <cell r="H201" t="str">
            <v>汽車精品</v>
          </cell>
          <cell r="I201" t="str">
            <v>匯款彰化銀行 96418600435500 龍穎國際產業有限公司或宅配付現</v>
          </cell>
          <cell r="J201" t="str">
            <v>02-2983-8793&gt;傳真02-29838794</v>
          </cell>
          <cell r="N201">
            <v>248</v>
          </cell>
          <cell r="O201" t="str">
            <v>新北市五股區更洲路11號</v>
          </cell>
          <cell r="P201" t="str">
            <v>196-龍穎國際</v>
          </cell>
          <cell r="Q201" t="str">
            <v>新北市五股區更洲路11號</v>
          </cell>
          <cell r="R201">
            <v>30</v>
          </cell>
        </row>
        <row r="202">
          <cell r="B202">
            <v>197</v>
          </cell>
          <cell r="C202" t="str">
            <v>108-03-14</v>
          </cell>
          <cell r="D202" t="str">
            <v>197-詠撰企業</v>
          </cell>
          <cell r="E202" t="str">
            <v>詠撰企業有限公司</v>
          </cell>
          <cell r="F202" t="str">
            <v>2459&gt;0435&gt;未稅</v>
          </cell>
          <cell r="G202" t="str">
            <v>未稅</v>
          </cell>
          <cell r="H202" t="str">
            <v>廣告電子打火機</v>
          </cell>
          <cell r="I202" t="str">
            <v>付現</v>
          </cell>
          <cell r="J202" t="str">
            <v>07-6252564&gt;0955-119325&gt;0989-136817負責人柯俊介&gt;傳真07-6250845</v>
          </cell>
          <cell r="N202">
            <v>820</v>
          </cell>
          <cell r="O202" t="str">
            <v>高雄市岡山區公園西路三段84巷78-1號</v>
          </cell>
          <cell r="P202" t="str">
            <v>197-詠撰企業</v>
          </cell>
          <cell r="Q202" t="str">
            <v>高雄市岡山區公園西路三段84巷78-1號</v>
          </cell>
          <cell r="R202">
            <v>30</v>
          </cell>
        </row>
        <row r="203">
          <cell r="B203">
            <v>198</v>
          </cell>
          <cell r="C203" t="str">
            <v>108-03-22</v>
          </cell>
          <cell r="D203" t="str">
            <v>198-占士邦鋁圈</v>
          </cell>
          <cell r="E203" t="str">
            <v>占士邦鋁圈修復中心</v>
          </cell>
          <cell r="G203" t="str">
            <v>未稅</v>
          </cell>
          <cell r="H203" t="str">
            <v>鋁圈修復</v>
          </cell>
          <cell r="I203" t="str">
            <v>匯款陽信銀行 向上分行 077020035185 蔡伯旻</v>
          </cell>
          <cell r="J203" t="str">
            <v>0980607777老闆娘</v>
          </cell>
          <cell r="N203">
            <v>408</v>
          </cell>
          <cell r="O203" t="str">
            <v>台中市南屯區環中路5段768號之3</v>
          </cell>
          <cell r="P203" t="str">
            <v>198-占士邦鋁圈</v>
          </cell>
          <cell r="Q203" t="str">
            <v>台中市南屯區環中路5段768號之3</v>
          </cell>
          <cell r="R203">
            <v>30</v>
          </cell>
        </row>
        <row r="204">
          <cell r="B204">
            <v>199</v>
          </cell>
          <cell r="C204" t="str">
            <v>108-03-23</v>
          </cell>
          <cell r="D204" t="str">
            <v>199-青島聯合泰爾輪胎</v>
          </cell>
          <cell r="E204" t="str">
            <v>青島聯合泰爾輪胎有限公司</v>
          </cell>
          <cell r="G204" t="str">
            <v>未稅</v>
          </cell>
          <cell r="H204" t="str">
            <v>英國獅王輪胎</v>
          </cell>
          <cell r="I204" t="str">
            <v>國際匯款</v>
          </cell>
          <cell r="J204" t="str">
            <v>0532-84615175&gt;開戶行:中信銀行青島市北支行&gt;帳號:7371121482600003413&gt;銀行地址:山東青島香港中路22號</v>
          </cell>
          <cell r="O204" t="str">
            <v>山東省青島市保稅港區北京路38號4號廠房二樓東2050號</v>
          </cell>
          <cell r="P204" t="str">
            <v>199-青島聯合泰爾輪胎</v>
          </cell>
          <cell r="Q204" t="str">
            <v>山東省青島市保稅港區北京路38號4號廠房二樓東2050號</v>
          </cell>
          <cell r="R204">
            <v>30</v>
          </cell>
        </row>
        <row r="205">
          <cell r="B205">
            <v>200</v>
          </cell>
          <cell r="C205" t="str">
            <v>108-03-23</v>
          </cell>
          <cell r="D205" t="str">
            <v>200-金竤輪胎</v>
          </cell>
          <cell r="E205" t="str">
            <v>金竤輪胎有限公司</v>
          </cell>
          <cell r="G205" t="str">
            <v>含稅</v>
          </cell>
          <cell r="H205" t="str">
            <v>水貨輪胎&gt;現金價</v>
          </cell>
          <cell r="I205" t="str">
            <v>匯款聯邦銀行 高榮分行 086100005731 金鋐輪胎有限公司</v>
          </cell>
          <cell r="J205" t="str">
            <v>03-4900526&gt;傳真03-4900536</v>
          </cell>
          <cell r="N205">
            <v>327</v>
          </cell>
          <cell r="O205" t="str">
            <v>桃園市新屋區快速路六段376號</v>
          </cell>
          <cell r="P205" t="str">
            <v>200-金竤輪胎</v>
          </cell>
          <cell r="Q205" t="str">
            <v>桃園市新屋區快速路六段376號</v>
          </cell>
          <cell r="R205">
            <v>30</v>
          </cell>
        </row>
        <row r="206">
          <cell r="B206">
            <v>201</v>
          </cell>
          <cell r="C206" t="str">
            <v>108-04-03</v>
          </cell>
          <cell r="D206" t="str">
            <v>201-順昌</v>
          </cell>
          <cell r="E206" t="str">
            <v>中國順昌國際有限公司</v>
          </cell>
          <cell r="G206" t="str">
            <v>未稅</v>
          </cell>
          <cell r="H206" t="str">
            <v>中創輪胎</v>
          </cell>
          <cell r="I206" t="str">
            <v>國際匯款</v>
          </cell>
          <cell r="J206" t="str">
            <v>老闆用微信聯絡</v>
          </cell>
          <cell r="N206" t="str"/>
          <cell r="O206" t="str">
            <v>青島市嶗山區株州路20號</v>
          </cell>
          <cell r="P206" t="str">
            <v>201-順昌</v>
          </cell>
          <cell r="Q206" t="str">
            <v>青島市嶗山區株州路20號</v>
          </cell>
          <cell r="R206">
            <v>30</v>
          </cell>
        </row>
        <row r="207">
          <cell r="B207">
            <v>202</v>
          </cell>
          <cell r="C207" t="str">
            <v>108-04-11</v>
          </cell>
          <cell r="D207" t="str">
            <v>202-尚隆(中華廠)</v>
          </cell>
          <cell r="E207" t="str">
            <v>尚隆汽車有限公司(尚隆中華廠)</v>
          </cell>
          <cell r="G207" t="str">
            <v>未稅</v>
          </cell>
          <cell r="H207" t="str">
            <v>輪胎&gt;現金價</v>
          </cell>
          <cell r="J207" t="str">
            <v>035-388855&gt;傳真035-309555(林展輝招募)</v>
          </cell>
          <cell r="N207">
            <v>300</v>
          </cell>
          <cell r="O207" t="str">
            <v>新竹市牛埔里8鄰中華路四段665號</v>
          </cell>
          <cell r="P207" t="str">
            <v>202-尚隆(中華廠)</v>
          </cell>
          <cell r="Q207" t="str">
            <v>新竹市牛埔里8鄰中華路四段665號</v>
          </cell>
          <cell r="R207">
            <v>30</v>
          </cell>
        </row>
        <row r="208">
          <cell r="B208">
            <v>203</v>
          </cell>
          <cell r="C208" t="str">
            <v>108-04-13</v>
          </cell>
          <cell r="D208" t="str">
            <v>203-開元報關行</v>
          </cell>
          <cell r="E208" t="str">
            <v>開元報關行&gt;開原報關股份有限公司</v>
          </cell>
          <cell r="F208" t="str">
            <v>5668&gt;7143</v>
          </cell>
          <cell r="G208" t="str">
            <v>未稅</v>
          </cell>
          <cell r="H208" t="str">
            <v>報關行</v>
          </cell>
          <cell r="I208" t="str">
            <v>匯款第一銀行 台中分行 40130072721 開原報關股份有限公司</v>
          </cell>
          <cell r="J208" t="str">
            <v>04-23262000-326潘宣妤&gt;會計356蕭小姐&gt;04-23270062</v>
          </cell>
          <cell r="N208">
            <v>403</v>
          </cell>
          <cell r="O208" t="str">
            <v>台中市西區臺灣大道二段218號3樓</v>
          </cell>
          <cell r="P208" t="str">
            <v>203-開元報關行</v>
          </cell>
          <cell r="Q208" t="str">
            <v>台中市西區臺灣大道二段218號3樓</v>
          </cell>
          <cell r="R208">
            <v>30</v>
          </cell>
        </row>
        <row r="209">
          <cell r="B209">
            <v>204</v>
          </cell>
          <cell r="C209" t="str">
            <v>108-04-18</v>
          </cell>
          <cell r="D209" t="str">
            <v>204-家利多企業</v>
          </cell>
          <cell r="E209" t="str">
            <v>家利多企業有限公司</v>
          </cell>
          <cell r="G209" t="str">
            <v>未稅</v>
          </cell>
          <cell r="H209" t="str">
            <v>材料</v>
          </cell>
          <cell r="I209" t="str">
            <v>付現</v>
          </cell>
          <cell r="J209" t="str">
            <v>0987-198331桃竹苗業務鄭士宏&gt;LINE ID:simotacarido2&gt;04-7680723&gt;傳真04-7696167&gt;</v>
          </cell>
          <cell r="N209">
            <v>504</v>
          </cell>
          <cell r="O209" t="str">
            <v>彰化縣秀水鄉民主街18號</v>
          </cell>
          <cell r="P209" t="str">
            <v>204-家利多企業</v>
          </cell>
          <cell r="Q209" t="str">
            <v>彰化縣秀水鄉民主街18號</v>
          </cell>
          <cell r="R209">
            <v>30</v>
          </cell>
        </row>
        <row r="210">
          <cell r="B210">
            <v>205</v>
          </cell>
          <cell r="C210" t="str">
            <v>108-04-22</v>
          </cell>
          <cell r="D210" t="str">
            <v>205-彩藝得印刷</v>
          </cell>
          <cell r="E210" t="str">
            <v>彩藝得印刷有限公司</v>
          </cell>
          <cell r="G210" t="str">
            <v>未稅</v>
          </cell>
          <cell r="H210" t="str">
            <v>印刷廠</v>
          </cell>
          <cell r="I210" t="str">
            <v>付現</v>
          </cell>
          <cell r="J210" t="str">
            <v>037-470111&gt;傳真037-460365</v>
          </cell>
          <cell r="N210">
            <v>350</v>
          </cell>
          <cell r="O210" t="str">
            <v>苗栗縣竹南鎮博愛街173巷9號</v>
          </cell>
          <cell r="P210" t="str">
            <v>205-彩藝得印刷</v>
          </cell>
          <cell r="Q210" t="str">
            <v>苗栗縣竹南鎮博愛街173巷9號</v>
          </cell>
          <cell r="R210">
            <v>30</v>
          </cell>
        </row>
        <row r="211">
          <cell r="B211">
            <v>206</v>
          </cell>
          <cell r="C211" t="str">
            <v>108-04-26</v>
          </cell>
          <cell r="D211" t="str">
            <v>206-達信</v>
          </cell>
          <cell r="E211" t="str">
            <v>達信國際有限公司</v>
          </cell>
          <cell r="G211" t="str">
            <v>未稅</v>
          </cell>
          <cell r="H211" t="str">
            <v>材料</v>
          </cell>
          <cell r="I211" t="str">
            <v>開票期0.15個月&gt;匯款台灣企銀 35162789234 黃和盛</v>
          </cell>
          <cell r="J211" t="str">
            <v>037-630199&gt;傳真037-630129</v>
          </cell>
          <cell r="N211">
            <v>350</v>
          </cell>
          <cell r="O211" t="str">
            <v>苗栗縣竹南鎮公館里大埔頂7鄰5-10號</v>
          </cell>
          <cell r="P211" t="str">
            <v>206-達信</v>
          </cell>
          <cell r="Q211" t="str">
            <v>苗栗縣竹南鎮公館里大埔頂7鄰5-10號</v>
          </cell>
          <cell r="R211">
            <v>30</v>
          </cell>
        </row>
        <row r="212">
          <cell r="B212">
            <v>207</v>
          </cell>
          <cell r="C212" t="str">
            <v>108-05-15</v>
          </cell>
          <cell r="D212" t="str">
            <v>207-WTT</v>
          </cell>
          <cell r="E212" t="str">
            <v>WTT台灣總代理</v>
          </cell>
          <cell r="G212" t="str">
            <v>未稅</v>
          </cell>
          <cell r="H212" t="str">
            <v>碟盤</v>
          </cell>
          <cell r="I212" t="str">
            <v>付現</v>
          </cell>
          <cell r="J212" t="str">
            <v>0932-275-286陳志銓</v>
          </cell>
          <cell r="N212">
            <v>338</v>
          </cell>
          <cell r="O212" t="str">
            <v>桃園市蘆竹區中興一街150號</v>
          </cell>
          <cell r="P212" t="str">
            <v>207-WTT</v>
          </cell>
          <cell r="Q212" t="str">
            <v>桃園市蘆竹區中興一街150號</v>
          </cell>
          <cell r="R212">
            <v>30</v>
          </cell>
        </row>
        <row r="213">
          <cell r="B213">
            <v>208</v>
          </cell>
          <cell r="C213" t="str">
            <v>108-05-21</v>
          </cell>
          <cell r="D213" t="str">
            <v>208-赫杰</v>
          </cell>
          <cell r="E213" t="str">
            <v>赫杰國際貿易有限公司</v>
          </cell>
          <cell r="F213" t="str">
            <v>5400&gt;6749&gt;未稅</v>
          </cell>
          <cell r="G213" t="str">
            <v>未稅</v>
          </cell>
          <cell r="H213" t="str">
            <v>工具</v>
          </cell>
          <cell r="I213" t="str">
            <v>開票期0.15個月</v>
          </cell>
          <cell r="J213" t="str">
            <v>04-26869605&gt;傳真04-26869619</v>
          </cell>
          <cell r="N213">
            <v>437</v>
          </cell>
          <cell r="O213" t="str">
            <v>台中市大甲區中山路一段591號</v>
          </cell>
          <cell r="P213" t="str">
            <v>208-赫杰</v>
          </cell>
          <cell r="Q213" t="str">
            <v>台中市大甲區中山路一段591號</v>
          </cell>
          <cell r="R213">
            <v>30</v>
          </cell>
        </row>
        <row r="214">
          <cell r="B214">
            <v>209</v>
          </cell>
          <cell r="C214" t="str">
            <v>108-05-29</v>
          </cell>
          <cell r="D214" t="str">
            <v>209-明台產險</v>
          </cell>
          <cell r="E214" t="str">
            <v>明台產物保險股份有限公司</v>
          </cell>
          <cell r="F214" t="str">
            <v>8489&gt;8520&gt;未稅</v>
          </cell>
          <cell r="G214" t="str">
            <v>未稅</v>
          </cell>
          <cell r="H214" t="str">
            <v>保險</v>
          </cell>
          <cell r="I214" t="str">
            <v>付現</v>
          </cell>
          <cell r="J214" t="str">
            <v>037-321256分機202楊秀美&gt;0920370705楊秀美&gt;傳真037-369951</v>
          </cell>
          <cell r="N214">
            <v>360</v>
          </cell>
          <cell r="O214" t="str">
            <v>苗栗縣苗栗市國華路1136號</v>
          </cell>
          <cell r="P214" t="str">
            <v>209-明台產險</v>
          </cell>
          <cell r="Q214" t="str">
            <v>苗栗縣苗栗市國華路1136號</v>
          </cell>
          <cell r="R214">
            <v>30</v>
          </cell>
        </row>
        <row r="215">
          <cell r="B215">
            <v>210</v>
          </cell>
          <cell r="C215" t="str">
            <v>108-06-25</v>
          </cell>
          <cell r="D215" t="str">
            <v>210-毅成企業</v>
          </cell>
          <cell r="E215" t="str">
            <v>毅成企業有限公司</v>
          </cell>
          <cell r="G215" t="str">
            <v>未稅</v>
          </cell>
          <cell r="H215" t="str">
            <v>材料</v>
          </cell>
          <cell r="I215" t="str">
            <v>開票期0.15個月</v>
          </cell>
          <cell r="J215" t="str">
            <v>0935-222200&gt;0958111002</v>
          </cell>
          <cell r="N215">
            <v>104</v>
          </cell>
          <cell r="O215" t="str">
            <v>台北市南京東路5段336號10F</v>
          </cell>
          <cell r="P215" t="str">
            <v>210-毅成企業</v>
          </cell>
          <cell r="Q215" t="str">
            <v>台北市南京東路5段336號10F</v>
          </cell>
          <cell r="R215">
            <v>30</v>
          </cell>
        </row>
        <row r="216">
          <cell r="B216">
            <v>211</v>
          </cell>
          <cell r="C216" t="str">
            <v>108-06-28</v>
          </cell>
          <cell r="D216" t="str">
            <v>211-奇岩自動車</v>
          </cell>
          <cell r="E216" t="str">
            <v>奇岩自動車</v>
          </cell>
          <cell r="G216" t="str">
            <v>未稅</v>
          </cell>
          <cell r="H216" t="str">
            <v>空力套件&gt;底盤提升</v>
          </cell>
          <cell r="I216" t="str">
            <v>匯款台北富邦 北投分行 360210530106 盧建志</v>
          </cell>
          <cell r="J216" t="str">
            <v>02-26185582&gt;傳真02-26185592&gt;0915-771771盧建志</v>
          </cell>
          <cell r="N216">
            <v>249</v>
          </cell>
          <cell r="O216" t="str">
            <v>新北市八里區中華路二段173-2</v>
          </cell>
          <cell r="P216" t="str">
            <v>211-奇岩自動車</v>
          </cell>
          <cell r="Q216" t="str">
            <v>新北市八里區中華路二段173-2</v>
          </cell>
          <cell r="R216">
            <v>30</v>
          </cell>
        </row>
        <row r="217">
          <cell r="B217">
            <v>212</v>
          </cell>
          <cell r="C217" t="str">
            <v>108-08-26</v>
          </cell>
          <cell r="D217" t="str">
            <v>212-智良實業有限公司&gt;消暑專家</v>
          </cell>
          <cell r="E217" t="str">
            <v>智良實業有限公司&gt;消暑專家</v>
          </cell>
          <cell r="G217" t="str">
            <v>未稅</v>
          </cell>
          <cell r="H217" t="str">
            <v>風扇&gt;轎車材料</v>
          </cell>
          <cell r="I217" t="str">
            <v>付現</v>
          </cell>
          <cell r="J217" t="str">
            <v>02-29655888&gt;傳真:02-29600808</v>
          </cell>
          <cell r="N217">
            <v>220</v>
          </cell>
          <cell r="O217" t="str">
            <v>新北市板橋區龍興街73巷24號</v>
          </cell>
          <cell r="P217" t="str">
            <v>212-智良實業有限公司</v>
          </cell>
          <cell r="Q217" t="str">
            <v>新北市板橋區龍興街73巷24號</v>
          </cell>
          <cell r="R217">
            <v>30</v>
          </cell>
        </row>
        <row r="218">
          <cell r="B218">
            <v>213</v>
          </cell>
          <cell r="C218" t="str">
            <v>108-07-04</v>
          </cell>
          <cell r="D218" t="str">
            <v>213-尚大汽車</v>
          </cell>
          <cell r="E218" t="str">
            <v>尚大汽車材料有限公司</v>
          </cell>
          <cell r="G218" t="str">
            <v>稅外</v>
          </cell>
          <cell r="H218" t="str">
            <v>材料</v>
          </cell>
          <cell r="I218" t="str">
            <v>開票期0.15個月</v>
          </cell>
          <cell r="J218" t="str">
            <v>02-25031255&gt;傳真02-2517-9495</v>
          </cell>
          <cell r="N218">
            <v>104</v>
          </cell>
          <cell r="O218" t="str">
            <v>台北市中山區濱江街178-5號</v>
          </cell>
          <cell r="P218" t="str">
            <v>213-尚大汽車</v>
          </cell>
          <cell r="Q218" t="str">
            <v>台北市中山區濱江街178-5號</v>
          </cell>
          <cell r="R218">
            <v>30</v>
          </cell>
        </row>
        <row r="219">
          <cell r="B219">
            <v>214</v>
          </cell>
          <cell r="C219" t="str">
            <v>109-02-14</v>
          </cell>
          <cell r="D219" t="str">
            <v>214-實家企業社</v>
          </cell>
          <cell r="E219" t="str">
            <v>實家企業社</v>
          </cell>
          <cell r="G219" t="str">
            <v>未稅</v>
          </cell>
          <cell r="H219" t="str">
            <v>材料</v>
          </cell>
          <cell r="I219" t="str">
            <v>開票期0.15個月&gt;永豐銀行 北台南分行 18001800005997  傅偉</v>
          </cell>
          <cell r="J219" t="str">
            <v>06-2834130&gt;傳真06-2834132</v>
          </cell>
          <cell r="N219">
            <v>704</v>
          </cell>
          <cell r="O219" t="str">
            <v>台南市北成路300號</v>
          </cell>
          <cell r="P219" t="str">
            <v>214-實家企業社</v>
          </cell>
          <cell r="Q219" t="str">
            <v>台南市北成路300號</v>
          </cell>
          <cell r="R219">
            <v>30</v>
          </cell>
        </row>
        <row r="220">
          <cell r="B220">
            <v>215</v>
          </cell>
          <cell r="C220" t="str">
            <v>108-07-11</v>
          </cell>
          <cell r="D220" t="str">
            <v>215-翔鑫科技</v>
          </cell>
          <cell r="E220" t="str">
            <v>翔鑫科技股份有限公司</v>
          </cell>
          <cell r="F220" t="str">
            <v>2424&gt;4505</v>
          </cell>
          <cell r="G220" t="str">
            <v>稅外</v>
          </cell>
          <cell r="H220" t="str">
            <v>材料</v>
          </cell>
          <cell r="I220" t="str">
            <v>匯款玉山銀行 中工分行 1252940009566 翔鑫科技股份有限公司</v>
          </cell>
          <cell r="J220" t="str">
            <v>04-23593549&gt;傳真04-23593650</v>
          </cell>
          <cell r="N220">
            <v>408</v>
          </cell>
          <cell r="O220" t="str">
            <v>台中市南屯區工業21路29號3樓</v>
          </cell>
          <cell r="P220" t="str">
            <v>215-翔鑫科技</v>
          </cell>
          <cell r="Q220" t="str">
            <v>台中市南屯區工業21路29號3樓</v>
          </cell>
          <cell r="R220">
            <v>30</v>
          </cell>
        </row>
        <row r="221">
          <cell r="B221">
            <v>216</v>
          </cell>
          <cell r="C221" t="str">
            <v>108-08-10</v>
          </cell>
          <cell r="D221" t="str">
            <v>216-HARDRACE承富有限公司</v>
          </cell>
          <cell r="E221" t="str">
            <v>承富有限公司</v>
          </cell>
          <cell r="G221" t="str">
            <v>未稅</v>
          </cell>
          <cell r="H221" t="str">
            <v>材料</v>
          </cell>
          <cell r="I221" t="str">
            <v>開票期0.15個月&gt;新竹第三信用作社 香山分社  0084220711410 王源鈞</v>
          </cell>
          <cell r="J221" t="str">
            <v>03-5370822&gt;0925-385857王先生&gt;傳真03-5373027</v>
          </cell>
          <cell r="N221">
            <v>300</v>
          </cell>
          <cell r="O221" t="str">
            <v>新竹市中華路六段1巷3號</v>
          </cell>
          <cell r="P221" t="str">
            <v>216-承富有限公司</v>
          </cell>
          <cell r="Q221" t="str">
            <v>新竹市中華路六段1巷3號</v>
          </cell>
          <cell r="R221">
            <v>30</v>
          </cell>
        </row>
        <row r="222">
          <cell r="B222">
            <v>217</v>
          </cell>
          <cell r="C222" t="str">
            <v>108-08-13</v>
          </cell>
          <cell r="D222" t="str">
            <v>217-車友行</v>
          </cell>
          <cell r="E222" t="str">
            <v>車友行貿易股份有限公司</v>
          </cell>
          <cell r="F222" t="str">
            <v>8019&gt;0045</v>
          </cell>
          <cell r="G222" t="str">
            <v>含稅</v>
          </cell>
          <cell r="H222" t="str">
            <v>倍耐力輪胎</v>
          </cell>
          <cell r="I222" t="str">
            <v>付現</v>
          </cell>
          <cell r="J222" t="str">
            <v>03-5530400</v>
          </cell>
          <cell r="N222">
            <v>300</v>
          </cell>
          <cell r="O222" t="str">
            <v>新竹市博愛街27-15號</v>
          </cell>
          <cell r="P222" t="str">
            <v>217-車友行</v>
          </cell>
          <cell r="Q222" t="str">
            <v>新竹市博愛街27-15號</v>
          </cell>
          <cell r="R222">
            <v>30</v>
          </cell>
        </row>
        <row r="223">
          <cell r="B223">
            <v>218</v>
          </cell>
          <cell r="C223" t="str">
            <v>108-08-22</v>
          </cell>
          <cell r="D223" t="str">
            <v>218-金盛科技</v>
          </cell>
          <cell r="E223" t="str">
            <v>金盛科技有限公司</v>
          </cell>
          <cell r="G223" t="str">
            <v>未稅</v>
          </cell>
          <cell r="H223" t="str">
            <v>充電線</v>
          </cell>
          <cell r="I223" t="str">
            <v>匯款第一銀行 大同分行 13110408017 金盛科技有限公司</v>
          </cell>
          <cell r="J223" t="str">
            <v>02-22939809&gt;傳真:02-22925539</v>
          </cell>
          <cell r="N223">
            <v>248</v>
          </cell>
          <cell r="O223" t="str">
            <v>新北市五股區民義路一段255-31號</v>
          </cell>
          <cell r="P223" t="str">
            <v>218-金盛科技</v>
          </cell>
          <cell r="Q223" t="str">
            <v>新北市五股區民義路一段255-31號</v>
          </cell>
          <cell r="R223">
            <v>30</v>
          </cell>
        </row>
        <row r="224">
          <cell r="B224">
            <v>219</v>
          </cell>
          <cell r="C224" t="str">
            <v>108-08-29</v>
          </cell>
          <cell r="D224" t="str">
            <v>219-翌陽電機</v>
          </cell>
          <cell r="E224" t="str">
            <v>翌陽電機有限公司</v>
          </cell>
          <cell r="G224" t="str">
            <v>未稅</v>
          </cell>
          <cell r="H224" t="str">
            <v>抽風扇</v>
          </cell>
          <cell r="I224" t="str">
            <v>付現</v>
          </cell>
          <cell r="J224" t="str">
            <v>04-24262507&gt;傳真04-24261262</v>
          </cell>
          <cell r="N224">
            <v>406</v>
          </cell>
          <cell r="O224" t="str">
            <v>台中市北屯區更生巷176-1號</v>
          </cell>
          <cell r="P224" t="str">
            <v>219-翌陽電機</v>
          </cell>
          <cell r="Q224" t="str">
            <v>台中市北屯區更生巷176-1號</v>
          </cell>
          <cell r="R224">
            <v>30</v>
          </cell>
        </row>
        <row r="225">
          <cell r="B225">
            <v>220</v>
          </cell>
          <cell r="C225" t="str">
            <v>108-08-29</v>
          </cell>
          <cell r="D225" t="str">
            <v>220-新銳光專業燈泡</v>
          </cell>
          <cell r="E225" t="str">
            <v>新銳光專業燈泡</v>
          </cell>
          <cell r="G225" t="str">
            <v>未稅</v>
          </cell>
          <cell r="H225" t="str">
            <v>材料</v>
          </cell>
          <cell r="I225" t="str">
            <v>付現</v>
          </cell>
          <cell r="J225" t="str">
            <v>0907-407980</v>
          </cell>
          <cell r="N225">
            <v>350</v>
          </cell>
          <cell r="O225" t="str">
            <v>苗栗縣竹南鎮勤興街158巷2號</v>
          </cell>
          <cell r="P225" t="str">
            <v>220-新銳光專業燈泡</v>
          </cell>
          <cell r="Q225" t="str">
            <v>苗栗縣竹南鎮勤興街158巷2號</v>
          </cell>
          <cell r="R225">
            <v>30</v>
          </cell>
        </row>
        <row r="226">
          <cell r="B226">
            <v>221</v>
          </cell>
          <cell r="C226" t="str">
            <v>108-09-12</v>
          </cell>
          <cell r="D226" t="str">
            <v>221-大榮貨運</v>
          </cell>
          <cell r="E226" t="str">
            <v>嘉里大榮貨運物流股份有限公司</v>
          </cell>
          <cell r="G226" t="str">
            <v>含稅</v>
          </cell>
          <cell r="H226" t="str">
            <v>寄貨運</v>
          </cell>
          <cell r="I226" t="str">
            <v>匯款</v>
          </cell>
          <cell r="J226" t="str">
            <v>037-622269&gt;司機電話0905-388370</v>
          </cell>
          <cell r="N226">
            <v>351</v>
          </cell>
          <cell r="O226" t="str">
            <v>苗栗縣頭份市自強路二段68號</v>
          </cell>
          <cell r="P226" t="str">
            <v>221-大榮貨運</v>
          </cell>
          <cell r="Q226" t="str">
            <v>苗栗縣頭份鎮自強路二段68號</v>
          </cell>
          <cell r="R226">
            <v>20</v>
          </cell>
        </row>
        <row r="227">
          <cell r="B227">
            <v>222</v>
          </cell>
          <cell r="C227" t="str">
            <v>108-10-29</v>
          </cell>
          <cell r="D227" t="str">
            <v>222-田富貿易有限公司</v>
          </cell>
          <cell r="E227" t="str">
            <v>田富貿易有限公司&gt;煞車皮永謙</v>
          </cell>
          <cell r="F227" t="str">
            <v>5099&gt;8900</v>
          </cell>
          <cell r="G227" t="str">
            <v>未稅</v>
          </cell>
          <cell r="H227" t="str">
            <v>汽車零件</v>
          </cell>
          <cell r="I227" t="str">
            <v>開票期0.15個月&gt;匯款帳號:彰銀 福和分行 55985115525400 劉永謙</v>
          </cell>
          <cell r="J227" t="str">
            <v>0935-356997</v>
          </cell>
          <cell r="N227">
            <v>236</v>
          </cell>
          <cell r="O227" t="str">
            <v>新北市土城區延吉街26號</v>
          </cell>
          <cell r="P227" t="str">
            <v>222-田富貿易有限公司</v>
          </cell>
          <cell r="Q227" t="str">
            <v>新北市土城區延吉街26號</v>
          </cell>
          <cell r="R227">
            <v>30</v>
          </cell>
        </row>
        <row r="228">
          <cell r="B228">
            <v>223</v>
          </cell>
          <cell r="C228" t="str">
            <v>108-11-11</v>
          </cell>
          <cell r="D228" t="str">
            <v>223-鎧新研創有限公司</v>
          </cell>
          <cell r="E228" t="str">
            <v>鎧新研創有限公司</v>
          </cell>
          <cell r="G228" t="str">
            <v>未稅</v>
          </cell>
          <cell r="H228" t="str">
            <v>汽車材料</v>
          </cell>
          <cell r="I228" t="str">
            <v>宅配付現</v>
          </cell>
          <cell r="J228" t="str">
            <v>02-86719581&gt;傳真02-86719085</v>
          </cell>
          <cell r="N228">
            <v>237</v>
          </cell>
          <cell r="O228" t="str">
            <v>新北市三峽區三樹路222巷166-1號</v>
          </cell>
          <cell r="P228" t="str">
            <v>223-鎧新研創有限公司</v>
          </cell>
          <cell r="Q228" t="str">
            <v>新北市三峽區三樹路222巷166-1號</v>
          </cell>
          <cell r="R228">
            <v>30</v>
          </cell>
        </row>
        <row r="229">
          <cell r="B229">
            <v>224</v>
          </cell>
          <cell r="C229" t="str">
            <v>108-12-13</v>
          </cell>
          <cell r="D229" t="str">
            <v>224-福特新苗汽車(頭份廠)</v>
          </cell>
          <cell r="E229" t="str">
            <v>福特新苗汽車(頭份廠)</v>
          </cell>
          <cell r="F229" t="str">
            <v>2527&gt;6308</v>
          </cell>
          <cell r="G229" t="str">
            <v>含稅</v>
          </cell>
          <cell r="H229" t="str">
            <v>福特原廠汽車材料</v>
          </cell>
          <cell r="I229" t="str">
            <v>付現</v>
          </cell>
          <cell r="J229" t="str">
            <v>037-683806&gt;傳真037-684784</v>
          </cell>
          <cell r="N229">
            <v>351</v>
          </cell>
          <cell r="O229" t="str">
            <v>苗栗縣頭份市東庄里自強路206號</v>
          </cell>
          <cell r="P229" t="str">
            <v>224-福特新苗汽車(頭份廠)</v>
          </cell>
          <cell r="Q229" t="str">
            <v>苗栗縣頭份市東庄里自強路206號</v>
          </cell>
          <cell r="R229">
            <v>30</v>
          </cell>
        </row>
        <row r="230">
          <cell r="B230">
            <v>225</v>
          </cell>
          <cell r="C230" t="str">
            <v>108-12-17</v>
          </cell>
          <cell r="D230" t="str">
            <v>225-大台北億成輪胎量販中心</v>
          </cell>
          <cell r="E230" t="str">
            <v>大台北億成輪胎量販中心</v>
          </cell>
          <cell r="G230" t="str">
            <v>未稅</v>
          </cell>
          <cell r="H230" t="str">
            <v>FK輪胎</v>
          </cell>
          <cell r="I230" t="str">
            <v>匯款中國信託 土城分行 369540114715 黃啟祥</v>
          </cell>
          <cell r="J230" t="str">
            <v>02-22687309&gt;0983-008299黃啟祥</v>
          </cell>
          <cell r="N230">
            <v>236</v>
          </cell>
          <cell r="O230" t="str">
            <v>新北市土城區大安路8號</v>
          </cell>
          <cell r="P230" t="str">
            <v>225-大台北億成輪胎量販中心</v>
          </cell>
          <cell r="Q230" t="str">
            <v>新北市土城區大安路8號</v>
          </cell>
          <cell r="R230">
            <v>30</v>
          </cell>
        </row>
        <row r="231">
          <cell r="B231">
            <v>226</v>
          </cell>
          <cell r="C231" t="str">
            <v>108-12-19</v>
          </cell>
          <cell r="D231" t="str">
            <v>226-竑騏車業</v>
          </cell>
          <cell r="E231" t="str">
            <v>竑騏車業</v>
          </cell>
          <cell r="G231" t="str">
            <v>未稅</v>
          </cell>
          <cell r="H231" t="str">
            <v>材料</v>
          </cell>
          <cell r="I231" t="str">
            <v>下貨後3日內匯款兆豐銀行中壢分行 03910953558 尤秋鵬</v>
          </cell>
          <cell r="J231" t="str">
            <v>0935-817966尤秋鵬</v>
          </cell>
          <cell r="N231">
            <v>320</v>
          </cell>
          <cell r="O231" t="str">
            <v>桃園市中壢區新生路二段311號</v>
          </cell>
          <cell r="P231" t="str">
            <v>226-竑騏車業</v>
          </cell>
          <cell r="Q231" t="str">
            <v>桃園市中壢區新生路二段311號</v>
          </cell>
          <cell r="R231">
            <v>30</v>
          </cell>
        </row>
        <row r="232">
          <cell r="B232">
            <v>227</v>
          </cell>
          <cell r="C232" t="str">
            <v>108-12-19</v>
          </cell>
          <cell r="D232" t="str">
            <v>227-莫名其妙倉庫</v>
          </cell>
          <cell r="E232" t="str">
            <v>莫名其妙倉庫</v>
          </cell>
          <cell r="G232" t="str">
            <v>未稅</v>
          </cell>
          <cell r="H232" t="str">
            <v>福特.FORD.原廠零配件.專用改裝件.汽車百貨</v>
          </cell>
          <cell r="I232" t="str">
            <v>匯款郵局 台中何厝分行 00214410078026 孫仲岳</v>
          </cell>
          <cell r="J232" t="str">
            <v>0928-389698孫仲岳</v>
          </cell>
          <cell r="N232">
            <v>806</v>
          </cell>
          <cell r="O232" t="str">
            <v>高雄市前鎮區一心二路157號</v>
          </cell>
          <cell r="P232" t="str">
            <v>227-莫名其妙倉庫</v>
          </cell>
          <cell r="Q232" t="str">
            <v>高雄市前鎮區一心二路157號</v>
          </cell>
          <cell r="R232">
            <v>30</v>
          </cell>
        </row>
        <row r="233">
          <cell r="B233">
            <v>228</v>
          </cell>
          <cell r="C233" t="str">
            <v>108-12-21</v>
          </cell>
          <cell r="D233" t="str">
            <v>228-吉利來輪胎行</v>
          </cell>
          <cell r="E233" t="str">
            <v>吉利來輪胎行&gt;楊銀中</v>
          </cell>
          <cell r="G233" t="str">
            <v>未稅</v>
          </cell>
          <cell r="H233" t="str">
            <v>救車&gt;付現</v>
          </cell>
          <cell r="I233" t="str">
            <v>匯款郵局 00812230049678 柯依芹</v>
          </cell>
          <cell r="J233" t="str">
            <v>04-7982239&gt;0918-396159楊銀中</v>
          </cell>
          <cell r="N233">
            <v>509</v>
          </cell>
          <cell r="O233" t="str">
            <v>彰化縣伸港鄉溪底村興工路138號</v>
          </cell>
          <cell r="P233" t="str">
            <v>228-吉利來輪胎行</v>
          </cell>
          <cell r="Q233" t="str">
            <v>彰化縣伸港鄉溪底村興工路138號</v>
          </cell>
          <cell r="R233">
            <v>30</v>
          </cell>
        </row>
        <row r="234">
          <cell r="B234">
            <v>229</v>
          </cell>
          <cell r="C234" t="str">
            <v>108-12-25</v>
          </cell>
          <cell r="D234" t="str">
            <v>229-泰瑞斯貿易有限公司</v>
          </cell>
          <cell r="E234" t="str">
            <v>泰瑞斯貿易有限公司</v>
          </cell>
          <cell r="G234" t="str">
            <v>未稅</v>
          </cell>
          <cell r="H234" t="str">
            <v>威斯登輪胎</v>
          </cell>
          <cell r="I234" t="str">
            <v>開票期0.15個月</v>
          </cell>
          <cell r="J234" t="str">
            <v>04-23125527&gt;傳真:04-23125529</v>
          </cell>
          <cell r="N234">
            <v>407</v>
          </cell>
          <cell r="O234" t="str">
            <v>台中市西屯區四川路33號</v>
          </cell>
          <cell r="P234" t="str">
            <v>229-泰瑞斯貿易有限公司</v>
          </cell>
          <cell r="Q234" t="str">
            <v>台中市西屯區四川路33號</v>
          </cell>
          <cell r="R234">
            <v>30</v>
          </cell>
        </row>
        <row r="235">
          <cell r="B235">
            <v>230</v>
          </cell>
          <cell r="C235" t="str">
            <v>109-01-07</v>
          </cell>
          <cell r="D235" t="str">
            <v>230-迪奧瑪斯</v>
          </cell>
          <cell r="E235" t="str">
            <v>迪奧瑪斯</v>
          </cell>
          <cell r="G235" t="str">
            <v>未稅</v>
          </cell>
          <cell r="H235" t="str">
            <v>汽車材料</v>
          </cell>
          <cell r="J235" t="str">
            <v>02-25414141</v>
          </cell>
          <cell r="N235">
            <v>300</v>
          </cell>
          <cell r="O235" t="str">
            <v>台北市中山區長安西路26巷1號1樓</v>
          </cell>
          <cell r="P235" t="str">
            <v>230-迪奧瑪斯</v>
          </cell>
          <cell r="Q235" t="str">
            <v>台北市中山區長安西路26巷1號1樓</v>
          </cell>
          <cell r="R235">
            <v>30</v>
          </cell>
        </row>
        <row r="236">
          <cell r="B236">
            <v>231</v>
          </cell>
          <cell r="C236" t="str">
            <v>109-01-10</v>
          </cell>
          <cell r="D236" t="str">
            <v>231-祥億氣動</v>
          </cell>
          <cell r="E236" t="str">
            <v>祥億氣動</v>
          </cell>
          <cell r="G236" t="str">
            <v>未稅</v>
          </cell>
          <cell r="H236" t="str">
            <v>改裝修理.千斤頂修理</v>
          </cell>
          <cell r="J236" t="str">
            <v>04-25278358&gt;0910-452628蔡安祥</v>
          </cell>
          <cell r="N236">
            <v>420</v>
          </cell>
          <cell r="O236" t="str">
            <v>台中市豐原區豐社路137號</v>
          </cell>
          <cell r="P236" t="str">
            <v>231-祥億氣動</v>
          </cell>
          <cell r="Q236" t="str">
            <v>台中市豐原區豐社路137號</v>
          </cell>
          <cell r="R236">
            <v>30</v>
          </cell>
        </row>
        <row r="237">
          <cell r="B237">
            <v>232</v>
          </cell>
          <cell r="C237" t="str">
            <v>109-01-10</v>
          </cell>
          <cell r="D237" t="str">
            <v>232-上井傳動軸</v>
          </cell>
          <cell r="E237" t="str">
            <v>上井傳動軸</v>
          </cell>
          <cell r="G237" t="str">
            <v>未稅</v>
          </cell>
          <cell r="H237" t="str">
            <v>汽車零件</v>
          </cell>
          <cell r="I237" t="str">
            <v>開票期0.15個月</v>
          </cell>
          <cell r="J237" t="str">
            <v>037-623367&gt;037-635349&gt;0935-422340</v>
          </cell>
          <cell r="N237">
            <v>351</v>
          </cell>
          <cell r="O237" t="str">
            <v>苗栗縣頭份市田寮里民族路433號</v>
          </cell>
          <cell r="P237" t="str">
            <v>232-上井傳動軸</v>
          </cell>
          <cell r="Q237" t="str">
            <v>苗栗縣頭份市田寮里民族路433號</v>
          </cell>
          <cell r="R237">
            <v>30</v>
          </cell>
        </row>
        <row r="238">
          <cell r="B238">
            <v>233</v>
          </cell>
          <cell r="C238" t="str">
            <v>109-01-11</v>
          </cell>
          <cell r="D238" t="str">
            <v>233-鋐泰汽車</v>
          </cell>
          <cell r="E238" t="str">
            <v>鋐泰汽車</v>
          </cell>
          <cell r="G238" t="str">
            <v>未稅</v>
          </cell>
          <cell r="H238" t="str">
            <v>汽車零件</v>
          </cell>
          <cell r="J238" t="str">
            <v>03-4967859&gt;03-4964422&gt;傳真03-4964410</v>
          </cell>
          <cell r="N238">
            <v>324</v>
          </cell>
          <cell r="O238" t="str">
            <v>桃園市平鎮區延平路三段421號</v>
          </cell>
          <cell r="P238" t="str">
            <v>233-鋐泰汽車</v>
          </cell>
          <cell r="Q238" t="str">
            <v>桃園市平鎮區延平路三段421號</v>
          </cell>
          <cell r="R238">
            <v>30</v>
          </cell>
        </row>
        <row r="239">
          <cell r="B239">
            <v>234</v>
          </cell>
          <cell r="C239" t="str">
            <v>109-02-08</v>
          </cell>
          <cell r="D239" t="str">
            <v>234-騰謚國際</v>
          </cell>
          <cell r="E239" t="str">
            <v>騰謚國際有限公司</v>
          </cell>
          <cell r="F239" t="str">
            <v>6592&gt;6905</v>
          </cell>
          <cell r="G239" t="str">
            <v>未稅</v>
          </cell>
          <cell r="H239" t="str">
            <v>汽車材料</v>
          </cell>
          <cell r="I239" t="str">
            <v>匯款 中國信託 丹鳳分行 761540175284 黃士庭</v>
          </cell>
          <cell r="J239" t="str">
            <v>0916-282000</v>
          </cell>
          <cell r="N239">
            <v>243</v>
          </cell>
          <cell r="O239" t="str">
            <v>新北市泰山區泰林路二段503號</v>
          </cell>
          <cell r="P239" t="str">
            <v>234-騰謚國際</v>
          </cell>
          <cell r="Q239" t="str">
            <v>新北市泰山區泰林路二段503號</v>
          </cell>
          <cell r="R239">
            <v>30</v>
          </cell>
        </row>
        <row r="240">
          <cell r="B240">
            <v>235</v>
          </cell>
          <cell r="C240" t="str">
            <v>109-02-12</v>
          </cell>
          <cell r="D240" t="str">
            <v>235-新光保全</v>
          </cell>
          <cell r="E240" t="str">
            <v>台灣新光保全股份有限公司</v>
          </cell>
          <cell r="F240" t="str">
            <v>1226&gt;1768</v>
          </cell>
          <cell r="G240" t="str">
            <v>未稅</v>
          </cell>
          <cell r="H240" t="str">
            <v>保險</v>
          </cell>
          <cell r="J240" t="str">
            <v>037-673584</v>
          </cell>
          <cell r="N240">
            <v>351</v>
          </cell>
          <cell r="O240" t="str">
            <v>苗栗縣頭份鎮中華路1192號10F</v>
          </cell>
          <cell r="P240" t="str">
            <v>235-新光保全</v>
          </cell>
          <cell r="Q240" t="str">
            <v>苗栗縣頭份市中華路1192號10F</v>
          </cell>
          <cell r="R240">
            <v>30</v>
          </cell>
        </row>
        <row r="241">
          <cell r="B241">
            <v>236</v>
          </cell>
          <cell r="C241" t="str">
            <v>109-02-17/黃凱筠</v>
          </cell>
          <cell r="D241" t="str">
            <v>236-夢工廠國際車業</v>
          </cell>
          <cell r="E241" t="str">
            <v>夢工廠國際車業</v>
          </cell>
          <cell r="G241" t="str">
            <v>未稅</v>
          </cell>
          <cell r="H241" t="str">
            <v>鋁圈</v>
          </cell>
          <cell r="J241" t="str">
            <v>0978153518黃仁德</v>
          </cell>
          <cell r="N241">
            <v>360</v>
          </cell>
          <cell r="O241" t="str">
            <v>苗栗縣公館鄉中義村133號</v>
          </cell>
          <cell r="P241" t="str">
            <v>236-夢工廠國際車業</v>
          </cell>
          <cell r="Q241" t="str">
            <v>苗栗縣公館鄉中義村133號</v>
          </cell>
          <cell r="R241">
            <v>30</v>
          </cell>
        </row>
        <row r="242">
          <cell r="B242">
            <v>237</v>
          </cell>
          <cell r="C242" t="str">
            <v>109-02-18/黃凱筠</v>
          </cell>
          <cell r="D242" t="str">
            <v>237-SPEEDFACTORY</v>
          </cell>
          <cell r="E242" t="str">
            <v>SPEEDFACTORY</v>
          </cell>
          <cell r="G242" t="str">
            <v>未稅</v>
          </cell>
          <cell r="H242" t="str">
            <v>火星塞</v>
          </cell>
          <cell r="J242" t="str">
            <v>0986-316069 JUJU</v>
          </cell>
          <cell r="N242">
            <v>236</v>
          </cell>
          <cell r="O242" t="str">
            <v>新北市土城區金城路三段309號</v>
          </cell>
          <cell r="P242" t="str">
            <v>237-SPEEDFACTORY</v>
          </cell>
          <cell r="Q242" t="str">
            <v>新北市土城區金城路三段309號</v>
          </cell>
          <cell r="R242">
            <v>30</v>
          </cell>
        </row>
        <row r="243">
          <cell r="B243">
            <v>238</v>
          </cell>
          <cell r="C243" t="str">
            <v>109-02-19/黃凱筠</v>
          </cell>
          <cell r="D243" t="str">
            <v>238-唯辰行&gt;佳佳商行</v>
          </cell>
          <cell r="E243" t="str">
            <v>唯辰行&gt;佳佳商行</v>
          </cell>
          <cell r="G243" t="str">
            <v>未稅</v>
          </cell>
          <cell r="H243" t="str">
            <v>小瓶裝水&gt;付現&gt;一箱70元(24瓶)</v>
          </cell>
          <cell r="J243" t="str">
            <v>037-250238＞0919-045093＞0912-037554(訂瓶裝水)</v>
          </cell>
          <cell r="N243">
            <v>362</v>
          </cell>
          <cell r="O243" t="str">
            <v>苗栗縣頭屋鄉曲洞村11鄰95號.</v>
          </cell>
          <cell r="P243" t="str">
            <v>238-唯辰行&gt;佳佳商行</v>
          </cell>
          <cell r="Q243" t="str">
            <v>苗栗縣頭屋鄉曲洞村11鄰95號.</v>
          </cell>
          <cell r="R243">
            <v>30</v>
          </cell>
        </row>
        <row r="244">
          <cell r="B244">
            <v>239</v>
          </cell>
          <cell r="C244" t="str">
            <v>109-02-22/黃凱筠</v>
          </cell>
          <cell r="D244" t="str">
            <v>239-巴克利有限公司</v>
          </cell>
          <cell r="E244" t="str">
            <v>巴克利有限公司</v>
          </cell>
          <cell r="G244" t="str">
            <v>未稅</v>
          </cell>
          <cell r="H244" t="str">
            <v>汽車材料</v>
          </cell>
          <cell r="I244" t="str">
            <v>匯款玉山銀行 羅東分行 0451979130420 黃忠偉</v>
          </cell>
          <cell r="J244" t="str">
            <v>06-5975863&gt;0917-593481黃忠偉&gt;傳真06-5975663</v>
          </cell>
          <cell r="N244">
            <v>745</v>
          </cell>
          <cell r="O244" t="str">
            <v>台南市安定區安定262-21號</v>
          </cell>
          <cell r="P244" t="str">
            <v>239-巴克利有限公司</v>
          </cell>
          <cell r="Q244" t="str">
            <v>台南市安定區安定262-21號</v>
          </cell>
          <cell r="R244">
            <v>30</v>
          </cell>
        </row>
        <row r="245">
          <cell r="B245">
            <v>240</v>
          </cell>
          <cell r="C245" t="str">
            <v>109-02-25/黃凱筠</v>
          </cell>
          <cell r="D245" t="str">
            <v>240-慶翔汽車材料&gt;康兄介紹</v>
          </cell>
          <cell r="E245" t="str">
            <v>慶翔汽車材料有限公司</v>
          </cell>
          <cell r="F245" t="str">
            <v>2513&gt;9261</v>
          </cell>
          <cell r="G245" t="str">
            <v>未稅</v>
          </cell>
          <cell r="H245" t="str">
            <v>汽車材料</v>
          </cell>
          <cell r="I245" t="str">
            <v>匯款合作金庫 寶僑分行 5355899007027 楊馥毓</v>
          </cell>
          <cell r="J245" t="str">
            <v>0966-686269楊馥毓</v>
          </cell>
          <cell r="N245">
            <v>104</v>
          </cell>
          <cell r="O245" t="str">
            <v>台北市中山區中山北路二段137巷16-1號</v>
          </cell>
          <cell r="P245" t="str">
            <v>240-慶翔汽車材料</v>
          </cell>
          <cell r="Q245" t="str">
            <v>台北市中山區中山北路二段137巷16-1號</v>
          </cell>
          <cell r="R245">
            <v>30</v>
          </cell>
        </row>
        <row r="246">
          <cell r="B246">
            <v>241</v>
          </cell>
          <cell r="C246" t="str">
            <v>109-02-26/鍾依岑</v>
          </cell>
          <cell r="D246" t="str">
            <v>241-日盛帆布鐵架行</v>
          </cell>
          <cell r="E246" t="str">
            <v>日盛帆布鐵架行</v>
          </cell>
          <cell r="F246" t="str">
            <v>7691&gt;6025</v>
          </cell>
          <cell r="G246" t="str">
            <v>未稅</v>
          </cell>
          <cell r="H246" t="str">
            <v>做車架尾門</v>
          </cell>
          <cell r="I246" t="str">
            <v>付現</v>
          </cell>
          <cell r="J246" t="str">
            <v>0937-634908林盛屏&gt;037-634908&gt;037-634007&gt;037-626418傳真</v>
          </cell>
          <cell r="N246">
            <v>351</v>
          </cell>
          <cell r="O246" t="str">
            <v>苗栗縣頭份市民族路710號</v>
          </cell>
          <cell r="P246" t="str">
            <v>241-日盛帆布鐵架行</v>
          </cell>
          <cell r="Q246" t="str">
            <v>苗栗縣頭份市民族路710號</v>
          </cell>
          <cell r="R246">
            <v>30</v>
          </cell>
        </row>
        <row r="247">
          <cell r="B247">
            <v>242</v>
          </cell>
          <cell r="C247" t="str">
            <v>109-02-29/鍾依岑</v>
          </cell>
          <cell r="D247" t="str">
            <v>242-統駿輪胎行&gt;昭安輪胎行</v>
          </cell>
          <cell r="E247" t="str">
            <v>統駿輪胎行&gt;昭安輪胎行&gt;負:蔡淑惠</v>
          </cell>
          <cell r="G247" t="str">
            <v>未稅</v>
          </cell>
          <cell r="H247" t="str">
            <v>輪胎</v>
          </cell>
          <cell r="J247" t="str">
            <v>07-8220587＞0927-996226</v>
          </cell>
          <cell r="N247">
            <v>812</v>
          </cell>
          <cell r="O247" t="str">
            <v xml:space="preserve">高雄市小港區港墘里平和路132號 </v>
          </cell>
          <cell r="P247" t="str">
            <v>242-昭安輪胎行</v>
          </cell>
          <cell r="Q247" t="str">
            <v xml:space="preserve">高雄市小港區港墘里平和路132號 </v>
          </cell>
          <cell r="R247">
            <v>30</v>
          </cell>
        </row>
        <row r="248">
          <cell r="B248">
            <v>243</v>
          </cell>
          <cell r="C248" t="str">
            <v>109-03-03/黃凱筠</v>
          </cell>
          <cell r="D248" t="str">
            <v>243-BC延宗企業有限公司</v>
          </cell>
          <cell r="E248" t="str">
            <v>延宗企業有限公司</v>
          </cell>
          <cell r="G248" t="str">
            <v>未稅</v>
          </cell>
          <cell r="H248" t="str">
            <v>汽車材料</v>
          </cell>
          <cell r="I248" t="str">
            <v>匯款合作金庫 土城分行 江榕豪 1450765707438</v>
          </cell>
          <cell r="J248" t="str">
            <v>02-22695277&gt;傳真02-22695299</v>
          </cell>
          <cell r="N248">
            <v>236</v>
          </cell>
          <cell r="O248" t="str">
            <v>新北市土城區永和街27-1號</v>
          </cell>
          <cell r="P248" t="str">
            <v>243-延宗企業有限公司</v>
          </cell>
          <cell r="Q248" t="str">
            <v>新北市土城區永和街27-1號</v>
          </cell>
          <cell r="R248">
            <v>30</v>
          </cell>
        </row>
        <row r="249">
          <cell r="B249">
            <v>244</v>
          </cell>
          <cell r="C249" t="str">
            <v>109-03-13/郭雯瑀</v>
          </cell>
          <cell r="D249" t="str">
            <v>244-昆侖輪胎有限公司</v>
          </cell>
          <cell r="E249" t="str">
            <v>雙錢集團(新疆)昆侖輪胎有限公司</v>
          </cell>
          <cell r="G249" t="str">
            <v>未稅</v>
          </cell>
          <cell r="H249" t="str">
            <v>昆侖輪胎&gt;匯款:銀行代碼:FJIBCNBA590&gt;銀行名稱:興業銀行烏魯木齊分行&gt;銀行帳號;512011400100012509&gt;銀行地址:新疆烏魯木齊人民路37號&gt;電話:86-991-2357681</v>
          </cell>
          <cell r="I249" t="str">
            <v>國際匯款</v>
          </cell>
          <cell r="J249" t="str">
            <v>0086-991-3304709&gt;傳真:0086-996-3304709</v>
          </cell>
          <cell r="O249" t="str">
            <v>中國新疆烏魯木齊東北路7880號</v>
          </cell>
          <cell r="P249" t="str">
            <v>244-昆侖輪胎有限公司</v>
          </cell>
          <cell r="Q249" t="str">
            <v>中國新疆烏魯木齊東北路7880號</v>
          </cell>
          <cell r="R249">
            <v>30</v>
          </cell>
        </row>
        <row r="250">
          <cell r="B250">
            <v>245</v>
          </cell>
          <cell r="C250" t="str">
            <v>109-03-13/黃凱筠</v>
          </cell>
          <cell r="D250" t="str">
            <v>245-耀鑫有限公司</v>
          </cell>
          <cell r="E250" t="str">
            <v>耀鑫有限公司&gt;諾基亞輪胎</v>
          </cell>
          <cell r="G250" t="str">
            <v>未稅</v>
          </cell>
          <cell r="H250" t="str">
            <v>海倍德輪胎</v>
          </cell>
          <cell r="I250" t="str">
            <v>付現</v>
          </cell>
          <cell r="J250" t="str">
            <v>02-25171269&gt;傳真02-25171659</v>
          </cell>
          <cell r="N250">
            <v>104</v>
          </cell>
          <cell r="O250" t="str">
            <v>台北市中山區濱江街320號</v>
          </cell>
          <cell r="P250" t="str">
            <v>245-耀鑫有限公司</v>
          </cell>
          <cell r="Q250" t="str">
            <v>台北市中山區濱江街320號</v>
          </cell>
          <cell r="R250">
            <v>30</v>
          </cell>
        </row>
        <row r="251">
          <cell r="B251">
            <v>246</v>
          </cell>
          <cell r="C251" t="str">
            <v>109-03-13/黃凱筠</v>
          </cell>
          <cell r="D251" t="str">
            <v>246-大戈企業有限公司</v>
          </cell>
          <cell r="E251" t="str">
            <v>大戈企業有限公司</v>
          </cell>
          <cell r="G251" t="str">
            <v>未稅</v>
          </cell>
          <cell r="H251" t="str">
            <v>帆布</v>
          </cell>
          <cell r="I251" t="str">
            <v xml:space="preserve">匯款新光銀行 連城路分行 0268100000359 大戈企業有限公司 </v>
          </cell>
          <cell r="J251" t="str">
            <v>02-22402805&gt;傳真02-22402793</v>
          </cell>
          <cell r="N251">
            <v>235</v>
          </cell>
          <cell r="O251" t="str">
            <v>新北市中和區中正路410號</v>
          </cell>
          <cell r="P251" t="str">
            <v>246-大戈企業有限公司</v>
          </cell>
          <cell r="Q251" t="str">
            <v>新北市中和區中正路410號</v>
          </cell>
          <cell r="R251">
            <v>30</v>
          </cell>
        </row>
        <row r="252">
          <cell r="B252">
            <v>247</v>
          </cell>
          <cell r="C252" t="str">
            <v>109-03-13/鍾依岑</v>
          </cell>
          <cell r="D252" t="str">
            <v>247-萬豐輪胎行</v>
          </cell>
          <cell r="E252" t="str">
            <v>萬豐輪胎行&gt;毅豐企業社&gt;</v>
          </cell>
          <cell r="F252" t="str">
            <v>1920＞3125鑫毅</v>
          </cell>
          <cell r="G252" t="str">
            <v>含稅</v>
          </cell>
          <cell r="H252" t="str">
            <v>輪胎</v>
          </cell>
          <cell r="J252" t="str">
            <v>0937-703963老闆邱慶鋒&gt;0932-458376</v>
          </cell>
          <cell r="K252">
            <v>0</v>
          </cell>
          <cell r="L252">
            <v>0</v>
          </cell>
          <cell r="M252">
            <v>0</v>
          </cell>
          <cell r="N252">
            <v>356</v>
          </cell>
          <cell r="O252" t="str">
            <v>苗栗縣後龍鎮南港23-10號&gt;萬豐 登:通霄鎮平元里5鄰崇仁路490巷26號.新毅</v>
          </cell>
          <cell r="P252" t="str">
            <v>247-萬豐輪胎行</v>
          </cell>
          <cell r="Q252" t="str">
            <v>苗栗縣後龍鎮南港23之10號</v>
          </cell>
          <cell r="R252">
            <v>30</v>
          </cell>
        </row>
        <row r="253">
          <cell r="B253">
            <v>248</v>
          </cell>
          <cell r="C253" t="str">
            <v>109-03-21/黃凱筠</v>
          </cell>
          <cell r="D253" t="str">
            <v>248-瀧騰&gt;瀧翔</v>
          </cell>
          <cell r="E253" t="str">
            <v>瀧騰股份有限公司 &gt;瀧翔有限公司</v>
          </cell>
          <cell r="G253" t="str">
            <v>未稅</v>
          </cell>
          <cell r="H253" t="str">
            <v xml:space="preserve">機油＞現金價-3% </v>
          </cell>
          <cell r="I253" t="str">
            <v>每個月25號來收貨款</v>
          </cell>
          <cell r="J253" t="str">
            <v>03-5507821-2&gt;傳真03-5507823&gt;0988054341邱智偉</v>
          </cell>
          <cell r="N253">
            <v>302</v>
          </cell>
          <cell r="O253" t="str">
            <v>新竹縣竹北市福興東路一段372號</v>
          </cell>
          <cell r="P253" t="str">
            <v xml:space="preserve">248-瀧騰股份有限公司 </v>
          </cell>
          <cell r="Q253" t="str">
            <v>新竹縣竹北市福興東路一段372號</v>
          </cell>
          <cell r="R253">
            <v>25</v>
          </cell>
        </row>
        <row r="254">
          <cell r="B254">
            <v>249</v>
          </cell>
          <cell r="C254" t="str">
            <v>109-03-24/黃凱筠</v>
          </cell>
          <cell r="D254" t="str">
            <v>249-沃步國際股份有限公司</v>
          </cell>
          <cell r="E254" t="str">
            <v>沃步國際股份有限公司</v>
          </cell>
          <cell r="G254" t="str">
            <v>未稅</v>
          </cell>
          <cell r="H254" t="str">
            <v>固特異輪胎</v>
          </cell>
          <cell r="I254" t="str">
            <v>匯款第一銀行 五股工業區分行 21710031780</v>
          </cell>
          <cell r="J254" t="str">
            <v>0928-090195范中韜</v>
          </cell>
          <cell r="N254">
            <v>248</v>
          </cell>
          <cell r="O254" t="str">
            <v>新北市五股區五工二弄路120號</v>
          </cell>
          <cell r="P254" t="str">
            <v>249-沃步國際股份有限公司</v>
          </cell>
          <cell r="Q254" t="str">
            <v>新北市五股區五工二弄路120號</v>
          </cell>
          <cell r="R254">
            <v>30</v>
          </cell>
        </row>
        <row r="255">
          <cell r="B255">
            <v>250</v>
          </cell>
          <cell r="C255" t="str">
            <v>109-03-26/黃凱筠</v>
          </cell>
          <cell r="D255" t="str">
            <v>250-華仔</v>
          </cell>
          <cell r="E255" t="str">
            <v>華仔</v>
          </cell>
          <cell r="G255" t="str">
            <v>未稅</v>
          </cell>
          <cell r="H255" t="str">
            <v>烤漆&gt;改色</v>
          </cell>
          <cell r="I255" t="str">
            <v>匯款 中國信託 江翠分行 576540127320 張仲華</v>
          </cell>
          <cell r="J255" t="str">
            <v>02-22520585&gt;0927-630689</v>
          </cell>
          <cell r="N255">
            <v>220</v>
          </cell>
          <cell r="O255" t="str">
            <v>新北市板橋區萬板路818巷7號密室</v>
          </cell>
          <cell r="P255" t="str">
            <v>250-華仔</v>
          </cell>
          <cell r="Q255" t="str">
            <v>新北市板橋區萬板路818巷7號密室</v>
          </cell>
          <cell r="R255">
            <v>30</v>
          </cell>
        </row>
        <row r="256">
          <cell r="B256">
            <v>251</v>
          </cell>
          <cell r="C256" t="str">
            <v>109-03-26/黃凱筠</v>
          </cell>
          <cell r="D256" t="str">
            <v>251-NOOP.COLTHING</v>
          </cell>
          <cell r="E256" t="str">
            <v>NOOP.COLTHING</v>
          </cell>
          <cell r="G256" t="str">
            <v>未稅</v>
          </cell>
          <cell r="H256" t="str">
            <v>新廠制服</v>
          </cell>
          <cell r="I256" t="str">
            <v>付現</v>
          </cell>
          <cell r="J256" t="str">
            <v>06-2218397</v>
          </cell>
          <cell r="N256">
            <v>700</v>
          </cell>
          <cell r="O256" t="str">
            <v>台南市中西區青年路31號</v>
          </cell>
          <cell r="P256" t="str">
            <v>251-NOOP.COLTHING</v>
          </cell>
          <cell r="Q256" t="str">
            <v>台南市中西區青年路31號</v>
          </cell>
          <cell r="R256">
            <v>30</v>
          </cell>
        </row>
        <row r="257">
          <cell r="B257">
            <v>252</v>
          </cell>
          <cell r="C257" t="str">
            <v>109-03-28/黃凱筠</v>
          </cell>
          <cell r="D257" t="str">
            <v>252-榮晟汽車百貨</v>
          </cell>
          <cell r="E257" t="str">
            <v>榮晟汽車百貨</v>
          </cell>
          <cell r="G257" t="str">
            <v>未稅</v>
          </cell>
          <cell r="H257" t="str">
            <v>汽車材料</v>
          </cell>
          <cell r="I257" t="str">
            <v>付現</v>
          </cell>
          <cell r="J257" t="str">
            <v>037-623889</v>
          </cell>
          <cell r="N257">
            <v>351</v>
          </cell>
          <cell r="O257" t="str">
            <v>苗栗縣頭份市永貞路一段95號</v>
          </cell>
          <cell r="P257" t="str">
            <v>252-榮晟汽車百貨</v>
          </cell>
          <cell r="Q257" t="str">
            <v>苗栗縣頭份市永貞路一段95號</v>
          </cell>
          <cell r="R257">
            <v>30</v>
          </cell>
        </row>
        <row r="258">
          <cell r="B258">
            <v>253</v>
          </cell>
          <cell r="C258" t="str">
            <v>109-04-02/鍾依岑</v>
          </cell>
          <cell r="D258" t="str">
            <v>253-長源新竹廠</v>
          </cell>
          <cell r="E258" t="str">
            <v>長源汽車股份有限公司&gt;新竹廠</v>
          </cell>
          <cell r="F258" t="str">
            <v>1663＞0047稅外</v>
          </cell>
          <cell r="G258" t="str">
            <v>稅外</v>
          </cell>
          <cell r="H258" t="str">
            <v>汽車保養&gt;汽車材料</v>
          </cell>
          <cell r="J258" t="str">
            <v>03-5389811&gt;0932-528360楊智翔</v>
          </cell>
          <cell r="N258">
            <v>300</v>
          </cell>
          <cell r="O258" t="str">
            <v>新竹市中華路四段561號</v>
          </cell>
          <cell r="P258" t="str">
            <v>253-長源新竹廠</v>
          </cell>
          <cell r="Q258" t="str">
            <v>新竹市中華路四段561號</v>
          </cell>
          <cell r="R258">
            <v>30</v>
          </cell>
        </row>
        <row r="259">
          <cell r="B259">
            <v>254</v>
          </cell>
          <cell r="C259" t="str">
            <v>109-04-02/黃凱筠</v>
          </cell>
          <cell r="D259" t="str">
            <v>254-科閎有限公司</v>
          </cell>
          <cell r="E259" t="str">
            <v>科閎有限公司</v>
          </cell>
          <cell r="G259" t="str">
            <v>未稅</v>
          </cell>
          <cell r="H259" t="str">
            <v>汽車材料</v>
          </cell>
          <cell r="J259" t="str">
            <v>04-269337677&gt;傳真04-26937162</v>
          </cell>
          <cell r="N259">
            <v>432</v>
          </cell>
          <cell r="O259" t="str">
            <v>台中市大肚區王田里沙田路一段235-1號</v>
          </cell>
          <cell r="P259" t="str">
            <v>254-科閎有限公司</v>
          </cell>
          <cell r="Q259" t="str">
            <v>台中市大肚區王田里沙田路一段235-1號</v>
          </cell>
          <cell r="R259">
            <v>30</v>
          </cell>
        </row>
        <row r="260">
          <cell r="B260">
            <v>255</v>
          </cell>
          <cell r="C260" t="str">
            <v>109-04-07/黃凱筠</v>
          </cell>
          <cell r="D260" t="str">
            <v>255-惠爾國際有限公司</v>
          </cell>
          <cell r="E260" t="str">
            <v>惠爾國際有限公司</v>
          </cell>
          <cell r="F260" t="str">
            <v>8669&gt;6871</v>
          </cell>
          <cell r="G260" t="str">
            <v>含稅</v>
          </cell>
          <cell r="H260" t="str">
            <v>輪胎</v>
          </cell>
          <cell r="I260" t="str">
            <v>匯款合作金庫 圓山分行 0822717270151 惠爾國際有限公司</v>
          </cell>
          <cell r="J260" t="str">
            <v>02-25411019&gt;傳真02-25624104&gt;0916521489陳建翰</v>
          </cell>
          <cell r="N260">
            <v>104</v>
          </cell>
          <cell r="O260" t="str">
            <v>台北市吉林路107號2樓</v>
          </cell>
          <cell r="P260" t="str">
            <v>255-惠爾國際有限公司</v>
          </cell>
          <cell r="Q260" t="str">
            <v>台北市吉林路107號2樓</v>
          </cell>
          <cell r="R260">
            <v>30</v>
          </cell>
        </row>
        <row r="261">
          <cell r="B261">
            <v>256</v>
          </cell>
          <cell r="C261" t="str">
            <v>109-04-07/黃凱筠</v>
          </cell>
          <cell r="D261" t="str">
            <v>256-展耘企業有限公司</v>
          </cell>
          <cell r="E261" t="str">
            <v>展耘企業有限公司</v>
          </cell>
          <cell r="G261" t="str">
            <v>未稅</v>
          </cell>
          <cell r="H261" t="str">
            <v>輪胎</v>
          </cell>
          <cell r="J261" t="str">
            <v>04-25358281&gt;0928-193873</v>
          </cell>
          <cell r="N261">
            <v>427</v>
          </cell>
          <cell r="O261" t="str">
            <v>台中市潭子區雅潭路一段99巷10號A5</v>
          </cell>
          <cell r="P261" t="str">
            <v>256-展耘企業有限公司</v>
          </cell>
          <cell r="Q261" t="str">
            <v>台中市潭子區雅潭路一段99巷10號A5</v>
          </cell>
          <cell r="R261">
            <v>30</v>
          </cell>
        </row>
        <row r="262">
          <cell r="B262">
            <v>257</v>
          </cell>
          <cell r="C262" t="str">
            <v>109-04-09/鍾依岑</v>
          </cell>
          <cell r="D262" t="str">
            <v>257-吉順輪胎企業社</v>
          </cell>
          <cell r="E262" t="str">
            <v>吉順輪胎企業社</v>
          </cell>
          <cell r="F262" t="str">
            <v>3987&gt;9929</v>
          </cell>
          <cell r="G262" t="str">
            <v>未稅</v>
          </cell>
          <cell r="H262" t="str">
            <v>輪胎</v>
          </cell>
          <cell r="J262" t="str">
            <v>04-7778008&gt;0934-071258許家瑋</v>
          </cell>
          <cell r="N262">
            <v>506</v>
          </cell>
          <cell r="O262" t="str">
            <v>彰化縣福興鄉福南村振興巷15之5號(台17縣40.5K)</v>
          </cell>
          <cell r="P262" t="str">
            <v>257-吉順輪胎企業社</v>
          </cell>
          <cell r="Q262" t="str">
            <v>彰化縣福興鄉福南村振興巷15之5號(台17縣40.5K)</v>
          </cell>
          <cell r="R262">
            <v>30</v>
          </cell>
        </row>
        <row r="263">
          <cell r="B263">
            <v>258</v>
          </cell>
          <cell r="C263" t="str">
            <v>109-04-09/鍾依岑</v>
          </cell>
          <cell r="D263" t="str">
            <v>258-上福輪胎實業有限公司</v>
          </cell>
          <cell r="E263" t="str">
            <v>上福輪胎實業有限公司＞負:陳可迎</v>
          </cell>
          <cell r="F263" t="str">
            <v>6631＞2742</v>
          </cell>
          <cell r="G263" t="str">
            <v>未稅</v>
          </cell>
          <cell r="H263" t="str">
            <v>千斤頂&gt;輪胎</v>
          </cell>
          <cell r="J263" t="str">
            <v>02-26102178＞帳:02-26102680陳小姐&gt;0960-529969＞0973-522588蔡宜宏＞傳真02-26102078</v>
          </cell>
          <cell r="N263">
            <v>294</v>
          </cell>
          <cell r="O263" t="str">
            <v>新北巿八里區中山路2段540巷13號1樓＞登:桃園市桃園區中信里德華街197巷15號1樓。</v>
          </cell>
          <cell r="P263" t="str">
            <v>258-上福輪胎實業有限公司</v>
          </cell>
          <cell r="Q263" t="str">
            <v>新北巿八里區中山路2段540巷13號1樓</v>
          </cell>
          <cell r="R263">
            <v>25</v>
          </cell>
        </row>
        <row r="264">
          <cell r="B264">
            <v>259</v>
          </cell>
          <cell r="C264" t="str">
            <v>109-04-13/黃凱筠</v>
          </cell>
          <cell r="D264" t="str">
            <v>259-羅家豐&gt;(台中)榮新輪胎業務</v>
          </cell>
          <cell r="E264" t="str">
            <v>羅家豐&gt;(台中)榮新輪胎業務</v>
          </cell>
          <cell r="G264" t="str">
            <v>未稅</v>
          </cell>
          <cell r="H264" t="str">
            <v>輪胎&gt;現金價</v>
          </cell>
          <cell r="I264" t="str">
            <v>匯款玉山銀行 北屯分行 1388968010153 羅家豐</v>
          </cell>
          <cell r="J264" t="str">
            <v>0906-666441</v>
          </cell>
          <cell r="N264">
            <v>406</v>
          </cell>
          <cell r="O264" t="str">
            <v>台中市北屯區寮陽北二街74號</v>
          </cell>
          <cell r="P264" t="str">
            <v>259-羅家豐</v>
          </cell>
          <cell r="Q264" t="str">
            <v>台中市北屯區寮陽北二街74號</v>
          </cell>
          <cell r="R264">
            <v>30</v>
          </cell>
        </row>
        <row r="265">
          <cell r="B265">
            <v>260</v>
          </cell>
          <cell r="C265" t="str">
            <v>109-04-16/鍾依岑</v>
          </cell>
          <cell r="D265" t="str">
            <v>260-台灣飛利浦新竹特約服務站</v>
          </cell>
          <cell r="E265" t="str">
            <v>劉又瑋&gt;台灣飛利浦新竹特約服務站</v>
          </cell>
          <cell r="F265" t="str">
            <v>5450&gt;6499</v>
          </cell>
          <cell r="G265" t="str">
            <v>含稅</v>
          </cell>
          <cell r="H265" t="str">
            <v>家電維修&gt;咖啡機維修</v>
          </cell>
          <cell r="I265" t="str">
            <v>付現</v>
          </cell>
          <cell r="J265" t="str">
            <v>03-5318583&gt;0980-856693劉又瑋&gt;傳真03-5423963</v>
          </cell>
          <cell r="N265">
            <v>300</v>
          </cell>
          <cell r="O265" t="str">
            <v>新竹市東大路二段371號</v>
          </cell>
          <cell r="P265" t="str">
            <v>260-台灣飛利浦新竹特約服務站</v>
          </cell>
          <cell r="Q265" t="str">
            <v>新竹市東大路二段371號</v>
          </cell>
          <cell r="R265">
            <v>30</v>
          </cell>
        </row>
        <row r="266">
          <cell r="B266">
            <v>261</v>
          </cell>
          <cell r="C266" t="str">
            <v>109-04-16/黃凱筠</v>
          </cell>
          <cell r="D266" t="str">
            <v>261-MST長和交通配件企業社</v>
          </cell>
          <cell r="E266" t="str">
            <v>MST長和交通配件企業社</v>
          </cell>
          <cell r="G266" t="str">
            <v>未稅</v>
          </cell>
          <cell r="H266" t="str">
            <v>汽車材料</v>
          </cell>
          <cell r="J266" t="str">
            <v>06-5938852&gt;傳真06-5938851</v>
          </cell>
          <cell r="N266">
            <v>745</v>
          </cell>
          <cell r="O266" t="str">
            <v>台南市安定區港口21-18號</v>
          </cell>
          <cell r="P266" t="str">
            <v>261-MST長和交通配件企業社</v>
          </cell>
          <cell r="Q266" t="str">
            <v>台南市安定區港口21-18號</v>
          </cell>
          <cell r="R266">
            <v>30</v>
          </cell>
        </row>
        <row r="267">
          <cell r="B267">
            <v>262</v>
          </cell>
          <cell r="C267" t="str">
            <v>109-04-17/黃凱筠</v>
          </cell>
          <cell r="D267" t="str">
            <v>262-不可思議服飾店</v>
          </cell>
          <cell r="E267" t="str">
            <v>不可思議服飾店</v>
          </cell>
          <cell r="G267" t="str">
            <v>未稅</v>
          </cell>
          <cell r="H267" t="str">
            <v>新廠制服</v>
          </cell>
          <cell r="J267" t="str">
            <v>0920427700林書逸</v>
          </cell>
          <cell r="N267">
            <v>351</v>
          </cell>
          <cell r="O267" t="str">
            <v>苗栗縣頭份市尚順路1號</v>
          </cell>
          <cell r="P267" t="str">
            <v>262-不可思議服飾店</v>
          </cell>
          <cell r="Q267" t="str">
            <v>苗栗縣頭份市尚順路1號</v>
          </cell>
          <cell r="R267">
            <v>30</v>
          </cell>
        </row>
        <row r="268">
          <cell r="B268">
            <v>263</v>
          </cell>
          <cell r="C268" t="str">
            <v>109-04-28/黃凱筠</v>
          </cell>
          <cell r="D268" t="str">
            <v>263-正里國際有限公司</v>
          </cell>
          <cell r="E268" t="str">
            <v>正里國際有限公司</v>
          </cell>
          <cell r="F268" t="str">
            <v>2217&gt;4686</v>
          </cell>
          <cell r="G268" t="str">
            <v>含稅</v>
          </cell>
          <cell r="H268" t="str">
            <v>輪胎</v>
          </cell>
          <cell r="J268" t="str">
            <v>02-27084820&gt;傳真02-27049093&gt;0927123421業務</v>
          </cell>
          <cell r="N268">
            <v>106</v>
          </cell>
          <cell r="O268" t="str">
            <v xml:space="preserve">台北市信義路四段263號9樓之1 </v>
          </cell>
          <cell r="P268" t="str">
            <v>263-正里國際有限公司</v>
          </cell>
          <cell r="Q268" t="str">
            <v xml:space="preserve">台北市信義路四段263號9樓之1 </v>
          </cell>
          <cell r="R268">
            <v>25</v>
          </cell>
        </row>
        <row r="269">
          <cell r="B269">
            <v>264</v>
          </cell>
          <cell r="C269" t="str">
            <v>109-05-11/黃凱筠</v>
          </cell>
          <cell r="D269" t="str">
            <v>264-久昌汽車材料行</v>
          </cell>
          <cell r="E269" t="str">
            <v>久昌汽車材料行</v>
          </cell>
          <cell r="G269" t="str">
            <v>未稅</v>
          </cell>
          <cell r="H269" t="str">
            <v>汽車材料</v>
          </cell>
          <cell r="I269" t="str">
            <v>匯款彰化銀行雙和分行 56785101451300 李先景</v>
          </cell>
          <cell r="J269" t="str">
            <v>02-22229220&gt;傳真02-22229232</v>
          </cell>
          <cell r="N269">
            <v>235</v>
          </cell>
          <cell r="O269" t="str">
            <v>新北市中和區中正路717號</v>
          </cell>
          <cell r="P269" t="str">
            <v>264-久昌汽車材料行</v>
          </cell>
          <cell r="Q269" t="str">
            <v>新北市中和區中正路717號</v>
          </cell>
          <cell r="R269">
            <v>30</v>
          </cell>
        </row>
        <row r="270">
          <cell r="B270">
            <v>265</v>
          </cell>
          <cell r="C270" t="str">
            <v>109-05-12/黃凱筠</v>
          </cell>
          <cell r="D270" t="str">
            <v>265-寧豪企業股份有公司</v>
          </cell>
          <cell r="E270" t="str">
            <v>寧豪企業股份有公司</v>
          </cell>
          <cell r="F270" t="str">
            <v>7050&gt;4052</v>
          </cell>
          <cell r="G270" t="str">
            <v>含稅</v>
          </cell>
          <cell r="H270" t="str">
            <v>汽車材料</v>
          </cell>
          <cell r="J270" t="str">
            <v>02-26775998&gt;傳真02-26798388</v>
          </cell>
          <cell r="N270">
            <v>239</v>
          </cell>
          <cell r="O270" t="str">
            <v>新北市鶯歌區建國路429號</v>
          </cell>
          <cell r="P270" t="str">
            <v>265-寧豪企業股份有公司</v>
          </cell>
          <cell r="Q270" t="str">
            <v>新北市鶯歌區建國路429號</v>
          </cell>
          <cell r="R270">
            <v>30</v>
          </cell>
        </row>
        <row r="271">
          <cell r="B271">
            <v>266</v>
          </cell>
          <cell r="C271" t="str">
            <v>109-05-13/黃凱筠</v>
          </cell>
          <cell r="D271" t="str">
            <v>266-上源汽車有限公司</v>
          </cell>
          <cell r="E271" t="str">
            <v>上源汽車有限公司</v>
          </cell>
          <cell r="G271" t="str">
            <v>未稅</v>
          </cell>
          <cell r="H271" t="str">
            <v>汽車材料</v>
          </cell>
          <cell r="J271" t="str">
            <v>03-3603185&gt;傳真03-392-0728</v>
          </cell>
          <cell r="N271">
            <v>302</v>
          </cell>
          <cell r="O271" t="str">
            <v>桃園市桃圈區國際路二段361-1號</v>
          </cell>
          <cell r="P271" t="str">
            <v>266-上源汽車有限公司</v>
          </cell>
          <cell r="Q271" t="str">
            <v>桃園市桃圈區國際路二段361-1號</v>
          </cell>
          <cell r="R271">
            <v>30</v>
          </cell>
        </row>
        <row r="272">
          <cell r="B272">
            <v>267</v>
          </cell>
          <cell r="C272" t="str">
            <v>109-05-20/黃凱筠</v>
          </cell>
          <cell r="D272" t="str">
            <v>267-通達貨運</v>
          </cell>
          <cell r="E272" t="str">
            <v>通達貨運</v>
          </cell>
          <cell r="G272" t="str">
            <v>未稅</v>
          </cell>
          <cell r="H272" t="str">
            <v>寄貨運&gt;付現&gt;禮拜1.3.5收貨&gt;一條轎車胎90元&gt;基本4條以上才收</v>
          </cell>
          <cell r="I272" t="str">
            <v>開票期0.15個月</v>
          </cell>
          <cell r="J272" t="str">
            <v>03-4013553&gt;03-4013554&gt;0903655030司機電話</v>
          </cell>
          <cell r="N272">
            <v>324</v>
          </cell>
          <cell r="O272" t="str">
            <v>桃園市平鎮區復旦路三段136巷15-1號</v>
          </cell>
          <cell r="P272" t="str">
            <v>267-通達貨運</v>
          </cell>
          <cell r="Q272" t="str">
            <v>桃園市平鎮區復旦路三段136巷15-1號</v>
          </cell>
          <cell r="R272">
            <v>30</v>
          </cell>
        </row>
        <row r="273">
          <cell r="B273">
            <v>268</v>
          </cell>
          <cell r="C273" t="str">
            <v>109-06-03/黃凱筠</v>
          </cell>
          <cell r="D273" t="str">
            <v>268-ANKER&gt;天晴實業有限公司</v>
          </cell>
          <cell r="E273" t="str">
            <v>ANKER&gt;天晴實業有限公司</v>
          </cell>
          <cell r="G273" t="str">
            <v>未稅</v>
          </cell>
          <cell r="H273" t="str">
            <v>汽車材料</v>
          </cell>
          <cell r="J273" t="str">
            <v>02-86013708&gt;傳真02-26024359&gt;0988-539759業務</v>
          </cell>
          <cell r="N273">
            <v>111</v>
          </cell>
          <cell r="O273" t="str">
            <v>台北市士林區大南路285巷11-1號</v>
          </cell>
          <cell r="P273" t="str">
            <v>268-ANKER&gt;天晴實業有限公司</v>
          </cell>
          <cell r="Q273" t="str">
            <v>台北市士林區大南路285巷11-1號</v>
          </cell>
          <cell r="R273">
            <v>30</v>
          </cell>
        </row>
        <row r="274">
          <cell r="B274">
            <v>269</v>
          </cell>
          <cell r="C274" t="str">
            <v>109-06-04/黃凱筠</v>
          </cell>
          <cell r="D274" t="str">
            <v>269-華城輪胎館</v>
          </cell>
          <cell r="E274" t="str">
            <v>華城輪胎館</v>
          </cell>
          <cell r="G274" t="str">
            <v>未稅</v>
          </cell>
          <cell r="H274" t="str">
            <v>轎車輪胎</v>
          </cell>
          <cell r="J274" t="str">
            <v>0989-036771</v>
          </cell>
          <cell r="N274">
            <v>350</v>
          </cell>
          <cell r="O274" t="str">
            <v>苗栗縣竹南鎮公義路717號</v>
          </cell>
          <cell r="P274" t="str">
            <v>269-華城輪胎館</v>
          </cell>
          <cell r="Q274" t="str">
            <v>苗栗縣竹南鎮公義路717號</v>
          </cell>
          <cell r="R274">
            <v>30</v>
          </cell>
        </row>
        <row r="275">
          <cell r="B275">
            <v>270</v>
          </cell>
          <cell r="C275" t="str">
            <v>109-06-04/黃凱筠</v>
          </cell>
          <cell r="D275" t="str">
            <v>270-藍格印刷</v>
          </cell>
          <cell r="E275" t="str">
            <v>藍格印刷</v>
          </cell>
          <cell r="G275" t="str">
            <v>含稅</v>
          </cell>
          <cell r="H275" t="str">
            <v>印刷廠</v>
          </cell>
          <cell r="I275" t="str">
            <v>付現</v>
          </cell>
          <cell r="J275" t="str">
            <v>06-2226061</v>
          </cell>
          <cell r="N275">
            <v>700</v>
          </cell>
          <cell r="O275" t="str">
            <v>台南市中西區大勇街66號</v>
          </cell>
          <cell r="P275" t="str">
            <v>270-藍格印刷</v>
          </cell>
          <cell r="Q275" t="str">
            <v>台南市中西區大勇街66號</v>
          </cell>
          <cell r="R275">
            <v>30</v>
          </cell>
        </row>
        <row r="276">
          <cell r="B276">
            <v>271</v>
          </cell>
          <cell r="C276" t="str">
            <v>109-06-05/郭雯瑀</v>
          </cell>
          <cell r="D276" t="str">
            <v>271-易陽運輸股份有限公司</v>
          </cell>
          <cell r="E276" t="str">
            <v>易陽運輸股份有限公司&gt;易陽開發有限公司&gt;財石砂石有限公司</v>
          </cell>
          <cell r="F276" t="str">
            <v>易陽8340&gt;8476&gt;財石8970&gt;1217</v>
          </cell>
          <cell r="G276" t="str">
            <v>含稅</v>
          </cell>
          <cell r="H276" t="str">
            <v>大車輪胎</v>
          </cell>
          <cell r="J276" t="str">
            <v>04-25336789&gt;傳真04-25316699&gt;0955-192222游泳雄&gt;</v>
          </cell>
          <cell r="N276">
            <v>420</v>
          </cell>
          <cell r="O276" t="str">
            <v>台中市豐原區豐原大道一段606號</v>
          </cell>
          <cell r="P276" t="str">
            <v>271-易陽運輸股份有限公司</v>
          </cell>
          <cell r="Q276" t="str">
            <v>台中市潭子區雅潭路二段259號</v>
          </cell>
          <cell r="R276">
            <v>30</v>
          </cell>
        </row>
        <row r="277">
          <cell r="B277">
            <v>272</v>
          </cell>
          <cell r="C277" t="str">
            <v>110-03-04/黃新惠</v>
          </cell>
          <cell r="D277" t="str">
            <v>272-宜福工業股份有限公司</v>
          </cell>
          <cell r="E277" t="str">
            <v>宜福工業股份有限公司</v>
          </cell>
          <cell r="F277" t="str">
            <v>2238&gt;9589</v>
          </cell>
          <cell r="G277" t="str">
            <v>稅外</v>
          </cell>
          <cell r="H277" t="str">
            <v>汽車材料</v>
          </cell>
          <cell r="J277" t="str">
            <v>03-5399600&gt;傳真03-5399500</v>
          </cell>
          <cell r="N277">
            <v>300</v>
          </cell>
          <cell r="O277" t="str">
            <v>新竹縣香山區中華路四段262號</v>
          </cell>
          <cell r="P277" t="str">
            <v>272-宜福工業股份有限公司</v>
          </cell>
          <cell r="Q277" t="str">
            <v>新竹縣香山區中華路四段262號</v>
          </cell>
          <cell r="R277">
            <v>30</v>
          </cell>
        </row>
        <row r="278">
          <cell r="B278">
            <v>273</v>
          </cell>
          <cell r="C278" t="str">
            <v>109-06-16/郭雯瑀</v>
          </cell>
          <cell r="D278" t="str">
            <v>273-總宜&gt;宜成</v>
          </cell>
          <cell r="E278" t="str">
            <v>宜成砂石有限公司</v>
          </cell>
          <cell r="F278" t="str">
            <v>2424＞7329宜成＞4557＞4207總宜＞未稅</v>
          </cell>
          <cell r="G278" t="str">
            <v>未稅</v>
          </cell>
          <cell r="H278" t="str">
            <v>大車輪胎</v>
          </cell>
          <cell r="J278" t="str">
            <v>0922-787179＞傳真04-25892930</v>
          </cell>
          <cell r="N278">
            <v>369</v>
          </cell>
          <cell r="O278" t="str">
            <v>苗栗縣卓蘭鎮新榮里10鄰仁愛路16號1樓 。</v>
          </cell>
          <cell r="P278" t="str">
            <v>273-宜成砂石有限公司</v>
          </cell>
          <cell r="Q278" t="str">
            <v>苗栗縣卓蘭鎮新榮里10鄰仁愛路16號1樓.</v>
          </cell>
        </row>
        <row r="279">
          <cell r="B279">
            <v>274</v>
          </cell>
          <cell r="C279" t="str">
            <v>109-06-20/郭雯瑀</v>
          </cell>
          <cell r="D279" t="str">
            <v>274-東利輪胎行</v>
          </cell>
          <cell r="E279" t="str">
            <v>東利輪胎行</v>
          </cell>
          <cell r="F279" t="str">
            <v>0993&gt;4002</v>
          </cell>
          <cell r="G279" t="str">
            <v>未稅</v>
          </cell>
          <cell r="H279" t="str">
            <v>大車輪胎&gt;救車</v>
          </cell>
          <cell r="J279" t="str">
            <v>03-9502044&gt;0932-089244盧雲福</v>
          </cell>
          <cell r="N279">
            <v>268</v>
          </cell>
          <cell r="O279" t="str">
            <v>宜蘭縣五結鄉五濱路二段232號</v>
          </cell>
          <cell r="P279" t="str">
            <v>274-東利輪胎行</v>
          </cell>
          <cell r="Q279" t="str">
            <v>宜蘭縣五結鄉五濱路二段232號</v>
          </cell>
        </row>
        <row r="280">
          <cell r="B280">
            <v>275</v>
          </cell>
          <cell r="C280" t="str">
            <v>109-06-22/黃凱筠</v>
          </cell>
          <cell r="D280" t="str">
            <v>275-毅大汽車</v>
          </cell>
          <cell r="E280" t="str">
            <v>毅大汽車</v>
          </cell>
          <cell r="G280" t="str">
            <v>未稅</v>
          </cell>
          <cell r="H280" t="str">
            <v>轎車材料</v>
          </cell>
          <cell r="I280" t="str">
            <v>匯款玉山銀行  095694015898 毅大車業有限公司</v>
          </cell>
          <cell r="J280" t="str">
            <v>02-22620339</v>
          </cell>
          <cell r="N280">
            <v>236</v>
          </cell>
          <cell r="O280" t="str">
            <v>新北市土城區金城路二段236號</v>
          </cell>
          <cell r="P280" t="str">
            <v>275-毅大汽車</v>
          </cell>
          <cell r="Q280" t="str">
            <v>新北市土城區金城路二段236號</v>
          </cell>
          <cell r="R280">
            <v>30</v>
          </cell>
        </row>
        <row r="281">
          <cell r="B281">
            <v>276</v>
          </cell>
          <cell r="C281" t="str">
            <v>109-06-24/黃凱筠</v>
          </cell>
          <cell r="D281" t="str">
            <v>276-仲信融資股份有限公司</v>
          </cell>
          <cell r="E281" t="str">
            <v>仲信融資股份有限公司</v>
          </cell>
          <cell r="G281" t="str">
            <v>未稅</v>
          </cell>
          <cell r="H281" t="str">
            <v>分期融資</v>
          </cell>
          <cell r="J281" t="str">
            <v>02-27986488&gt;傳真02-27986909</v>
          </cell>
          <cell r="N281">
            <v>114</v>
          </cell>
          <cell r="O281" t="str">
            <v>台北市內湖區內湖路一段392號6樓</v>
          </cell>
          <cell r="P281" t="str">
            <v>276-仲信融資股份有限公司</v>
          </cell>
          <cell r="Q281" t="str">
            <v>台北市內湖區內湖路一段392號6樓</v>
          </cell>
          <cell r="R281">
            <v>30</v>
          </cell>
        </row>
        <row r="282">
          <cell r="B282">
            <v>277</v>
          </cell>
          <cell r="C282" t="str">
            <v>109-06-24/黃凱筠</v>
          </cell>
          <cell r="D282" t="str">
            <v>277-豪祥汽車精品</v>
          </cell>
          <cell r="E282" t="str">
            <v>豪祥汽車精品</v>
          </cell>
          <cell r="G282" t="str">
            <v>未稅</v>
          </cell>
          <cell r="H282" t="str">
            <v>汽車材料</v>
          </cell>
          <cell r="I282" t="str">
            <v>付現</v>
          </cell>
          <cell r="J282" t="str">
            <v>04-7780600&gt;傳真04-7776603&gt;0983660050經理</v>
          </cell>
          <cell r="N282">
            <v>506</v>
          </cell>
          <cell r="O282" t="str">
            <v>彰化縣福興鄉福興路61-12號</v>
          </cell>
          <cell r="P282" t="str">
            <v>277-豪祥汽車精品</v>
          </cell>
          <cell r="Q282" t="str">
            <v>彰化縣福興鄉福興路61-12號</v>
          </cell>
          <cell r="R282">
            <v>30</v>
          </cell>
        </row>
        <row r="283">
          <cell r="B283">
            <v>278</v>
          </cell>
          <cell r="C283" t="str">
            <v>109-06-24/郭雯瑀</v>
          </cell>
          <cell r="D283" t="str">
            <v>278-峰洋輪胎行</v>
          </cell>
          <cell r="E283" t="str">
            <v>峰洋輪胎行</v>
          </cell>
          <cell r="F283" t="str">
            <v>5068＞1255</v>
          </cell>
          <cell r="G283" t="str">
            <v>未稅</v>
          </cell>
          <cell r="H283" t="str">
            <v>救車</v>
          </cell>
          <cell r="I283" t="str">
            <v>付現</v>
          </cell>
          <cell r="J283" t="str">
            <v>0981-892912陳忠榮＞0925-460686陳紀賢</v>
          </cell>
          <cell r="N283">
            <v>242</v>
          </cell>
          <cell r="O283" t="str">
            <v>新北市新莊區四維里四維路125巷19-1號</v>
          </cell>
          <cell r="P283" t="str">
            <v>278-峰洋輪胎行</v>
          </cell>
          <cell r="Q283" t="str">
            <v>新北市新莊區四維里四維路125巷19-1號2樓</v>
          </cell>
        </row>
        <row r="284">
          <cell r="B284">
            <v>279</v>
          </cell>
          <cell r="C284" t="str">
            <v>109-06-26/黃凱筠</v>
          </cell>
          <cell r="D284" t="str">
            <v>279-宇峰車用影音多媒體</v>
          </cell>
          <cell r="E284" t="str">
            <v>宇峰車用影音多媒體</v>
          </cell>
          <cell r="G284" t="str">
            <v>未稅</v>
          </cell>
          <cell r="H284" t="str">
            <v>車用螢幕</v>
          </cell>
          <cell r="J284" t="str">
            <v>0930-125556</v>
          </cell>
          <cell r="N284">
            <v>334</v>
          </cell>
          <cell r="O284" t="str">
            <v>桃園市八德區中華路387-1號</v>
          </cell>
          <cell r="P284" t="str">
            <v>279-宇峰車用影音多媒體</v>
          </cell>
          <cell r="Q284" t="str">
            <v>桃園市八德區中華路387-1號</v>
          </cell>
          <cell r="R284">
            <v>30</v>
          </cell>
        </row>
        <row r="285">
          <cell r="B285">
            <v>280</v>
          </cell>
          <cell r="C285" t="str">
            <v>109-06-27/黃凱筠</v>
          </cell>
          <cell r="D285" t="str">
            <v>280-羅威翔</v>
          </cell>
          <cell r="E285" t="str">
            <v>羅威翔</v>
          </cell>
          <cell r="G285" t="str">
            <v>未稅</v>
          </cell>
          <cell r="H285" t="str">
            <v>轎車材料</v>
          </cell>
          <cell r="I285" t="str">
            <v>匯款</v>
          </cell>
          <cell r="J285" t="str">
            <v>0917-075501</v>
          </cell>
          <cell r="N285">
            <v>300</v>
          </cell>
          <cell r="O285" t="str">
            <v>新竹市中華路六段118-1號</v>
          </cell>
          <cell r="P285" t="str">
            <v>280-羅威翔</v>
          </cell>
          <cell r="Q285" t="str">
            <v>新竹市中華路六段118-1號</v>
          </cell>
          <cell r="R285">
            <v>30</v>
          </cell>
        </row>
        <row r="286">
          <cell r="B286">
            <v>281</v>
          </cell>
          <cell r="C286" t="str">
            <v>109-06-27/黃凱筠</v>
          </cell>
          <cell r="D286" t="str">
            <v>281-良御國際股份有限公司</v>
          </cell>
          <cell r="E286" t="str">
            <v>良御國際股份有限公司</v>
          </cell>
          <cell r="F286" t="str">
            <v>8064&gt;3504</v>
          </cell>
          <cell r="G286" t="str">
            <v>含稅</v>
          </cell>
          <cell r="H286" t="str">
            <v>轎車材料</v>
          </cell>
          <cell r="J286" t="str">
            <v>04-26657228&gt;傳真:04-26657221</v>
          </cell>
          <cell r="N286">
            <v>435</v>
          </cell>
          <cell r="O286" t="str">
            <v>台中市梧棲區中華路二段260號</v>
          </cell>
          <cell r="P286" t="str">
            <v>281-良御國際股份有限公司</v>
          </cell>
          <cell r="Q286" t="str">
            <v>台中市梧棲區中華路二段260號</v>
          </cell>
          <cell r="R286">
            <v>30</v>
          </cell>
        </row>
        <row r="287">
          <cell r="B287">
            <v>282</v>
          </cell>
          <cell r="C287" t="str">
            <v>109-07-07/黃凱筠</v>
          </cell>
          <cell r="D287" t="str">
            <v>282-宏城國際有限公司</v>
          </cell>
          <cell r="E287" t="str">
            <v>宏城國際有限公司</v>
          </cell>
          <cell r="G287" t="str">
            <v>未稅</v>
          </cell>
          <cell r="H287" t="str">
            <v>轎車材料</v>
          </cell>
          <cell r="J287" t="str">
            <v>037-476260&gt;0939852715龔清宏</v>
          </cell>
          <cell r="N287">
            <v>350</v>
          </cell>
          <cell r="O287" t="str">
            <v>苗栗縣竹南鎮崎頂里7鄰北戶33-15號</v>
          </cell>
          <cell r="P287" t="str">
            <v>282-宏城國際有限公司</v>
          </cell>
          <cell r="Q287" t="str">
            <v>苗栗縣竹南鎮崎頂里7鄰北戶33-15號</v>
          </cell>
          <cell r="R287">
            <v>30</v>
          </cell>
        </row>
        <row r="288">
          <cell r="B288">
            <v>283</v>
          </cell>
          <cell r="C288" t="str">
            <v>109-07-11/黃凱筠</v>
          </cell>
          <cell r="D288" t="str">
            <v>283-國軒企業社</v>
          </cell>
          <cell r="E288" t="str">
            <v>國軒企業社</v>
          </cell>
          <cell r="G288" t="str">
            <v>未稅</v>
          </cell>
          <cell r="H288" t="str">
            <v>轎車中古材料</v>
          </cell>
          <cell r="J288" t="str">
            <v>037-598518</v>
          </cell>
          <cell r="N288">
            <v>350</v>
          </cell>
          <cell r="O288" t="str">
            <v>苗栗縣竹南鎮隆頂街301巷3號</v>
          </cell>
          <cell r="P288" t="str">
            <v>283-國軒企業社</v>
          </cell>
          <cell r="Q288" t="str">
            <v>苗栗縣竹南鎮隆頂街301巷3號</v>
          </cell>
          <cell r="R288">
            <v>30</v>
          </cell>
        </row>
        <row r="289">
          <cell r="B289">
            <v>284</v>
          </cell>
          <cell r="C289" t="str">
            <v>109-07-13/黃凱筠</v>
          </cell>
          <cell r="D289" t="str">
            <v>284-冠承汽車烤漆工坊</v>
          </cell>
          <cell r="E289" t="str">
            <v>冠承汽車烤漆工坊</v>
          </cell>
          <cell r="G289" t="str">
            <v>未稅</v>
          </cell>
          <cell r="H289" t="str">
            <v>汽車烤漆</v>
          </cell>
          <cell r="J289" t="str">
            <v>037-552646&gt;0927-591706</v>
          </cell>
          <cell r="N289">
            <v>350</v>
          </cell>
          <cell r="O289" t="str">
            <v>苗栗縣竹南鎮龍鳳里勤興街78巷85弄89號</v>
          </cell>
          <cell r="P289" t="str">
            <v>284-冠承汽車烤漆工坊</v>
          </cell>
          <cell r="Q289" t="str">
            <v>苗栗縣竹南鎮龍鳳里勤興街78巷85弄89號</v>
          </cell>
          <cell r="R289">
            <v>30</v>
          </cell>
        </row>
        <row r="290">
          <cell r="B290">
            <v>285</v>
          </cell>
          <cell r="C290" t="str">
            <v>109-08-10/黃新惠</v>
          </cell>
          <cell r="D290" t="str">
            <v>285-鴻姿企業有限公司</v>
          </cell>
          <cell r="E290" t="str">
            <v>鴻姿企業有限公司</v>
          </cell>
          <cell r="G290" t="str">
            <v>未稅</v>
          </cell>
          <cell r="H290" t="str">
            <v>雨刷</v>
          </cell>
          <cell r="I290" t="str">
            <v>開票期0.15個月&gt;匯款台北富邦淡水分行 767102000233 鴻姿企業有限公司</v>
          </cell>
          <cell r="J290" t="str">
            <v>02-28010369&gt;傳真02-28013527</v>
          </cell>
          <cell r="N290">
            <v>251</v>
          </cell>
          <cell r="O290" t="str">
            <v>新北市淡水區後州子1之3號</v>
          </cell>
          <cell r="P290" t="str">
            <v>285-鴻姿企業有限公司</v>
          </cell>
          <cell r="Q290" t="str">
            <v>新北市淡水區後州子1之3號</v>
          </cell>
          <cell r="R290">
            <v>30</v>
          </cell>
        </row>
        <row r="291">
          <cell r="B291">
            <v>286</v>
          </cell>
          <cell r="C291" t="str">
            <v>109-08-13/黃新惠</v>
          </cell>
          <cell r="D291" t="str">
            <v>286-源鴻汽車</v>
          </cell>
          <cell r="E291" t="str">
            <v>源鴻汽車</v>
          </cell>
          <cell r="F291" t="str">
            <v>4565&gt;4692</v>
          </cell>
          <cell r="G291" t="str">
            <v>未稅</v>
          </cell>
          <cell r="H291" t="str">
            <v>板金</v>
          </cell>
          <cell r="I291" t="str">
            <v>付現</v>
          </cell>
          <cell r="J291" t="str">
            <v>037-550793楊棟雄</v>
          </cell>
          <cell r="N291">
            <v>350</v>
          </cell>
          <cell r="O291" t="str">
            <v>苗栗縣竹南鎮營盤里21鄰新生路327號</v>
          </cell>
          <cell r="P291" t="str">
            <v>286-源鴻汽車</v>
          </cell>
          <cell r="Q291" t="str">
            <v>苗栗縣竹南鎮營盤里21鄰新生路327號</v>
          </cell>
          <cell r="R291">
            <v>30</v>
          </cell>
        </row>
        <row r="292">
          <cell r="B292">
            <v>287</v>
          </cell>
          <cell r="C292" t="str">
            <v>109-08-20/黃新惠</v>
          </cell>
          <cell r="D292" t="str">
            <v>287-好利貿易有限公司</v>
          </cell>
          <cell r="E292" t="str">
            <v>好利貿易有限公司</v>
          </cell>
          <cell r="G292" t="str">
            <v>未稅</v>
          </cell>
          <cell r="H292" t="str">
            <v>快速充電器</v>
          </cell>
          <cell r="I292" t="str">
            <v>匯款</v>
          </cell>
          <cell r="J292" t="str">
            <v>02-27930277&gt;傳真02-27930177</v>
          </cell>
          <cell r="N292">
            <v>114</v>
          </cell>
          <cell r="O292" t="str">
            <v>台北市內湖區行善路118號2F-2</v>
          </cell>
          <cell r="P292" t="str">
            <v>287-好利貿易有限公司</v>
          </cell>
          <cell r="Q292" t="str">
            <v>台北市內湖區行善路118號2F-2</v>
          </cell>
          <cell r="R292">
            <v>30</v>
          </cell>
        </row>
        <row r="293">
          <cell r="B293">
            <v>288</v>
          </cell>
          <cell r="C293" t="str">
            <v>109-08-22/黃凱筠</v>
          </cell>
          <cell r="D293" t="str">
            <v>288-信利行(高雄)</v>
          </cell>
          <cell r="E293" t="str">
            <v>信利行(高雄)</v>
          </cell>
          <cell r="G293" t="str">
            <v>未稅</v>
          </cell>
          <cell r="H293" t="str">
            <v>汽車材料</v>
          </cell>
          <cell r="I293" t="str">
            <v>付現</v>
          </cell>
          <cell r="N293" t="str"/>
          <cell r="R293">
            <v>30</v>
          </cell>
        </row>
        <row r="294">
          <cell r="B294">
            <v>289</v>
          </cell>
          <cell r="C294" t="str">
            <v>109-08-25/黃新惠</v>
          </cell>
          <cell r="D294" t="str">
            <v>289-和駿成高科技有限公司</v>
          </cell>
          <cell r="E294" t="str">
            <v>和駿成高科技有限公司&gt;負:許正達</v>
          </cell>
          <cell r="F294" t="str">
            <v>8296&gt;6727</v>
          </cell>
          <cell r="G294" t="str">
            <v>含稅</v>
          </cell>
          <cell r="H294" t="str">
            <v>機油芯</v>
          </cell>
          <cell r="I294" t="str">
            <v>匯款</v>
          </cell>
          <cell r="J294" t="str">
            <v>0909-008301</v>
          </cell>
          <cell r="N294">
            <v>508</v>
          </cell>
          <cell r="O294" t="str">
            <v>彰化縣和美鎮和南里鹿和路六段477號</v>
          </cell>
          <cell r="P294" t="str">
            <v>289-和駿成高科技有限公司</v>
          </cell>
          <cell r="Q294" t="str">
            <v>彰化縣和美鎮和南里鹿和路六段477號</v>
          </cell>
          <cell r="R294">
            <v>30</v>
          </cell>
        </row>
        <row r="295">
          <cell r="B295">
            <v>290</v>
          </cell>
          <cell r="C295" t="str">
            <v>109-08-25/黃凱筠</v>
          </cell>
          <cell r="D295" t="str">
            <v>290-青島米多奇橡膠科技有限公司</v>
          </cell>
          <cell r="E295" t="str">
            <v>青島米多奇橡膠科技有限公司</v>
          </cell>
          <cell r="G295" t="str">
            <v>含稅</v>
          </cell>
          <cell r="H295" t="str">
            <v>大車輪胎</v>
          </cell>
          <cell r="J295" t="str">
            <v>0086-0532-85111668&gt;傳真:0086-0532-85111638</v>
          </cell>
          <cell r="O295" t="str">
            <v>青島市黃島區車倫山路388號萬新中央廣場801</v>
          </cell>
          <cell r="P295" t="str">
            <v>290-青島米多奇橡膠科技有限公司</v>
          </cell>
          <cell r="Q295" t="str">
            <v>青島市黃島區車倫山路388號萬新中央廣場801</v>
          </cell>
          <cell r="R295">
            <v>30</v>
          </cell>
        </row>
        <row r="296">
          <cell r="B296">
            <v>291</v>
          </cell>
          <cell r="C296" t="str">
            <v>109-08-26/黃新惠</v>
          </cell>
          <cell r="D296" t="str">
            <v>291-遠享汽車材料行</v>
          </cell>
          <cell r="E296" t="str">
            <v>遠享汽車材料行</v>
          </cell>
          <cell r="G296" t="str">
            <v>未稅</v>
          </cell>
          <cell r="H296" t="str">
            <v>汽車材料</v>
          </cell>
          <cell r="I296" t="str">
            <v>匯款</v>
          </cell>
          <cell r="J296" t="str">
            <v>0927-530070羅子豪</v>
          </cell>
          <cell r="N296">
            <v>801</v>
          </cell>
          <cell r="O296" t="str">
            <v>高雄市前金區中華三路240-1號</v>
          </cell>
          <cell r="P296" t="str">
            <v>291-遠享汽車材料行</v>
          </cell>
          <cell r="Q296" t="str">
            <v>高雄市前金區中華三路240-1號</v>
          </cell>
          <cell r="R296">
            <v>30</v>
          </cell>
        </row>
        <row r="297">
          <cell r="B297">
            <v>292</v>
          </cell>
          <cell r="C297" t="str">
            <v>109-09-10/黃新惠</v>
          </cell>
          <cell r="D297" t="str">
            <v>292-徠碩企業有限公司</v>
          </cell>
          <cell r="E297" t="str">
            <v>徠碩企業有限公司</v>
          </cell>
          <cell r="G297" t="str">
            <v>未稅</v>
          </cell>
          <cell r="H297" t="str">
            <v>汽車材料</v>
          </cell>
          <cell r="I297" t="str">
            <v>付現</v>
          </cell>
          <cell r="J297" t="str">
            <v>03-7463088&gt;傳真:5938386</v>
          </cell>
          <cell r="N297">
            <v>745</v>
          </cell>
          <cell r="O297" t="str">
            <v>台南市安定區六嘉里97-10號</v>
          </cell>
          <cell r="P297" t="str">
            <v>292-徠碩企業有限公司</v>
          </cell>
          <cell r="Q297" t="str">
            <v>台南市安定區六嘉里97-10號</v>
          </cell>
          <cell r="R297">
            <v>30</v>
          </cell>
        </row>
        <row r="298">
          <cell r="B298">
            <v>293</v>
          </cell>
          <cell r="C298" t="str">
            <v>109-09-01/黃新惠</v>
          </cell>
          <cell r="D298" t="str">
            <v>293-和成許企業有限公司</v>
          </cell>
          <cell r="E298" t="str">
            <v>和成許企業有限公司</v>
          </cell>
          <cell r="F298" t="str">
            <v>1653&gt;5199</v>
          </cell>
          <cell r="G298" t="str">
            <v>未稅</v>
          </cell>
          <cell r="H298" t="str">
            <v>機油</v>
          </cell>
          <cell r="I298" t="str">
            <v>開票期0.15個月</v>
          </cell>
          <cell r="J298" t="str">
            <v>02-2212-5555&gt;傳真:02-22125775&gt;0955532697蔡明哲</v>
          </cell>
          <cell r="N298">
            <v>231</v>
          </cell>
          <cell r="O298" t="str">
            <v>新北市新店區安業路285-1號</v>
          </cell>
          <cell r="P298" t="str">
            <v>293-和成許企業有限公司</v>
          </cell>
          <cell r="Q298" t="str">
            <v>新北市新店區安業路285-1號</v>
          </cell>
          <cell r="R298">
            <v>30</v>
          </cell>
        </row>
        <row r="299">
          <cell r="B299">
            <v>294</v>
          </cell>
          <cell r="C299" t="str">
            <v>109-09-02/黃新惠</v>
          </cell>
          <cell r="D299" t="str">
            <v>294-永锝企業社</v>
          </cell>
          <cell r="E299" t="str">
            <v>永锝企業社</v>
          </cell>
          <cell r="F299" t="str">
            <v>8096&gt;0655</v>
          </cell>
          <cell r="G299" t="str">
            <v>未稅</v>
          </cell>
          <cell r="H299" t="str">
            <v>研磨修改</v>
          </cell>
          <cell r="I299" t="str">
            <v>付現</v>
          </cell>
          <cell r="J299" t="str">
            <v>037-613878&gt;傳真:037-636302&gt;0919674891李本松</v>
          </cell>
          <cell r="N299">
            <v>351</v>
          </cell>
          <cell r="O299" t="str">
            <v>苗栗縣頭份鎮田寮里蘆竹路333號</v>
          </cell>
          <cell r="P299" t="str">
            <v>294-永锝企業社</v>
          </cell>
          <cell r="Q299" t="str">
            <v>苗栗縣頭份鎮田寮里蘆竹路333號</v>
          </cell>
          <cell r="R299">
            <v>30</v>
          </cell>
        </row>
        <row r="300">
          <cell r="B300">
            <v>295</v>
          </cell>
          <cell r="C300" t="str">
            <v>109-09-05/黃新惠</v>
          </cell>
          <cell r="D300" t="str">
            <v>295-鈦上企業有限公司</v>
          </cell>
          <cell r="E300" t="str">
            <v>鈦上企業有限公司</v>
          </cell>
          <cell r="F300" t="str">
            <v>5303&gt;5921</v>
          </cell>
          <cell r="G300" t="str">
            <v>未稅</v>
          </cell>
          <cell r="H300" t="str">
            <v>火星塞&gt;寄放有賣才收錢</v>
          </cell>
          <cell r="J300" t="str">
            <v>0919701373劉家顓</v>
          </cell>
          <cell r="N300">
            <v>510</v>
          </cell>
          <cell r="O300" t="str">
            <v>彰化縣員林鎮員集路一段428巷25號</v>
          </cell>
          <cell r="P300" t="str">
            <v>295-鈦上企業有限公司</v>
          </cell>
          <cell r="Q300" t="str">
            <v>彰化縣員林鎮員集路一段428巷25號</v>
          </cell>
          <cell r="R300">
            <v>30</v>
          </cell>
        </row>
        <row r="301">
          <cell r="B301">
            <v>296</v>
          </cell>
          <cell r="C301" t="str">
            <v>109-09-11/黃新惠</v>
          </cell>
          <cell r="D301" t="str">
            <v>296-巨達消防工程有限公司</v>
          </cell>
          <cell r="E301" t="str">
            <v>巨達消防工程有限公司</v>
          </cell>
          <cell r="F301" t="str">
            <v>2458&gt;3271</v>
          </cell>
          <cell r="G301" t="str">
            <v>未稅</v>
          </cell>
          <cell r="H301" t="str">
            <v>滅火器&gt;消防安全設備</v>
          </cell>
          <cell r="I301" t="str">
            <v>匯款</v>
          </cell>
          <cell r="J301" t="str">
            <v>04-22472123&gt;傳真:04-22472125&gt;0968-388281謝松霖&gt;0906-388218齊文揚</v>
          </cell>
          <cell r="N301">
            <v>406</v>
          </cell>
          <cell r="O301" t="str">
            <v>台中市北屯區柳陽東街69號</v>
          </cell>
          <cell r="P301" t="str">
            <v>296-巨達消防工程有限公司</v>
          </cell>
          <cell r="Q301" t="str">
            <v>台中市北屯區柳陽東街69號</v>
          </cell>
          <cell r="R301">
            <v>30</v>
          </cell>
        </row>
        <row r="302">
          <cell r="B302">
            <v>297</v>
          </cell>
          <cell r="C302" t="str">
            <v>109-09-16/黃凱筠</v>
          </cell>
          <cell r="D302" t="str">
            <v>297-勝弘輪胎有限公司</v>
          </cell>
          <cell r="E302" t="str">
            <v>勝弘輪胎有限公司</v>
          </cell>
          <cell r="G302" t="str">
            <v>未稅</v>
          </cell>
          <cell r="H302" t="str">
            <v>救車</v>
          </cell>
          <cell r="I302" t="str">
            <v>付現</v>
          </cell>
          <cell r="J302" t="str">
            <v>06-5710395&gt;傳真:06-5715980</v>
          </cell>
          <cell r="N302">
            <v>721</v>
          </cell>
          <cell r="O302" t="str">
            <v>台南市麻豆區新生南路532-5號</v>
          </cell>
          <cell r="P302" t="str">
            <v>297-勝弘輪胎有限公司</v>
          </cell>
          <cell r="Q302" t="str">
            <v>台南市麻豆區新生南路532-5號</v>
          </cell>
          <cell r="R302">
            <v>30</v>
          </cell>
        </row>
        <row r="303">
          <cell r="B303">
            <v>298</v>
          </cell>
          <cell r="C303" t="str">
            <v>109-09-21/黃新惠</v>
          </cell>
          <cell r="D303" t="str">
            <v>298-聖帕斯有限公司</v>
          </cell>
          <cell r="E303" t="str">
            <v>聖帕斯有限公司</v>
          </cell>
          <cell r="F303" t="str">
            <v>5494&gt;3739</v>
          </cell>
          <cell r="G303" t="str">
            <v>未稅</v>
          </cell>
          <cell r="H303" t="str">
            <v>考耳</v>
          </cell>
          <cell r="I303" t="str">
            <v>匯款</v>
          </cell>
          <cell r="J303" t="str">
            <v xml:space="preserve">0918060071游忠鑫 </v>
          </cell>
          <cell r="N303">
            <v>330</v>
          </cell>
          <cell r="O303" t="str">
            <v>桃園市桃園區介壽路11-4號</v>
          </cell>
          <cell r="P303" t="str">
            <v>298-聖帕斯有限公司</v>
          </cell>
          <cell r="Q303" t="str">
            <v>桃園市桃園區介壽路11-4號</v>
          </cell>
          <cell r="R303">
            <v>30</v>
          </cell>
        </row>
        <row r="304">
          <cell r="B304">
            <v>299</v>
          </cell>
          <cell r="C304" t="str">
            <v>109-09-26/黃新惠</v>
          </cell>
          <cell r="D304" t="str">
            <v>299-億嵩有限公司</v>
          </cell>
          <cell r="E304" t="str">
            <v>億嵩有限公司</v>
          </cell>
          <cell r="G304" t="str">
            <v>未稅</v>
          </cell>
          <cell r="H304" t="str">
            <v>輪胎</v>
          </cell>
          <cell r="I304" t="str">
            <v>匯款</v>
          </cell>
          <cell r="J304" t="str">
            <v>02-28866955&gt;傳真:02-28852319</v>
          </cell>
          <cell r="N304">
            <v>111</v>
          </cell>
          <cell r="O304" t="str">
            <v>台北市承德路四段110號1樓</v>
          </cell>
          <cell r="P304" t="str">
            <v>299-億嵩有限公司</v>
          </cell>
          <cell r="Q304" t="str">
            <v>台北市承德路四段110號1樓</v>
          </cell>
          <cell r="R304">
            <v>30</v>
          </cell>
        </row>
        <row r="305">
          <cell r="B305">
            <v>300</v>
          </cell>
          <cell r="C305" t="str">
            <v>109-09-29/黃新惠</v>
          </cell>
          <cell r="D305" t="str">
            <v>300-原新螺絲行</v>
          </cell>
          <cell r="E305" t="str">
            <v>原新螺絲行</v>
          </cell>
          <cell r="G305" t="str">
            <v>稅外</v>
          </cell>
          <cell r="H305" t="str">
            <v>螺絲</v>
          </cell>
          <cell r="I305" t="str">
            <v>付現</v>
          </cell>
          <cell r="J305" t="str">
            <v>03-5260322-3&gt;傳真:03-5260324</v>
          </cell>
          <cell r="N305">
            <v>300</v>
          </cell>
          <cell r="O305" t="str">
            <v>新竹市警光路30號</v>
          </cell>
          <cell r="P305" t="str">
            <v>300-原新螺絲行</v>
          </cell>
          <cell r="Q305" t="str">
            <v>新竹市警光路30號</v>
          </cell>
          <cell r="R305">
            <v>30</v>
          </cell>
        </row>
        <row r="306">
          <cell r="B306">
            <v>301</v>
          </cell>
          <cell r="C306" t="str">
            <v>109-10-13/黃新惠</v>
          </cell>
          <cell r="D306" t="str">
            <v>301-羅得克洛</v>
          </cell>
          <cell r="E306" t="str">
            <v>羅得克洛</v>
          </cell>
          <cell r="G306" t="str">
            <v>含稅</v>
          </cell>
          <cell r="H306" t="str">
            <v xml:space="preserve">輪胎&gt;匯款CHINA CITIC BANK INTERNATIONAL LIMITED 746108343001 </v>
          </cell>
          <cell r="I306" t="str">
            <v>國際匯款</v>
          </cell>
          <cell r="J306">
            <v>8615863046319</v>
          </cell>
          <cell r="O306" t="str">
            <v>YINZUO BUILDING, NO.11 ZAOYUAN ROAD, QINGDAO,CHINA</v>
          </cell>
          <cell r="P306" t="str">
            <v>301-羅得克洛</v>
          </cell>
          <cell r="Q306" t="str">
            <v>YINZUO BUILDING, NO.11 ZAOYUAN ROAD, QINGDAO,CHINA</v>
          </cell>
          <cell r="R306">
            <v>30</v>
          </cell>
        </row>
        <row r="307">
          <cell r="B307">
            <v>302</v>
          </cell>
          <cell r="C307" t="str">
            <v>109-07-18/郭雯瑀</v>
          </cell>
          <cell r="D307" t="str">
            <v>302-仁宇輪胎</v>
          </cell>
          <cell r="E307" t="str">
            <v>仁宇輪胎企業社</v>
          </cell>
          <cell r="G307" t="str">
            <v>未稅</v>
          </cell>
          <cell r="H307" t="str">
            <v>救車</v>
          </cell>
          <cell r="I307" t="str">
            <v>付現</v>
          </cell>
          <cell r="J307" t="str">
            <v>03-3638869&gt;0932273066&gt;0955049551潘信輝</v>
          </cell>
          <cell r="N307">
            <v>334</v>
          </cell>
          <cell r="O307" t="str">
            <v>桃園縣八德市大福街97巷8號.</v>
          </cell>
          <cell r="P307" t="str">
            <v>302-仁宇輪胎</v>
          </cell>
          <cell r="Q307" t="str">
            <v>桃園縣八德市大福街97巷8號.</v>
          </cell>
          <cell r="R307">
            <v>30</v>
          </cell>
        </row>
        <row r="308">
          <cell r="B308">
            <v>303</v>
          </cell>
          <cell r="C308" t="str">
            <v>109-10-17/黃新惠</v>
          </cell>
          <cell r="D308" t="str">
            <v>303-維京全球貿易有限公司</v>
          </cell>
          <cell r="E308" t="str">
            <v>維京全球貿易有限公司</v>
          </cell>
          <cell r="G308" t="str">
            <v>未稅</v>
          </cell>
          <cell r="H308" t="str">
            <v>中冷</v>
          </cell>
          <cell r="I308" t="str">
            <v>匯款 玉山商業銀行 0680940036896</v>
          </cell>
          <cell r="J308" t="str">
            <v>04-22522228&gt;傳真:04-22522558</v>
          </cell>
          <cell r="N308">
            <v>407</v>
          </cell>
          <cell r="O308" t="str">
            <v>台中市西屯區台灣大道三段679號</v>
          </cell>
          <cell r="P308" t="str">
            <v>303-維京全球貿易有限公司</v>
          </cell>
          <cell r="Q308" t="str">
            <v>台中市西屯區台灣大道三段679號</v>
          </cell>
          <cell r="R308">
            <v>30</v>
          </cell>
        </row>
        <row r="309">
          <cell r="B309">
            <v>304</v>
          </cell>
          <cell r="C309" t="str">
            <v>109-10-23/郭雯瑀</v>
          </cell>
          <cell r="D309" t="str">
            <v>304-立興工程行</v>
          </cell>
          <cell r="E309" t="str">
            <v>立興工程行</v>
          </cell>
          <cell r="F309" t="str">
            <v>2521&gt;2993</v>
          </cell>
          <cell r="G309" t="str">
            <v>未稅</v>
          </cell>
          <cell r="H309" t="str">
            <v>監視器安裝</v>
          </cell>
          <cell r="I309" t="str">
            <v>付現</v>
          </cell>
          <cell r="J309" t="str">
            <v>0933-547401張勝銘</v>
          </cell>
          <cell r="N309">
            <v>351</v>
          </cell>
          <cell r="O309" t="str">
            <v>苗栗縣頭份市興隆路一段96號</v>
          </cell>
          <cell r="P309" t="str">
            <v>304-立興工程行</v>
          </cell>
          <cell r="Q309" t="str">
            <v>苗栗縣頭份市興隆路一段96號</v>
          </cell>
          <cell r="R309">
            <v>30</v>
          </cell>
        </row>
        <row r="310">
          <cell r="B310">
            <v>305</v>
          </cell>
          <cell r="C310" t="str">
            <v>109-10-23/黃新惠</v>
          </cell>
          <cell r="D310" t="str">
            <v>305-名城廣告社</v>
          </cell>
          <cell r="E310" t="str">
            <v>名城廣告社</v>
          </cell>
          <cell r="F310" t="str">
            <v>0294&gt;1485</v>
          </cell>
          <cell r="G310" t="str">
            <v>未稅</v>
          </cell>
          <cell r="H310" t="str">
            <v>文字修改</v>
          </cell>
          <cell r="I310" t="str">
            <v>付現</v>
          </cell>
          <cell r="J310" t="str">
            <v>037-477324</v>
          </cell>
          <cell r="N310">
            <v>350</v>
          </cell>
          <cell r="O310" t="str">
            <v>苗栗縣竹南鎮正南里民族街26號</v>
          </cell>
          <cell r="P310" t="str">
            <v>305-名城廣告社</v>
          </cell>
          <cell r="Q310" t="str">
            <v>苗栗縣竹南鎮正南里民族街26號</v>
          </cell>
          <cell r="R310">
            <v>30</v>
          </cell>
        </row>
        <row r="311">
          <cell r="B311">
            <v>306</v>
          </cell>
          <cell r="C311" t="str">
            <v>109-10-24/郭雯瑀</v>
          </cell>
          <cell r="D311" t="str">
            <v>306-富成輪胎行</v>
          </cell>
          <cell r="E311" t="str">
            <v>富成輪胎行</v>
          </cell>
          <cell r="F311" t="str">
            <v>7860&gt;6004</v>
          </cell>
          <cell r="G311" t="str">
            <v>未稅</v>
          </cell>
          <cell r="H311" t="str">
            <v>救車</v>
          </cell>
          <cell r="I311" t="str">
            <v>付現</v>
          </cell>
          <cell r="J311" t="str">
            <v>08-7732668&gt;0912783847林冠佑</v>
          </cell>
          <cell r="N311">
            <v>905</v>
          </cell>
          <cell r="O311" t="str">
            <v>屏東縣里港鄉三和路120-7號</v>
          </cell>
          <cell r="P311" t="str">
            <v>306-富成輪胎行</v>
          </cell>
          <cell r="Q311" t="str">
            <v>屏東縣里港鄉三和路120-7號</v>
          </cell>
          <cell r="R311">
            <v>30</v>
          </cell>
        </row>
        <row r="312">
          <cell r="B312">
            <v>307</v>
          </cell>
          <cell r="C312" t="str">
            <v>109-10-26/黃新惠</v>
          </cell>
          <cell r="D312" t="str">
            <v>307-恆樂發國際有限公司</v>
          </cell>
          <cell r="E312" t="str">
            <v>恆樂發國際有限公司</v>
          </cell>
          <cell r="G312" t="str">
            <v>未稅</v>
          </cell>
          <cell r="H312" t="str">
            <v>轎車清潔劑</v>
          </cell>
          <cell r="I312" t="str">
            <v>付現</v>
          </cell>
          <cell r="J312" t="str">
            <v>0965-381333</v>
          </cell>
          <cell r="N312">
            <v>350</v>
          </cell>
          <cell r="O312" t="str">
            <v>苗栗縣竹南鎮大浦七街170號</v>
          </cell>
          <cell r="P312" t="str">
            <v>307-恆樂發國際有限公司</v>
          </cell>
          <cell r="Q312" t="str">
            <v>苗栗縣竹南鎮大浦七街170號</v>
          </cell>
          <cell r="R312">
            <v>30</v>
          </cell>
        </row>
        <row r="313">
          <cell r="B313">
            <v>308</v>
          </cell>
          <cell r="C313" t="str">
            <v>109-11/10/黃新惠</v>
          </cell>
          <cell r="D313" t="str">
            <v>308-久大精品有限公司</v>
          </cell>
          <cell r="E313" t="str">
            <v>久大精品有限公司</v>
          </cell>
          <cell r="G313" t="str">
            <v>未稅</v>
          </cell>
          <cell r="H313" t="str">
            <v>轎車電瓶</v>
          </cell>
          <cell r="I313" t="str">
            <v>付現</v>
          </cell>
          <cell r="J313" t="str">
            <v>03-4612800&gt;傳真:03-4613689</v>
          </cell>
          <cell r="N313">
            <v>320</v>
          </cell>
          <cell r="O313" t="str">
            <v>桃園市中壢區內定八街478號</v>
          </cell>
          <cell r="P313" t="str">
            <v>308-久大精品有限公司</v>
          </cell>
          <cell r="Q313" t="str">
            <v>桃園市中壢區內定八街478號</v>
          </cell>
          <cell r="R313">
            <v>30</v>
          </cell>
        </row>
        <row r="314">
          <cell r="B314">
            <v>309</v>
          </cell>
          <cell r="C314" t="str">
            <v>109-11/12/黃凱筠</v>
          </cell>
          <cell r="D314" t="str">
            <v>309-欣承(統順)輪胎服務中心</v>
          </cell>
          <cell r="E314" t="str">
            <v>欣承(統順)輪胎服務中心</v>
          </cell>
          <cell r="G314" t="str">
            <v>未稅</v>
          </cell>
          <cell r="H314" t="str">
            <v>救車</v>
          </cell>
          <cell r="I314" t="str">
            <v>付現</v>
          </cell>
          <cell r="J314" t="str">
            <v>03-4773579&gt;傳真03-4773558</v>
          </cell>
          <cell r="N314">
            <v>327</v>
          </cell>
          <cell r="O314" t="str">
            <v>桃園市新屋區後湖里寶樹路316巷96號</v>
          </cell>
          <cell r="P314" t="str">
            <v>309-欣承(統順)輪胎服務中心</v>
          </cell>
          <cell r="Q314" t="str">
            <v>桃園市新屋區後湖里寶樹路316巷96號</v>
          </cell>
          <cell r="R314">
            <v>30</v>
          </cell>
        </row>
        <row r="315">
          <cell r="B315">
            <v>310</v>
          </cell>
          <cell r="C315" t="str">
            <v>109-11-13/黃凱筠</v>
          </cell>
          <cell r="D315" t="str">
            <v>310-順安汽車</v>
          </cell>
          <cell r="E315" t="str">
            <v>順安汽車-竹南廠</v>
          </cell>
          <cell r="G315" t="str">
            <v>未稅</v>
          </cell>
          <cell r="H315" t="str">
            <v>修理廠</v>
          </cell>
          <cell r="I315" t="str">
            <v>開票期0.15個月</v>
          </cell>
          <cell r="J315" t="str">
            <v>037-656960&gt;傳真037-611618</v>
          </cell>
          <cell r="N315">
            <v>350</v>
          </cell>
          <cell r="O315" t="str">
            <v>苗栗縣竹南鎮公館里7鄰1-7號</v>
          </cell>
          <cell r="P315" t="str">
            <v>310-順安汽車</v>
          </cell>
          <cell r="Q315" t="str">
            <v>苗栗縣竹南鎮公館里7鄰1-7號</v>
          </cell>
          <cell r="R315">
            <v>30</v>
          </cell>
        </row>
        <row r="316">
          <cell r="B316">
            <v>311</v>
          </cell>
          <cell r="C316" t="str">
            <v>109-11-14/黃凱筠</v>
          </cell>
          <cell r="D316" t="str">
            <v>311-盟豐輪胎有限公司</v>
          </cell>
          <cell r="E316" t="str">
            <v>盟豐輪胎有限公司</v>
          </cell>
          <cell r="G316" t="str">
            <v>未稅</v>
          </cell>
          <cell r="H316" t="str">
            <v>救車</v>
          </cell>
          <cell r="I316" t="str">
            <v>付現</v>
          </cell>
          <cell r="J316" t="str">
            <v>04-26560507-04-26560529</v>
          </cell>
          <cell r="N316">
            <v>436</v>
          </cell>
          <cell r="O316" t="str">
            <v>台中市清水區臨港路5段522號</v>
          </cell>
          <cell r="P316" t="str">
            <v>311-盟豐輪胎有限公司</v>
          </cell>
          <cell r="Q316" t="str">
            <v>台中市清水區臨港路5段522號</v>
          </cell>
          <cell r="R316">
            <v>30</v>
          </cell>
        </row>
        <row r="317">
          <cell r="B317">
            <v>312</v>
          </cell>
          <cell r="C317" t="str">
            <v>109-11-21/黃凱筠</v>
          </cell>
          <cell r="D317" t="str">
            <v>312-SKYPOWER(優盛輪胎)</v>
          </cell>
          <cell r="E317" t="str">
            <v>SKYPOWER TIRE INDUSTRY CO.,LIMITED(優盛輪胎)</v>
          </cell>
          <cell r="G317" t="str">
            <v>含稅</v>
          </cell>
          <cell r="H317" t="str">
            <v>大車輪胎</v>
          </cell>
          <cell r="I317" t="str">
            <v>國際匯款</v>
          </cell>
          <cell r="J317" t="str">
            <v>0086-15215327106</v>
          </cell>
          <cell r="O317" t="str">
            <v>中國山東青島市井岡山路157號金石國際廣場</v>
          </cell>
          <cell r="P317" t="str">
            <v>312-SKYPOWER(優盛輪胎)</v>
          </cell>
          <cell r="Q317" t="str">
            <v>中國山東青島市井岡山路157號金石國際廣場</v>
          </cell>
          <cell r="R317">
            <v>30</v>
          </cell>
        </row>
        <row r="318">
          <cell r="B318">
            <v>313</v>
          </cell>
          <cell r="C318" t="str">
            <v>109-11-21/黃新惠</v>
          </cell>
          <cell r="D318" t="str">
            <v>313-兆昌企業行</v>
          </cell>
          <cell r="E318" t="str">
            <v>兆昌企業行</v>
          </cell>
          <cell r="F318" t="str">
            <v>8267&gt;0415</v>
          </cell>
          <cell r="G318" t="str">
            <v>未稅</v>
          </cell>
          <cell r="H318" t="str">
            <v>汽車材料</v>
          </cell>
          <cell r="I318" t="str">
            <v>匯款 兆昌企業行趙志康 陽信銀行鼎立分行 099420013343</v>
          </cell>
          <cell r="J318" t="str">
            <v>皓宇聯絡</v>
          </cell>
          <cell r="N318">
            <v>807</v>
          </cell>
          <cell r="O318" t="str">
            <v>高雄市三民區鼎力路267巷5弄42號3樓之1</v>
          </cell>
          <cell r="P318" t="str">
            <v>313-兆昌企業行</v>
          </cell>
          <cell r="Q318" t="str">
            <v>高雄市三民區鼎力路267巷5弄42號3樓之1</v>
          </cell>
          <cell r="R318">
            <v>30</v>
          </cell>
        </row>
        <row r="319">
          <cell r="B319">
            <v>314</v>
          </cell>
          <cell r="C319" t="str">
            <v>109-11-26/黃凱筠</v>
          </cell>
          <cell r="D319" t="str">
            <v>314-麒駪輪胎行</v>
          </cell>
          <cell r="E319" t="str">
            <v>麒駪輪胎行</v>
          </cell>
          <cell r="G319" t="str">
            <v>未稅</v>
          </cell>
          <cell r="H319" t="str">
            <v>救車</v>
          </cell>
          <cell r="I319" t="str">
            <v>付現</v>
          </cell>
          <cell r="J319" t="str">
            <v>02-22118595&gt;02-29119595&gt;0965237239張人文(老闆)</v>
          </cell>
          <cell r="N319">
            <v>231</v>
          </cell>
          <cell r="O319" t="str">
            <v>新北市新店區安業街155-2號</v>
          </cell>
          <cell r="P319" t="str">
            <v>314-麒駪輪胎行</v>
          </cell>
          <cell r="Q319" t="str">
            <v>新北市新店區安業街155-2號</v>
          </cell>
          <cell r="R319">
            <v>30</v>
          </cell>
        </row>
        <row r="320">
          <cell r="B320">
            <v>315</v>
          </cell>
          <cell r="C320" t="str">
            <v>109-11-28/黃新惠</v>
          </cell>
          <cell r="D320" t="str">
            <v>315-豐秝國際有限公司</v>
          </cell>
          <cell r="E320" t="str">
            <v>豐秝國際有限公司</v>
          </cell>
          <cell r="G320" t="str">
            <v>未稅</v>
          </cell>
          <cell r="H320" t="str">
            <v>卡鉗</v>
          </cell>
          <cell r="J320" t="str">
            <v>03-3638704&gt;傳真:03-3751925</v>
          </cell>
          <cell r="N320">
            <v>330</v>
          </cell>
          <cell r="O320" t="str">
            <v>桃園市桃園區興隆路5號</v>
          </cell>
          <cell r="P320" t="str">
            <v>315-豐秝國際有限公司</v>
          </cell>
          <cell r="Q320" t="str">
            <v>桃園市桃園區興隆路5號</v>
          </cell>
          <cell r="R320">
            <v>30</v>
          </cell>
        </row>
        <row r="321">
          <cell r="B321">
            <v>316</v>
          </cell>
          <cell r="C321" t="str">
            <v>109-12-04/黃新惠</v>
          </cell>
          <cell r="D321" t="str">
            <v>316-朱冠華</v>
          </cell>
          <cell r="E321" t="str">
            <v>朱冠華&gt;歐斯特國際實業有限公司</v>
          </cell>
          <cell r="G321" t="str">
            <v>未稅</v>
          </cell>
          <cell r="H321" t="str">
            <v>寫電腦</v>
          </cell>
          <cell r="I321" t="str">
            <v>付現</v>
          </cell>
          <cell r="J321" t="str">
            <v>04-24700218&gt;0918282788&gt;傳真04-24702218</v>
          </cell>
          <cell r="N321">
            <v>408</v>
          </cell>
          <cell r="O321" t="str">
            <v>台中市南屯區黎明路一段727巷26號</v>
          </cell>
          <cell r="P321" t="str">
            <v>316-朱冠華</v>
          </cell>
          <cell r="Q321" t="str">
            <v>台中市南屯區黎明路一段727巷26號</v>
          </cell>
          <cell r="R321">
            <v>30</v>
          </cell>
        </row>
        <row r="322">
          <cell r="B322">
            <v>317</v>
          </cell>
          <cell r="C322" t="str">
            <v>109-12-24/黃凱筠</v>
          </cell>
          <cell r="D322" t="str">
            <v>317-1111人力銀行</v>
          </cell>
          <cell r="E322" t="str">
            <v>1111人力銀行</v>
          </cell>
          <cell r="F322" t="str">
            <v>1677&gt;6387</v>
          </cell>
          <cell r="G322" t="str">
            <v>含稅</v>
          </cell>
          <cell r="H322" t="str">
            <v>刊登求才</v>
          </cell>
          <cell r="I322" t="str">
            <v>匯款</v>
          </cell>
          <cell r="J322" t="str">
            <v>(02)8787-1111#6636林怡翠</v>
          </cell>
          <cell r="N322" t="str"/>
          <cell r="P322" t="str">
            <v>317-1111人力銀行</v>
          </cell>
          <cell r="R322">
            <v>30</v>
          </cell>
        </row>
        <row r="323">
          <cell r="B323">
            <v>318</v>
          </cell>
          <cell r="C323" t="str">
            <v>109-12/24/黃新惠</v>
          </cell>
          <cell r="D323" t="str">
            <v>318-凱仕貿易有限公司</v>
          </cell>
          <cell r="E323" t="str">
            <v>凱仕貿易有限公司</v>
          </cell>
          <cell r="G323" t="str">
            <v>未稅</v>
          </cell>
          <cell r="H323" t="str">
            <v>小車材料</v>
          </cell>
          <cell r="I323" t="str">
            <v>匯款</v>
          </cell>
          <cell r="J323" t="str">
            <v>02-28932696&gt;傳真02-28915246</v>
          </cell>
          <cell r="N323">
            <v>112</v>
          </cell>
          <cell r="O323" t="str">
            <v>台北市北投區承德路七段401巷183-3號</v>
          </cell>
          <cell r="P323" t="str">
            <v>318-凱仕貿易有限公司</v>
          </cell>
          <cell r="Q323" t="str">
            <v>台北市北投區承德路七段401巷183-3號</v>
          </cell>
          <cell r="R323">
            <v>30</v>
          </cell>
        </row>
        <row r="324">
          <cell r="B324">
            <v>319</v>
          </cell>
          <cell r="C324" t="str">
            <v>109-12/24/黃新惠</v>
          </cell>
          <cell r="D324" t="str">
            <v>319-亞戀國際有限公司</v>
          </cell>
          <cell r="E324" t="str">
            <v>亞戀國際有限公司</v>
          </cell>
          <cell r="G324" t="str">
            <v>未稅</v>
          </cell>
          <cell r="H324" t="str">
            <v>機油</v>
          </cell>
          <cell r="I324" t="str">
            <v>匯款 亞戀國際有限公司 國泰世華銀行 沙鹿分行 256035004607</v>
          </cell>
          <cell r="J324" t="str">
            <v>04-26622906</v>
          </cell>
          <cell r="N324">
            <v>433</v>
          </cell>
          <cell r="O324" t="str">
            <v>台中市沙鹿區日新街25巷11號</v>
          </cell>
          <cell r="P324" t="str">
            <v>319-亞戀國際有限公司</v>
          </cell>
          <cell r="Q324" t="str">
            <v>台中市沙鹿區日新街25巷11號</v>
          </cell>
          <cell r="R324">
            <v>30</v>
          </cell>
        </row>
        <row r="325">
          <cell r="B325">
            <v>320</v>
          </cell>
          <cell r="C325" t="str">
            <v>109-12-25/黃凱筠</v>
          </cell>
          <cell r="D325" t="str">
            <v>320-鴻金輪胎行</v>
          </cell>
          <cell r="E325" t="str">
            <v>鴻金輪胎行</v>
          </cell>
          <cell r="G325" t="str">
            <v>未稅</v>
          </cell>
          <cell r="H325" t="str">
            <v>救車</v>
          </cell>
          <cell r="I325" t="str">
            <v>付現</v>
          </cell>
          <cell r="J325" t="str">
            <v>02-82958216</v>
          </cell>
          <cell r="N325">
            <v>242</v>
          </cell>
          <cell r="O325" t="str">
            <v>新北市新莊區中平路362號6樓</v>
          </cell>
          <cell r="P325" t="str">
            <v>320-鴻金輪胎行</v>
          </cell>
          <cell r="Q325" t="str">
            <v>新北市新莊區中平路362號6樓</v>
          </cell>
          <cell r="R325">
            <v>30</v>
          </cell>
        </row>
        <row r="326">
          <cell r="B326">
            <v>321</v>
          </cell>
          <cell r="C326" t="str">
            <v>109-12-25/黃凱筠</v>
          </cell>
          <cell r="D326" t="str">
            <v>321-新光產物保險</v>
          </cell>
          <cell r="E326" t="str">
            <v>新光產物保險</v>
          </cell>
          <cell r="G326" t="str">
            <v>未稅</v>
          </cell>
          <cell r="H326" t="str">
            <v>保險</v>
          </cell>
          <cell r="I326" t="str">
            <v>付現</v>
          </cell>
          <cell r="J326" t="str">
            <v>037-689400&gt;傳真037-676224&gt;0928-795014邱郁姈業務&gt;0932-668082張義明業務襄理</v>
          </cell>
          <cell r="N326">
            <v>351</v>
          </cell>
          <cell r="O326" t="str">
            <v>苗栗縣頭份市八德二路40號1樓</v>
          </cell>
          <cell r="P326" t="str">
            <v>321-新光產物保險</v>
          </cell>
          <cell r="Q326" t="str">
            <v>苗栗縣頭份市八德二路40號1樓</v>
          </cell>
          <cell r="R326">
            <v>30</v>
          </cell>
        </row>
        <row r="327">
          <cell r="B327">
            <v>322</v>
          </cell>
          <cell r="C327" t="str">
            <v>110-01-07/黃新惠</v>
          </cell>
          <cell r="D327" t="str">
            <v>322-普菲迅國際有限公司</v>
          </cell>
          <cell r="E327" t="str">
            <v>普菲迅國際有限公司</v>
          </cell>
          <cell r="F327" t="str">
            <v>5380&gt;5499</v>
          </cell>
          <cell r="G327" t="str">
            <v>未稅</v>
          </cell>
          <cell r="H327" t="str">
            <v>汽車材料</v>
          </cell>
          <cell r="I327" t="str">
            <v>匯款 黃輝宗 台新國際商業銀行 永康分行 08710003368400</v>
          </cell>
          <cell r="J327" t="str">
            <v>06-2051112&gt;傳真 06-2051131&gt;0977277975黃輝宗</v>
          </cell>
          <cell r="N327">
            <v>711</v>
          </cell>
          <cell r="O327" t="str">
            <v>台南市歸仁區大廟二街93巷20弄2號</v>
          </cell>
          <cell r="P327" t="str">
            <v>322-普菲迅國際有限公司</v>
          </cell>
          <cell r="Q327" t="str">
            <v>台南市歸仁區大廟二街93巷20弄2號</v>
          </cell>
          <cell r="R327">
            <v>30</v>
          </cell>
        </row>
        <row r="328">
          <cell r="B328">
            <v>323</v>
          </cell>
          <cell r="C328" t="str">
            <v>110-01-11/黃新惠</v>
          </cell>
          <cell r="D328" t="str">
            <v>323-威特</v>
          </cell>
          <cell r="E328" t="str">
            <v>HUA YUAN TIRE TECHNOLOGY CO., LIMITED</v>
          </cell>
          <cell r="G328" t="str">
            <v>未稅</v>
          </cell>
          <cell r="H328" t="str">
            <v>輪胎&gt;匯款  戶名:HUA YUAN TIRE TECHNOLOGY CO., LIMITED   銀行:Standard Chartered Bank (China) Limited Beijing Branch 帳號:501511439443</v>
          </cell>
          <cell r="I328" t="str">
            <v>國際匯款</v>
          </cell>
          <cell r="J328" t="str">
            <v xml:space="preserve">(+86)10-8440-495 </v>
          </cell>
          <cell r="N328" t="str"/>
          <cell r="O328" t="str">
            <v>ROOM 32 11/F LEE KA INDUSTRIAL BUILDING 8 NG FONG STREET SAN PO KONG KOWLOON,HONG KONG</v>
          </cell>
          <cell r="P328" t="str">
            <v>323-威特</v>
          </cell>
          <cell r="Q328" t="str">
            <v>ROOM 32 11/F LEE KA INDUSTRIAL BUILDING 8 NG FONG STREET SAN PO KONG KOWLOON,HONG KONG</v>
          </cell>
          <cell r="R328">
            <v>30</v>
          </cell>
        </row>
        <row r="329">
          <cell r="B329">
            <v>324</v>
          </cell>
          <cell r="C329" t="str">
            <v>110-01-12/黃新惠</v>
          </cell>
          <cell r="D329" t="str">
            <v>324-誠豐汽車保養廠</v>
          </cell>
          <cell r="E329" t="str">
            <v>誠豐汽車保養廠</v>
          </cell>
          <cell r="G329" t="str">
            <v>未稅</v>
          </cell>
          <cell r="H329" t="str">
            <v>小車材料&gt;付現</v>
          </cell>
          <cell r="I329" t="str">
            <v xml:space="preserve">匯款 誠豐企業社 玉山銀行 頭份分行  1285940008760 </v>
          </cell>
          <cell r="J329" t="str">
            <v>037-637106</v>
          </cell>
          <cell r="N329">
            <v>351</v>
          </cell>
          <cell r="O329" t="str">
            <v>苗栗縣頭份鎮永貞路一段95-1號</v>
          </cell>
          <cell r="P329" t="str">
            <v>324-誠豐汽車保養廠</v>
          </cell>
          <cell r="Q329" t="str">
            <v>苗栗縣頭份鎮永貞路一段95-1號</v>
          </cell>
          <cell r="R329">
            <v>30</v>
          </cell>
        </row>
        <row r="330">
          <cell r="B330">
            <v>325</v>
          </cell>
          <cell r="C330" t="str">
            <v>110-01-20/黃新惠</v>
          </cell>
          <cell r="D330" t="str">
            <v>325-元亨技術有限公司</v>
          </cell>
          <cell r="E330" t="str">
            <v>元亨技術有限公司</v>
          </cell>
          <cell r="F330" t="str">
            <v>4266&gt;5252</v>
          </cell>
          <cell r="G330" t="str">
            <v>未稅</v>
          </cell>
          <cell r="H330" t="str">
            <v>小車材料</v>
          </cell>
          <cell r="I330" t="str">
            <v>匯款 元亨技術有限公司 台灣銀行德芳分行 171001009862</v>
          </cell>
          <cell r="J330" t="str">
            <v>886-423321123</v>
          </cell>
          <cell r="N330">
            <v>413</v>
          </cell>
          <cell r="O330" t="str">
            <v>台中市霧峰區林森路706號</v>
          </cell>
          <cell r="P330" t="str">
            <v>325-元亨技術有限公司</v>
          </cell>
          <cell r="Q330" t="str">
            <v>台中市霧峰區林森路706號</v>
          </cell>
          <cell r="R330">
            <v>30</v>
          </cell>
        </row>
        <row r="331">
          <cell r="B331">
            <v>326</v>
          </cell>
          <cell r="C331" t="str">
            <v>110-01-25/黃凱筠</v>
          </cell>
          <cell r="D331" t="str">
            <v>326-濱江花市</v>
          </cell>
          <cell r="E331" t="str">
            <v>濱江花市</v>
          </cell>
          <cell r="G331" t="str">
            <v>未稅</v>
          </cell>
          <cell r="H331" t="str">
            <v>花籃</v>
          </cell>
          <cell r="I331" t="str">
            <v>付現</v>
          </cell>
          <cell r="J331" t="str">
            <v>037-464898&gt;傳真037-464805</v>
          </cell>
          <cell r="N331">
            <v>350</v>
          </cell>
          <cell r="O331" t="str">
            <v>苗栗縣竹南鎮博愛街211號</v>
          </cell>
          <cell r="P331" t="str">
            <v>326-濱江花市</v>
          </cell>
          <cell r="Q331" t="str">
            <v>苗栗縣竹南鎮博愛街211號</v>
          </cell>
          <cell r="R331">
            <v>30</v>
          </cell>
        </row>
        <row r="332">
          <cell r="B332">
            <v>327</v>
          </cell>
          <cell r="C332" t="str">
            <v>110-01-29/黃新惠</v>
          </cell>
          <cell r="D332" t="str">
            <v>327-高動力國際有限公司</v>
          </cell>
          <cell r="E332" t="str">
            <v>高動力國際有限公司</v>
          </cell>
          <cell r="F332" t="str">
            <v>80008&gt;0498</v>
          </cell>
          <cell r="G332" t="str">
            <v>含稅</v>
          </cell>
          <cell r="H332" t="str">
            <v>小車材料</v>
          </cell>
          <cell r="I332" t="str">
            <v>付現</v>
          </cell>
          <cell r="J332" t="str">
            <v>04-7748603&gt;傳真04-7779303&gt;0973000360游逢林業務</v>
          </cell>
          <cell r="N332">
            <v>506</v>
          </cell>
          <cell r="O332" t="str">
            <v>彰化縣福興鄉彰鹿路六段504巷36號</v>
          </cell>
          <cell r="P332" t="str">
            <v>327-高動力國際有限公司</v>
          </cell>
          <cell r="Q332" t="str">
            <v>彰化縣福興鄉彰鹿路六段504巷36號</v>
          </cell>
          <cell r="R332">
            <v>30</v>
          </cell>
        </row>
        <row r="333">
          <cell r="B333">
            <v>328</v>
          </cell>
          <cell r="C333" t="str">
            <v>110-02-23/黃新惠</v>
          </cell>
          <cell r="D333" t="str">
            <v>328-永泰五金</v>
          </cell>
          <cell r="E333" t="str">
            <v>永泰五金</v>
          </cell>
          <cell r="G333" t="str">
            <v>含稅</v>
          </cell>
          <cell r="H333" t="str">
            <v>小車材料&gt;付現</v>
          </cell>
          <cell r="I333" t="str">
            <v>付現</v>
          </cell>
          <cell r="J333" t="str">
            <v>037-483368&gt;傳真037-483276</v>
          </cell>
          <cell r="N333">
            <v>350</v>
          </cell>
          <cell r="O333" t="str">
            <v>苗栗縣竹南鎮博愛街337號</v>
          </cell>
          <cell r="P333" t="str">
            <v>328-永泰五金</v>
          </cell>
          <cell r="Q333" t="str">
            <v>苗栗縣竹南鎮博愛街337號</v>
          </cell>
          <cell r="R333">
            <v>30</v>
          </cell>
        </row>
        <row r="334">
          <cell r="B334">
            <v>329</v>
          </cell>
          <cell r="C334" t="str">
            <v>110-02-25/黃凱筠</v>
          </cell>
          <cell r="D334" t="str">
            <v>329-鴻諭輪胎行</v>
          </cell>
          <cell r="E334" t="str">
            <v>鴻諭輪胎行</v>
          </cell>
          <cell r="G334" t="str">
            <v>未稅</v>
          </cell>
          <cell r="H334" t="str">
            <v>救車</v>
          </cell>
          <cell r="I334" t="str">
            <v>付現</v>
          </cell>
          <cell r="J334" t="str">
            <v>05-6938767&gt;傳真:05&gt;6931219&gt;0963179521老闆</v>
          </cell>
          <cell r="N334">
            <v>638</v>
          </cell>
          <cell r="O334" t="str">
            <v>雲林縣麥寮鄉瓦磘村霄仁厝2號之178</v>
          </cell>
          <cell r="P334" t="str">
            <v>329-鴻諭輪胎行</v>
          </cell>
          <cell r="Q334" t="str">
            <v>雲林縣麥寮鄉瓦磘村霄仁厝2號之178</v>
          </cell>
          <cell r="R334">
            <v>30</v>
          </cell>
        </row>
        <row r="335">
          <cell r="B335">
            <v>330</v>
          </cell>
          <cell r="C335" t="str">
            <v>110-03-20/黃凱筠</v>
          </cell>
          <cell r="D335" t="str">
            <v>330-旭堡車業</v>
          </cell>
          <cell r="E335" t="str">
            <v>旭堡車業</v>
          </cell>
          <cell r="G335" t="str">
            <v>未稅</v>
          </cell>
          <cell r="H335" t="str">
            <v>小車材料</v>
          </cell>
          <cell r="I335" t="str">
            <v>匯款 中國信託新竹分行 299541253758</v>
          </cell>
          <cell r="J335" t="str">
            <v>03-5397788&gt;0981-878458吳念學</v>
          </cell>
          <cell r="N335">
            <v>300</v>
          </cell>
          <cell r="O335" t="str">
            <v>新竹市香山區中華路五段313號</v>
          </cell>
          <cell r="P335" t="str">
            <v>330-旭堡車業</v>
          </cell>
          <cell r="Q335" t="str">
            <v>新竹市香山區中華路五段313號</v>
          </cell>
          <cell r="R335">
            <v>30</v>
          </cell>
        </row>
        <row r="336">
          <cell r="B336">
            <v>331</v>
          </cell>
          <cell r="C336" t="str">
            <v>110-03-24/黃凱筠</v>
          </cell>
          <cell r="D336" t="str">
            <v>331-承德噴射器行</v>
          </cell>
          <cell r="E336" t="str">
            <v>承德噴射器行</v>
          </cell>
          <cell r="G336" t="str">
            <v>未稅</v>
          </cell>
          <cell r="H336" t="str">
            <v>修理廠</v>
          </cell>
          <cell r="I336" t="str">
            <v>付現</v>
          </cell>
          <cell r="J336" t="str">
            <v>037-720392&gt;0933-429859</v>
          </cell>
          <cell r="N336">
            <v>356</v>
          </cell>
          <cell r="O336" t="str">
            <v>苗栗縣後龍鎮造豐路142號</v>
          </cell>
          <cell r="P336" t="str">
            <v>331-承德噴射器行</v>
          </cell>
          <cell r="Q336" t="str">
            <v>苗栗縣後龍鎮造豐路142號</v>
          </cell>
          <cell r="R336">
            <v>30</v>
          </cell>
        </row>
        <row r="337">
          <cell r="B337">
            <v>332</v>
          </cell>
          <cell r="C337" t="str">
            <v>110-03-24/黃凱筠</v>
          </cell>
          <cell r="D337" t="str">
            <v>332-金和柴油邦浦調修行</v>
          </cell>
          <cell r="E337" t="str">
            <v>金和柴油邦浦調修行</v>
          </cell>
          <cell r="G337" t="str">
            <v>未稅</v>
          </cell>
          <cell r="H337" t="str">
            <v>修理廠</v>
          </cell>
          <cell r="I337" t="str">
            <v>開票</v>
          </cell>
          <cell r="J337" t="str">
            <v>037-673489&gt;0932-659687</v>
          </cell>
          <cell r="N337">
            <v>351</v>
          </cell>
          <cell r="O337" t="str">
            <v>苗栗縣頭份鎮中華路625號</v>
          </cell>
          <cell r="P337" t="str">
            <v>332-金和柴油邦浦調修行</v>
          </cell>
          <cell r="Q337" t="str">
            <v>苗栗縣頭份鎮中華路625號</v>
          </cell>
          <cell r="R337">
            <v>30</v>
          </cell>
        </row>
        <row r="338">
          <cell r="B338">
            <v>333</v>
          </cell>
          <cell r="N338" t="str"/>
        </row>
        <row r="339">
          <cell r="B339">
            <v>334</v>
          </cell>
          <cell r="N339" t="str"/>
        </row>
        <row r="340">
          <cell r="B340">
            <v>335</v>
          </cell>
          <cell r="N340" t="str"/>
        </row>
        <row r="341">
          <cell r="B341">
            <v>336</v>
          </cell>
          <cell r="N341" t="str"/>
        </row>
        <row r="342">
          <cell r="B342">
            <v>337</v>
          </cell>
          <cell r="N342" t="str"/>
        </row>
        <row r="343">
          <cell r="B343">
            <v>338</v>
          </cell>
          <cell r="N343" t="str"/>
        </row>
        <row r="344">
          <cell r="B344">
            <v>339</v>
          </cell>
          <cell r="N344" t="str"/>
        </row>
        <row r="345">
          <cell r="B345">
            <v>340</v>
          </cell>
          <cell r="N345" t="str"/>
        </row>
        <row r="346">
          <cell r="B346">
            <v>341</v>
          </cell>
          <cell r="N346" t="str"/>
        </row>
        <row r="347">
          <cell r="B347">
            <v>342</v>
          </cell>
          <cell r="N347" t="str"/>
        </row>
        <row r="348">
          <cell r="B348">
            <v>343</v>
          </cell>
          <cell r="N348" t="str"/>
        </row>
        <row r="349">
          <cell r="B349">
            <v>344</v>
          </cell>
          <cell r="N349" t="str"/>
        </row>
        <row r="350">
          <cell r="B350">
            <v>345</v>
          </cell>
          <cell r="N350" t="str"/>
        </row>
        <row r="351">
          <cell r="B351">
            <v>346</v>
          </cell>
          <cell r="N351" t="str"/>
        </row>
        <row r="352">
          <cell r="B352">
            <v>347</v>
          </cell>
          <cell r="N352" t="str"/>
        </row>
        <row r="353">
          <cell r="B353">
            <v>348</v>
          </cell>
          <cell r="N353" t="str"/>
        </row>
        <row r="354">
          <cell r="B354">
            <v>349</v>
          </cell>
          <cell r="N354" t="str"/>
        </row>
        <row r="355">
          <cell r="B355">
            <v>350</v>
          </cell>
          <cell r="N355" t="str"/>
        </row>
        <row r="356">
          <cell r="B356">
            <v>351</v>
          </cell>
          <cell r="N356" t="str"/>
        </row>
        <row r="357">
          <cell r="B357">
            <v>352</v>
          </cell>
          <cell r="N357" t="str"/>
        </row>
        <row r="358">
          <cell r="B358">
            <v>353</v>
          </cell>
          <cell r="N358" t="str"/>
        </row>
        <row r="359">
          <cell r="B359">
            <v>354</v>
          </cell>
          <cell r="N359" t="str"/>
        </row>
        <row r="360">
          <cell r="B360">
            <v>355</v>
          </cell>
          <cell r="N360" t="str"/>
        </row>
        <row r="361">
          <cell r="B361">
            <v>356</v>
          </cell>
          <cell r="N361" t="str"/>
        </row>
        <row r="362">
          <cell r="B362">
            <v>357</v>
          </cell>
          <cell r="N362" t="str"/>
        </row>
        <row r="363">
          <cell r="B363">
            <v>358</v>
          </cell>
          <cell r="N363" t="str"/>
        </row>
        <row r="364">
          <cell r="B364">
            <v>359</v>
          </cell>
          <cell r="N364" t="str"/>
        </row>
        <row r="365">
          <cell r="B365">
            <v>360</v>
          </cell>
          <cell r="N365" t="str"/>
        </row>
        <row r="366">
          <cell r="B366">
            <v>361</v>
          </cell>
          <cell r="N366" t="str"/>
        </row>
        <row r="367">
          <cell r="B367">
            <v>362</v>
          </cell>
          <cell r="N367" t="str"/>
        </row>
        <row r="368">
          <cell r="B368">
            <v>363</v>
          </cell>
          <cell r="N368" t="str"/>
        </row>
        <row r="369">
          <cell r="B369">
            <v>364</v>
          </cell>
          <cell r="N369" t="str"/>
        </row>
        <row r="370">
          <cell r="B370">
            <v>365</v>
          </cell>
          <cell r="N370" t="str"/>
        </row>
        <row r="371">
          <cell r="B371">
            <v>366</v>
          </cell>
          <cell r="N371" t="str"/>
        </row>
        <row r="372">
          <cell r="B372">
            <v>367</v>
          </cell>
          <cell r="N372" t="str"/>
        </row>
        <row r="373">
          <cell r="B373">
            <v>368</v>
          </cell>
          <cell r="N373" t="str"/>
        </row>
        <row r="374">
          <cell r="B374">
            <v>369</v>
          </cell>
          <cell r="N374" t="str"/>
        </row>
        <row r="375">
          <cell r="B375">
            <v>370</v>
          </cell>
          <cell r="N375" t="str"/>
        </row>
        <row r="376">
          <cell r="B376">
            <v>371</v>
          </cell>
          <cell r="N376" t="str"/>
        </row>
        <row r="377">
          <cell r="B377">
            <v>372</v>
          </cell>
          <cell r="N377" t="str"/>
        </row>
        <row r="378">
          <cell r="B378">
            <v>373</v>
          </cell>
          <cell r="N378" t="str"/>
        </row>
        <row r="379">
          <cell r="B379">
            <v>374</v>
          </cell>
          <cell r="N379" t="str"/>
        </row>
        <row r="380">
          <cell r="B380">
            <v>375</v>
          </cell>
          <cell r="N380" t="str"/>
        </row>
        <row r="381">
          <cell r="B381">
            <v>376</v>
          </cell>
          <cell r="N381" t="str"/>
        </row>
        <row r="382">
          <cell r="B382">
            <v>377</v>
          </cell>
          <cell r="N382" t="str"/>
        </row>
        <row r="383">
          <cell r="B383">
            <v>378</v>
          </cell>
          <cell r="N383" t="str"/>
        </row>
        <row r="384">
          <cell r="B384">
            <v>379</v>
          </cell>
          <cell r="N384" t="str"/>
        </row>
        <row r="385">
          <cell r="B385">
            <v>380</v>
          </cell>
          <cell r="N385" t="str"/>
        </row>
        <row r="386">
          <cell r="B386">
            <v>381</v>
          </cell>
          <cell r="N386" t="str"/>
        </row>
        <row r="387">
          <cell r="B387">
            <v>382</v>
          </cell>
          <cell r="N387" t="str"/>
        </row>
        <row r="388">
          <cell r="B388">
            <v>383</v>
          </cell>
          <cell r="N388" t="str"/>
        </row>
        <row r="389">
          <cell r="B389">
            <v>384</v>
          </cell>
          <cell r="N389" t="str"/>
        </row>
        <row r="390">
          <cell r="B390">
            <v>385</v>
          </cell>
          <cell r="N390" t="str"/>
        </row>
        <row r="391">
          <cell r="B391">
            <v>386</v>
          </cell>
          <cell r="N391" t="str"/>
        </row>
        <row r="392">
          <cell r="B392">
            <v>387</v>
          </cell>
          <cell r="N392" t="str"/>
        </row>
        <row r="393">
          <cell r="B393">
            <v>388</v>
          </cell>
          <cell r="N393" t="str"/>
        </row>
        <row r="394">
          <cell r="B394">
            <v>389</v>
          </cell>
          <cell r="N394" t="str"/>
        </row>
        <row r="395">
          <cell r="B395">
            <v>390</v>
          </cell>
          <cell r="N395" t="str"/>
        </row>
        <row r="396">
          <cell r="B396">
            <v>391</v>
          </cell>
          <cell r="N396" t="str"/>
        </row>
        <row r="397">
          <cell r="B397">
            <v>392</v>
          </cell>
          <cell r="N397" t="str"/>
        </row>
        <row r="398">
          <cell r="B398">
            <v>393</v>
          </cell>
          <cell r="N398" t="str"/>
        </row>
        <row r="399">
          <cell r="B399">
            <v>394</v>
          </cell>
          <cell r="N399" t="str"/>
        </row>
        <row r="400">
          <cell r="B400">
            <v>395</v>
          </cell>
          <cell r="N400" t="str"/>
        </row>
        <row r="401">
          <cell r="B401">
            <v>396</v>
          </cell>
          <cell r="N401" t="str"/>
        </row>
        <row r="402">
          <cell r="B402">
            <v>397</v>
          </cell>
          <cell r="N402" t="str"/>
        </row>
        <row r="403">
          <cell r="B403">
            <v>398</v>
          </cell>
          <cell r="N403" t="str"/>
        </row>
        <row r="404">
          <cell r="B404">
            <v>399</v>
          </cell>
          <cell r="N404" t="str"/>
        </row>
        <row r="405">
          <cell r="B405">
            <v>400</v>
          </cell>
          <cell r="N405" t="str"/>
        </row>
        <row r="406">
          <cell r="B406">
            <v>401</v>
          </cell>
          <cell r="N406" t="str"/>
        </row>
        <row r="407">
          <cell r="B407">
            <v>402</v>
          </cell>
          <cell r="N407" t="str"/>
        </row>
        <row r="408">
          <cell r="B408">
            <v>403</v>
          </cell>
          <cell r="N408" t="str"/>
        </row>
        <row r="409">
          <cell r="B409">
            <v>404</v>
          </cell>
          <cell r="N409" t="str"/>
        </row>
        <row r="410">
          <cell r="B410">
            <v>405</v>
          </cell>
          <cell r="N410" t="str"/>
        </row>
        <row r="411">
          <cell r="B411">
            <v>406</v>
          </cell>
          <cell r="N411" t="str"/>
        </row>
        <row r="412">
          <cell r="B412">
            <v>407</v>
          </cell>
          <cell r="N412" t="str"/>
        </row>
        <row r="413">
          <cell r="B413">
            <v>408</v>
          </cell>
          <cell r="N413" t="str"/>
        </row>
        <row r="414">
          <cell r="B414">
            <v>409</v>
          </cell>
          <cell r="N414" t="str"/>
        </row>
        <row r="415">
          <cell r="B415">
            <v>410</v>
          </cell>
          <cell r="N415" t="str"/>
        </row>
        <row r="416">
          <cell r="B416">
            <v>411</v>
          </cell>
          <cell r="N416" t="str"/>
        </row>
        <row r="417">
          <cell r="B417">
            <v>412</v>
          </cell>
          <cell r="N417" t="str"/>
        </row>
        <row r="418">
          <cell r="B418">
            <v>413</v>
          </cell>
          <cell r="N418" t="str"/>
        </row>
        <row r="419">
          <cell r="B419">
            <v>414</v>
          </cell>
          <cell r="N419" t="str"/>
        </row>
        <row r="420">
          <cell r="B420">
            <v>415</v>
          </cell>
          <cell r="N420" t="str"/>
        </row>
        <row r="421">
          <cell r="B421">
            <v>416</v>
          </cell>
          <cell r="N421" t="str"/>
        </row>
        <row r="422">
          <cell r="B422">
            <v>417</v>
          </cell>
          <cell r="N422" t="str"/>
        </row>
        <row r="423">
          <cell r="B423">
            <v>418</v>
          </cell>
          <cell r="N423" t="str"/>
        </row>
        <row r="424">
          <cell r="B424">
            <v>419</v>
          </cell>
          <cell r="N424" t="str"/>
        </row>
        <row r="425">
          <cell r="B425">
            <v>420</v>
          </cell>
          <cell r="N425" t="str"/>
        </row>
        <row r="426">
          <cell r="B426">
            <v>421</v>
          </cell>
          <cell r="N426" t="str"/>
        </row>
        <row r="427">
          <cell r="B427">
            <v>422</v>
          </cell>
          <cell r="N427" t="str"/>
        </row>
        <row r="428">
          <cell r="B428">
            <v>423</v>
          </cell>
          <cell r="N428" t="str"/>
        </row>
        <row r="429">
          <cell r="B429">
            <v>424</v>
          </cell>
          <cell r="N429" t="str"/>
        </row>
        <row r="430">
          <cell r="B430">
            <v>425</v>
          </cell>
          <cell r="N430" t="str"/>
        </row>
        <row r="431">
          <cell r="B431">
            <v>426</v>
          </cell>
          <cell r="N431" t="str"/>
        </row>
        <row r="432">
          <cell r="B432">
            <v>427</v>
          </cell>
          <cell r="N432" t="str"/>
        </row>
        <row r="433">
          <cell r="B433">
            <v>428</v>
          </cell>
          <cell r="N433" t="str"/>
        </row>
        <row r="434">
          <cell r="B434">
            <v>429</v>
          </cell>
          <cell r="N434" t="str"/>
        </row>
        <row r="435">
          <cell r="B435">
            <v>430</v>
          </cell>
          <cell r="N435" t="str"/>
        </row>
        <row r="436">
          <cell r="B436">
            <v>431</v>
          </cell>
          <cell r="N436" t="str"/>
        </row>
        <row r="437">
          <cell r="B437">
            <v>432</v>
          </cell>
          <cell r="N437" t="str"/>
        </row>
        <row r="438">
          <cell r="B438">
            <v>433</v>
          </cell>
          <cell r="N438" t="str"/>
        </row>
        <row r="439">
          <cell r="B439">
            <v>434</v>
          </cell>
          <cell r="N439" t="str"/>
        </row>
        <row r="440">
          <cell r="B440">
            <v>435</v>
          </cell>
          <cell r="N440" t="str"/>
        </row>
        <row r="441">
          <cell r="B441">
            <v>436</v>
          </cell>
          <cell r="N441" t="str"/>
        </row>
        <row r="442">
          <cell r="B442">
            <v>437</v>
          </cell>
          <cell r="N442" t="str"/>
        </row>
        <row r="443">
          <cell r="B443">
            <v>438</v>
          </cell>
          <cell r="N443" t="str"/>
        </row>
        <row r="444">
          <cell r="B444">
            <v>439</v>
          </cell>
          <cell r="N444" t="str"/>
        </row>
        <row r="445">
          <cell r="B445">
            <v>440</v>
          </cell>
          <cell r="N445" t="str"/>
        </row>
        <row r="446">
          <cell r="B446">
            <v>441</v>
          </cell>
          <cell r="N446" t="str"/>
        </row>
        <row r="447">
          <cell r="B447">
            <v>442</v>
          </cell>
          <cell r="N447" t="str"/>
        </row>
        <row r="448">
          <cell r="B448">
            <v>443</v>
          </cell>
          <cell r="N448" t="str"/>
        </row>
        <row r="449">
          <cell r="B449">
            <v>444</v>
          </cell>
          <cell r="N449" t="str"/>
        </row>
        <row r="450">
          <cell r="B450">
            <v>445</v>
          </cell>
          <cell r="N450" t="str"/>
        </row>
        <row r="451">
          <cell r="B451">
            <v>446</v>
          </cell>
          <cell r="N451" t="str"/>
        </row>
        <row r="452">
          <cell r="B452">
            <v>447</v>
          </cell>
          <cell r="N452" t="str"/>
        </row>
        <row r="453">
          <cell r="B453">
            <v>448</v>
          </cell>
          <cell r="N453" t="str"/>
        </row>
        <row r="454">
          <cell r="B454">
            <v>449</v>
          </cell>
          <cell r="N454" t="str"/>
        </row>
        <row r="455">
          <cell r="B455">
            <v>450</v>
          </cell>
          <cell r="N455" t="str"/>
        </row>
        <row r="456">
          <cell r="B456">
            <v>451</v>
          </cell>
          <cell r="N456" t="str"/>
        </row>
        <row r="457">
          <cell r="B457">
            <v>452</v>
          </cell>
          <cell r="N457" t="str"/>
        </row>
        <row r="458">
          <cell r="B458">
            <v>453</v>
          </cell>
          <cell r="N458" t="str"/>
        </row>
        <row r="459">
          <cell r="B459">
            <v>454</v>
          </cell>
          <cell r="N459" t="str"/>
        </row>
        <row r="460">
          <cell r="B460">
            <v>455</v>
          </cell>
          <cell r="N460" t="str"/>
        </row>
        <row r="461">
          <cell r="B461">
            <v>456</v>
          </cell>
          <cell r="N461" t="str"/>
        </row>
        <row r="462">
          <cell r="B462">
            <v>457</v>
          </cell>
          <cell r="N462" t="str"/>
        </row>
        <row r="463">
          <cell r="B463">
            <v>458</v>
          </cell>
          <cell r="N463" t="str"/>
        </row>
        <row r="464">
          <cell r="B464">
            <v>459</v>
          </cell>
          <cell r="N464" t="str"/>
        </row>
        <row r="465">
          <cell r="B465">
            <v>460</v>
          </cell>
          <cell r="N465" t="str"/>
        </row>
        <row r="466">
          <cell r="B466">
            <v>461</v>
          </cell>
          <cell r="N466" t="str"/>
        </row>
        <row r="467">
          <cell r="B467">
            <v>462</v>
          </cell>
          <cell r="N467" t="str"/>
        </row>
        <row r="468">
          <cell r="B468">
            <v>463</v>
          </cell>
          <cell r="N468" t="str"/>
        </row>
        <row r="469">
          <cell r="B469">
            <v>464</v>
          </cell>
          <cell r="N469" t="str"/>
        </row>
        <row r="470">
          <cell r="B470">
            <v>465</v>
          </cell>
          <cell r="N470" t="str"/>
        </row>
        <row r="471">
          <cell r="B471">
            <v>466</v>
          </cell>
          <cell r="N471" t="str"/>
        </row>
        <row r="472">
          <cell r="B472">
            <v>467</v>
          </cell>
          <cell r="N472" t="str"/>
        </row>
        <row r="473">
          <cell r="B473">
            <v>468</v>
          </cell>
          <cell r="N473" t="str"/>
        </row>
        <row r="474">
          <cell r="B474">
            <v>469</v>
          </cell>
          <cell r="N474" t="str"/>
        </row>
        <row r="475">
          <cell r="B475">
            <v>470</v>
          </cell>
          <cell r="N475" t="str"/>
        </row>
        <row r="476">
          <cell r="B476">
            <v>471</v>
          </cell>
          <cell r="N476" t="str"/>
        </row>
        <row r="477">
          <cell r="B477">
            <v>472</v>
          </cell>
          <cell r="N477" t="str"/>
        </row>
        <row r="478">
          <cell r="B478">
            <v>473</v>
          </cell>
          <cell r="N478" t="str"/>
        </row>
        <row r="479">
          <cell r="B479">
            <v>474</v>
          </cell>
          <cell r="N479" t="str"/>
        </row>
        <row r="480">
          <cell r="B480">
            <v>475</v>
          </cell>
          <cell r="N480" t="str"/>
        </row>
        <row r="481">
          <cell r="B481">
            <v>476</v>
          </cell>
          <cell r="N481" t="str"/>
        </row>
        <row r="482">
          <cell r="B482">
            <v>477</v>
          </cell>
          <cell r="N482" t="str"/>
        </row>
        <row r="483">
          <cell r="B483">
            <v>478</v>
          </cell>
          <cell r="N483" t="str"/>
        </row>
        <row r="484">
          <cell r="B484">
            <v>479</v>
          </cell>
          <cell r="N484" t="str"/>
        </row>
        <row r="485">
          <cell r="B485">
            <v>480</v>
          </cell>
          <cell r="N485" t="str"/>
        </row>
        <row r="486">
          <cell r="B486">
            <v>481</v>
          </cell>
          <cell r="N486" t="str"/>
        </row>
        <row r="487">
          <cell r="B487">
            <v>482</v>
          </cell>
          <cell r="N487" t="str"/>
        </row>
        <row r="488">
          <cell r="B488">
            <v>483</v>
          </cell>
          <cell r="N488" t="str"/>
        </row>
        <row r="489">
          <cell r="B489">
            <v>484</v>
          </cell>
          <cell r="N489" t="str"/>
        </row>
        <row r="490">
          <cell r="B490">
            <v>485</v>
          </cell>
          <cell r="N490" t="str"/>
        </row>
        <row r="491">
          <cell r="B491">
            <v>486</v>
          </cell>
          <cell r="N491" t="str"/>
        </row>
        <row r="492">
          <cell r="B492">
            <v>487</v>
          </cell>
          <cell r="N492" t="str"/>
        </row>
        <row r="493">
          <cell r="B493">
            <v>488</v>
          </cell>
          <cell r="N493" t="str"/>
        </row>
        <row r="494">
          <cell r="B494">
            <v>489</v>
          </cell>
          <cell r="N494" t="str"/>
        </row>
        <row r="495">
          <cell r="B495">
            <v>490</v>
          </cell>
          <cell r="N495" t="str"/>
        </row>
        <row r="496">
          <cell r="B496">
            <v>491</v>
          </cell>
          <cell r="N496" t="str"/>
        </row>
        <row r="497">
          <cell r="B497">
            <v>492</v>
          </cell>
          <cell r="N497" t="str"/>
        </row>
        <row r="498">
          <cell r="B498">
            <v>493</v>
          </cell>
          <cell r="N498" t="str"/>
        </row>
        <row r="499">
          <cell r="B499">
            <v>494</v>
          </cell>
          <cell r="N499" t="str"/>
        </row>
        <row r="500">
          <cell r="B500">
            <v>495</v>
          </cell>
          <cell r="N500" t="str"/>
        </row>
        <row r="501">
          <cell r="B501">
            <v>496</v>
          </cell>
          <cell r="N501" t="str"/>
        </row>
        <row r="502">
          <cell r="B502">
            <v>497</v>
          </cell>
          <cell r="N502" t="str"/>
        </row>
        <row r="503">
          <cell r="B503">
            <v>498</v>
          </cell>
          <cell r="N503" t="str"/>
        </row>
        <row r="504">
          <cell r="B504">
            <v>499</v>
          </cell>
          <cell r="N504" t="str"/>
        </row>
        <row r="505">
          <cell r="B505">
            <v>500</v>
          </cell>
          <cell r="N505" t="str"/>
        </row>
        <row r="506">
          <cell r="B506">
            <v>501</v>
          </cell>
          <cell r="N506" t="str"/>
        </row>
        <row r="507">
          <cell r="B507">
            <v>502</v>
          </cell>
          <cell r="N507" t="str"/>
        </row>
        <row r="508">
          <cell r="B508">
            <v>503</v>
          </cell>
          <cell r="N508" t="str"/>
        </row>
        <row r="509">
          <cell r="B509">
            <v>504</v>
          </cell>
          <cell r="N509" t="str"/>
        </row>
        <row r="510">
          <cell r="B510">
            <v>505</v>
          </cell>
          <cell r="N510" t="str"/>
        </row>
        <row r="511">
          <cell r="B511">
            <v>506</v>
          </cell>
          <cell r="N511" t="str"/>
        </row>
        <row r="512">
          <cell r="B512">
            <v>507</v>
          </cell>
          <cell r="N512" t="str"/>
        </row>
        <row r="513">
          <cell r="B513">
            <v>508</v>
          </cell>
          <cell r="N513" t="str"/>
        </row>
        <row r="514">
          <cell r="B514">
            <v>509</v>
          </cell>
          <cell r="N514" t="str"/>
        </row>
        <row r="515">
          <cell r="B515">
            <v>510</v>
          </cell>
          <cell r="N515" t="str"/>
        </row>
        <row r="516">
          <cell r="B516">
            <v>511</v>
          </cell>
          <cell r="N516" t="str"/>
        </row>
        <row r="517">
          <cell r="B517">
            <v>512</v>
          </cell>
          <cell r="N517" t="str"/>
        </row>
        <row r="518">
          <cell r="B518">
            <v>513</v>
          </cell>
          <cell r="N518" t="str"/>
        </row>
        <row r="519">
          <cell r="B519">
            <v>514</v>
          </cell>
          <cell r="N519" t="str"/>
        </row>
        <row r="520">
          <cell r="B520">
            <v>515</v>
          </cell>
          <cell r="N520" t="str"/>
        </row>
        <row r="521">
          <cell r="B521">
            <v>516</v>
          </cell>
          <cell r="N521" t="str"/>
        </row>
        <row r="522">
          <cell r="B522">
            <v>517</v>
          </cell>
          <cell r="N522" t="str"/>
        </row>
        <row r="523">
          <cell r="B523">
            <v>518</v>
          </cell>
          <cell r="N523" t="str"/>
        </row>
        <row r="524">
          <cell r="B524">
            <v>519</v>
          </cell>
          <cell r="N524" t="str"/>
        </row>
        <row r="525">
          <cell r="B525">
            <v>520</v>
          </cell>
          <cell r="N525" t="str"/>
        </row>
        <row r="526">
          <cell r="B526">
            <v>521</v>
          </cell>
          <cell r="N526" t="str"/>
        </row>
        <row r="527">
          <cell r="B527">
            <v>522</v>
          </cell>
          <cell r="N527" t="str"/>
        </row>
        <row r="528">
          <cell r="B528">
            <v>523</v>
          </cell>
          <cell r="N528" t="str"/>
        </row>
        <row r="529">
          <cell r="B529">
            <v>524</v>
          </cell>
          <cell r="N529" t="str"/>
        </row>
        <row r="530">
          <cell r="B530">
            <v>525</v>
          </cell>
          <cell r="N530" t="str"/>
        </row>
        <row r="531">
          <cell r="B531">
            <v>526</v>
          </cell>
          <cell r="N531" t="str"/>
        </row>
        <row r="532">
          <cell r="B532">
            <v>527</v>
          </cell>
          <cell r="N532" t="str"/>
        </row>
        <row r="533">
          <cell r="B533">
            <v>528</v>
          </cell>
          <cell r="N533" t="str"/>
        </row>
        <row r="534">
          <cell r="B534">
            <v>529</v>
          </cell>
          <cell r="N534" t="str"/>
        </row>
        <row r="535">
          <cell r="B535">
            <v>530</v>
          </cell>
          <cell r="N535" t="str"/>
        </row>
        <row r="536">
          <cell r="B536">
            <v>531</v>
          </cell>
          <cell r="N536" t="str"/>
        </row>
        <row r="537">
          <cell r="B537">
            <v>532</v>
          </cell>
          <cell r="N537" t="str"/>
        </row>
        <row r="538">
          <cell r="B538">
            <v>533</v>
          </cell>
          <cell r="N538" t="str"/>
        </row>
        <row r="539">
          <cell r="B539">
            <v>534</v>
          </cell>
          <cell r="N539" t="str"/>
        </row>
        <row r="540">
          <cell r="B540">
            <v>535</v>
          </cell>
          <cell r="N540" t="str"/>
        </row>
        <row r="541">
          <cell r="B541">
            <v>536</v>
          </cell>
          <cell r="N541" t="str"/>
        </row>
        <row r="542">
          <cell r="B542">
            <v>537</v>
          </cell>
          <cell r="N542" t="str"/>
        </row>
        <row r="543">
          <cell r="B543">
            <v>538</v>
          </cell>
          <cell r="N543" t="str"/>
        </row>
        <row r="544">
          <cell r="B544">
            <v>539</v>
          </cell>
          <cell r="N544" t="str"/>
        </row>
        <row r="545">
          <cell r="B545">
            <v>540</v>
          </cell>
          <cell r="N545" t="str"/>
        </row>
        <row r="546">
          <cell r="B546">
            <v>541</v>
          </cell>
          <cell r="N546" t="str"/>
        </row>
        <row r="547">
          <cell r="B547">
            <v>542</v>
          </cell>
          <cell r="N547" t="str"/>
        </row>
        <row r="548">
          <cell r="B548">
            <v>543</v>
          </cell>
          <cell r="N548" t="str"/>
        </row>
        <row r="549">
          <cell r="B549">
            <v>544</v>
          </cell>
          <cell r="N549" t="str"/>
        </row>
        <row r="550">
          <cell r="B550">
            <v>545</v>
          </cell>
          <cell r="N550" t="str"/>
        </row>
        <row r="551">
          <cell r="B551">
            <v>546</v>
          </cell>
          <cell r="N551" t="str"/>
        </row>
        <row r="552">
          <cell r="B552">
            <v>547</v>
          </cell>
          <cell r="N552" t="str"/>
        </row>
        <row r="553">
          <cell r="B553">
            <v>548</v>
          </cell>
          <cell r="N553" t="str"/>
        </row>
        <row r="554">
          <cell r="B554">
            <v>549</v>
          </cell>
          <cell r="N554" t="str"/>
        </row>
        <row r="555">
          <cell r="B555">
            <v>550</v>
          </cell>
          <cell r="N555" t="str"/>
        </row>
        <row r="556">
          <cell r="B556">
            <v>551</v>
          </cell>
          <cell r="N556" t="str"/>
        </row>
        <row r="557">
          <cell r="B557">
            <v>552</v>
          </cell>
          <cell r="N557" t="str"/>
        </row>
        <row r="558">
          <cell r="B558">
            <v>553</v>
          </cell>
          <cell r="N558" t="str"/>
        </row>
        <row r="559">
          <cell r="B559">
            <v>554</v>
          </cell>
          <cell r="N559" t="str"/>
        </row>
        <row r="560">
          <cell r="B560">
            <v>555</v>
          </cell>
          <cell r="N560" t="str"/>
        </row>
        <row r="561">
          <cell r="B561">
            <v>556</v>
          </cell>
          <cell r="N561" t="str"/>
        </row>
        <row r="562">
          <cell r="B562">
            <v>557</v>
          </cell>
          <cell r="N562" t="str"/>
        </row>
        <row r="563">
          <cell r="B563">
            <v>558</v>
          </cell>
          <cell r="N563" t="str"/>
        </row>
        <row r="564">
          <cell r="B564">
            <v>559</v>
          </cell>
          <cell r="N564" t="str"/>
        </row>
        <row r="565">
          <cell r="B565">
            <v>560</v>
          </cell>
          <cell r="N565" t="str"/>
        </row>
        <row r="566">
          <cell r="B566">
            <v>561</v>
          </cell>
          <cell r="N566" t="str"/>
        </row>
        <row r="567">
          <cell r="B567">
            <v>562</v>
          </cell>
          <cell r="N567" t="str"/>
        </row>
        <row r="568">
          <cell r="B568">
            <v>563</v>
          </cell>
          <cell r="N568" t="str"/>
        </row>
        <row r="569">
          <cell r="B569">
            <v>564</v>
          </cell>
          <cell r="N569" t="str"/>
        </row>
        <row r="570">
          <cell r="B570">
            <v>565</v>
          </cell>
          <cell r="N570" t="str"/>
        </row>
        <row r="571">
          <cell r="B571">
            <v>566</v>
          </cell>
          <cell r="N571" t="str"/>
        </row>
        <row r="572">
          <cell r="B572">
            <v>567</v>
          </cell>
          <cell r="N572" t="str"/>
        </row>
        <row r="573">
          <cell r="B573">
            <v>568</v>
          </cell>
          <cell r="N573" t="str"/>
        </row>
        <row r="574">
          <cell r="B574">
            <v>569</v>
          </cell>
          <cell r="N574" t="str"/>
        </row>
        <row r="575">
          <cell r="B575">
            <v>570</v>
          </cell>
          <cell r="N575" t="str"/>
        </row>
        <row r="576">
          <cell r="B576">
            <v>571</v>
          </cell>
          <cell r="N576" t="str"/>
        </row>
        <row r="577">
          <cell r="B577">
            <v>572</v>
          </cell>
          <cell r="N577" t="str"/>
        </row>
        <row r="578">
          <cell r="B578">
            <v>573</v>
          </cell>
          <cell r="N578" t="str"/>
        </row>
        <row r="579">
          <cell r="B579">
            <v>574</v>
          </cell>
          <cell r="N579" t="str"/>
        </row>
        <row r="580">
          <cell r="B580">
            <v>575</v>
          </cell>
          <cell r="N580" t="str"/>
        </row>
        <row r="581">
          <cell r="B581">
            <v>576</v>
          </cell>
          <cell r="N581" t="str"/>
        </row>
        <row r="582">
          <cell r="B582">
            <v>577</v>
          </cell>
          <cell r="N582" t="str"/>
        </row>
        <row r="583">
          <cell r="B583">
            <v>578</v>
          </cell>
          <cell r="N583" t="str"/>
        </row>
        <row r="584">
          <cell r="B584">
            <v>579</v>
          </cell>
          <cell r="N584" t="str"/>
        </row>
        <row r="585">
          <cell r="B585">
            <v>580</v>
          </cell>
          <cell r="N585" t="str"/>
        </row>
        <row r="586">
          <cell r="B586">
            <v>581</v>
          </cell>
          <cell r="N586" t="str"/>
        </row>
        <row r="587">
          <cell r="B587">
            <v>582</v>
          </cell>
          <cell r="N587" t="str"/>
        </row>
        <row r="588">
          <cell r="B588">
            <v>583</v>
          </cell>
          <cell r="N588" t="str"/>
        </row>
        <row r="589">
          <cell r="B589">
            <v>584</v>
          </cell>
          <cell r="N589" t="str"/>
        </row>
        <row r="590">
          <cell r="B590">
            <v>585</v>
          </cell>
          <cell r="N590" t="str"/>
        </row>
        <row r="591">
          <cell r="B591">
            <v>586</v>
          </cell>
          <cell r="N591" t="str"/>
        </row>
        <row r="592">
          <cell r="B592">
            <v>587</v>
          </cell>
          <cell r="N592" t="str"/>
        </row>
        <row r="593">
          <cell r="B593">
            <v>588</v>
          </cell>
          <cell r="N593" t="str"/>
        </row>
        <row r="594">
          <cell r="B594">
            <v>589</v>
          </cell>
          <cell r="N594" t="str"/>
        </row>
        <row r="595">
          <cell r="B595">
            <v>590</v>
          </cell>
          <cell r="N595" t="str"/>
        </row>
        <row r="596">
          <cell r="B596">
            <v>591</v>
          </cell>
          <cell r="N596" t="str"/>
        </row>
        <row r="597">
          <cell r="B597">
            <v>592</v>
          </cell>
          <cell r="N597" t="str"/>
        </row>
        <row r="598">
          <cell r="B598">
            <v>593</v>
          </cell>
          <cell r="N598" t="str"/>
        </row>
        <row r="599">
          <cell r="B599">
            <v>594</v>
          </cell>
          <cell r="N599" t="str"/>
        </row>
        <row r="600">
          <cell r="B600">
            <v>595</v>
          </cell>
          <cell r="N600" t="str"/>
        </row>
        <row r="601">
          <cell r="B601">
            <v>596</v>
          </cell>
          <cell r="N601" t="str"/>
        </row>
        <row r="602">
          <cell r="B602">
            <v>597</v>
          </cell>
          <cell r="N602" t="str"/>
        </row>
        <row r="603">
          <cell r="B603">
            <v>598</v>
          </cell>
          <cell r="N603" t="str"/>
        </row>
        <row r="604">
          <cell r="B604">
            <v>599</v>
          </cell>
          <cell r="N604" t="str"/>
        </row>
        <row r="605">
          <cell r="B605">
            <v>600</v>
          </cell>
          <cell r="N605" t="str"/>
        </row>
        <row r="606">
          <cell r="B606">
            <v>601</v>
          </cell>
          <cell r="N606" t="str"/>
        </row>
        <row r="607">
          <cell r="B607">
            <v>602</v>
          </cell>
          <cell r="N607" t="str"/>
        </row>
        <row r="608">
          <cell r="B608">
            <v>603</v>
          </cell>
          <cell r="N608" t="str"/>
        </row>
        <row r="609">
          <cell r="B609">
            <v>604</v>
          </cell>
          <cell r="N609" t="str"/>
        </row>
        <row r="610">
          <cell r="B610">
            <v>605</v>
          </cell>
          <cell r="N610" t="str"/>
        </row>
        <row r="611">
          <cell r="B611">
            <v>606</v>
          </cell>
          <cell r="N611" t="str"/>
        </row>
        <row r="612">
          <cell r="B612">
            <v>607</v>
          </cell>
          <cell r="N612" t="str"/>
        </row>
        <row r="613">
          <cell r="B613">
            <v>608</v>
          </cell>
          <cell r="N613" t="str"/>
        </row>
        <row r="614">
          <cell r="B614">
            <v>609</v>
          </cell>
          <cell r="N614" t="str"/>
        </row>
        <row r="615">
          <cell r="B615">
            <v>610</v>
          </cell>
          <cell r="N615" t="str"/>
        </row>
        <row r="616">
          <cell r="B616">
            <v>611</v>
          </cell>
          <cell r="N616" t="str"/>
        </row>
        <row r="617">
          <cell r="B617">
            <v>612</v>
          </cell>
          <cell r="N617" t="str"/>
        </row>
        <row r="618">
          <cell r="B618">
            <v>613</v>
          </cell>
          <cell r="N618" t="str"/>
        </row>
        <row r="619">
          <cell r="B619">
            <v>614</v>
          </cell>
          <cell r="N619" t="str"/>
        </row>
        <row r="620">
          <cell r="B620">
            <v>615</v>
          </cell>
          <cell r="N620" t="str"/>
        </row>
        <row r="621">
          <cell r="B621">
            <v>616</v>
          </cell>
          <cell r="N621" t="str"/>
        </row>
        <row r="622">
          <cell r="B622">
            <v>617</v>
          </cell>
          <cell r="N622" t="str"/>
        </row>
        <row r="623">
          <cell r="B623">
            <v>618</v>
          </cell>
          <cell r="N623" t="str"/>
        </row>
        <row r="624">
          <cell r="B624">
            <v>619</v>
          </cell>
          <cell r="N624" t="str"/>
        </row>
        <row r="625">
          <cell r="B625">
            <v>620</v>
          </cell>
          <cell r="N625" t="str"/>
        </row>
        <row r="626">
          <cell r="B626">
            <v>621</v>
          </cell>
          <cell r="N626" t="str"/>
        </row>
        <row r="627">
          <cell r="B627">
            <v>622</v>
          </cell>
          <cell r="N627" t="str"/>
        </row>
        <row r="628">
          <cell r="B628">
            <v>623</v>
          </cell>
          <cell r="N628" t="str"/>
        </row>
        <row r="629">
          <cell r="B629">
            <v>624</v>
          </cell>
          <cell r="N629" t="str"/>
        </row>
        <row r="630">
          <cell r="B630">
            <v>625</v>
          </cell>
          <cell r="N630" t="str"/>
        </row>
        <row r="631">
          <cell r="B631">
            <v>626</v>
          </cell>
          <cell r="N631" t="str"/>
        </row>
        <row r="632">
          <cell r="B632">
            <v>627</v>
          </cell>
          <cell r="N632" t="str"/>
        </row>
        <row r="633">
          <cell r="B633">
            <v>628</v>
          </cell>
          <cell r="N633" t="str"/>
        </row>
        <row r="634">
          <cell r="B634">
            <v>629</v>
          </cell>
          <cell r="N634" t="str"/>
        </row>
        <row r="635">
          <cell r="B635">
            <v>630</v>
          </cell>
          <cell r="N635" t="str"/>
        </row>
        <row r="636">
          <cell r="B636">
            <v>631</v>
          </cell>
          <cell r="N636" t="str"/>
        </row>
        <row r="637">
          <cell r="B637">
            <v>632</v>
          </cell>
          <cell r="N637" t="str"/>
        </row>
        <row r="638">
          <cell r="B638">
            <v>633</v>
          </cell>
          <cell r="N638" t="str"/>
        </row>
        <row r="639">
          <cell r="B639">
            <v>634</v>
          </cell>
          <cell r="N639" t="str"/>
        </row>
        <row r="640">
          <cell r="B640">
            <v>635</v>
          </cell>
          <cell r="N640" t="str"/>
        </row>
        <row r="641">
          <cell r="B641">
            <v>636</v>
          </cell>
          <cell r="N641" t="str"/>
        </row>
        <row r="642">
          <cell r="B642">
            <v>637</v>
          </cell>
          <cell r="N642" t="str"/>
        </row>
        <row r="643">
          <cell r="B643">
            <v>638</v>
          </cell>
          <cell r="N643" t="str"/>
        </row>
        <row r="644">
          <cell r="B644">
            <v>639</v>
          </cell>
          <cell r="N644" t="str"/>
        </row>
        <row r="645">
          <cell r="B645">
            <v>640</v>
          </cell>
          <cell r="N645" t="str"/>
        </row>
        <row r="646">
          <cell r="B646">
            <v>641</v>
          </cell>
          <cell r="N646" t="str"/>
        </row>
        <row r="647">
          <cell r="B647">
            <v>642</v>
          </cell>
          <cell r="N647" t="str"/>
        </row>
        <row r="648">
          <cell r="B648">
            <v>643</v>
          </cell>
          <cell r="N648" t="str"/>
        </row>
        <row r="649">
          <cell r="B649">
            <v>644</v>
          </cell>
          <cell r="N649" t="str"/>
        </row>
        <row r="650">
          <cell r="B650">
            <v>645</v>
          </cell>
          <cell r="N650" t="str"/>
        </row>
        <row r="651">
          <cell r="B651">
            <v>646</v>
          </cell>
          <cell r="N651" t="str"/>
        </row>
        <row r="652">
          <cell r="B652">
            <v>647</v>
          </cell>
          <cell r="N652" t="str"/>
        </row>
        <row r="653">
          <cell r="B653">
            <v>648</v>
          </cell>
          <cell r="N653" t="str"/>
        </row>
        <row r="654">
          <cell r="B654">
            <v>649</v>
          </cell>
          <cell r="N654" t="str"/>
        </row>
        <row r="655">
          <cell r="B655">
            <v>650</v>
          </cell>
          <cell r="N655" t="str"/>
        </row>
        <row r="656">
          <cell r="B656">
            <v>651</v>
          </cell>
          <cell r="N656" t="str"/>
        </row>
        <row r="657">
          <cell r="B657">
            <v>652</v>
          </cell>
          <cell r="N657" t="str"/>
        </row>
        <row r="658">
          <cell r="B658">
            <v>653</v>
          </cell>
          <cell r="N658" t="str"/>
        </row>
        <row r="659">
          <cell r="B659">
            <v>654</v>
          </cell>
          <cell r="N659" t="str"/>
        </row>
        <row r="660">
          <cell r="B660">
            <v>655</v>
          </cell>
          <cell r="N660" t="str"/>
        </row>
        <row r="661">
          <cell r="B661">
            <v>656</v>
          </cell>
          <cell r="N661" t="str"/>
        </row>
        <row r="662">
          <cell r="B662">
            <v>657</v>
          </cell>
          <cell r="N662" t="str"/>
        </row>
        <row r="663">
          <cell r="B663">
            <v>658</v>
          </cell>
          <cell r="N663" t="str"/>
        </row>
        <row r="664">
          <cell r="B664">
            <v>659</v>
          </cell>
          <cell r="N664" t="str"/>
        </row>
        <row r="665">
          <cell r="B665">
            <v>660</v>
          </cell>
          <cell r="N665" t="str"/>
        </row>
        <row r="666">
          <cell r="B666">
            <v>661</v>
          </cell>
          <cell r="N666" t="str"/>
        </row>
        <row r="667">
          <cell r="B667">
            <v>662</v>
          </cell>
          <cell r="N667" t="str"/>
        </row>
        <row r="668">
          <cell r="B668">
            <v>663</v>
          </cell>
          <cell r="N668" t="str"/>
        </row>
        <row r="669">
          <cell r="B669">
            <v>664</v>
          </cell>
          <cell r="N669" t="str"/>
        </row>
        <row r="670">
          <cell r="B670">
            <v>665</v>
          </cell>
          <cell r="N670" t="str"/>
        </row>
        <row r="671">
          <cell r="B671">
            <v>666</v>
          </cell>
          <cell r="N671" t="str"/>
        </row>
        <row r="672">
          <cell r="B672">
            <v>667</v>
          </cell>
          <cell r="N672" t="str"/>
        </row>
        <row r="673">
          <cell r="B673">
            <v>668</v>
          </cell>
          <cell r="N673" t="str"/>
        </row>
        <row r="674">
          <cell r="B674">
            <v>669</v>
          </cell>
          <cell r="N674" t="str"/>
        </row>
        <row r="675">
          <cell r="B675">
            <v>670</v>
          </cell>
          <cell r="N675" t="str"/>
        </row>
        <row r="676">
          <cell r="B676">
            <v>671</v>
          </cell>
          <cell r="N676" t="str"/>
        </row>
        <row r="677">
          <cell r="B677">
            <v>672</v>
          </cell>
          <cell r="N677" t="str"/>
        </row>
        <row r="678">
          <cell r="B678">
            <v>673</v>
          </cell>
          <cell r="N678" t="str"/>
        </row>
        <row r="679">
          <cell r="B679">
            <v>674</v>
          </cell>
          <cell r="N679" t="str"/>
        </row>
        <row r="680">
          <cell r="B680">
            <v>675</v>
          </cell>
          <cell r="N680" t="str"/>
        </row>
        <row r="681">
          <cell r="B681">
            <v>676</v>
          </cell>
          <cell r="N681" t="str"/>
        </row>
        <row r="682">
          <cell r="B682">
            <v>677</v>
          </cell>
          <cell r="N682" t="str"/>
        </row>
        <row r="683">
          <cell r="B683">
            <v>678</v>
          </cell>
          <cell r="N683" t="str"/>
        </row>
        <row r="684">
          <cell r="B684">
            <v>679</v>
          </cell>
          <cell r="N684" t="str"/>
        </row>
        <row r="685">
          <cell r="B685">
            <v>680</v>
          </cell>
          <cell r="N685" t="str"/>
        </row>
        <row r="686">
          <cell r="B686">
            <v>681</v>
          </cell>
          <cell r="N686" t="str"/>
        </row>
        <row r="687">
          <cell r="B687">
            <v>682</v>
          </cell>
          <cell r="N687" t="str"/>
        </row>
        <row r="688">
          <cell r="B688">
            <v>683</v>
          </cell>
          <cell r="N688" t="str"/>
        </row>
        <row r="689">
          <cell r="B689">
            <v>684</v>
          </cell>
          <cell r="N689" t="str"/>
        </row>
        <row r="690">
          <cell r="B690">
            <v>685</v>
          </cell>
          <cell r="N690" t="str"/>
        </row>
        <row r="691">
          <cell r="B691">
            <v>686</v>
          </cell>
          <cell r="N691" t="str"/>
        </row>
        <row r="692">
          <cell r="B692">
            <v>687</v>
          </cell>
          <cell r="N692" t="str"/>
        </row>
        <row r="693">
          <cell r="B693">
            <v>688</v>
          </cell>
          <cell r="N693" t="str"/>
        </row>
        <row r="694">
          <cell r="B694">
            <v>689</v>
          </cell>
          <cell r="N694" t="str"/>
        </row>
        <row r="695">
          <cell r="B695">
            <v>690</v>
          </cell>
          <cell r="N695" t="str"/>
        </row>
        <row r="696">
          <cell r="B696">
            <v>691</v>
          </cell>
          <cell r="N696" t="str"/>
        </row>
        <row r="697">
          <cell r="B697">
            <v>692</v>
          </cell>
          <cell r="N697" t="str"/>
        </row>
        <row r="698">
          <cell r="B698">
            <v>693</v>
          </cell>
          <cell r="N698" t="str"/>
        </row>
        <row r="699">
          <cell r="B699">
            <v>694</v>
          </cell>
          <cell r="N699" t="str"/>
        </row>
        <row r="700">
          <cell r="B700">
            <v>695</v>
          </cell>
          <cell r="N700" t="str"/>
        </row>
        <row r="701">
          <cell r="B701">
            <v>696</v>
          </cell>
          <cell r="N701" t="str"/>
        </row>
        <row r="702">
          <cell r="B702">
            <v>697</v>
          </cell>
          <cell r="N702" t="str"/>
        </row>
        <row r="703">
          <cell r="B703">
            <v>698</v>
          </cell>
          <cell r="N703" t="str"/>
        </row>
        <row r="704">
          <cell r="B704">
            <v>699</v>
          </cell>
          <cell r="N704" t="str"/>
        </row>
        <row r="705">
          <cell r="B705">
            <v>700</v>
          </cell>
          <cell r="N705" t="str"/>
        </row>
        <row r="706">
          <cell r="B706">
            <v>701</v>
          </cell>
          <cell r="N706" t="str"/>
        </row>
        <row r="707">
          <cell r="B707">
            <v>702</v>
          </cell>
          <cell r="N707" t="str"/>
        </row>
        <row r="708">
          <cell r="B708">
            <v>703</v>
          </cell>
          <cell r="N708" t="str"/>
        </row>
        <row r="709">
          <cell r="B709">
            <v>704</v>
          </cell>
          <cell r="N709" t="str"/>
        </row>
        <row r="710">
          <cell r="B710">
            <v>705</v>
          </cell>
          <cell r="N710" t="str"/>
        </row>
        <row r="711">
          <cell r="B711">
            <v>706</v>
          </cell>
          <cell r="N711" t="str"/>
        </row>
        <row r="712">
          <cell r="B712">
            <v>707</v>
          </cell>
          <cell r="N712" t="str"/>
        </row>
        <row r="713">
          <cell r="B713">
            <v>708</v>
          </cell>
          <cell r="N713" t="str"/>
        </row>
        <row r="714">
          <cell r="B714">
            <v>709</v>
          </cell>
          <cell r="N714" t="str"/>
        </row>
        <row r="715">
          <cell r="B715">
            <v>710</v>
          </cell>
          <cell r="N715" t="str"/>
        </row>
        <row r="716">
          <cell r="B716">
            <v>711</v>
          </cell>
          <cell r="N716" t="str"/>
        </row>
        <row r="717">
          <cell r="B717">
            <v>712</v>
          </cell>
          <cell r="N717" t="str"/>
        </row>
        <row r="718">
          <cell r="B718">
            <v>713</v>
          </cell>
          <cell r="N718" t="str"/>
        </row>
        <row r="719">
          <cell r="B719">
            <v>714</v>
          </cell>
          <cell r="N719" t="str"/>
        </row>
        <row r="720">
          <cell r="B720">
            <v>715</v>
          </cell>
          <cell r="N720" t="str"/>
        </row>
        <row r="721">
          <cell r="B721">
            <v>716</v>
          </cell>
          <cell r="N721" t="str"/>
        </row>
        <row r="722">
          <cell r="B722">
            <v>717</v>
          </cell>
          <cell r="N722" t="str"/>
        </row>
        <row r="723">
          <cell r="B723">
            <v>718</v>
          </cell>
          <cell r="N723" t="str"/>
        </row>
        <row r="724">
          <cell r="B724">
            <v>719</v>
          </cell>
          <cell r="N724" t="str"/>
        </row>
        <row r="725">
          <cell r="B725">
            <v>720</v>
          </cell>
          <cell r="N725" t="str"/>
        </row>
        <row r="726">
          <cell r="B726">
            <v>721</v>
          </cell>
          <cell r="N726" t="str"/>
        </row>
        <row r="727">
          <cell r="B727">
            <v>722</v>
          </cell>
          <cell r="N727" t="str"/>
        </row>
        <row r="728">
          <cell r="B728">
            <v>723</v>
          </cell>
          <cell r="N728" t="str"/>
        </row>
        <row r="729">
          <cell r="B729">
            <v>724</v>
          </cell>
          <cell r="N729" t="str"/>
        </row>
        <row r="730">
          <cell r="B730">
            <v>725</v>
          </cell>
          <cell r="N730" t="str"/>
        </row>
        <row r="731">
          <cell r="B731">
            <v>726</v>
          </cell>
          <cell r="N731" t="str"/>
        </row>
        <row r="732">
          <cell r="B732">
            <v>727</v>
          </cell>
          <cell r="N732" t="str"/>
        </row>
        <row r="733">
          <cell r="B733">
            <v>728</v>
          </cell>
          <cell r="N733" t="str"/>
        </row>
        <row r="734">
          <cell r="B734">
            <v>729</v>
          </cell>
          <cell r="N734" t="str"/>
        </row>
        <row r="735">
          <cell r="B735">
            <v>730</v>
          </cell>
          <cell r="N735" t="str"/>
        </row>
        <row r="736">
          <cell r="B736">
            <v>731</v>
          </cell>
          <cell r="N736" t="str"/>
        </row>
        <row r="737">
          <cell r="B737">
            <v>732</v>
          </cell>
          <cell r="N737" t="str"/>
        </row>
        <row r="738">
          <cell r="B738">
            <v>733</v>
          </cell>
          <cell r="N738" t="str"/>
        </row>
        <row r="739">
          <cell r="B739">
            <v>734</v>
          </cell>
          <cell r="N739" t="str"/>
        </row>
        <row r="740">
          <cell r="B740">
            <v>735</v>
          </cell>
          <cell r="N740" t="str"/>
        </row>
        <row r="741">
          <cell r="B741">
            <v>736</v>
          </cell>
          <cell r="N741" t="str"/>
        </row>
        <row r="742">
          <cell r="B742">
            <v>737</v>
          </cell>
          <cell r="N742" t="str"/>
        </row>
        <row r="743">
          <cell r="B743">
            <v>738</v>
          </cell>
          <cell r="N743" t="str"/>
        </row>
        <row r="744">
          <cell r="B744">
            <v>739</v>
          </cell>
          <cell r="N744" t="str"/>
        </row>
        <row r="745">
          <cell r="B745">
            <v>740</v>
          </cell>
          <cell r="N745" t="str"/>
        </row>
        <row r="746">
          <cell r="B746">
            <v>741</v>
          </cell>
          <cell r="N746" t="str"/>
        </row>
        <row r="747">
          <cell r="B747">
            <v>742</v>
          </cell>
          <cell r="N747" t="str"/>
        </row>
        <row r="748">
          <cell r="B748">
            <v>743</v>
          </cell>
          <cell r="N748" t="str"/>
        </row>
        <row r="749">
          <cell r="B749">
            <v>744</v>
          </cell>
          <cell r="N749" t="str"/>
        </row>
        <row r="750">
          <cell r="B750">
            <v>745</v>
          </cell>
          <cell r="N750" t="str"/>
        </row>
        <row r="751">
          <cell r="B751">
            <v>746</v>
          </cell>
          <cell r="N751" t="str"/>
        </row>
        <row r="752">
          <cell r="B752">
            <v>747</v>
          </cell>
          <cell r="N752" t="str"/>
        </row>
        <row r="753">
          <cell r="B753">
            <v>748</v>
          </cell>
          <cell r="N753" t="str"/>
        </row>
        <row r="754">
          <cell r="B754">
            <v>749</v>
          </cell>
          <cell r="N754" t="str"/>
        </row>
        <row r="755">
          <cell r="B755">
            <v>750</v>
          </cell>
          <cell r="N755" t="str"/>
        </row>
        <row r="756">
          <cell r="B756">
            <v>751</v>
          </cell>
          <cell r="N756" t="str"/>
        </row>
        <row r="757">
          <cell r="B757">
            <v>752</v>
          </cell>
          <cell r="N757" t="str"/>
        </row>
        <row r="758">
          <cell r="B758">
            <v>753</v>
          </cell>
          <cell r="N758" t="str"/>
        </row>
        <row r="759">
          <cell r="B759">
            <v>754</v>
          </cell>
          <cell r="N759" t="str"/>
        </row>
        <row r="760">
          <cell r="B760">
            <v>755</v>
          </cell>
          <cell r="N760" t="str"/>
        </row>
        <row r="761">
          <cell r="B761">
            <v>756</v>
          </cell>
          <cell r="N761" t="str"/>
        </row>
        <row r="762">
          <cell r="B762">
            <v>757</v>
          </cell>
          <cell r="N762" t="str"/>
        </row>
        <row r="763">
          <cell r="B763">
            <v>758</v>
          </cell>
          <cell r="N763" t="str"/>
        </row>
        <row r="764">
          <cell r="B764">
            <v>759</v>
          </cell>
          <cell r="N764" t="str"/>
        </row>
        <row r="765">
          <cell r="B765">
            <v>760</v>
          </cell>
          <cell r="N765" t="str"/>
        </row>
        <row r="766">
          <cell r="B766">
            <v>761</v>
          </cell>
          <cell r="N766" t="str"/>
        </row>
        <row r="767">
          <cell r="B767">
            <v>762</v>
          </cell>
          <cell r="N767" t="str"/>
        </row>
        <row r="768">
          <cell r="B768">
            <v>763</v>
          </cell>
          <cell r="N768" t="str"/>
        </row>
        <row r="769">
          <cell r="B769">
            <v>764</v>
          </cell>
          <cell r="N769" t="str"/>
        </row>
        <row r="770">
          <cell r="B770">
            <v>765</v>
          </cell>
          <cell r="N770" t="str"/>
        </row>
        <row r="771">
          <cell r="B771">
            <v>766</v>
          </cell>
          <cell r="N771" t="str"/>
        </row>
        <row r="772">
          <cell r="B772">
            <v>767</v>
          </cell>
          <cell r="N772" t="str"/>
        </row>
        <row r="773">
          <cell r="B773">
            <v>768</v>
          </cell>
          <cell r="N773" t="str"/>
        </row>
        <row r="774">
          <cell r="B774">
            <v>769</v>
          </cell>
          <cell r="N774" t="str"/>
        </row>
        <row r="775">
          <cell r="B775">
            <v>770</v>
          </cell>
          <cell r="N775" t="str"/>
        </row>
        <row r="776">
          <cell r="B776">
            <v>771</v>
          </cell>
          <cell r="N776" t="str"/>
        </row>
        <row r="777">
          <cell r="B777">
            <v>772</v>
          </cell>
          <cell r="N777" t="str"/>
        </row>
        <row r="778">
          <cell r="B778">
            <v>773</v>
          </cell>
          <cell r="N778" t="str"/>
        </row>
        <row r="779">
          <cell r="B779">
            <v>774</v>
          </cell>
          <cell r="N779" t="str"/>
        </row>
        <row r="780">
          <cell r="B780">
            <v>775</v>
          </cell>
          <cell r="N780" t="str"/>
        </row>
        <row r="781">
          <cell r="B781">
            <v>776</v>
          </cell>
          <cell r="N781" t="str"/>
        </row>
        <row r="782">
          <cell r="B782">
            <v>777</v>
          </cell>
          <cell r="N782" t="str"/>
        </row>
        <row r="783">
          <cell r="B783">
            <v>778</v>
          </cell>
          <cell r="N783" t="str"/>
        </row>
        <row r="784">
          <cell r="B784">
            <v>779</v>
          </cell>
          <cell r="N784" t="str"/>
        </row>
        <row r="785">
          <cell r="B785">
            <v>780</v>
          </cell>
          <cell r="N785" t="str"/>
        </row>
        <row r="786">
          <cell r="B786">
            <v>781</v>
          </cell>
          <cell r="N786" t="str"/>
        </row>
        <row r="787">
          <cell r="B787">
            <v>782</v>
          </cell>
          <cell r="N787" t="str"/>
        </row>
        <row r="788">
          <cell r="B788">
            <v>783</v>
          </cell>
          <cell r="N788" t="str"/>
        </row>
        <row r="789">
          <cell r="B789">
            <v>784</v>
          </cell>
          <cell r="N789" t="str"/>
        </row>
        <row r="790">
          <cell r="B790">
            <v>785</v>
          </cell>
          <cell r="N790" t="str"/>
        </row>
        <row r="791">
          <cell r="B791">
            <v>786</v>
          </cell>
          <cell r="N791" t="str"/>
        </row>
        <row r="792">
          <cell r="B792">
            <v>787</v>
          </cell>
          <cell r="N792" t="str"/>
        </row>
        <row r="793">
          <cell r="B793">
            <v>788</v>
          </cell>
          <cell r="N793" t="str"/>
        </row>
        <row r="794">
          <cell r="B794">
            <v>789</v>
          </cell>
          <cell r="N794" t="str"/>
        </row>
        <row r="795">
          <cell r="B795">
            <v>790</v>
          </cell>
          <cell r="N795" t="str"/>
        </row>
        <row r="796">
          <cell r="B796">
            <v>791</v>
          </cell>
          <cell r="N796" t="str"/>
        </row>
        <row r="797">
          <cell r="B797">
            <v>792</v>
          </cell>
          <cell r="N797" t="str"/>
        </row>
        <row r="798">
          <cell r="B798">
            <v>793</v>
          </cell>
          <cell r="N798" t="str"/>
        </row>
        <row r="799">
          <cell r="B799">
            <v>794</v>
          </cell>
          <cell r="N799" t="str"/>
        </row>
        <row r="800">
          <cell r="B800">
            <v>795</v>
          </cell>
          <cell r="N800" t="str"/>
        </row>
        <row r="801">
          <cell r="B801">
            <v>796</v>
          </cell>
          <cell r="N801" t="str"/>
        </row>
        <row r="802">
          <cell r="B802">
            <v>797</v>
          </cell>
          <cell r="N802" t="str"/>
        </row>
        <row r="803">
          <cell r="B803">
            <v>798</v>
          </cell>
          <cell r="N803" t="str"/>
        </row>
        <row r="804">
          <cell r="B804">
            <v>799</v>
          </cell>
          <cell r="N804" t="str"/>
        </row>
        <row r="805">
          <cell r="B805">
            <v>800</v>
          </cell>
          <cell r="N805" t="str"/>
        </row>
        <row r="806">
          <cell r="B806">
            <v>801</v>
          </cell>
          <cell r="N806" t="str"/>
        </row>
        <row r="807">
          <cell r="B807">
            <v>802</v>
          </cell>
          <cell r="N807" t="str"/>
        </row>
        <row r="808">
          <cell r="B808">
            <v>803</v>
          </cell>
          <cell r="N808" t="str"/>
        </row>
        <row r="809">
          <cell r="B809">
            <v>804</v>
          </cell>
          <cell r="N809" t="str"/>
        </row>
        <row r="810">
          <cell r="B810">
            <v>805</v>
          </cell>
          <cell r="N810" t="str"/>
        </row>
        <row r="811">
          <cell r="B811">
            <v>806</v>
          </cell>
          <cell r="N811" t="str"/>
        </row>
        <row r="812">
          <cell r="B812">
            <v>807</v>
          </cell>
          <cell r="N812" t="str"/>
        </row>
        <row r="813">
          <cell r="B813">
            <v>808</v>
          </cell>
          <cell r="N813" t="str"/>
        </row>
        <row r="814">
          <cell r="B814">
            <v>809</v>
          </cell>
          <cell r="N814" t="str"/>
        </row>
        <row r="815">
          <cell r="B815">
            <v>810</v>
          </cell>
          <cell r="N815" t="str"/>
        </row>
        <row r="816">
          <cell r="B816">
            <v>811</v>
          </cell>
          <cell r="N816" t="str"/>
        </row>
        <row r="817">
          <cell r="B817">
            <v>812</v>
          </cell>
          <cell r="N817" t="str"/>
        </row>
        <row r="818">
          <cell r="B818">
            <v>813</v>
          </cell>
          <cell r="N818" t="str"/>
        </row>
        <row r="819">
          <cell r="B819">
            <v>814</v>
          </cell>
          <cell r="N819" t="str"/>
        </row>
        <row r="820">
          <cell r="B820">
            <v>815</v>
          </cell>
          <cell r="N820" t="str"/>
        </row>
        <row r="821">
          <cell r="B821">
            <v>816</v>
          </cell>
          <cell r="N821" t="str"/>
        </row>
        <row r="822">
          <cell r="B822">
            <v>817</v>
          </cell>
          <cell r="N822" t="str"/>
        </row>
        <row r="823">
          <cell r="B823">
            <v>818</v>
          </cell>
          <cell r="N823" t="str"/>
        </row>
        <row r="824">
          <cell r="B824">
            <v>819</v>
          </cell>
          <cell r="N824" t="str"/>
        </row>
        <row r="825">
          <cell r="B825">
            <v>820</v>
          </cell>
          <cell r="N825" t="str"/>
        </row>
        <row r="826">
          <cell r="B826">
            <v>821</v>
          </cell>
          <cell r="N826" t="str"/>
        </row>
        <row r="827">
          <cell r="B827">
            <v>822</v>
          </cell>
          <cell r="N827" t="str"/>
        </row>
        <row r="828">
          <cell r="B828">
            <v>823</v>
          </cell>
          <cell r="N828" t="str"/>
        </row>
        <row r="829">
          <cell r="B829">
            <v>824</v>
          </cell>
          <cell r="N829" t="str"/>
        </row>
        <row r="830">
          <cell r="B830">
            <v>825</v>
          </cell>
          <cell r="N830" t="str"/>
        </row>
        <row r="831">
          <cell r="B831">
            <v>826</v>
          </cell>
          <cell r="N831" t="str"/>
        </row>
        <row r="832">
          <cell r="B832">
            <v>827</v>
          </cell>
          <cell r="N832" t="str"/>
        </row>
        <row r="833">
          <cell r="B833">
            <v>828</v>
          </cell>
          <cell r="N833" t="str"/>
        </row>
        <row r="834">
          <cell r="B834">
            <v>829</v>
          </cell>
          <cell r="N834" t="str"/>
        </row>
        <row r="835">
          <cell r="B835">
            <v>830</v>
          </cell>
          <cell r="N835" t="str"/>
        </row>
        <row r="836">
          <cell r="B836">
            <v>831</v>
          </cell>
          <cell r="N836" t="str"/>
        </row>
        <row r="837">
          <cell r="B837">
            <v>832</v>
          </cell>
          <cell r="N837" t="str"/>
        </row>
        <row r="838">
          <cell r="B838">
            <v>833</v>
          </cell>
          <cell r="N838" t="str"/>
        </row>
        <row r="839">
          <cell r="B839">
            <v>834</v>
          </cell>
          <cell r="N839" t="str"/>
        </row>
        <row r="840">
          <cell r="B840">
            <v>835</v>
          </cell>
          <cell r="N840" t="str"/>
        </row>
        <row r="841">
          <cell r="B841">
            <v>836</v>
          </cell>
          <cell r="N841" t="str"/>
        </row>
        <row r="842">
          <cell r="B842">
            <v>837</v>
          </cell>
          <cell r="N842" t="str"/>
        </row>
        <row r="843">
          <cell r="B843">
            <v>838</v>
          </cell>
          <cell r="N843" t="str"/>
        </row>
        <row r="844">
          <cell r="B844">
            <v>839</v>
          </cell>
          <cell r="N844" t="str"/>
        </row>
        <row r="845">
          <cell r="B845">
            <v>840</v>
          </cell>
          <cell r="N845" t="str"/>
        </row>
        <row r="846">
          <cell r="B846">
            <v>841</v>
          </cell>
          <cell r="N846" t="str"/>
        </row>
        <row r="847">
          <cell r="B847">
            <v>842</v>
          </cell>
          <cell r="N847" t="str"/>
        </row>
        <row r="848">
          <cell r="B848">
            <v>843</v>
          </cell>
          <cell r="N848" t="str"/>
        </row>
        <row r="849">
          <cell r="B849">
            <v>844</v>
          </cell>
          <cell r="N849" t="str"/>
        </row>
        <row r="850">
          <cell r="B850">
            <v>845</v>
          </cell>
          <cell r="N850" t="str"/>
        </row>
        <row r="851">
          <cell r="B851">
            <v>846</v>
          </cell>
          <cell r="N851" t="str"/>
        </row>
        <row r="852">
          <cell r="B852">
            <v>847</v>
          </cell>
          <cell r="N852" t="str"/>
        </row>
        <row r="853">
          <cell r="B853">
            <v>848</v>
          </cell>
          <cell r="N853" t="str"/>
        </row>
        <row r="854">
          <cell r="B854">
            <v>849</v>
          </cell>
          <cell r="N854" t="str"/>
        </row>
        <row r="855">
          <cell r="B855">
            <v>850</v>
          </cell>
          <cell r="N855" t="str"/>
        </row>
        <row r="856">
          <cell r="B856">
            <v>851</v>
          </cell>
          <cell r="N856" t="str"/>
        </row>
        <row r="857">
          <cell r="B857">
            <v>852</v>
          </cell>
          <cell r="N857" t="str"/>
        </row>
        <row r="858">
          <cell r="B858">
            <v>853</v>
          </cell>
          <cell r="N858" t="str"/>
        </row>
        <row r="859">
          <cell r="B859">
            <v>854</v>
          </cell>
          <cell r="N859" t="str"/>
        </row>
        <row r="860">
          <cell r="B860">
            <v>855</v>
          </cell>
          <cell r="N860" t="str"/>
        </row>
        <row r="861">
          <cell r="B861">
            <v>856</v>
          </cell>
          <cell r="N861" t="str"/>
        </row>
        <row r="862">
          <cell r="B862">
            <v>857</v>
          </cell>
          <cell r="N862" t="str"/>
        </row>
        <row r="863">
          <cell r="B863">
            <v>858</v>
          </cell>
          <cell r="N863" t="str"/>
        </row>
        <row r="864">
          <cell r="B864">
            <v>859</v>
          </cell>
          <cell r="N864" t="str"/>
        </row>
        <row r="865">
          <cell r="B865">
            <v>860</v>
          </cell>
          <cell r="N865" t="str"/>
        </row>
        <row r="866">
          <cell r="B866">
            <v>861</v>
          </cell>
          <cell r="N866" t="str"/>
        </row>
        <row r="867">
          <cell r="B867">
            <v>862</v>
          </cell>
          <cell r="N867" t="str"/>
        </row>
        <row r="868">
          <cell r="B868">
            <v>863</v>
          </cell>
          <cell r="N868" t="str"/>
        </row>
        <row r="869">
          <cell r="B869">
            <v>864</v>
          </cell>
          <cell r="N869" t="str"/>
        </row>
        <row r="870">
          <cell r="B870">
            <v>865</v>
          </cell>
          <cell r="N870" t="str"/>
        </row>
        <row r="871">
          <cell r="B871">
            <v>866</v>
          </cell>
          <cell r="N871" t="str"/>
        </row>
        <row r="872">
          <cell r="B872">
            <v>867</v>
          </cell>
          <cell r="N872" t="str"/>
        </row>
        <row r="873">
          <cell r="B873">
            <v>868</v>
          </cell>
          <cell r="N873" t="str"/>
        </row>
        <row r="874">
          <cell r="B874">
            <v>869</v>
          </cell>
          <cell r="N874" t="str"/>
        </row>
        <row r="875">
          <cell r="B875">
            <v>870</v>
          </cell>
          <cell r="N875" t="str"/>
        </row>
        <row r="876">
          <cell r="B876">
            <v>871</v>
          </cell>
          <cell r="N876" t="str"/>
        </row>
        <row r="877">
          <cell r="B877">
            <v>872</v>
          </cell>
          <cell r="N877" t="str"/>
        </row>
        <row r="878">
          <cell r="B878">
            <v>873</v>
          </cell>
          <cell r="N878" t="str"/>
        </row>
        <row r="879">
          <cell r="B879">
            <v>874</v>
          </cell>
          <cell r="N879" t="str"/>
        </row>
        <row r="880">
          <cell r="B880">
            <v>875</v>
          </cell>
          <cell r="N880" t="str"/>
        </row>
        <row r="881">
          <cell r="B881">
            <v>876</v>
          </cell>
          <cell r="N881" t="str"/>
        </row>
        <row r="882">
          <cell r="B882">
            <v>877</v>
          </cell>
          <cell r="N882" t="str"/>
        </row>
        <row r="883">
          <cell r="B883">
            <v>878</v>
          </cell>
          <cell r="N883" t="str"/>
        </row>
        <row r="884">
          <cell r="B884">
            <v>879</v>
          </cell>
          <cell r="N884" t="str"/>
        </row>
        <row r="885">
          <cell r="B885">
            <v>880</v>
          </cell>
          <cell r="N885" t="str"/>
        </row>
        <row r="886">
          <cell r="B886">
            <v>881</v>
          </cell>
          <cell r="N886" t="str"/>
        </row>
        <row r="887">
          <cell r="B887">
            <v>882</v>
          </cell>
          <cell r="N887" t="str"/>
        </row>
        <row r="888">
          <cell r="B888">
            <v>883</v>
          </cell>
          <cell r="N888" t="str"/>
        </row>
        <row r="889">
          <cell r="B889">
            <v>884</v>
          </cell>
          <cell r="N889" t="str"/>
        </row>
        <row r="890">
          <cell r="B890">
            <v>885</v>
          </cell>
          <cell r="N890" t="str"/>
        </row>
        <row r="891">
          <cell r="B891">
            <v>886</v>
          </cell>
          <cell r="N891" t="str"/>
        </row>
        <row r="892">
          <cell r="B892">
            <v>887</v>
          </cell>
          <cell r="N892" t="str"/>
        </row>
        <row r="893">
          <cell r="B893">
            <v>888</v>
          </cell>
          <cell r="N893" t="str"/>
        </row>
        <row r="894">
          <cell r="B894">
            <v>889</v>
          </cell>
          <cell r="N894" t="str"/>
        </row>
        <row r="895">
          <cell r="B895">
            <v>890</v>
          </cell>
          <cell r="N895" t="str"/>
        </row>
        <row r="896">
          <cell r="B896">
            <v>891</v>
          </cell>
          <cell r="N896" t="str"/>
        </row>
        <row r="897">
          <cell r="B897">
            <v>892</v>
          </cell>
          <cell r="N897" t="str"/>
        </row>
        <row r="898">
          <cell r="B898">
            <v>893</v>
          </cell>
          <cell r="N898" t="str"/>
        </row>
        <row r="899">
          <cell r="B899">
            <v>894</v>
          </cell>
          <cell r="N899" t="str"/>
        </row>
        <row r="900">
          <cell r="B900">
            <v>895</v>
          </cell>
          <cell r="N900" t="str"/>
        </row>
        <row r="901">
          <cell r="B901">
            <v>896</v>
          </cell>
          <cell r="N901" t="str"/>
        </row>
        <row r="902">
          <cell r="B902">
            <v>897</v>
          </cell>
          <cell r="N902" t="str"/>
        </row>
        <row r="903">
          <cell r="B903">
            <v>898</v>
          </cell>
          <cell r="N903" t="str"/>
        </row>
        <row r="904">
          <cell r="B904">
            <v>899</v>
          </cell>
          <cell r="N904" t="str"/>
        </row>
        <row r="905">
          <cell r="B905">
            <v>900</v>
          </cell>
          <cell r="N905" t="str"/>
        </row>
        <row r="906">
          <cell r="B906">
            <v>901</v>
          </cell>
          <cell r="N906" t="str"/>
        </row>
        <row r="907">
          <cell r="B907">
            <v>902</v>
          </cell>
          <cell r="N907" t="str"/>
        </row>
        <row r="908">
          <cell r="B908">
            <v>903</v>
          </cell>
          <cell r="N908" t="str"/>
        </row>
        <row r="909">
          <cell r="B909">
            <v>904</v>
          </cell>
          <cell r="N909" t="str"/>
        </row>
        <row r="910">
          <cell r="B910">
            <v>905</v>
          </cell>
          <cell r="N910" t="str"/>
        </row>
        <row r="911">
          <cell r="B911">
            <v>906</v>
          </cell>
          <cell r="N911" t="str"/>
        </row>
        <row r="912">
          <cell r="B912">
            <v>907</v>
          </cell>
          <cell r="N912" t="str"/>
        </row>
        <row r="913">
          <cell r="B913">
            <v>908</v>
          </cell>
          <cell r="N913" t="str"/>
        </row>
        <row r="914">
          <cell r="B914">
            <v>909</v>
          </cell>
          <cell r="N914" t="str"/>
        </row>
        <row r="915">
          <cell r="B915">
            <v>910</v>
          </cell>
          <cell r="N915" t="str"/>
        </row>
        <row r="916">
          <cell r="B916">
            <v>911</v>
          </cell>
          <cell r="N916" t="str"/>
        </row>
        <row r="917">
          <cell r="B917">
            <v>912</v>
          </cell>
          <cell r="N917" t="str"/>
        </row>
        <row r="918">
          <cell r="B918">
            <v>913</v>
          </cell>
          <cell r="N918" t="str"/>
        </row>
        <row r="919">
          <cell r="B919">
            <v>914</v>
          </cell>
          <cell r="N919" t="str"/>
        </row>
        <row r="920">
          <cell r="B920">
            <v>915</v>
          </cell>
          <cell r="N920" t="str"/>
        </row>
        <row r="921">
          <cell r="B921">
            <v>916</v>
          </cell>
          <cell r="N921" t="str"/>
        </row>
        <row r="922">
          <cell r="B922">
            <v>917</v>
          </cell>
          <cell r="N922" t="str"/>
        </row>
        <row r="923">
          <cell r="B923">
            <v>918</v>
          </cell>
          <cell r="N923" t="str"/>
        </row>
        <row r="924">
          <cell r="B924">
            <v>919</v>
          </cell>
          <cell r="N924" t="str"/>
        </row>
        <row r="925">
          <cell r="B925">
            <v>920</v>
          </cell>
          <cell r="N925" t="str"/>
        </row>
        <row r="926">
          <cell r="B926">
            <v>921</v>
          </cell>
          <cell r="N926" t="str"/>
        </row>
        <row r="927">
          <cell r="B927">
            <v>922</v>
          </cell>
          <cell r="N927" t="str"/>
        </row>
        <row r="928">
          <cell r="B928">
            <v>923</v>
          </cell>
          <cell r="N928" t="str"/>
        </row>
        <row r="929">
          <cell r="B929">
            <v>924</v>
          </cell>
          <cell r="N929" t="str"/>
        </row>
        <row r="930">
          <cell r="B930">
            <v>925</v>
          </cell>
          <cell r="N930" t="str"/>
        </row>
        <row r="931">
          <cell r="B931">
            <v>926</v>
          </cell>
          <cell r="N931" t="str"/>
        </row>
        <row r="932">
          <cell r="B932">
            <v>927</v>
          </cell>
          <cell r="N932" t="str"/>
        </row>
        <row r="933">
          <cell r="B933">
            <v>928</v>
          </cell>
          <cell r="N933" t="str"/>
        </row>
        <row r="934">
          <cell r="B934">
            <v>929</v>
          </cell>
          <cell r="N934" t="str"/>
        </row>
        <row r="935">
          <cell r="B935">
            <v>930</v>
          </cell>
          <cell r="N935" t="str"/>
        </row>
        <row r="936">
          <cell r="B936">
            <v>931</v>
          </cell>
          <cell r="N936" t="str"/>
        </row>
        <row r="937">
          <cell r="B937">
            <v>932</v>
          </cell>
          <cell r="N937" t="str"/>
        </row>
        <row r="938">
          <cell r="B938">
            <v>933</v>
          </cell>
          <cell r="N938" t="str"/>
        </row>
        <row r="939">
          <cell r="B939">
            <v>934</v>
          </cell>
          <cell r="N939" t="str"/>
        </row>
        <row r="940">
          <cell r="B940">
            <v>935</v>
          </cell>
          <cell r="N940" t="str"/>
        </row>
        <row r="941">
          <cell r="B941">
            <v>936</v>
          </cell>
          <cell r="N941" t="str"/>
        </row>
        <row r="942">
          <cell r="B942">
            <v>937</v>
          </cell>
          <cell r="N942" t="str"/>
        </row>
        <row r="943">
          <cell r="B943">
            <v>938</v>
          </cell>
          <cell r="N943" t="str"/>
        </row>
        <row r="944">
          <cell r="B944">
            <v>939</v>
          </cell>
          <cell r="N944" t="str"/>
        </row>
        <row r="945">
          <cell r="B945">
            <v>940</v>
          </cell>
          <cell r="N945" t="str"/>
        </row>
        <row r="946">
          <cell r="B946">
            <v>941</v>
          </cell>
          <cell r="N946" t="str"/>
        </row>
        <row r="947">
          <cell r="B947">
            <v>942</v>
          </cell>
          <cell r="N947" t="str"/>
        </row>
        <row r="948">
          <cell r="B948">
            <v>943</v>
          </cell>
          <cell r="N948" t="str"/>
        </row>
        <row r="949">
          <cell r="B949">
            <v>944</v>
          </cell>
          <cell r="N949" t="str"/>
        </row>
        <row r="950">
          <cell r="B950">
            <v>945</v>
          </cell>
          <cell r="N950" t="str"/>
        </row>
        <row r="951">
          <cell r="B951">
            <v>946</v>
          </cell>
          <cell r="N951" t="str"/>
        </row>
        <row r="952">
          <cell r="B952">
            <v>947</v>
          </cell>
          <cell r="N952" t="str"/>
        </row>
        <row r="953">
          <cell r="B953">
            <v>948</v>
          </cell>
          <cell r="N953" t="str"/>
        </row>
        <row r="954">
          <cell r="B954">
            <v>949</v>
          </cell>
          <cell r="N954" t="str"/>
        </row>
        <row r="955">
          <cell r="B955">
            <v>950</v>
          </cell>
          <cell r="N955" t="str"/>
        </row>
        <row r="956">
          <cell r="B956">
            <v>951</v>
          </cell>
          <cell r="N956" t="str"/>
        </row>
        <row r="957">
          <cell r="B957">
            <v>952</v>
          </cell>
          <cell r="N957" t="str"/>
        </row>
        <row r="958">
          <cell r="B958">
            <v>953</v>
          </cell>
          <cell r="N958" t="str"/>
        </row>
        <row r="959">
          <cell r="B959">
            <v>954</v>
          </cell>
          <cell r="N959" t="str"/>
        </row>
        <row r="960">
          <cell r="B960">
            <v>955</v>
          </cell>
          <cell r="N960" t="str"/>
        </row>
        <row r="961">
          <cell r="B961">
            <v>956</v>
          </cell>
          <cell r="N961" t="str"/>
        </row>
        <row r="962">
          <cell r="B962">
            <v>957</v>
          </cell>
          <cell r="N962" t="str"/>
        </row>
        <row r="963">
          <cell r="B963">
            <v>958</v>
          </cell>
          <cell r="N963" t="str"/>
        </row>
        <row r="964">
          <cell r="B964">
            <v>959</v>
          </cell>
          <cell r="N964" t="str"/>
        </row>
        <row r="965">
          <cell r="B965">
            <v>960</v>
          </cell>
          <cell r="N965" t="str"/>
        </row>
        <row r="966">
          <cell r="B966">
            <v>961</v>
          </cell>
          <cell r="N966" t="str"/>
        </row>
        <row r="967">
          <cell r="B967">
            <v>962</v>
          </cell>
          <cell r="N967" t="str"/>
        </row>
        <row r="968">
          <cell r="B968">
            <v>963</v>
          </cell>
          <cell r="N968" t="str"/>
        </row>
        <row r="969">
          <cell r="B969">
            <v>964</v>
          </cell>
          <cell r="N969" t="str"/>
        </row>
        <row r="970">
          <cell r="B970">
            <v>965</v>
          </cell>
          <cell r="N970" t="str"/>
        </row>
        <row r="971">
          <cell r="B971">
            <v>966</v>
          </cell>
          <cell r="N971" t="str"/>
        </row>
        <row r="972">
          <cell r="B972">
            <v>967</v>
          </cell>
          <cell r="N972" t="str"/>
        </row>
        <row r="973">
          <cell r="B973">
            <v>968</v>
          </cell>
          <cell r="N973" t="str"/>
        </row>
        <row r="974">
          <cell r="B974">
            <v>969</v>
          </cell>
          <cell r="N974" t="str"/>
        </row>
        <row r="975">
          <cell r="B975">
            <v>970</v>
          </cell>
          <cell r="N975" t="str"/>
        </row>
        <row r="976">
          <cell r="B976">
            <v>971</v>
          </cell>
          <cell r="N976" t="str"/>
        </row>
        <row r="977">
          <cell r="B977">
            <v>972</v>
          </cell>
          <cell r="N977" t="str"/>
        </row>
        <row r="978">
          <cell r="B978">
            <v>973</v>
          </cell>
          <cell r="N978" t="str"/>
        </row>
        <row r="979">
          <cell r="B979">
            <v>974</v>
          </cell>
          <cell r="N979" t="str"/>
        </row>
        <row r="980">
          <cell r="B980">
            <v>975</v>
          </cell>
          <cell r="N980" t="str"/>
        </row>
        <row r="981">
          <cell r="B981">
            <v>976</v>
          </cell>
          <cell r="N981" t="str"/>
        </row>
        <row r="982">
          <cell r="B982">
            <v>977</v>
          </cell>
          <cell r="N982" t="str"/>
        </row>
        <row r="983">
          <cell r="B983">
            <v>978</v>
          </cell>
          <cell r="N983" t="str"/>
        </row>
        <row r="984">
          <cell r="B984">
            <v>979</v>
          </cell>
          <cell r="N984" t="str"/>
        </row>
        <row r="985">
          <cell r="B985">
            <v>980</v>
          </cell>
          <cell r="N985" t="str"/>
        </row>
        <row r="986">
          <cell r="B986">
            <v>981</v>
          </cell>
          <cell r="N986" t="str"/>
        </row>
        <row r="987">
          <cell r="B987">
            <v>982</v>
          </cell>
          <cell r="N987" t="str"/>
        </row>
        <row r="988">
          <cell r="B988">
            <v>983</v>
          </cell>
          <cell r="N988" t="str"/>
        </row>
        <row r="989">
          <cell r="B989">
            <v>984</v>
          </cell>
          <cell r="N989" t="str"/>
        </row>
        <row r="990">
          <cell r="B990">
            <v>985</v>
          </cell>
          <cell r="N990" t="str"/>
        </row>
        <row r="991">
          <cell r="B991">
            <v>986</v>
          </cell>
          <cell r="N991" t="str"/>
        </row>
        <row r="992">
          <cell r="B992">
            <v>987</v>
          </cell>
          <cell r="N992" t="str"/>
        </row>
        <row r="993">
          <cell r="B993">
            <v>988</v>
          </cell>
          <cell r="N993" t="str"/>
        </row>
        <row r="994">
          <cell r="B994">
            <v>989</v>
          </cell>
          <cell r="N994" t="str"/>
        </row>
        <row r="995">
          <cell r="B995">
            <v>990</v>
          </cell>
          <cell r="N995" t="str"/>
        </row>
        <row r="996">
          <cell r="B996">
            <v>991</v>
          </cell>
          <cell r="N996" t="str"/>
        </row>
        <row r="997">
          <cell r="B997">
            <v>992</v>
          </cell>
          <cell r="N997" t="str"/>
        </row>
        <row r="998">
          <cell r="B998">
            <v>993</v>
          </cell>
          <cell r="N998" t="str"/>
        </row>
        <row r="999">
          <cell r="B999">
            <v>994</v>
          </cell>
          <cell r="N999" t="str"/>
        </row>
        <row r="1000">
          <cell r="B1000">
            <v>995</v>
          </cell>
        </row>
        <row r="1001">
          <cell r="B1001">
            <v>996</v>
          </cell>
          <cell r="G1001" t="str">
            <v>含稅</v>
          </cell>
        </row>
        <row r="1002">
          <cell r="G1002" t="str">
            <v>含稅</v>
          </cell>
          <cell r="N1002" t="str"/>
        </row>
        <row r="1003">
          <cell r="G1003" t="str">
            <v>含稅</v>
          </cell>
          <cell r="N1003" t="str"/>
        </row>
        <row r="1004">
          <cell r="G1004" t="str">
            <v>含稅</v>
          </cell>
          <cell r="N1004" t="str"/>
        </row>
        <row r="1005">
          <cell r="N1005" t="str"/>
        </row>
      </sheetData>
      <sheetData sheetId="18">
        <row r="1">
          <cell r="B1" t="str">
            <v>客戶編輯</v>
          </cell>
        </row>
        <row r="2">
          <cell r="B2" t="str">
            <v>客戶        編號</v>
          </cell>
        </row>
        <row r="3">
          <cell r="B3" t="str">
            <v>客戶(公司)名稱</v>
          </cell>
          <cell r="J3" t="str">
            <v>查詢地址</v>
          </cell>
        </row>
        <row r="5">
          <cell r="B5" t="str">
            <v>客戶編號</v>
          </cell>
          <cell r="C5" t="str">
            <v>建檔日期/製表人</v>
          </cell>
          <cell r="D5" t="str">
            <v>簡稱(姓名)</v>
          </cell>
          <cell r="E5" t="str">
            <v>客戶(公司)名稱</v>
          </cell>
          <cell r="F5" t="str">
            <v>地址貼客戶名稱</v>
          </cell>
          <cell r="G5" t="str">
            <v>稅別</v>
          </cell>
          <cell r="H5" t="str">
            <v>備註</v>
          </cell>
          <cell r="I5" t="str">
            <v>統一編號</v>
          </cell>
          <cell r="J5" t="str">
            <v>結帳日/每月</v>
          </cell>
          <cell r="K5" t="str">
            <v>未稅統編</v>
          </cell>
          <cell r="L5" t="str">
            <v>連絡電話 1</v>
          </cell>
          <cell r="M5" t="str">
            <v>小車編號</v>
          </cell>
          <cell r="N5" t="str">
            <v>傳真號碼</v>
          </cell>
          <cell r="O5" t="str">
            <v>年</v>
          </cell>
          <cell r="P5" t="str">
            <v>月</v>
          </cell>
          <cell r="Q5" t="str">
            <v>日</v>
          </cell>
          <cell r="R5" t="str">
            <v>年齡</v>
          </cell>
          <cell r="S5" t="str">
            <v>計算</v>
          </cell>
          <cell r="T5" t="str">
            <v>西元年</v>
          </cell>
          <cell r="U5" t="str">
            <v>身份字號</v>
          </cell>
          <cell r="V5" t="str">
            <v>負責人</v>
          </cell>
          <cell r="W5" t="str">
            <v>郵遞區號</v>
          </cell>
          <cell r="X5" t="str">
            <v>戶籍(公司)地址 (輸入縣市全址)</v>
          </cell>
          <cell r="Y5" t="str">
            <v>地址</v>
          </cell>
          <cell r="Z5" t="str">
            <v>地址貼客戶地址</v>
          </cell>
          <cell r="AA5" t="str">
            <v>連絡處</v>
          </cell>
        </row>
        <row r="6">
          <cell r="B6" t="str">
            <v>1-0001</v>
          </cell>
          <cell r="C6">
            <v>36102</v>
          </cell>
          <cell r="D6" t="str">
            <v>1-0001-全佑</v>
          </cell>
          <cell r="E6" t="str">
            <v>中華全佑有限公司</v>
          </cell>
          <cell r="F6" t="str">
            <v>中華全佑有限公司(1)</v>
          </cell>
          <cell r="G6" t="str">
            <v>未稅</v>
          </cell>
          <cell r="I6" t="str">
            <v>未稅</v>
          </cell>
          <cell r="J6">
            <v>30</v>
          </cell>
          <cell r="K6" t="str">
            <v>2791＞1467＞未稅</v>
          </cell>
          <cell r="L6" t="str">
            <v>037-463990＞0932-528360胡振新</v>
          </cell>
          <cell r="M6">
            <v>0</v>
          </cell>
          <cell r="R6" t="b">
            <v>0</v>
          </cell>
          <cell r="S6" t="str"/>
          <cell r="T6" t="b">
            <v>0</v>
          </cell>
          <cell r="V6" t="str">
            <v>陳婉玲</v>
          </cell>
          <cell r="W6">
            <v>350</v>
          </cell>
          <cell r="X6" t="str">
            <v>苗栗縣竹南鎮中美里10鄰保安林52-10號。</v>
          </cell>
          <cell r="Y6" t="str">
            <v>苗栗縣竹南鎮</v>
          </cell>
          <cell r="Z6" t="str">
            <v>苗栗縣竹南鎮中美里10鄰保安林52之10號.</v>
          </cell>
          <cell r="AA6" t="str">
            <v>350苗栗縣竹南鎮中美里10鄰保安林52-10號。</v>
          </cell>
          <cell r="AK6" t="str">
            <v>0981-QE</v>
          </cell>
          <cell r="AL6" t="str">
            <v>1-0004-(1/3)長增&gt;寄&gt;附發票&gt;匯款&gt;現金價</v>
          </cell>
          <cell r="AM6" t="str">
            <v>1-0004</v>
          </cell>
        </row>
        <row r="7">
          <cell r="B7" t="str">
            <v>1-0002</v>
          </cell>
          <cell r="C7">
            <v>36102</v>
          </cell>
          <cell r="D7" t="str">
            <v>1-0002-緯達&gt;寄平信&gt;自結&gt;勿電</v>
          </cell>
          <cell r="E7" t="str">
            <v>緯達輪胎行</v>
          </cell>
          <cell r="F7" t="str">
            <v>緯達輪胎行(2)</v>
          </cell>
          <cell r="G7" t="str">
            <v>未稅</v>
          </cell>
          <cell r="H7" t="str">
            <v>寄平信＞自結&gt;</v>
          </cell>
          <cell r="I7" t="str">
            <v>未稅</v>
          </cell>
          <cell r="J7">
            <v>30</v>
          </cell>
          <cell r="K7" t="str">
            <v>1335＞6334＞未稅</v>
          </cell>
          <cell r="L7" t="str">
            <v>037-672298＞0922-602112</v>
          </cell>
          <cell r="M7" t="str">
            <v>2-0118</v>
          </cell>
          <cell r="R7" t="b">
            <v>0</v>
          </cell>
          <cell r="S7" t="str"/>
          <cell r="T7" t="b">
            <v>0</v>
          </cell>
          <cell r="V7" t="str">
            <v>羅偉育</v>
          </cell>
          <cell r="W7">
            <v>351</v>
          </cell>
          <cell r="X7" t="str">
            <v>苗栗縣頭份鎮頭份里中正路291號1樓。</v>
          </cell>
          <cell r="Y7" t="str">
            <v>苗栗縣頭份市</v>
          </cell>
          <cell r="Z7" t="str">
            <v>苗栗縣頭份市頭份里中正路291號1樓.</v>
          </cell>
          <cell r="AA7" t="str">
            <v>351苗栗縣頭份鎮頭份里中正路291號1樓。</v>
          </cell>
          <cell r="AK7" t="str">
            <v>1017-KP</v>
          </cell>
          <cell r="AL7" t="str">
            <v>1-0004-(1/3)長增&gt;寄&gt;附發票&gt;匯款&gt;現金價</v>
          </cell>
          <cell r="AM7" t="str">
            <v>1-0004</v>
          </cell>
        </row>
        <row r="8">
          <cell r="B8" t="str">
            <v>1-0003</v>
          </cell>
          <cell r="C8">
            <v>36102</v>
          </cell>
          <cell r="D8" t="str">
            <v>1-0003-榮聯&gt;寄&gt;附發票&gt;附回郵</v>
          </cell>
          <cell r="E8" t="str">
            <v>榮聯輪胎有限公司</v>
          </cell>
          <cell r="F8" t="str">
            <v>榮聯輪胎有限公司(3)</v>
          </cell>
          <cell r="G8" t="str">
            <v>未稅</v>
          </cell>
          <cell r="H8" t="str">
            <v>寄＞附發票＞附回郵＞</v>
          </cell>
          <cell r="I8" t="str">
            <v>8632＞8102＞需看簽單含稅或未稅</v>
          </cell>
          <cell r="J8">
            <v>30</v>
          </cell>
          <cell r="L8" t="str">
            <v>037-627788＞傳真037-635950</v>
          </cell>
          <cell r="M8">
            <v>0</v>
          </cell>
          <cell r="R8" t="b">
            <v>0</v>
          </cell>
          <cell r="S8" t="str"/>
          <cell r="T8" t="b">
            <v>0</v>
          </cell>
          <cell r="V8" t="str">
            <v>廖仁春</v>
          </cell>
          <cell r="W8">
            <v>351</v>
          </cell>
          <cell r="X8" t="str">
            <v>苗栗縣頭份鎮永貞路一段56號1樓。</v>
          </cell>
          <cell r="Y8" t="str">
            <v>苗栗縣頭份鎮</v>
          </cell>
          <cell r="Z8" t="str">
            <v>苗栗縣頭份鎮永貞路一段56號1樓.</v>
          </cell>
          <cell r="AA8" t="str">
            <v>351苗栗縣頭份鎮永貞路一段56號1樓。</v>
          </cell>
          <cell r="AK8" t="str">
            <v>3481-VS</v>
          </cell>
          <cell r="AL8" t="str">
            <v>1-0004-(1/3)長增&gt;寄&gt;附發票&gt;匯款&gt;現金價</v>
          </cell>
          <cell r="AM8" t="str">
            <v>1-0004</v>
          </cell>
        </row>
        <row r="9">
          <cell r="B9" t="str">
            <v>1-0004</v>
          </cell>
          <cell r="C9">
            <v>36102</v>
          </cell>
          <cell r="D9" t="str">
            <v>1-0004-(1/3)長增&gt;寄&gt;附發票&gt;匯款&gt;現金價</v>
          </cell>
          <cell r="E9" t="str">
            <v>長增貨運股份有限公司(1/3)</v>
          </cell>
          <cell r="F9" t="str">
            <v>長增工程有限公司(4)</v>
          </cell>
          <cell r="G9" t="str">
            <v>含稅</v>
          </cell>
          <cell r="H9" t="str">
            <v>寄＞附發票＞匯款：35012054023＞</v>
          </cell>
          <cell r="I9" t="str">
            <v>8932&gt;3593長增工程有限公司&gt;小車稅外&gt;中華全佑&gt;含稅＞一張五萬</v>
          </cell>
          <cell r="J9">
            <v>30</v>
          </cell>
          <cell r="L9" t="str">
            <v>037-620981＞傳真037-629651＞信箱bluy31@yahoo.com.tw</v>
          </cell>
          <cell r="M9" t="str">
            <v>2-0128</v>
          </cell>
          <cell r="R9" t="b">
            <v>0</v>
          </cell>
          <cell r="S9" t="str"/>
          <cell r="T9" t="b">
            <v>0</v>
          </cell>
          <cell r="V9" t="str">
            <v>陳月娥</v>
          </cell>
          <cell r="W9">
            <v>350</v>
          </cell>
          <cell r="X9" t="str">
            <v>苗栗縣竹南鎮山佳里9鄰店仔3-2號＞登:苗栗縣竹南鎮山佳里佳北二街97巷28號。</v>
          </cell>
          <cell r="Y9" t="str">
            <v>苗栗縣竹南鎮</v>
          </cell>
          <cell r="Z9" t="str">
            <v>苗栗縣竹南鎮山佳里9鄰店仔3之2號.</v>
          </cell>
          <cell r="AA9" t="str">
            <v>350苗栗縣竹南鎮山佳里9鄰店仔3-2號＞登:苗栗縣竹南鎮山佳里佳北二街97巷28號。</v>
          </cell>
          <cell r="AK9" t="str">
            <v>596-GF</v>
          </cell>
          <cell r="AL9" t="str">
            <v>1-0004-(1/3)長增&gt;寄&gt;附發票&gt;匯款&gt;現金價</v>
          </cell>
          <cell r="AM9" t="str">
            <v>1-0004</v>
          </cell>
        </row>
        <row r="10">
          <cell r="B10" t="str">
            <v>1-0005</v>
          </cell>
          <cell r="C10">
            <v>36102</v>
          </cell>
          <cell r="D10" t="str">
            <v>1-0005-(2/3)長增&gt;寄&gt;附發票&gt;匯款</v>
          </cell>
          <cell r="E10" t="str">
            <v>長增工程有限公司(2/3)</v>
          </cell>
          <cell r="F10" t="str">
            <v>長增工程有限公司(5)</v>
          </cell>
          <cell r="G10" t="str">
            <v>含稅</v>
          </cell>
          <cell r="H10" t="str">
            <v>寄＞附發票＞匯款＞</v>
          </cell>
          <cell r="I10" t="str">
            <v>8932&gt;3593長增工程有限公司&gt;中華全佑&gt;含稅＞一張五萬</v>
          </cell>
          <cell r="J10">
            <v>30</v>
          </cell>
          <cell r="L10" t="str">
            <v>037-620981</v>
          </cell>
          <cell r="M10">
            <v>0</v>
          </cell>
          <cell r="R10" t="b">
            <v>0</v>
          </cell>
          <cell r="S10" t="str"/>
          <cell r="T10" t="b">
            <v>0</v>
          </cell>
          <cell r="V10" t="str">
            <v>陳月娥</v>
          </cell>
          <cell r="W10">
            <v>350</v>
          </cell>
          <cell r="X10" t="str">
            <v>苗栗縣竹南鎮山佳里9鄰店仔3-2號。</v>
          </cell>
          <cell r="Y10" t="str">
            <v>苗栗縣竹南鎮</v>
          </cell>
          <cell r="Z10" t="str">
            <v>苗栗縣竹南鎮山佳里9鄰店仔3之2號.</v>
          </cell>
          <cell r="AA10" t="str">
            <v>350苗栗縣竹南鎮山佳里9鄰店仔3-2號。</v>
          </cell>
          <cell r="AK10" t="str">
            <v>612-GZ</v>
          </cell>
          <cell r="AL10" t="str">
            <v>1-0004-(1/3)長增&gt;寄&gt;附發票&gt;匯款&gt;現金價</v>
          </cell>
          <cell r="AM10" t="str">
            <v>1-0004</v>
          </cell>
        </row>
        <row r="11">
          <cell r="B11" t="str">
            <v>1-0006</v>
          </cell>
          <cell r="C11">
            <v>36102</v>
          </cell>
          <cell r="D11" t="str">
            <v>1-0006-(3/3)長呈&gt;寄&gt;附發票&gt;附回郵</v>
          </cell>
          <cell r="E11" t="str">
            <v>長呈貨運行(3/3)</v>
          </cell>
          <cell r="F11" t="str">
            <v>長呈貨運行(6)</v>
          </cell>
          <cell r="G11" t="str">
            <v>含稅</v>
          </cell>
          <cell r="H11" t="str">
            <v>寄＞附發票＞附回郵＞</v>
          </cell>
          <cell r="I11" t="str">
            <v>3700＞8102＞含稅</v>
          </cell>
          <cell r="J11">
            <v>30</v>
          </cell>
          <cell r="L11" t="str">
            <v>037-469976＞傳真037-465549</v>
          </cell>
          <cell r="M11">
            <v>0</v>
          </cell>
          <cell r="R11" t="b">
            <v>0</v>
          </cell>
          <cell r="S11" t="str"/>
          <cell r="T11" t="b">
            <v>0</v>
          </cell>
          <cell r="V11" t="str">
            <v>邱苑慧</v>
          </cell>
          <cell r="W11">
            <v>350</v>
          </cell>
          <cell r="X11" t="str">
            <v>苗栗縣竹南鎮中華里中正路156巷1弄16號。</v>
          </cell>
          <cell r="Y11" t="str">
            <v>苗栗縣竹南鎮</v>
          </cell>
          <cell r="Z11" t="str">
            <v>苗栗縣竹南鎮中華里中正路156巷1弄16號.</v>
          </cell>
          <cell r="AA11" t="str">
            <v>350苗栗縣竹南鎮中華里中正路156巷1弄16號。</v>
          </cell>
          <cell r="AK11" t="str">
            <v>957-TK</v>
          </cell>
          <cell r="AL11" t="str">
            <v>1-0004-(1/3)長增&gt;寄&gt;附發票&gt;匯款&gt;現金價</v>
          </cell>
          <cell r="AM11" t="str">
            <v>1-0004</v>
          </cell>
        </row>
        <row r="12">
          <cell r="B12" t="str">
            <v>1-0007</v>
          </cell>
          <cell r="C12">
            <v>36102</v>
          </cell>
          <cell r="D12" t="str">
            <v>1-0007-宜城&gt;寄&gt;附發票&gt;附回郵</v>
          </cell>
          <cell r="E12" t="str">
            <v>宜城通運企業有限公司</v>
          </cell>
          <cell r="F12" t="str">
            <v>宜城通運企業有限公司(7)</v>
          </cell>
          <cell r="G12" t="str">
            <v>含稅</v>
          </cell>
          <cell r="H12" t="str">
            <v>寄＞附發票＞附回郵＞</v>
          </cell>
          <cell r="I12" t="str">
            <v>7070＞0940＞含稅</v>
          </cell>
          <cell r="J12">
            <v>30</v>
          </cell>
          <cell r="L12" t="str">
            <v>037-676928＞0932-527328張均燕＞傳真037-688955</v>
          </cell>
          <cell r="M12">
            <v>0</v>
          </cell>
          <cell r="R12" t="b">
            <v>0</v>
          </cell>
          <cell r="S12" t="str"/>
          <cell r="T12" t="b">
            <v>0</v>
          </cell>
          <cell r="V12" t="str">
            <v>張均燕</v>
          </cell>
          <cell r="W12">
            <v>351</v>
          </cell>
          <cell r="X12" t="str">
            <v>苗栗縣頭份鎮忠孝里長安街63巷2號。</v>
          </cell>
          <cell r="Y12" t="str">
            <v>苗栗縣頭份鎮</v>
          </cell>
          <cell r="Z12" t="str">
            <v>苗栗縣頭份鎮忠孝里長安街63巷2號.</v>
          </cell>
          <cell r="AA12" t="str">
            <v>351苗栗縣頭份鎮忠孝里長安街63巷2號。</v>
          </cell>
          <cell r="AK12" t="str">
            <v>F3-713</v>
          </cell>
          <cell r="AL12" t="str">
            <v>1-0004-(1/3)長增&gt;寄&gt;附發票&gt;匯款&gt;現金價</v>
          </cell>
          <cell r="AM12" t="str">
            <v>1-0004</v>
          </cell>
        </row>
        <row r="13">
          <cell r="B13" t="str">
            <v>1-0008</v>
          </cell>
          <cell r="C13">
            <v>36102</v>
          </cell>
          <cell r="D13" t="str">
            <v>1-0008-路人</v>
          </cell>
          <cell r="E13" t="str">
            <v>路人</v>
          </cell>
          <cell r="F13" t="str">
            <v>(8)</v>
          </cell>
          <cell r="G13" t="str">
            <v>未稅</v>
          </cell>
          <cell r="H13" t="str">
            <v>現結</v>
          </cell>
          <cell r="I13" t="str">
            <v>未稅</v>
          </cell>
          <cell r="J13">
            <v>30</v>
          </cell>
          <cell r="L13" t="str">
            <v>037-</v>
          </cell>
          <cell r="M13">
            <v>0</v>
          </cell>
          <cell r="R13" t="b">
            <v>0</v>
          </cell>
          <cell r="S13" t="str"/>
          <cell r="T13" t="b">
            <v>0</v>
          </cell>
          <cell r="Y13" t="str"/>
          <cell r="AA13" t="str"/>
          <cell r="AK13" t="str">
            <v>GK-6260</v>
          </cell>
          <cell r="AL13" t="str">
            <v>1-0004-(1/3)長增&gt;寄&gt;附發票&gt;匯款&gt;現金價</v>
          </cell>
          <cell r="AM13" t="str">
            <v>1-0004</v>
          </cell>
        </row>
        <row r="14">
          <cell r="B14" t="str">
            <v>1-0009</v>
          </cell>
          <cell r="C14">
            <v>36102</v>
          </cell>
          <cell r="D14" t="str">
            <v>1-0009-大豐&gt;寄&gt;附回郵</v>
          </cell>
          <cell r="E14" t="str">
            <v>大豐輪胎行</v>
          </cell>
          <cell r="F14" t="str">
            <v>大豐輪胎行(9)</v>
          </cell>
          <cell r="G14" t="str">
            <v>未稅</v>
          </cell>
          <cell r="H14" t="str">
            <v>寄＞附回郵＞</v>
          </cell>
          <cell r="I14" t="str">
            <v>未稅</v>
          </cell>
          <cell r="J14">
            <v>30</v>
          </cell>
          <cell r="K14" t="str">
            <v>7854＞9932＞未稅</v>
          </cell>
          <cell r="L14" t="str">
            <v>037-226227＞037-229565＞0910-107620</v>
          </cell>
          <cell r="M14">
            <v>0</v>
          </cell>
          <cell r="R14" t="b">
            <v>0</v>
          </cell>
          <cell r="S14" t="str"/>
          <cell r="T14" t="b">
            <v>0</v>
          </cell>
          <cell r="V14" t="str">
            <v>謝文龍</v>
          </cell>
          <cell r="W14">
            <v>363</v>
          </cell>
          <cell r="X14" t="str">
            <v>苗栗縣公館鄉五谷村2鄰64號。</v>
          </cell>
          <cell r="Y14" t="str">
            <v>苗栗縣公館鄉</v>
          </cell>
          <cell r="Z14" t="str">
            <v>苗栗縣公館鄉五谷村2鄰64號.</v>
          </cell>
          <cell r="AA14" t="str">
            <v>363苗栗縣公館鄉五谷村2鄰64號。</v>
          </cell>
          <cell r="AK14" t="str">
            <v>LU-5801</v>
          </cell>
          <cell r="AL14" t="str">
            <v>1-0004-(1/3)長增&gt;寄&gt;附發票&gt;匯款&gt;現金價</v>
          </cell>
          <cell r="AM14" t="str">
            <v>1-0004</v>
          </cell>
        </row>
        <row r="15">
          <cell r="B15" t="str">
            <v>1-0010</v>
          </cell>
          <cell r="C15">
            <v>36102</v>
          </cell>
          <cell r="D15" t="str">
            <v>1-0010-永業&gt;寄&gt;附回郵</v>
          </cell>
          <cell r="E15" t="str">
            <v>永業輪胎行</v>
          </cell>
          <cell r="F15" t="str">
            <v>永業輪胎行(10)</v>
          </cell>
          <cell r="G15" t="str">
            <v>未稅</v>
          </cell>
          <cell r="H15" t="str">
            <v>寄＞附回郵＞</v>
          </cell>
          <cell r="I15" t="str">
            <v>未稅</v>
          </cell>
          <cell r="J15">
            <v>30</v>
          </cell>
          <cell r="K15" t="str">
            <v>9815＞2228＞未稅</v>
          </cell>
          <cell r="L15" t="str">
            <v>037-</v>
          </cell>
          <cell r="M15">
            <v>0</v>
          </cell>
          <cell r="R15" t="b">
            <v>0</v>
          </cell>
          <cell r="S15" t="str"/>
          <cell r="T15" t="b">
            <v>0</v>
          </cell>
          <cell r="V15" t="str">
            <v>葉錦財</v>
          </cell>
          <cell r="W15">
            <v>360</v>
          </cell>
          <cell r="X15" t="str">
            <v>苗栗縣苗栗市嘉盛里16鄰為公路491號。</v>
          </cell>
          <cell r="Y15" t="str">
            <v>苗栗縣苗栗市</v>
          </cell>
          <cell r="Z15" t="str">
            <v>苗栗縣苗栗市嘉盛里16鄰為公路491號.</v>
          </cell>
          <cell r="AA15" t="str">
            <v>360苗栗縣苗栗市嘉盛里16鄰為公路491號。</v>
          </cell>
          <cell r="AK15" t="str">
            <v>X2-402</v>
          </cell>
          <cell r="AL15" t="str">
            <v>1-0004-(1/3)長增&gt;寄&gt;附發票&gt;匯款&gt;現金價</v>
          </cell>
          <cell r="AM15" t="str">
            <v>1-0004</v>
          </cell>
        </row>
        <row r="16">
          <cell r="B16" t="str">
            <v>1-0011</v>
          </cell>
          <cell r="C16">
            <v>36102</v>
          </cell>
          <cell r="D16" t="str">
            <v>1-0011-海銓&gt;電&gt;親收&gt;帶客戶請款聯</v>
          </cell>
          <cell r="E16" t="str">
            <v>海銓企業社＞原華</v>
          </cell>
          <cell r="F16" t="str">
            <v>海銓企業社(11)</v>
          </cell>
          <cell r="G16" t="str">
            <v>未稅</v>
          </cell>
          <cell r="H16" t="str">
            <v>電＞親收＞帶客戶請款聯</v>
          </cell>
          <cell r="I16" t="str">
            <v>未稅</v>
          </cell>
          <cell r="J16">
            <v>30</v>
          </cell>
          <cell r="K16" t="str">
            <v>9493＞5622＞未稅</v>
          </cell>
          <cell r="L16" t="str">
            <v>037-460668＞0937-729726李城＞0919-073783老板娘&gt;傳真472-104</v>
          </cell>
          <cell r="M16" t="str">
            <v>2-0065</v>
          </cell>
          <cell r="R16" t="b">
            <v>0</v>
          </cell>
          <cell r="S16" t="str"/>
          <cell r="T16" t="b">
            <v>0</v>
          </cell>
          <cell r="V16" t="str">
            <v>梁雅雯</v>
          </cell>
          <cell r="W16">
            <v>350</v>
          </cell>
          <cell r="X16" t="str">
            <v>苗栗縣竹南鎮中美里9鄰37-20號。</v>
          </cell>
          <cell r="Y16" t="str">
            <v>苗栗縣竹南鎮</v>
          </cell>
          <cell r="Z16" t="str">
            <v>苗栗縣竹南鎮中美里9鄰37之20號.</v>
          </cell>
          <cell r="AA16" t="str">
            <v>350苗栗縣竹南鎮中美里9鄰37-20號。</v>
          </cell>
          <cell r="AK16" t="str">
            <v>330-GF</v>
          </cell>
          <cell r="AL16" t="str">
            <v>1-0007-宜城&gt;寄&gt;附發票&gt;附回郵</v>
          </cell>
          <cell r="AM16" t="str">
            <v>1-0007</v>
          </cell>
        </row>
        <row r="17">
          <cell r="B17" t="str">
            <v>1-0012</v>
          </cell>
          <cell r="C17">
            <v>36102</v>
          </cell>
          <cell r="D17" t="str">
            <v>1-0012-益順&gt;寄&gt;附發票&gt;親收</v>
          </cell>
          <cell r="E17" t="str">
            <v>益順汽車拖吊有限公司＞盛光汽車修理有限公司</v>
          </cell>
          <cell r="F17" t="str">
            <v>益順汽車拖吊有限公司(12)</v>
          </cell>
          <cell r="G17" t="str">
            <v>稅外</v>
          </cell>
          <cell r="H17" t="str">
            <v>寄＞附發票＞親收＞</v>
          </cell>
          <cell r="I17" t="str">
            <v>8023＞9244益順＞8421＞8410盛光＞稅外</v>
          </cell>
          <cell r="J17">
            <v>30</v>
          </cell>
          <cell r="L17" t="str">
            <v>037-462546＞傳真037-464723</v>
          </cell>
          <cell r="M17">
            <v>0</v>
          </cell>
          <cell r="R17" t="b">
            <v>0</v>
          </cell>
          <cell r="S17" t="str"/>
          <cell r="T17" t="b">
            <v>0</v>
          </cell>
          <cell r="V17" t="str">
            <v>歐淑季.連其俊</v>
          </cell>
          <cell r="W17">
            <v>350</v>
          </cell>
          <cell r="X17" t="str">
            <v>苗栗縣竹南鎮中英里17鄰保安林62-7號＞登:苗栗縣竹南鎮正南里19鄰和平街43號。</v>
          </cell>
          <cell r="Y17" t="str">
            <v>苗栗縣竹南鎮</v>
          </cell>
          <cell r="Z17" t="str">
            <v>苗栗縣竹南鎮中英里17鄰保安林62之7號.</v>
          </cell>
          <cell r="AA17" t="str">
            <v>350苗栗縣竹南鎮中英里17鄰保安林62-7號＞登:苗栗縣竹南鎮正南里19鄰和平街43號。</v>
          </cell>
          <cell r="AK17" t="str">
            <v>463-GF</v>
          </cell>
          <cell r="AL17" t="str">
            <v>1-0007-宜城&gt;寄&gt;附發票&gt;附回郵</v>
          </cell>
          <cell r="AM17" t="str">
            <v>1-0007</v>
          </cell>
        </row>
        <row r="18">
          <cell r="B18" t="str">
            <v>1-0013</v>
          </cell>
          <cell r="C18" t="str">
            <v>109-07-07/郭雯瑀</v>
          </cell>
          <cell r="D18" t="str">
            <v>1-0013-高譜&gt;寄&gt;附發票&gt;附回郵</v>
          </cell>
          <cell r="E18" t="str">
            <v>高譜實業股份有限公司</v>
          </cell>
          <cell r="F18" t="str">
            <v>高譜實業股份有限公司(13)</v>
          </cell>
          <cell r="G18" t="str">
            <v>含稅</v>
          </cell>
          <cell r="H18" t="str">
            <v>寄＞附發票＞附回郵＞</v>
          </cell>
          <cell r="I18" t="str">
            <v>2805＞3034＞含稅</v>
          </cell>
          <cell r="J18">
            <v>30</v>
          </cell>
          <cell r="L18" t="str">
            <v>037-626511&gt;037-626512&gt;傳真037-626510&gt;0910-296826總經理洪金儀</v>
          </cell>
          <cell r="M18">
            <v>0</v>
          </cell>
          <cell r="R18" t="b">
            <v>0</v>
          </cell>
          <cell r="S18" t="str"/>
          <cell r="T18" t="b">
            <v>0</v>
          </cell>
          <cell r="V18" t="str">
            <v>黃秋芬</v>
          </cell>
          <cell r="W18">
            <v>351</v>
          </cell>
          <cell r="X18" t="str">
            <v>苗栗縣頭份市中華路511巷55號</v>
          </cell>
          <cell r="Y18" t="str">
            <v>苗栗縣頭份市</v>
          </cell>
          <cell r="Z18" t="str">
            <v>苗栗縣頭份市中華路511巷55號</v>
          </cell>
          <cell r="AA18" t="str">
            <v>351苗栗縣頭份市中華路511巷55號</v>
          </cell>
          <cell r="AK18" t="str">
            <v>750-HF</v>
          </cell>
          <cell r="AL18" t="str">
            <v>1-0007-宜城&gt;寄&gt;附發票&gt;附回郵</v>
          </cell>
          <cell r="AM18" t="str">
            <v>1-0007</v>
          </cell>
        </row>
        <row r="19">
          <cell r="B19" t="str">
            <v>1-0014</v>
          </cell>
          <cell r="C19">
            <v>36102</v>
          </cell>
          <cell r="D19" t="str">
            <v>1-0014-六順(順合)&gt;寄&gt;附發票&gt;附回郵</v>
          </cell>
          <cell r="E19" t="str">
            <v>順合企業社＞六順砂石企業有限公司</v>
          </cell>
          <cell r="F19" t="str">
            <v>順合企業社(14)</v>
          </cell>
          <cell r="G19" t="str">
            <v>稅外</v>
          </cell>
          <cell r="H19" t="str">
            <v>寄＞附發票＞附回郵＞</v>
          </cell>
          <cell r="I19" t="str">
            <v>8096＞7051順合＞5378＞9414六順＞稅外</v>
          </cell>
          <cell r="J19">
            <v>30</v>
          </cell>
          <cell r="L19" t="str">
            <v>037-461474＞0960-556722＞傳真037-479671</v>
          </cell>
          <cell r="M19" t="str">
            <v>2-0181</v>
          </cell>
          <cell r="R19" t="b">
            <v>0</v>
          </cell>
          <cell r="S19" t="str"/>
          <cell r="T19" t="b">
            <v>0</v>
          </cell>
          <cell r="V19" t="str">
            <v>陳柏元.陳勝騏</v>
          </cell>
          <cell r="W19">
            <v>350</v>
          </cell>
          <cell r="X19" t="str">
            <v>苗栗縣竹南鎮龍江街249巷115號旁砂石場＞登:苗栗縣竹南鎮 照南里25鄰 立達街212巷13號。</v>
          </cell>
          <cell r="Y19" t="str">
            <v>苗栗縣竹南鎮</v>
          </cell>
          <cell r="Z19" t="str">
            <v>苗栗縣竹南鎮龍江街249巷115號旁砂石場</v>
          </cell>
          <cell r="AA19" t="str">
            <v>350苗栗縣竹南鎮龍江街249巷115號旁砂石場＞登:苗栗縣竹南鎮 照南里25鄰 立達街212巷13號。</v>
          </cell>
          <cell r="AK19" t="str">
            <v>QM-672</v>
          </cell>
          <cell r="AL19" t="str">
            <v>1-0007-宜城&gt;寄&gt;附發票&gt;附回郵</v>
          </cell>
          <cell r="AM19" t="str">
            <v>1-0007</v>
          </cell>
        </row>
        <row r="20">
          <cell r="B20" t="str">
            <v>1-0015</v>
          </cell>
          <cell r="C20">
            <v>36102</v>
          </cell>
          <cell r="D20" t="str">
            <v>1-0015-志祥&gt;寄&gt;附回郵&gt;勿催帳</v>
          </cell>
          <cell r="E20" t="str">
            <v>志祥汽車修配廠</v>
          </cell>
          <cell r="F20" t="str">
            <v>志祥汽車修配廠(15)</v>
          </cell>
          <cell r="G20" t="str">
            <v>未稅</v>
          </cell>
          <cell r="H20" t="str">
            <v>寄＞附回郵＞</v>
          </cell>
          <cell r="I20" t="str">
            <v>未稅</v>
          </cell>
          <cell r="J20">
            <v>30</v>
          </cell>
          <cell r="K20" t="str">
            <v>9284＞1607＞未稅</v>
          </cell>
          <cell r="L20" t="str">
            <v>037-873437＞傳真037-879905&gt;0919-845011帳款問題</v>
          </cell>
          <cell r="M20" t="str">
            <v>2-0106</v>
          </cell>
          <cell r="R20" t="b">
            <v>0</v>
          </cell>
          <cell r="S20" t="str"/>
          <cell r="T20" t="b">
            <v>0</v>
          </cell>
          <cell r="V20" t="str">
            <v>徐源慶</v>
          </cell>
          <cell r="W20">
            <v>367</v>
          </cell>
          <cell r="X20" t="str">
            <v>苗栗縣三義鄉西湖村伯公坑16鄰129號。</v>
          </cell>
          <cell r="Y20" t="str">
            <v>苗栗縣三義鄉</v>
          </cell>
          <cell r="Z20" t="str">
            <v>苗栗縣三義鄉西湖村伯公坑16鄰129號.</v>
          </cell>
          <cell r="AA20" t="str">
            <v>367苗栗縣三義鄉西湖村伯公坑16鄰129號。</v>
          </cell>
          <cell r="AK20" t="str">
            <v>185-VB</v>
          </cell>
          <cell r="AL20" t="str">
            <v>1-0011-海銓&gt;電&gt;親收&gt;帶客戶請款聯</v>
          </cell>
          <cell r="AM20" t="str">
            <v>1-0011</v>
          </cell>
        </row>
        <row r="21">
          <cell r="B21" t="str">
            <v>1-0016</v>
          </cell>
          <cell r="C21">
            <v>36102</v>
          </cell>
          <cell r="D21" t="str">
            <v>1-0016-竹升&gt;寄&gt;附發票&gt;附回郵</v>
          </cell>
          <cell r="E21" t="str">
            <v>竹升起重工程有限公司＞負:陳盛記</v>
          </cell>
          <cell r="F21" t="str">
            <v>竹升起重工程有限公司(16)</v>
          </cell>
          <cell r="G21" t="str">
            <v>含稅</v>
          </cell>
          <cell r="H21" t="str">
            <v>寄＞附發票＞附回郵＞</v>
          </cell>
          <cell r="I21" t="str">
            <v>2379＞5614＞含稅</v>
          </cell>
          <cell r="J21">
            <v>30</v>
          </cell>
          <cell r="L21" t="str">
            <v>03-5720465＞0910-257116＞傳真03-5725431</v>
          </cell>
          <cell r="M21" t="str">
            <v>2-0196</v>
          </cell>
          <cell r="R21" t="b">
            <v>0</v>
          </cell>
          <cell r="S21" t="str"/>
          <cell r="T21" t="b">
            <v>0</v>
          </cell>
          <cell r="W21">
            <v>300</v>
          </cell>
          <cell r="X21" t="str">
            <v>新竹巿東區水利路76號＞登:新竹市千甲里11鄰水利路78號2樓。</v>
          </cell>
          <cell r="Y21" t="str">
            <v>新竹巿東區水</v>
          </cell>
          <cell r="Z21" t="str">
            <v>新竹巿東區水利路76號.</v>
          </cell>
          <cell r="AA21" t="str">
            <v>300新竹巿東區水利路76號＞登:新竹市千甲里11鄰水利路78號2樓。</v>
          </cell>
          <cell r="AK21" t="str">
            <v>3181-VB</v>
          </cell>
          <cell r="AL21" t="str">
            <v>1-0011-海銓&gt;電&gt;親收&gt;帶客戶請款聯</v>
          </cell>
          <cell r="AM21" t="str">
            <v>1-0011</v>
          </cell>
        </row>
        <row r="22">
          <cell r="B22" t="str">
            <v>1-0017</v>
          </cell>
          <cell r="C22">
            <v>36102</v>
          </cell>
          <cell r="D22" t="str">
            <v>1-0017-林富國&gt;寄&gt;附發票&gt;附回郵</v>
          </cell>
          <cell r="E22" t="str">
            <v>全鋐企業社＞負:楊沛淳＞林富國</v>
          </cell>
          <cell r="F22" t="str">
            <v>全鋐企業社(17)</v>
          </cell>
          <cell r="G22" t="str">
            <v>未稅</v>
          </cell>
          <cell r="H22" t="str">
            <v>寄＞附發票＞附回郵＞</v>
          </cell>
          <cell r="I22" t="str">
            <v>未稅</v>
          </cell>
          <cell r="J22">
            <v>30</v>
          </cell>
          <cell r="K22" t="str">
            <v>4555＞5665＞未稅</v>
          </cell>
          <cell r="L22" t="str">
            <v>04-26810988＞0921-363823富國＞0988-206283老婆</v>
          </cell>
          <cell r="M22">
            <v>0</v>
          </cell>
          <cell r="R22" t="b">
            <v>0</v>
          </cell>
          <cell r="S22" t="str"/>
          <cell r="T22" t="b">
            <v>0</v>
          </cell>
          <cell r="W22">
            <v>437</v>
          </cell>
          <cell r="X22" t="str">
            <v>台中巿大甲區順帆路134-13號＞登:臺中市大甲區福德里4鄰 順帆路122號。</v>
          </cell>
          <cell r="Y22" t="str">
            <v>台中巿大甲區</v>
          </cell>
          <cell r="Z22" t="str">
            <v>台中巿大甲區順帆路134之13號.</v>
          </cell>
          <cell r="AA22" t="str">
            <v>437台中巿大甲區順帆路134-13號＞登:臺中市大甲區福德里4鄰 順帆路122號。</v>
          </cell>
          <cell r="AK22" t="str">
            <v>368-Y7</v>
          </cell>
          <cell r="AL22" t="str">
            <v>1-0011-海銓&gt;電&gt;親收&gt;帶客戶請款聯</v>
          </cell>
          <cell r="AM22" t="str">
            <v>1-0011</v>
          </cell>
        </row>
        <row r="23">
          <cell r="B23" t="str">
            <v>1-0018</v>
          </cell>
          <cell r="C23">
            <v>36102</v>
          </cell>
          <cell r="D23" t="str">
            <v>1-0018-輝業&gt;寄&gt;附發票&gt;附回郵</v>
          </cell>
          <cell r="E23" t="str">
            <v>輝業交通股份有限公司＞負:陳錦中</v>
          </cell>
          <cell r="F23" t="str">
            <v>輝業交通股份有限公司(18)</v>
          </cell>
          <cell r="G23" t="str">
            <v>含稅</v>
          </cell>
          <cell r="H23" t="str">
            <v>寄＞附發票＞附回郵＞</v>
          </cell>
          <cell r="I23" t="str">
            <v>8470＞7607＞含稅</v>
          </cell>
          <cell r="J23">
            <v>30</v>
          </cell>
          <cell r="L23" t="str">
            <v>02-24525427＞0937-224254中哥＞0928-064336駱小姐(帳務)＞傳真02-24525428</v>
          </cell>
          <cell r="M23">
            <v>0</v>
          </cell>
          <cell r="R23" t="b">
            <v>0</v>
          </cell>
          <cell r="S23" t="str"/>
          <cell r="T23" t="b">
            <v>0</v>
          </cell>
          <cell r="W23">
            <v>206</v>
          </cell>
          <cell r="X23" t="str">
            <v>基隆郵政3-52號信箱＞基隆巿七堵區大德路131-6號＞登:桃園縣蘆竹鄉南山路一段262號1樓。</v>
          </cell>
          <cell r="Y23" t="str">
            <v>基隆郵政3-</v>
          </cell>
          <cell r="Z23" t="str">
            <v>基隆郵政3-52號信箱.</v>
          </cell>
          <cell r="AA23" t="str">
            <v>206基隆郵政3-52號信箱＞基隆巿七堵區大德路131-6號＞登:桃園縣蘆竹鄉南山路一段262號1樓。</v>
          </cell>
          <cell r="AK23" t="str">
            <v>435-VE</v>
          </cell>
          <cell r="AL23" t="str">
            <v>1-0011-海銓&gt;電&gt;親收&gt;帶客戶請款聯</v>
          </cell>
          <cell r="AM23" t="str">
            <v>1-0011</v>
          </cell>
        </row>
        <row r="24">
          <cell r="B24" t="str">
            <v>1-0019</v>
          </cell>
          <cell r="C24">
            <v>36102</v>
          </cell>
          <cell r="D24" t="str">
            <v>1-0019-福雄&gt;寄&gt;附發票&gt;附回郵</v>
          </cell>
          <cell r="E24" t="str">
            <v>福雄工程股份有限公司＞負:江雪嬌</v>
          </cell>
          <cell r="F24" t="str">
            <v>福雄工程股份有限公司(19)</v>
          </cell>
          <cell r="G24" t="str">
            <v>稅外</v>
          </cell>
          <cell r="H24" t="str">
            <v>寄＞附發票＞附回郵＞</v>
          </cell>
          <cell r="I24" t="str">
            <v>4276＞7672＞稅外</v>
          </cell>
          <cell r="J24">
            <v>30</v>
          </cell>
          <cell r="L24" t="str">
            <v>037-466993＞傳真037-466880&gt;0989-096333小老闆&gt;0973-478958車管江建雄</v>
          </cell>
          <cell r="M24" t="str">
            <v>2-0068</v>
          </cell>
          <cell r="R24" t="b">
            <v>0</v>
          </cell>
          <cell r="S24" t="str"/>
          <cell r="T24" t="b">
            <v>0</v>
          </cell>
          <cell r="W24">
            <v>350</v>
          </cell>
          <cell r="X24" t="str">
            <v>苗栗縣竹南鎮青草三鄰50-2號＞登:新竹縣竹北市十興里29鄰縣政二路550號3樓。</v>
          </cell>
          <cell r="Y24" t="str">
            <v>苗栗縣竹南鎮</v>
          </cell>
          <cell r="Z24" t="str">
            <v>苗栗縣竹南鎮青草三鄰50之2號.</v>
          </cell>
          <cell r="AA24" t="str">
            <v>350苗栗縣竹南鎮青草三鄰50-2號＞登:新竹縣竹北市十興里29鄰縣政二路550號3樓。</v>
          </cell>
          <cell r="AK24" t="str">
            <v>4897-RV</v>
          </cell>
          <cell r="AL24" t="str">
            <v>1-0011-海銓&gt;電&gt;親收&gt;帶客戶請款聯</v>
          </cell>
          <cell r="AM24" t="str">
            <v>1-0011</v>
          </cell>
        </row>
        <row r="25">
          <cell r="B25" t="str">
            <v>1-0020</v>
          </cell>
          <cell r="C25">
            <v>36102</v>
          </cell>
          <cell r="D25" t="str">
            <v>1-0020-安全&gt;寄&gt;附回郵</v>
          </cell>
          <cell r="E25" t="str">
            <v>安全輪胎分行＞負:張永勝</v>
          </cell>
          <cell r="F25" t="str">
            <v>安全輪胎分行(20)</v>
          </cell>
          <cell r="G25" t="str">
            <v>含稅</v>
          </cell>
          <cell r="H25" t="str">
            <v>寄＞附回郵＞</v>
          </cell>
          <cell r="I25" t="str">
            <v>4972＞7802＞含稅</v>
          </cell>
          <cell r="J25">
            <v>30</v>
          </cell>
          <cell r="L25" t="str">
            <v>037-723908</v>
          </cell>
          <cell r="M25">
            <v>0</v>
          </cell>
          <cell r="R25" t="b">
            <v>0</v>
          </cell>
          <cell r="S25" t="str"/>
          <cell r="T25" t="b">
            <v>0</v>
          </cell>
          <cell r="W25">
            <v>356</v>
          </cell>
          <cell r="X25" t="str">
            <v>苗栗縣後龍鎮龍坑里16鄰十班坑161-8號。</v>
          </cell>
          <cell r="Y25" t="str">
            <v>苗栗縣後龍鎮</v>
          </cell>
          <cell r="Z25" t="str">
            <v>苗栗縣後龍鎮龍坑里16鄰十班坑161之8號.</v>
          </cell>
          <cell r="AA25" t="str">
            <v>356苗栗縣後龍鎮龍坑里16鄰十班坑161-8號。</v>
          </cell>
          <cell r="AK25" t="str">
            <v>553-Y7</v>
          </cell>
          <cell r="AL25" t="str">
            <v>1-0011-海銓&gt;電&gt;親收&gt;帶客戶請款聯</v>
          </cell>
          <cell r="AM25" t="str">
            <v>1-0011</v>
          </cell>
        </row>
        <row r="26">
          <cell r="B26" t="str">
            <v>1-0021</v>
          </cell>
          <cell r="C26">
            <v>36102</v>
          </cell>
          <cell r="D26" t="str">
            <v>1-0021-毅和&gt;寄&gt;附發票&gt;附回郵</v>
          </cell>
          <cell r="E26" t="str">
            <v>毅和實業有限公司＞負:黃民伶</v>
          </cell>
          <cell r="F26" t="str">
            <v>毅和實業有限公司(21)</v>
          </cell>
          <cell r="G26" t="str">
            <v>含稅</v>
          </cell>
          <cell r="H26" t="str">
            <v>寄＞附發票＞附回郵＞每月1號傳真上月全部出貨單，傳真後電聯確認總張數，待對方用印完過去領取再寄出</v>
          </cell>
          <cell r="I26" t="str">
            <v>8455＞7403＞含稅</v>
          </cell>
          <cell r="J26">
            <v>30</v>
          </cell>
          <cell r="L26" t="str">
            <v>037-470212李小姐＞傳真037-470217&gt;0972-951919-歐峰</v>
          </cell>
          <cell r="M26" t="str">
            <v>2-0052</v>
          </cell>
          <cell r="R26" t="b">
            <v>0</v>
          </cell>
          <cell r="S26" t="str"/>
          <cell r="T26" t="b">
            <v>0</v>
          </cell>
          <cell r="W26">
            <v>350</v>
          </cell>
          <cell r="X26" t="str">
            <v>苗栗縣竹南鎮港墘里3鄰29之12號＞登:苗栗縣竹南鎮大厝里13鄰真如路253巷26號。</v>
          </cell>
          <cell r="Y26" t="str">
            <v>苗栗縣竹南鎮</v>
          </cell>
          <cell r="Z26" t="str">
            <v>苗栗縣竹南鎮港墘里3鄰29之12號.</v>
          </cell>
          <cell r="AA26" t="str">
            <v>350苗栗縣竹南鎮港墘里3鄰29之12號＞登:苗栗縣竹南鎮大厝里13鄰真如路253巷26號。</v>
          </cell>
          <cell r="AK26" t="str">
            <v>6682-HE</v>
          </cell>
          <cell r="AL26" t="str">
            <v>1-0011-海銓&gt;電&gt;親收&gt;帶客戶請款聯</v>
          </cell>
          <cell r="AM26" t="str">
            <v>1-0011</v>
          </cell>
        </row>
        <row r="27">
          <cell r="B27" t="str">
            <v>1-0022</v>
          </cell>
          <cell r="C27">
            <v>36102</v>
          </cell>
          <cell r="D27" t="str">
            <v>1-0022-台新&gt;寄&gt;附發票&gt;兩個月25號匯款</v>
          </cell>
          <cell r="E27" t="str">
            <v>統新通運企業股份有限公司＞台新通運股份有限公司＞負:蔡孟庭</v>
          </cell>
          <cell r="F27" t="str">
            <v>台新通運股份有限公司(22)</v>
          </cell>
          <cell r="G27" t="str">
            <v>含稅</v>
          </cell>
          <cell r="H27" t="str">
            <v>寄＞附發票＞匯款:謝芳怡＞兩個月25號匯款一張8萬</v>
          </cell>
          <cell r="I27" t="str">
            <v>8445＞0107統新＞2777＞6194台新＞含稅&gt;轎車稅外加&gt;其他雜項稅外加&gt;救車571.XMZ.850照批發價含稅</v>
          </cell>
          <cell r="J27">
            <v>30</v>
          </cell>
          <cell r="K27" t="str">
            <v>匯款:陳名儒02913770291713卓蘭郵局</v>
          </cell>
          <cell r="L27" t="str">
            <v>04-25892466曾小姐＞傳真04-25892445</v>
          </cell>
          <cell r="M27" t="str">
            <v>2-0132</v>
          </cell>
          <cell r="R27" t="b">
            <v>0</v>
          </cell>
          <cell r="S27" t="str"/>
          <cell r="T27" t="b">
            <v>0</v>
          </cell>
          <cell r="W27">
            <v>369</v>
          </cell>
          <cell r="X27" t="str">
            <v>苗栗縣卓蘭鎮中正路1-6號＞登:苗栗縣卓蘭鎮內灣87-1號1樓。</v>
          </cell>
          <cell r="Y27" t="str">
            <v>苗栗縣卓蘭鎮</v>
          </cell>
          <cell r="Z27" t="str">
            <v>苗栗縣卓蘭鎮中正路1之6號.</v>
          </cell>
          <cell r="AA27" t="str">
            <v>369苗栗縣卓蘭鎮中正路1-6號＞登:苗栗縣卓蘭鎮內灣87-1號1樓。</v>
          </cell>
          <cell r="AK27" t="str">
            <v>6H-3017</v>
          </cell>
          <cell r="AL27" t="str">
            <v>1-0011-海銓&gt;電&gt;親收&gt;帶客戶請款聯</v>
          </cell>
          <cell r="AM27" t="str">
            <v>1-0011</v>
          </cell>
        </row>
        <row r="28">
          <cell r="B28" t="str">
            <v>1-0023</v>
          </cell>
          <cell r="C28">
            <v>36102</v>
          </cell>
          <cell r="D28" t="str">
            <v>1-0023-楊育茹&gt;拓隆&gt;廣丞&gt;寄&gt;附發票&gt;附回郵</v>
          </cell>
          <cell r="E28" t="str">
            <v>楊育茹＞靠行:廣丞國際開發有限公司,負:何鳳幸&gt;拓隆</v>
          </cell>
          <cell r="F28" t="str">
            <v>楊育茹(23)</v>
          </cell>
          <cell r="G28" t="str">
            <v>稅外</v>
          </cell>
          <cell r="H28" t="str">
            <v>寄＞附發票＞附回郵＞</v>
          </cell>
          <cell r="I28" t="str">
            <v>2429＞7586＞稅外</v>
          </cell>
          <cell r="J28">
            <v>30</v>
          </cell>
          <cell r="L28" t="str">
            <v>0928-361780楊育茹</v>
          </cell>
          <cell r="M28">
            <v>0</v>
          </cell>
          <cell r="R28" t="b">
            <v>0</v>
          </cell>
          <cell r="S28" t="str"/>
          <cell r="T28" t="b">
            <v>0</v>
          </cell>
          <cell r="W28">
            <v>300</v>
          </cell>
          <cell r="X28" t="str">
            <v>車廠帳:新竹巿西濱路三段20巷21-1號＞苗栗縣竹南鎮正義街115巷5弄13號＞登:新竹縣竹東鎮仁愛里沿河街609巷7號。</v>
          </cell>
          <cell r="Y28" t="str">
            <v>新竹巿西濱路</v>
          </cell>
          <cell r="Z28" t="str">
            <v>新竹巿西濱路三段20巷21之1號.</v>
          </cell>
          <cell r="AA28" t="str">
            <v>300車廠帳:新竹巿西濱路三段20巷21-1號＞苗栗縣竹南鎮正義街115巷5弄13號＞登:新竹縣竹東鎮仁愛里沿河街609巷7號。</v>
          </cell>
          <cell r="AK28" t="str">
            <v>7272-NA</v>
          </cell>
          <cell r="AL28" t="str">
            <v>1-0011-海銓&gt;電&gt;親收&gt;帶客戶請款聯</v>
          </cell>
          <cell r="AM28" t="str">
            <v>1-0011</v>
          </cell>
        </row>
        <row r="29">
          <cell r="B29" t="str">
            <v>1-0024</v>
          </cell>
          <cell r="C29">
            <v>36102</v>
          </cell>
          <cell r="D29" t="str">
            <v>1-0024-永晟&gt;寄&gt;附發票&gt;附回郵</v>
          </cell>
          <cell r="E29" t="str">
            <v>永晟砂石企業社＞負:黃兆亭</v>
          </cell>
          <cell r="F29" t="str">
            <v>永晟砂石企業社(24)</v>
          </cell>
          <cell r="G29" t="str">
            <v>含稅</v>
          </cell>
          <cell r="H29" t="str">
            <v>寄＞附發票＞附回郵＞</v>
          </cell>
          <cell r="I29" t="str">
            <v>1920＞8705＞含稅</v>
          </cell>
          <cell r="J29">
            <v>30</v>
          </cell>
          <cell r="L29" t="str">
            <v>037-612958＞0932-955619＞傳真037-612928</v>
          </cell>
          <cell r="M29">
            <v>0</v>
          </cell>
          <cell r="R29" t="b">
            <v>0</v>
          </cell>
          <cell r="S29" t="str"/>
          <cell r="T29" t="b">
            <v>0</v>
          </cell>
          <cell r="W29">
            <v>351</v>
          </cell>
          <cell r="X29" t="str">
            <v>苗栗縣頭份鎮尖下里13鄰尖下250-2號。</v>
          </cell>
          <cell r="Y29" t="str">
            <v>苗栗縣頭份鎮</v>
          </cell>
          <cell r="Z29" t="str">
            <v>苗栗縣頭份鎮尖下里13鄰尖下250之2號.</v>
          </cell>
          <cell r="AA29" t="str">
            <v>351苗栗縣頭份鎮尖下里13鄰尖下250-2號。</v>
          </cell>
          <cell r="AK29" t="str">
            <v>8A-8121</v>
          </cell>
          <cell r="AL29" t="str">
            <v>1-0011-海銓&gt;電&gt;親收&gt;帶客戶請款聯</v>
          </cell>
          <cell r="AM29" t="str">
            <v>1-0011</v>
          </cell>
        </row>
        <row r="30">
          <cell r="B30" t="str">
            <v>1-0025</v>
          </cell>
          <cell r="C30">
            <v>36102</v>
          </cell>
          <cell r="D30" t="str">
            <v>1-0025-勇城&gt;寄&gt;附發票&gt;附回郵</v>
          </cell>
          <cell r="E30" t="str">
            <v>勇城重機工程有限公司＞負:黃仕勇</v>
          </cell>
          <cell r="F30" t="str">
            <v>勇城重機工程有限公司(25)</v>
          </cell>
          <cell r="G30" t="str">
            <v>含稅</v>
          </cell>
          <cell r="H30" t="str">
            <v>寄＞附發票＞附回郵＞</v>
          </cell>
          <cell r="I30" t="str">
            <v>2814＞7455＞含稅</v>
          </cell>
          <cell r="J30">
            <v>30</v>
          </cell>
          <cell r="L30" t="str">
            <v>037-728928＞0933-409583＞傳真037-728979</v>
          </cell>
          <cell r="M30">
            <v>0</v>
          </cell>
          <cell r="R30" t="b">
            <v>0</v>
          </cell>
          <cell r="S30" t="str"/>
          <cell r="T30" t="b">
            <v>0</v>
          </cell>
          <cell r="W30">
            <v>356</v>
          </cell>
          <cell r="X30" t="str">
            <v>苗栗縣後龍鎮龍坑里後龍底6-3號。</v>
          </cell>
          <cell r="Y30" t="str">
            <v>苗栗縣後龍鎮</v>
          </cell>
          <cell r="Z30" t="str">
            <v>苗栗縣後龍鎮龍坑里後龍底6之3號.</v>
          </cell>
          <cell r="AA30" t="str">
            <v>356苗栗縣後龍鎮龍坑里後龍底6-3號。</v>
          </cell>
          <cell r="AK30" t="str">
            <v>948-ZX</v>
          </cell>
          <cell r="AL30" t="str">
            <v>1-0011-海銓&gt;電&gt;親收&gt;帶客戶請款聯</v>
          </cell>
          <cell r="AM30" t="str">
            <v>1-0011</v>
          </cell>
        </row>
        <row r="31">
          <cell r="B31" t="str">
            <v>1-0026</v>
          </cell>
          <cell r="C31">
            <v>36102</v>
          </cell>
          <cell r="D31" t="str">
            <v>1-0026-太原氣體&gt;寄&gt;附發票&gt;附回郵</v>
          </cell>
          <cell r="E31" t="str">
            <v>太原氣體股份有限公司＞負:溫穩鵬＞欣欣氣體有限公司＞負:王憶珍＞永昌工業股份有限公司</v>
          </cell>
          <cell r="F31" t="str">
            <v>太原氣體股份有限公司(26)</v>
          </cell>
          <cell r="G31" t="str">
            <v>稅外</v>
          </cell>
          <cell r="H31" t="str">
            <v>寄＞附發票＞附回郵＞</v>
          </cell>
          <cell r="I31" t="str">
            <v>4970＞3344太原＞2788＞0393欣欣＞8999＞8301永昌＞稅外</v>
          </cell>
          <cell r="J31">
            <v>30</v>
          </cell>
          <cell r="L31" t="str">
            <v>037-623340＞037-625350＞傳真037-620036</v>
          </cell>
          <cell r="M31">
            <v>0</v>
          </cell>
          <cell r="R31" t="b">
            <v>0</v>
          </cell>
          <cell r="S31" t="str"/>
          <cell r="T31" t="b">
            <v>0</v>
          </cell>
          <cell r="W31">
            <v>351</v>
          </cell>
          <cell r="X31" t="str">
            <v>苗栗縣頭份鎮蘆竹里16鄰中華路428號＞欣登:苗栗縣頭份鎮上埔里4鄰中正一路173巷22號1樓。</v>
          </cell>
          <cell r="Y31" t="str">
            <v>苗栗縣頭份鎮</v>
          </cell>
          <cell r="Z31" t="str">
            <v>苗栗縣頭份鎮蘆竹里16鄰中華路428號.</v>
          </cell>
          <cell r="AA31" t="str">
            <v>351苗栗縣頭份鎮蘆竹里16鄰中華路428號＞欣登:苗栗縣頭份鎮上埔里4鄰中正一路173巷22號1樓。</v>
          </cell>
          <cell r="AK31" t="str">
            <v>F9-3513</v>
          </cell>
          <cell r="AL31" t="str">
            <v>1-0011-海銓&gt;電&gt;親收&gt;帶客戶請款聯</v>
          </cell>
          <cell r="AM31" t="str">
            <v>1-0011</v>
          </cell>
        </row>
        <row r="32">
          <cell r="B32" t="str">
            <v>1-0027</v>
          </cell>
          <cell r="C32" t="str">
            <v>103-9-14</v>
          </cell>
          <cell r="D32" t="str">
            <v>1-0027-震洋&gt;寄&gt;附回郵</v>
          </cell>
          <cell r="E32" t="str">
            <v>震洋輪胎行＞負:陳光震</v>
          </cell>
          <cell r="F32" t="str">
            <v>震洋輪胎行(27)</v>
          </cell>
          <cell r="G32" t="str">
            <v>未稅</v>
          </cell>
          <cell r="H32" t="str">
            <v>寄＞附回郵＞</v>
          </cell>
          <cell r="I32" t="str">
            <v>未稅</v>
          </cell>
          <cell r="J32">
            <v>30</v>
          </cell>
          <cell r="K32" t="str">
            <v>7692＞4952＞未稅</v>
          </cell>
          <cell r="L32" t="str">
            <v>037-682998＞0928-943367陳光震＞傳真037-685698</v>
          </cell>
          <cell r="M32" t="str">
            <v>2-0002</v>
          </cell>
          <cell r="R32" t="b">
            <v>0</v>
          </cell>
          <cell r="S32" t="str"/>
          <cell r="T32" t="b">
            <v>0</v>
          </cell>
          <cell r="W32">
            <v>351</v>
          </cell>
          <cell r="X32" t="str">
            <v>苗栗縣頭份鎮新華里22鄰中正一路538號。</v>
          </cell>
          <cell r="Y32" t="str">
            <v>苗栗縣頭份鎮</v>
          </cell>
          <cell r="Z32" t="str">
            <v>苗栗縣頭份鎮新華里22鄰中正一路538號.</v>
          </cell>
          <cell r="AA32" t="str">
            <v>351苗栗縣頭份鎮新華里22鄰中正一路538號。</v>
          </cell>
          <cell r="AK32" t="str">
            <v>571-Q8</v>
          </cell>
          <cell r="AL32" t="str">
            <v>1-0817-(2/2)捷順&gt;寄&gt;附發票&gt;三個月匯款</v>
          </cell>
          <cell r="AM32" t="str">
            <v>1-0817</v>
          </cell>
        </row>
        <row r="33">
          <cell r="B33" t="str">
            <v>1-0028</v>
          </cell>
          <cell r="C33">
            <v>36102</v>
          </cell>
          <cell r="D33" t="str">
            <v>1-0028-萬進砂石&gt;寄&gt;附發票&gt;匯款</v>
          </cell>
          <cell r="E33" t="str">
            <v>萬進砂石股份有限公司＞萬宏實業社＞嘉裕＞省裕＞負:李國忠</v>
          </cell>
          <cell r="F33" t="str">
            <v>萬進砂石股份有限公司(28)</v>
          </cell>
          <cell r="G33" t="str">
            <v>含稅</v>
          </cell>
          <cell r="H33" t="str">
            <v>寄＞附發票＞匯款＞</v>
          </cell>
          <cell r="I33" t="str">
            <v>1687＞3022萬進＞1567＞8155萬宏＞含稅＞中華全佑</v>
          </cell>
          <cell r="J33">
            <v>30</v>
          </cell>
          <cell r="L33" t="str">
            <v>04-25894098＞0923-184001</v>
          </cell>
          <cell r="M33">
            <v>0</v>
          </cell>
          <cell r="R33" t="b">
            <v>0</v>
          </cell>
          <cell r="S33" t="str"/>
          <cell r="T33" t="b">
            <v>0</v>
          </cell>
          <cell r="W33">
            <v>369</v>
          </cell>
          <cell r="X33" t="str">
            <v>卓蘭郵政21信箱＞登:臺中市大甲區通天路45-3號。</v>
          </cell>
          <cell r="Y33" t="str">
            <v>卓蘭郵政21</v>
          </cell>
          <cell r="Z33" t="str">
            <v>卓蘭郵政21信箱.</v>
          </cell>
          <cell r="AA33" t="str">
            <v>369卓蘭郵政21信箱＞登:臺中市大甲區通天路45-3號。</v>
          </cell>
          <cell r="AK33" t="str">
            <v>791-H9</v>
          </cell>
          <cell r="AL33" t="str">
            <v>1-0056-寬輾&gt;寄&gt;附回郵(1/3)</v>
          </cell>
          <cell r="AM33" t="str">
            <v>1-0056</v>
          </cell>
        </row>
        <row r="34">
          <cell r="B34" t="str">
            <v>1-0029</v>
          </cell>
          <cell r="C34" t="str">
            <v>109-01-20/郭雯瑀</v>
          </cell>
          <cell r="D34" t="str">
            <v>1-0029-聖統環保</v>
          </cell>
          <cell r="E34" t="str">
            <v>聖統環保有限公司&gt;負:張吉汜</v>
          </cell>
          <cell r="F34" t="str">
            <v>聖統環保有限公司(29)</v>
          </cell>
          <cell r="G34" t="str">
            <v>稅外</v>
          </cell>
          <cell r="H34" t="str">
            <v>付現</v>
          </cell>
          <cell r="I34" t="str">
            <v>稅外&gt;4511&gt;9833</v>
          </cell>
          <cell r="J34">
            <v>30</v>
          </cell>
          <cell r="L34" t="str">
            <v>03-6668868&gt;傳真03-6669839</v>
          </cell>
          <cell r="M34" t="str">
            <v>2-0003</v>
          </cell>
          <cell r="R34" t="b">
            <v>0</v>
          </cell>
          <cell r="S34" t="str"/>
          <cell r="T34" t="b">
            <v>0</v>
          </cell>
          <cell r="W34">
            <v>308</v>
          </cell>
          <cell r="X34" t="str">
            <v>新竹市興學街46號2樓</v>
          </cell>
          <cell r="Y34" t="str">
            <v>新竹縣寶山鄉</v>
          </cell>
          <cell r="Z34" t="str">
            <v>新竹縣寶山鄉大雅街26-2號</v>
          </cell>
          <cell r="AA34" t="str">
            <v>308新竹市興學街46號2樓</v>
          </cell>
          <cell r="AK34" t="str">
            <v>946-VN</v>
          </cell>
          <cell r="AL34" t="str">
            <v>1-0014-六順(順合)&gt;寄&gt;附發票&gt;附回郵</v>
          </cell>
          <cell r="AM34" t="str">
            <v>1-0014</v>
          </cell>
        </row>
        <row r="35">
          <cell r="B35" t="str">
            <v>1-0030</v>
          </cell>
          <cell r="C35">
            <v>36102</v>
          </cell>
          <cell r="D35" t="str">
            <v>1-0030-偉訊(冠軍)&gt;寄&gt;附發票&gt;附回郵</v>
          </cell>
          <cell r="E35" t="str">
            <v xml:space="preserve">偉訊股份有限公司＞負:周國輝 </v>
          </cell>
          <cell r="F35" t="str">
            <v>偉訊股份有限公司(30)</v>
          </cell>
          <cell r="G35" t="str">
            <v>含稅</v>
          </cell>
          <cell r="H35" t="str">
            <v>寄＞附發票＞附回郵＞</v>
          </cell>
          <cell r="I35" t="str">
            <v>2356＞5845＞含稅</v>
          </cell>
          <cell r="J35">
            <v>30</v>
          </cell>
          <cell r="L35" t="str">
            <v>037-580699＞傳真037-580257</v>
          </cell>
          <cell r="M35">
            <v>0</v>
          </cell>
          <cell r="R35" t="b">
            <v>0</v>
          </cell>
          <cell r="S35" t="str"/>
          <cell r="T35" t="b">
            <v>0</v>
          </cell>
          <cell r="W35">
            <v>350</v>
          </cell>
          <cell r="X35" t="str">
            <v>苗栗縣竹南鎮大埔里13鄰竹篙厝200號＞登:苗栗縣竹南鎮營盤里11鄰建國路190巷17號1樓。</v>
          </cell>
          <cell r="Y35" t="str">
            <v>苗栗縣竹南鎮</v>
          </cell>
          <cell r="Z35" t="str">
            <v>苗栗縣竹南鎮大埔里13鄰竹篙厝200號.</v>
          </cell>
          <cell r="AA35" t="str">
            <v>350苗栗縣竹南鎮大埔里13鄰竹篙厝200號＞登:苗栗縣竹南鎮營盤里11鄰建國路190巷17號1樓。</v>
          </cell>
          <cell r="AK35" t="str">
            <v>970-TU</v>
          </cell>
          <cell r="AL35" t="str">
            <v>1-0015-志祥&gt;寄&gt;附回郵&gt;勿催帳</v>
          </cell>
          <cell r="AM35" t="str">
            <v>1-0015</v>
          </cell>
        </row>
        <row r="36">
          <cell r="B36" t="str">
            <v>1-0031</v>
          </cell>
          <cell r="C36">
            <v>36102</v>
          </cell>
          <cell r="D36" t="str">
            <v>1-0031-上和&gt;寄&gt;附發票&gt;附回郵</v>
          </cell>
          <cell r="E36" t="str">
            <v>上和建材行＞負:郭烽文＞三和工程行＞負:林誼雄</v>
          </cell>
          <cell r="F36" t="str">
            <v>上和建材行(31)</v>
          </cell>
          <cell r="G36" t="str">
            <v>稅外</v>
          </cell>
          <cell r="H36" t="str">
            <v>寄＞附發票＞附回郵＞請款單+小車帳到大車內&gt;不算夜間費用</v>
          </cell>
          <cell r="I36" t="str">
            <v>4543＞1308上和＞4572＞2489三和＞稅外</v>
          </cell>
          <cell r="J36">
            <v>30</v>
          </cell>
          <cell r="L36" t="str">
            <v>037-476511＞0932-565904郭烽文＞傳真037-467009</v>
          </cell>
          <cell r="M36" t="str">
            <v>2-0122</v>
          </cell>
          <cell r="R36" t="b">
            <v>0</v>
          </cell>
          <cell r="S36" t="str"/>
          <cell r="T36" t="b">
            <v>0</v>
          </cell>
          <cell r="W36">
            <v>350</v>
          </cell>
          <cell r="X36" t="str">
            <v>苗栗縣竹南鎮竹興里竹圍仔13鄰87之2號＞登:苗栗縣竹南鎮正南里25鄰福德路176號。</v>
          </cell>
          <cell r="Y36" t="str">
            <v>苗栗縣竹南鎮</v>
          </cell>
          <cell r="Z36" t="str">
            <v>苗栗縣竹南鎮竹興里竹圍仔13鄰87之2號.</v>
          </cell>
          <cell r="AA36" t="str">
            <v>350苗栗縣竹南鎮竹興里竹圍仔13鄰87之2號＞登:苗栗縣竹南鎮正南里25鄰福德路176號。</v>
          </cell>
          <cell r="AK36" t="str">
            <v>AAJ-517</v>
          </cell>
          <cell r="AL36" t="str">
            <v>1-0015-志祥&gt;寄&gt;附回郵&gt;勿催帳</v>
          </cell>
          <cell r="AM36" t="str">
            <v>1-0015</v>
          </cell>
        </row>
        <row r="37">
          <cell r="B37" t="str">
            <v>1-0032</v>
          </cell>
          <cell r="C37">
            <v>36102</v>
          </cell>
          <cell r="D37" t="str">
            <v>1-0032-伸有&gt;寄&gt;附發票&gt;附回郵</v>
          </cell>
          <cell r="E37" t="str">
            <v>伸有工程行＞負:許原順＞許志忠</v>
          </cell>
          <cell r="F37" t="str">
            <v>伸有工程行(32)</v>
          </cell>
          <cell r="G37" t="str">
            <v>含稅</v>
          </cell>
          <cell r="H37" t="str">
            <v>寄＞附發票＞附回郵＞</v>
          </cell>
          <cell r="I37" t="str">
            <v>4531＞1275＞含稅</v>
          </cell>
          <cell r="J37">
            <v>30</v>
          </cell>
          <cell r="L37" t="str">
            <v>04-7746242＞0919-017599＞0931-632909</v>
          </cell>
          <cell r="M37">
            <v>0</v>
          </cell>
          <cell r="R37" t="b">
            <v>0</v>
          </cell>
          <cell r="S37" t="str"/>
          <cell r="T37" t="b">
            <v>0</v>
          </cell>
          <cell r="W37">
            <v>505</v>
          </cell>
          <cell r="X37" t="str">
            <v>彰化縣鹿港鎮鹿和路二段262巷72號＞登:彰化縣和美鎮南佃里嘉佃路101巷4號。</v>
          </cell>
          <cell r="Y37" t="str">
            <v>彰化縣鹿港鎮</v>
          </cell>
          <cell r="Z37" t="str">
            <v>彰化縣鹿港鎮鹿和路二段262巷72號.</v>
          </cell>
          <cell r="AA37" t="str">
            <v>505彰化縣鹿港鎮鹿和路二段262巷72號＞登:彰化縣和美鎮南佃里嘉佃路101巷4號。</v>
          </cell>
          <cell r="AK37" t="str">
            <v>4633-T7</v>
          </cell>
          <cell r="AL37" t="str">
            <v>1-0015-志祥&gt;寄&gt;附回郵&gt;勿催帳</v>
          </cell>
          <cell r="AM37" t="str">
            <v>1-0015</v>
          </cell>
        </row>
        <row r="38">
          <cell r="B38" t="str">
            <v>1-0033</v>
          </cell>
          <cell r="C38">
            <v>36102</v>
          </cell>
          <cell r="D38" t="str">
            <v>1-0033-堃揚&gt;寄&gt;附發票&gt;附回郵</v>
          </cell>
          <cell r="E38" t="str">
            <v>堃揚企業社＞黃文漢</v>
          </cell>
          <cell r="F38" t="str">
            <v>堃揚企業社(33)</v>
          </cell>
          <cell r="G38" t="str">
            <v>含稅</v>
          </cell>
          <cell r="H38" t="str">
            <v>寄＞附發票＞附回郵＞</v>
          </cell>
          <cell r="I38" t="str">
            <v>2187＞1903＞含稅</v>
          </cell>
          <cell r="J38">
            <v>30</v>
          </cell>
          <cell r="L38" t="str">
            <v>04-7584149＞0935-066124＞傳真04-7589389</v>
          </cell>
          <cell r="M38">
            <v>0</v>
          </cell>
          <cell r="R38" t="b">
            <v>0</v>
          </cell>
          <cell r="S38" t="str"/>
          <cell r="T38" t="b">
            <v>0</v>
          </cell>
          <cell r="W38">
            <v>507</v>
          </cell>
          <cell r="X38" t="str">
            <v>彰化縣線西鄉線伸路61-1號＞登:彰化縣和美鎮仁愛里 27鄰和順路210號1樓。</v>
          </cell>
          <cell r="Y38" t="str">
            <v>彰化縣線西鄉</v>
          </cell>
          <cell r="Z38" t="str">
            <v>彰化縣線西鄉線伸路61之1號.</v>
          </cell>
          <cell r="AA38" t="str">
            <v>507彰化縣線西鄉線伸路61-1號＞登:彰化縣和美鎮仁愛里 27鄰和順路210號1樓。</v>
          </cell>
          <cell r="AK38" t="str">
            <v>6908-LM</v>
          </cell>
          <cell r="AL38" t="str">
            <v>1-0015-志祥&gt;寄&gt;附回郵&gt;勿催帳</v>
          </cell>
          <cell r="AM38" t="str">
            <v>1-0015</v>
          </cell>
        </row>
        <row r="39">
          <cell r="B39" t="str">
            <v>1-0034</v>
          </cell>
          <cell r="C39">
            <v>36102</v>
          </cell>
          <cell r="D39" t="str">
            <v>1-0034-鳴洋&gt;寄&gt;附發票&gt;附回郵</v>
          </cell>
          <cell r="E39" t="str">
            <v>嗚洋汽車貨運有限公司＞負:楊瑞寶＞楊鎮瑞</v>
          </cell>
          <cell r="F39" t="str">
            <v>嗚洋汽車貨運有限公司(34)</v>
          </cell>
          <cell r="G39" t="str">
            <v>含稅</v>
          </cell>
          <cell r="H39" t="str">
            <v>寄＞附發票＞附回郵＞</v>
          </cell>
          <cell r="I39" t="str">
            <v>1669＞9805＞含稅</v>
          </cell>
          <cell r="J39">
            <v>30</v>
          </cell>
          <cell r="L39" t="str">
            <v>037-550121＞0937-280022＞傳真037-550118</v>
          </cell>
          <cell r="M39">
            <v>0</v>
          </cell>
          <cell r="R39" t="b">
            <v>0</v>
          </cell>
          <cell r="S39" t="str"/>
          <cell r="T39" t="b">
            <v>0</v>
          </cell>
          <cell r="W39">
            <v>350</v>
          </cell>
          <cell r="X39" t="str">
            <v>苗栗縣竹南鎮崎頂里3鄰青草27-26號＞登:苗栗縣頭份鎮民族里3鄰自強路271號1樓。</v>
          </cell>
          <cell r="Y39" t="str">
            <v>苗栗縣竹南鎮</v>
          </cell>
          <cell r="Z39" t="str">
            <v>苗栗縣竹南鎮崎頂里3鄰青草27之26號.</v>
          </cell>
          <cell r="AA39" t="str">
            <v>350苗栗縣竹南鎮崎頂里3鄰青草27-26號＞登:苗栗縣頭份鎮民族里3鄰自強路271號1樓。</v>
          </cell>
          <cell r="AK39" t="str">
            <v>3611-HL</v>
          </cell>
          <cell r="AL39" t="str">
            <v>1-0018-輝業&gt;寄&gt;附發票&gt;附回郵</v>
          </cell>
          <cell r="AM39" t="str">
            <v>1-0018</v>
          </cell>
        </row>
        <row r="40">
          <cell r="B40" t="str">
            <v>1-0035</v>
          </cell>
          <cell r="C40">
            <v>36102</v>
          </cell>
          <cell r="D40" t="str">
            <v>1-0035-小香港爸爸&gt;寄&gt;自結</v>
          </cell>
          <cell r="E40" t="str">
            <v>洪來福＞小香港爸爸＞靠行:福聖貨運股份有限公司,負:陳玉桂</v>
          </cell>
          <cell r="F40" t="str">
            <v>洪來福(35)</v>
          </cell>
          <cell r="G40" t="str">
            <v>未稅</v>
          </cell>
          <cell r="H40" t="str">
            <v>寄＞自結＞</v>
          </cell>
          <cell r="I40" t="str">
            <v>未稅</v>
          </cell>
          <cell r="J40">
            <v>30</v>
          </cell>
          <cell r="K40" t="str">
            <v>5054＞2579＞未稅</v>
          </cell>
          <cell r="L40" t="str">
            <v>0932-524282</v>
          </cell>
          <cell r="M40">
            <v>0</v>
          </cell>
          <cell r="R40" t="b">
            <v>0</v>
          </cell>
          <cell r="S40" t="str"/>
          <cell r="T40" t="b">
            <v>0</v>
          </cell>
          <cell r="W40">
            <v>350</v>
          </cell>
          <cell r="X40" t="str">
            <v>苗栗縣竹南鎮天文里14鄰龍昇街91號＞登:苗栗縣後龍鎮龍坑里一五鄰十班坑一六九之七號。</v>
          </cell>
          <cell r="Y40" t="str">
            <v>苗栗縣竹南鎮</v>
          </cell>
          <cell r="Z40" t="str">
            <v>苗栗縣竹南鎮天文里14鄰龍昇街91號.</v>
          </cell>
          <cell r="AA40" t="str">
            <v>350苗栗縣竹南鎮天文里14鄰龍昇街91號＞登:苗栗縣後龍鎮龍坑里一五鄰十班坑一六九之七號。</v>
          </cell>
          <cell r="AK40" t="str">
            <v>655-HZ</v>
          </cell>
          <cell r="AL40" t="str">
            <v>1-0018-輝業&gt;寄&gt;附發票&gt;附回郵</v>
          </cell>
          <cell r="AM40" t="str">
            <v>1-0018</v>
          </cell>
        </row>
        <row r="41">
          <cell r="B41" t="str">
            <v>1-0036</v>
          </cell>
          <cell r="C41" t="str">
            <v>104-9-18</v>
          </cell>
          <cell r="D41" t="str">
            <v>1-0036-吳兆雄&gt;電&gt;自結</v>
          </cell>
          <cell r="E41" t="str">
            <v>吳兆雄＞靠行:嘉盛汽車運輸股份有限公司,負:黃添福</v>
          </cell>
          <cell r="F41" t="str">
            <v>吳兆雄(36)</v>
          </cell>
          <cell r="G41" t="str">
            <v>含稅</v>
          </cell>
          <cell r="H41" t="str">
            <v>電＞自結＞</v>
          </cell>
          <cell r="I41" t="str">
            <v>4938＞9534＞含稅</v>
          </cell>
          <cell r="J41">
            <v>30</v>
          </cell>
          <cell r="L41" t="str">
            <v>0932-954109吳兆雄</v>
          </cell>
          <cell r="M41">
            <v>0</v>
          </cell>
          <cell r="R41" t="b">
            <v>0</v>
          </cell>
          <cell r="S41" t="str"/>
          <cell r="T41" t="b">
            <v>0</v>
          </cell>
          <cell r="Y41" t="str"/>
          <cell r="AA41" t="str"/>
          <cell r="AK41" t="str">
            <v>890-HY</v>
          </cell>
          <cell r="AL41" t="str">
            <v>1-0018-輝業&gt;寄&gt;附發票&gt;附回郵</v>
          </cell>
          <cell r="AM41" t="str">
            <v>1-0018</v>
          </cell>
        </row>
        <row r="42">
          <cell r="B42" t="str">
            <v>1-0037</v>
          </cell>
          <cell r="C42">
            <v>36102</v>
          </cell>
          <cell r="D42" t="str">
            <v>1-0037-振富&gt;寄&gt;附回郵</v>
          </cell>
          <cell r="E42" t="str">
            <v>振富車體廠＞吳基龍</v>
          </cell>
          <cell r="F42" t="str">
            <v>振富車體廠(37)</v>
          </cell>
          <cell r="G42" t="str">
            <v>未稅</v>
          </cell>
          <cell r="H42" t="str">
            <v>寄＞附回郵＞</v>
          </cell>
          <cell r="I42" t="str">
            <v>未稅</v>
          </cell>
          <cell r="J42">
            <v>30</v>
          </cell>
          <cell r="K42" t="str">
            <v>4981＞7347＞未稅</v>
          </cell>
          <cell r="L42" t="str">
            <v>037-860716＞037-860116＞0933-172393＞傳真037-862378</v>
          </cell>
          <cell r="M42">
            <v>0</v>
          </cell>
          <cell r="R42" t="b">
            <v>0</v>
          </cell>
          <cell r="S42" t="str"/>
          <cell r="T42" t="b">
            <v>0</v>
          </cell>
          <cell r="W42">
            <v>358</v>
          </cell>
          <cell r="X42" t="str">
            <v>苗栗縣苑裡鎮房裡里中山路69-26號。</v>
          </cell>
          <cell r="Y42" t="str">
            <v>苗栗縣苑裡鎮</v>
          </cell>
          <cell r="Z42" t="str">
            <v>苗栗縣苑裡鎮房裡里中山路69之26號.</v>
          </cell>
          <cell r="AA42" t="str">
            <v>358苗栗縣苑裡鎮房裡里中山路69-26號。</v>
          </cell>
          <cell r="AK42" t="str">
            <v>GV-272</v>
          </cell>
          <cell r="AL42" t="str">
            <v>1-0018-輝業&gt;寄&gt;附發票&gt;附回郵</v>
          </cell>
          <cell r="AM42" t="str">
            <v>1-0018</v>
          </cell>
        </row>
        <row r="43">
          <cell r="B43" t="str">
            <v>1-0038</v>
          </cell>
          <cell r="C43">
            <v>36102</v>
          </cell>
          <cell r="D43" t="str">
            <v>1-0038-長鴻&gt;寄&gt;附發票&gt;附回郵</v>
          </cell>
          <cell r="E43" t="str">
            <v>長鴻輪胎行＞負:彭智偉</v>
          </cell>
          <cell r="F43" t="str">
            <v>長鴻輪胎行(38)</v>
          </cell>
          <cell r="G43" t="str">
            <v>含稅</v>
          </cell>
          <cell r="H43" t="str">
            <v>寄＞附發票＞附回郵＞</v>
          </cell>
          <cell r="I43" t="str">
            <v>1342＞2974＞含稅</v>
          </cell>
          <cell r="J43">
            <v>30</v>
          </cell>
          <cell r="L43" t="str">
            <v>037-</v>
          </cell>
          <cell r="M43">
            <v>0</v>
          </cell>
          <cell r="R43" t="b">
            <v>0</v>
          </cell>
          <cell r="S43" t="str"/>
          <cell r="T43" t="b">
            <v>0</v>
          </cell>
          <cell r="W43">
            <v>420</v>
          </cell>
          <cell r="X43" t="str">
            <v>台中市豐原區鎌村里1鄰 鐮村路39巷108弄45號1樓。</v>
          </cell>
          <cell r="Y43" t="str">
            <v>台中市豐原區</v>
          </cell>
          <cell r="Z43" t="str">
            <v>台中市豐原區鎌村里1鄰 鐮村路39巷108弄45號1樓.</v>
          </cell>
          <cell r="AA43" t="str">
            <v>420台中市豐原區鎌村里1鄰 鐮村路39巷108弄45號1樓。</v>
          </cell>
          <cell r="AK43" t="str">
            <v>022-QW</v>
          </cell>
          <cell r="AL43" t="str">
            <v>1-0019-福雄&gt;寄&gt;附發票&gt;附回郵</v>
          </cell>
          <cell r="AM43" t="str">
            <v>1-0019</v>
          </cell>
        </row>
        <row r="44">
          <cell r="B44" t="str">
            <v>1-0039</v>
          </cell>
          <cell r="C44">
            <v>36102</v>
          </cell>
          <cell r="D44" t="str">
            <v>1-0039-來大&gt;景森&gt;寄&gt;附發票&gt;附回郵</v>
          </cell>
          <cell r="E44" t="str">
            <v>景森興業有限公司＞展大砂石有限公司＞非洲企業有限公司＞仁旺汽車貨運行＞游仲佑</v>
          </cell>
          <cell r="F44" t="str">
            <v>來大企業有限公司(39)</v>
          </cell>
          <cell r="G44" t="str">
            <v>含稅</v>
          </cell>
          <cell r="H44" t="str">
            <v>寄＞附發票＞附回郵＞</v>
          </cell>
          <cell r="I44" t="str">
            <v>8014＞0475景森＞1271＞6249展大＞1668＞0019非洲＞1005＞9704仁旺＞含稅</v>
          </cell>
          <cell r="J44">
            <v>30</v>
          </cell>
          <cell r="L44" t="str">
            <v>04-25609384＞0972-879555游宏偉＞傳真04-25660846</v>
          </cell>
          <cell r="M44" t="str">
            <v>2-0121</v>
          </cell>
          <cell r="R44" t="b">
            <v>0</v>
          </cell>
          <cell r="S44" t="str"/>
          <cell r="T44" t="b">
            <v>0</v>
          </cell>
          <cell r="W44">
            <v>435</v>
          </cell>
          <cell r="X44" t="str">
            <v>台中縣梧棲區臨港路三段62號＞登:臺中市北區崇興路二段二巷一號三樓。</v>
          </cell>
          <cell r="Y44" t="str">
            <v>台中縣梧棲區</v>
          </cell>
          <cell r="Z44" t="str">
            <v>台中縣梧棲區臨港路三段62號</v>
          </cell>
          <cell r="AA44" t="str">
            <v>435台中縣梧棲區臨港路三段62號＞登:臺中市北區崇興路二段二巷一號三樓。</v>
          </cell>
          <cell r="AK44" t="str">
            <v>022-SW</v>
          </cell>
          <cell r="AL44" t="str">
            <v>1-0019-福雄&gt;寄&gt;附發票&gt;附回郵</v>
          </cell>
          <cell r="AM44" t="str">
            <v>1-0019</v>
          </cell>
        </row>
        <row r="45">
          <cell r="B45" t="str">
            <v>1-0040</v>
          </cell>
          <cell r="C45">
            <v>36102</v>
          </cell>
          <cell r="D45" t="str">
            <v>1-0040-久大&gt;寄&gt;附回郵</v>
          </cell>
          <cell r="E45" t="str">
            <v>范能生＞久大＞靠行:冠德交通股份有限公司,負:溫駿軒</v>
          </cell>
          <cell r="F45" t="str">
            <v>久大范能生(40)</v>
          </cell>
          <cell r="G45" t="str">
            <v>未稅</v>
          </cell>
          <cell r="H45" t="str">
            <v>寄＞附回郵＞</v>
          </cell>
          <cell r="I45" t="str">
            <v>未稅</v>
          </cell>
          <cell r="J45">
            <v>30</v>
          </cell>
          <cell r="K45" t="str">
            <v>8497＞8474＞未稅</v>
          </cell>
          <cell r="L45" t="str">
            <v>04-26815661＞04-26815221＞0937-776153＞傳真04-26818663</v>
          </cell>
          <cell r="M45">
            <v>0</v>
          </cell>
          <cell r="R45" t="b">
            <v>0</v>
          </cell>
          <cell r="S45" t="str"/>
          <cell r="T45" t="b">
            <v>0</v>
          </cell>
          <cell r="W45">
            <v>437</v>
          </cell>
          <cell r="X45" t="str">
            <v>台中縣大甲區順帆路223-22號＞登:苗栗縣苗栗市福安里中華東街470號2樓 。</v>
          </cell>
          <cell r="Y45" t="str">
            <v>台中縣大甲區</v>
          </cell>
          <cell r="Z45" t="str">
            <v>台中縣大甲區順帆路223之22號.</v>
          </cell>
          <cell r="AA45" t="str">
            <v>437台中縣大甲區順帆路223-22號＞登:苗栗縣苗栗市福安里中華東街470號2樓 。</v>
          </cell>
          <cell r="AK45" t="str">
            <v>1328-HJ</v>
          </cell>
          <cell r="AL45" t="str">
            <v>1-0019-福雄&gt;寄&gt;附發票&gt;附回郵</v>
          </cell>
          <cell r="AM45" t="str">
            <v>1-0019</v>
          </cell>
        </row>
        <row r="46">
          <cell r="B46" t="str">
            <v>1-0041</v>
          </cell>
          <cell r="C46">
            <v>36102</v>
          </cell>
          <cell r="D46" t="str">
            <v>1-0041-長發&gt;寄&gt;附發票&gt;附回郵</v>
          </cell>
          <cell r="E46" t="str">
            <v>長發運輸有限公司＞負:湯錦乾</v>
          </cell>
          <cell r="F46" t="str">
            <v>長發運輸有限公司(41)</v>
          </cell>
          <cell r="G46" t="str">
            <v>含稅</v>
          </cell>
          <cell r="H46" t="str">
            <v>寄＞附發票＞附回郵＞</v>
          </cell>
          <cell r="I46" t="str">
            <v>5590＞8962＞含稅</v>
          </cell>
          <cell r="J46">
            <v>30</v>
          </cell>
          <cell r="L46" t="str">
            <v>04-23822135＞傳真04-23822137</v>
          </cell>
          <cell r="M46">
            <v>0</v>
          </cell>
          <cell r="R46" t="b">
            <v>0</v>
          </cell>
          <cell r="S46" t="str"/>
          <cell r="T46" t="b">
            <v>0</v>
          </cell>
          <cell r="W46">
            <v>408</v>
          </cell>
          <cell r="X46" t="str">
            <v>台中巿南屯區黎明東街68之1號6樓＞登:臺中市南屯區三厝里黎明東街195號1樓。</v>
          </cell>
          <cell r="Y46" t="str">
            <v>台中巿南屯區</v>
          </cell>
          <cell r="Z46" t="str">
            <v>台中巿南屯區黎明東街68之1號6樓.</v>
          </cell>
          <cell r="AA46" t="str">
            <v>408台中巿南屯區黎明東街68之1號6樓＞登:臺中市南屯區三厝里黎明東街195號1樓。</v>
          </cell>
          <cell r="AK46" t="str">
            <v>2257-YK</v>
          </cell>
          <cell r="AL46" t="str">
            <v>1-0019-福雄&gt;寄&gt;附發票&gt;附回郵</v>
          </cell>
          <cell r="AM46" t="str">
            <v>1-0019</v>
          </cell>
        </row>
        <row r="47">
          <cell r="B47" t="str">
            <v>1-0042</v>
          </cell>
          <cell r="C47">
            <v>36102</v>
          </cell>
          <cell r="D47" t="str">
            <v>1-0042-(1/2)中港砂石&gt;寄&gt;附發票&gt;附回郵</v>
          </cell>
          <cell r="E47" t="str">
            <v>中港砂石企業股份有限公司＞負:蔡易霖(1/2)</v>
          </cell>
          <cell r="F47" t="str">
            <v>中港砂石企業股份有限公司(42)</v>
          </cell>
          <cell r="G47" t="str">
            <v>含稅</v>
          </cell>
          <cell r="H47" t="str">
            <v>寄＞附發票＞附回郵&gt;匯款:中港砂石&gt;回郵兩家都要附&gt;</v>
          </cell>
          <cell r="I47" t="str">
            <v>5576&gt;4796＞含稅＞中華全佑</v>
          </cell>
          <cell r="J47">
            <v>30</v>
          </cell>
          <cell r="L47" t="str">
            <v>04-23364193＞0988-207088＞傳真04-23371690</v>
          </cell>
          <cell r="M47">
            <v>0</v>
          </cell>
          <cell r="R47" t="b">
            <v>0</v>
          </cell>
          <cell r="S47" t="str"/>
          <cell r="T47" t="b">
            <v>0</v>
          </cell>
          <cell r="W47">
            <v>414</v>
          </cell>
          <cell r="X47" t="str">
            <v>台中縣烏日區中山路三段1337號。</v>
          </cell>
          <cell r="Y47" t="str">
            <v>台中縣烏日區</v>
          </cell>
          <cell r="Z47" t="str">
            <v>台中縣烏日區中山路三段1337號.</v>
          </cell>
          <cell r="AA47" t="str">
            <v>414台中縣烏日區中山路三段1337號。</v>
          </cell>
          <cell r="AK47" t="str">
            <v>450-TU</v>
          </cell>
          <cell r="AL47" t="str">
            <v>1-0019-福雄&gt;寄&gt;附發票&gt;附回郵</v>
          </cell>
          <cell r="AM47" t="str">
            <v>1-0019</v>
          </cell>
        </row>
        <row r="48">
          <cell r="B48" t="str">
            <v>1-0043</v>
          </cell>
          <cell r="C48">
            <v>36102</v>
          </cell>
          <cell r="D48" t="str">
            <v>1-0043-(2/2)和泰&gt;寄&gt;附發票&gt;附回郵</v>
          </cell>
          <cell r="E48" t="str">
            <v>和泰通運企業股份有限公司＞負:蔡易霖(2/2)</v>
          </cell>
          <cell r="F48" t="str">
            <v>和泰通運企業股份有限公司(43)</v>
          </cell>
          <cell r="G48" t="str">
            <v>含稅</v>
          </cell>
          <cell r="H48" t="str">
            <v>寄＞附發票＞附回郵&gt;回郵兩家都要附&gt;</v>
          </cell>
          <cell r="I48" t="str">
            <v>3583＞0158＞含稅&gt;中華全佑</v>
          </cell>
          <cell r="J48">
            <v>30</v>
          </cell>
          <cell r="L48" t="str">
            <v>04-23371680＞0988-207088＞傳真04-23371690</v>
          </cell>
          <cell r="M48">
            <v>0</v>
          </cell>
          <cell r="R48" t="b">
            <v>0</v>
          </cell>
          <cell r="S48" t="str"/>
          <cell r="T48" t="b">
            <v>0</v>
          </cell>
          <cell r="W48">
            <v>414</v>
          </cell>
          <cell r="X48" t="str">
            <v>台中巿烏日區中山路三段1337號＞登:臺中市西區向上路一段36號7樓之2 。</v>
          </cell>
          <cell r="Y48" t="str">
            <v>台中巿烏日區</v>
          </cell>
          <cell r="Z48" t="str">
            <v>台中巿烏日區中山路三段1337號.</v>
          </cell>
          <cell r="AA48" t="str">
            <v>414台中巿烏日區中山路三段1337號＞登:臺中市西區向上路一段36號7樓之2 。</v>
          </cell>
          <cell r="AK48" t="str">
            <v>4552-TZ</v>
          </cell>
          <cell r="AL48" t="str">
            <v>1-0019-福雄&gt;寄&gt;附發票&gt;附回郵</v>
          </cell>
          <cell r="AM48" t="str">
            <v>1-0019</v>
          </cell>
        </row>
        <row r="49">
          <cell r="B49" t="str">
            <v>1-0044</v>
          </cell>
          <cell r="C49">
            <v>36102</v>
          </cell>
          <cell r="D49" t="str">
            <v>1-0044-徨琪&gt;寄&gt;附回郵</v>
          </cell>
          <cell r="E49" t="str">
            <v>徨琪汽車有限公司＞負:吳學記</v>
          </cell>
          <cell r="F49" t="str">
            <v>徨琪汽車有限公司(44)</v>
          </cell>
          <cell r="G49" t="str">
            <v>未稅</v>
          </cell>
          <cell r="H49" t="str">
            <v>寄＞附回郵＞</v>
          </cell>
          <cell r="I49" t="str">
            <v>未稅</v>
          </cell>
          <cell r="J49">
            <v>30</v>
          </cell>
          <cell r="K49" t="str">
            <v>8483＞4575＞未稅</v>
          </cell>
          <cell r="L49" t="str">
            <v>04-23350492＞0933-171039吳學記＞傳真04-23350523</v>
          </cell>
          <cell r="M49">
            <v>0</v>
          </cell>
          <cell r="R49" t="b">
            <v>0</v>
          </cell>
          <cell r="S49" t="str"/>
          <cell r="T49" t="b">
            <v>0</v>
          </cell>
          <cell r="W49">
            <v>414</v>
          </cell>
          <cell r="X49" t="str">
            <v>台中巿烏日區環中路8段368號＞登:臺中市烏日區東園里慶光路868巷108弄89號1樓。</v>
          </cell>
          <cell r="Y49" t="str">
            <v>台中巿烏日區</v>
          </cell>
          <cell r="Z49" t="str">
            <v>台中巿烏日區環中路8段368號.</v>
          </cell>
          <cell r="AA49" t="str">
            <v>414台中巿烏日區環中路8段368號＞登:臺中市烏日區東園里慶光路868巷108弄89號1樓。</v>
          </cell>
          <cell r="AK49" t="str">
            <v>5423-VV</v>
          </cell>
          <cell r="AL49" t="str">
            <v>1-0019-福雄&gt;寄&gt;附發票&gt;附回郵</v>
          </cell>
          <cell r="AM49" t="str">
            <v>1-0019</v>
          </cell>
        </row>
        <row r="50">
          <cell r="B50" t="str">
            <v>1-0045</v>
          </cell>
          <cell r="C50">
            <v>36102</v>
          </cell>
          <cell r="D50" t="str">
            <v>1-0045-羅國龍&gt;寄&gt;自結</v>
          </cell>
          <cell r="E50" t="str">
            <v>羅國龍＞靠行:建碩企業社,負:李驊芳</v>
          </cell>
          <cell r="F50" t="str">
            <v>建碩企業社&gt;羅國龍(45)</v>
          </cell>
          <cell r="G50" t="str">
            <v>未稅</v>
          </cell>
          <cell r="H50" t="str">
            <v>寄＞自結＞</v>
          </cell>
          <cell r="I50" t="str">
            <v>未稅</v>
          </cell>
          <cell r="J50">
            <v>30</v>
          </cell>
          <cell r="K50" t="str">
            <v>8483＞4575＞未稅</v>
          </cell>
          <cell r="L50" t="str">
            <v>0932-527612</v>
          </cell>
          <cell r="M50">
            <v>0</v>
          </cell>
          <cell r="R50" t="b">
            <v>0</v>
          </cell>
          <cell r="S50" t="str"/>
          <cell r="T50" t="b">
            <v>0</v>
          </cell>
          <cell r="W50">
            <v>361</v>
          </cell>
          <cell r="X50" t="str">
            <v>苗栗縣造橋鄉龍昇村6鄰九車籠15號＞登:苗栗縣 苗栗市 維祥里10鄰 復興路2段257號。</v>
          </cell>
          <cell r="Y50" t="str">
            <v>苗栗縣造橋鄉</v>
          </cell>
          <cell r="Z50" t="str">
            <v>苗栗縣造橋鄉龍昇村6鄰九車籠15號.</v>
          </cell>
          <cell r="AA50" t="str">
            <v>361苗栗縣造橋鄉龍昇村6鄰九車籠15號＞登:苗栗縣 苗栗市 維祥里10鄰 復興路2段257號。</v>
          </cell>
          <cell r="AK50" t="str">
            <v>6210-TR</v>
          </cell>
          <cell r="AL50" t="str">
            <v>1-0019-福雄&gt;寄&gt;附發票&gt;附回郵</v>
          </cell>
          <cell r="AM50" t="str">
            <v>1-0019</v>
          </cell>
        </row>
        <row r="51">
          <cell r="B51" t="str">
            <v>1-0046</v>
          </cell>
          <cell r="C51">
            <v>36102</v>
          </cell>
          <cell r="D51" t="str">
            <v>1-0046-(1/4)鴻阜&gt;寄&gt;附發票&gt;附回郵</v>
          </cell>
          <cell r="E51" t="str">
            <v>鴻阜通運股份有限公司＞鴻阜建材有限公司＞和毅建材有限公司&gt;鴻安通運有限公司＞負:張仕茂＞張鎮能＞華泰(1/4)</v>
          </cell>
          <cell r="F51" t="str">
            <v>鴻阜通運股份有限公司(46)</v>
          </cell>
          <cell r="G51" t="str">
            <v>含稅</v>
          </cell>
          <cell r="H51" t="str">
            <v>寄＞附發票＞附回郵＞會打來說開哪間發票</v>
          </cell>
          <cell r="I51" t="str">
            <v>5590＞8230鴻阜通運&gt;含稅</v>
          </cell>
          <cell r="J51">
            <v>30</v>
          </cell>
          <cell r="L51" t="str">
            <v>04-25855006＞04-25855099＞0910-375913＞0913-629799張鎮能＞傳真04-25855616</v>
          </cell>
          <cell r="M51" t="str">
            <v>2-0127</v>
          </cell>
          <cell r="R51" t="b">
            <v>0</v>
          </cell>
          <cell r="S51" t="str"/>
          <cell r="T51" t="b">
            <v>0</v>
          </cell>
          <cell r="W51">
            <v>423</v>
          </cell>
          <cell r="X51" t="str">
            <v>台中巿東勢區上城街317號＞登:臺中市東勢區新盛里新盛街413號。</v>
          </cell>
          <cell r="Y51" t="str">
            <v>台中巿東勢區</v>
          </cell>
          <cell r="Z51" t="str">
            <v>台中巿東勢區詒福里上城街317號1樓.</v>
          </cell>
          <cell r="AA51" t="str">
            <v>423台中巿東勢區上城街317號＞登:臺中市東勢區新盛里新盛街413號。</v>
          </cell>
          <cell r="AK51" t="str">
            <v>688-RT</v>
          </cell>
          <cell r="AL51" t="str">
            <v>1-0019-福雄&gt;寄&gt;附發票&gt;附回郵</v>
          </cell>
          <cell r="AM51" t="str">
            <v>1-0019</v>
          </cell>
        </row>
        <row r="52">
          <cell r="B52" t="str">
            <v>1-0047</v>
          </cell>
          <cell r="C52">
            <v>36102</v>
          </cell>
          <cell r="D52" t="str">
            <v>1-0047-(2/4)鴻安&gt;寄&gt;附發票&gt;附回郵</v>
          </cell>
          <cell r="E52" t="str">
            <v>鴻安通運有限公司＞負:張仕茂＞張鎮能＞華泰(2/4)</v>
          </cell>
          <cell r="F52" t="str">
            <v>鴻安通運股份有限公司(47)</v>
          </cell>
          <cell r="G52" t="str">
            <v>含稅</v>
          </cell>
          <cell r="H52" t="str">
            <v>寄＞附發票＞附回郵＞會打來說開哪間發票</v>
          </cell>
          <cell r="I52" t="str">
            <v>5594&gt;2808鴻安通運&gt;含稅</v>
          </cell>
          <cell r="J52">
            <v>30</v>
          </cell>
          <cell r="L52" t="str">
            <v>04-25852318＞傳真04-25852317</v>
          </cell>
          <cell r="M52">
            <v>0</v>
          </cell>
          <cell r="R52" t="b">
            <v>0</v>
          </cell>
          <cell r="S52" t="str"/>
          <cell r="T52" t="b">
            <v>0</v>
          </cell>
          <cell r="W52">
            <v>423</v>
          </cell>
          <cell r="X52" t="str">
            <v>台中市東勢區上城街319號＞登:臺中市大甲區太白里通天路103之1號。</v>
          </cell>
          <cell r="Y52" t="str">
            <v>台中市東勢區</v>
          </cell>
          <cell r="Z52" t="str">
            <v>台中市東勢區上城街319號.</v>
          </cell>
          <cell r="AA52" t="str">
            <v>423台中市東勢區上城街319號＞登:臺中市大甲區太白里通天路103之1號。</v>
          </cell>
          <cell r="AK52" t="str">
            <v>ABG-1160</v>
          </cell>
          <cell r="AL52" t="str">
            <v>1-0019-福雄&gt;寄&gt;附發票&gt;附回郵</v>
          </cell>
          <cell r="AM52" t="str">
            <v>1-0019</v>
          </cell>
        </row>
        <row r="53">
          <cell r="B53" t="str">
            <v>1-0048</v>
          </cell>
          <cell r="C53">
            <v>36102</v>
          </cell>
          <cell r="D53" t="str">
            <v>1-0048-正昇修理廠&gt;寄&gt;附回郵</v>
          </cell>
          <cell r="E53" t="str">
            <v>正昇汽車保養廠＞負:林秋麟</v>
          </cell>
          <cell r="F53" t="str">
            <v>正昇汽車保養廠(48)</v>
          </cell>
          <cell r="G53" t="str">
            <v>未稅</v>
          </cell>
          <cell r="H53" t="str">
            <v>寄＞附回郵＞</v>
          </cell>
          <cell r="I53" t="str">
            <v>未稅</v>
          </cell>
          <cell r="J53">
            <v>30</v>
          </cell>
          <cell r="K53" t="str">
            <v>4536＞6263＞未稅</v>
          </cell>
          <cell r="L53" t="str">
            <v>037-625319＞0910-583737</v>
          </cell>
          <cell r="M53">
            <v>0</v>
          </cell>
          <cell r="R53" t="b">
            <v>0</v>
          </cell>
          <cell r="S53" t="str"/>
          <cell r="T53" t="b">
            <v>0</v>
          </cell>
          <cell r="W53">
            <v>350</v>
          </cell>
          <cell r="X53" t="str">
            <v>苗栗縣竹南鎮山佳里佳北二段3號。</v>
          </cell>
          <cell r="Y53" t="str">
            <v>苗栗縣竹南鎮</v>
          </cell>
          <cell r="Z53" t="str">
            <v>苗栗縣竹南鎮山佳里佳北二段3號.</v>
          </cell>
          <cell r="AA53" t="str">
            <v>350苗栗縣竹南鎮山佳里佳北二段3號。</v>
          </cell>
          <cell r="AK53" t="str">
            <v>AHA-8602</v>
          </cell>
          <cell r="AL53" t="str">
            <v>1-0019-福雄&gt;寄&gt;附發票&gt;附回郵</v>
          </cell>
          <cell r="AM53" t="str">
            <v>1-0019</v>
          </cell>
        </row>
        <row r="54">
          <cell r="B54" t="str">
            <v>1-0049</v>
          </cell>
          <cell r="C54" t="str">
            <v>106-04-10</v>
          </cell>
          <cell r="D54" t="str">
            <v>1-0049-欣晏&gt;寄&gt;匯款</v>
          </cell>
          <cell r="E54" t="str">
            <v>欣晏有限公司</v>
          </cell>
          <cell r="F54" t="str">
            <v>欣晏有限公司(49)</v>
          </cell>
          <cell r="G54" t="str">
            <v>稅外</v>
          </cell>
          <cell r="H54" t="str">
            <v>寄＞匯款:0012136.23002＞</v>
          </cell>
          <cell r="I54" t="str">
            <v>2249&gt;3345&gt;稅外</v>
          </cell>
          <cell r="J54">
            <v>30</v>
          </cell>
          <cell r="L54" t="str">
            <v>037-471088&gt;037-462766&gt;037-471755&gt;037-471756&gt;0952-155117鄧晏吉</v>
          </cell>
          <cell r="M54">
            <v>0</v>
          </cell>
          <cell r="R54" t="b">
            <v>0</v>
          </cell>
          <cell r="S54" t="str"/>
          <cell r="T54" t="b">
            <v>0</v>
          </cell>
          <cell r="W54">
            <v>350</v>
          </cell>
          <cell r="X54" t="str">
            <v>苗栗縣竹南鎮中美里保安林9鄰30號。</v>
          </cell>
          <cell r="Y54" t="str">
            <v>苗栗縣竹南鎮</v>
          </cell>
          <cell r="Z54" t="str">
            <v>苗栗縣竹南鎮中美里保安林9鄰30號.</v>
          </cell>
          <cell r="AA54" t="str">
            <v>350苗栗縣竹南鎮中美里保安林9鄰30號。</v>
          </cell>
          <cell r="AK54" t="str">
            <v>KS-2103</v>
          </cell>
          <cell r="AL54" t="str">
            <v>1-0019-福雄&gt;寄&gt;附發票&gt;附回郵</v>
          </cell>
          <cell r="AM54" t="str">
            <v>1-0019</v>
          </cell>
        </row>
        <row r="55">
          <cell r="B55" t="str">
            <v>1-0050</v>
          </cell>
          <cell r="C55">
            <v>36102</v>
          </cell>
          <cell r="D55" t="str">
            <v>1-0050-省裕&gt;寄&gt;附回郵</v>
          </cell>
          <cell r="E55" t="str">
            <v>省裕交通股份有限公司＞負:楊嘉種＞吳志專</v>
          </cell>
          <cell r="F55" t="str">
            <v>省裕交通股份有限公司(50)</v>
          </cell>
          <cell r="G55" t="str">
            <v>未稅</v>
          </cell>
          <cell r="H55" t="str">
            <v>寄＞附回郵＞</v>
          </cell>
          <cell r="I55" t="str">
            <v>未稅</v>
          </cell>
          <cell r="J55">
            <v>30</v>
          </cell>
          <cell r="K55" t="str">
            <v>2249＞6429 ＞未稅</v>
          </cell>
          <cell r="L55" t="str">
            <v>0937-773597</v>
          </cell>
          <cell r="M55">
            <v>0</v>
          </cell>
          <cell r="R55" t="b">
            <v>0</v>
          </cell>
          <cell r="S55" t="str"/>
          <cell r="T55" t="b">
            <v>0</v>
          </cell>
          <cell r="Y55" t="str"/>
          <cell r="AA55" t="str"/>
          <cell r="AK55" t="str">
            <v>QE-581</v>
          </cell>
          <cell r="AL55" t="str">
            <v>1-0019-福雄&gt;寄&gt;附發票&gt;附回郵</v>
          </cell>
          <cell r="AM55" t="str">
            <v>1-0019</v>
          </cell>
        </row>
        <row r="56">
          <cell r="B56" t="str">
            <v>1-0051</v>
          </cell>
          <cell r="C56">
            <v>36102</v>
          </cell>
          <cell r="D56" t="str">
            <v>1-0051-栗德&gt;寄&gt;附發票&gt;附回郵</v>
          </cell>
          <cell r="E56" t="str">
            <v>栗德通運股份有限公司＞負:謝貞謙</v>
          </cell>
          <cell r="F56" t="str">
            <v>栗德通運股份有限公司(51)</v>
          </cell>
          <cell r="G56" t="str">
            <v>含稅</v>
          </cell>
          <cell r="H56" t="str">
            <v>寄＞附發票＞附回郵＞</v>
          </cell>
          <cell r="I56" t="str">
            <v>9742＞2574＞含稅</v>
          </cell>
          <cell r="J56">
            <v>30</v>
          </cell>
          <cell r="L56" t="str">
            <v>037-234107＞傳真037-234108</v>
          </cell>
          <cell r="M56">
            <v>0</v>
          </cell>
          <cell r="R56" t="b">
            <v>0</v>
          </cell>
          <cell r="S56" t="str"/>
          <cell r="T56" t="b">
            <v>0</v>
          </cell>
          <cell r="W56">
            <v>363</v>
          </cell>
          <cell r="X56" t="str">
            <v>苗栗縣公館鄉館東村大東路47號。</v>
          </cell>
          <cell r="Y56" t="str">
            <v>苗栗縣公館鄉</v>
          </cell>
          <cell r="Z56" t="str">
            <v>苗栗縣公館鄉館東村大東路47號.</v>
          </cell>
          <cell r="AA56" t="str">
            <v>363苗栗縣公館鄉館東村大東路47號。</v>
          </cell>
          <cell r="AK56" t="str">
            <v>UI-745</v>
          </cell>
          <cell r="AL56" t="str">
            <v>1-0019-福雄&gt;寄&gt;附發票&gt;附回郵</v>
          </cell>
          <cell r="AM56" t="str">
            <v>1-0019</v>
          </cell>
        </row>
        <row r="57">
          <cell r="B57" t="str">
            <v>1-0052</v>
          </cell>
          <cell r="C57">
            <v>36102</v>
          </cell>
          <cell r="D57" t="str">
            <v>1-0052-上禹&gt;寄&gt;附發票&gt;附回郵</v>
          </cell>
          <cell r="E57" t="str">
            <v>上禹水泥製品股份公司＞負:林登旺</v>
          </cell>
          <cell r="F57" t="str">
            <v>上禹水泥製品股份公司(52)</v>
          </cell>
          <cell r="G57" t="str">
            <v>含稅</v>
          </cell>
          <cell r="H57" t="str">
            <v>寄＞附發票＞附回郵＞</v>
          </cell>
          <cell r="I57" t="str">
            <v>2887＞3429＞含稅</v>
          </cell>
          <cell r="J57">
            <v>30</v>
          </cell>
          <cell r="L57" t="str">
            <v>037-582124＞傳真037-583169</v>
          </cell>
          <cell r="M57">
            <v>0</v>
          </cell>
          <cell r="R57" t="b">
            <v>0</v>
          </cell>
          <cell r="S57" t="str"/>
          <cell r="T57" t="b">
            <v>0</v>
          </cell>
          <cell r="W57">
            <v>350</v>
          </cell>
          <cell r="X57" t="str">
            <v>苗栗縣竹南鎮崎頂里崎腳36-43號。</v>
          </cell>
          <cell r="Y57" t="str">
            <v>苗栗縣竹南鎮</v>
          </cell>
          <cell r="Z57" t="str">
            <v>苗栗縣竹南鎮崎頂里崎腳36之43號.</v>
          </cell>
          <cell r="AA57" t="str">
            <v>350苗栗縣竹南鎮崎頂里崎腳36-43號。</v>
          </cell>
          <cell r="AK57" t="str">
            <v>W5-8541</v>
          </cell>
          <cell r="AL57" t="str">
            <v>1-0019-福雄&gt;寄&gt;附發票&gt;附回郵</v>
          </cell>
          <cell r="AM57" t="str">
            <v>1-0019</v>
          </cell>
        </row>
        <row r="58">
          <cell r="B58" t="str">
            <v>1-0053</v>
          </cell>
          <cell r="C58">
            <v>36102</v>
          </cell>
          <cell r="D58" t="str">
            <v>1-0053-力璽&gt;寄&gt;匯款</v>
          </cell>
          <cell r="E58" t="str">
            <v>力璽工程有限公司＞負:陳志忠</v>
          </cell>
          <cell r="F58" t="str">
            <v>力璽工程有限公司(53)</v>
          </cell>
          <cell r="G58" t="str">
            <v>稅外</v>
          </cell>
          <cell r="H58" t="str">
            <v>寄＞匯款:陳志忠</v>
          </cell>
          <cell r="I58" t="str">
            <v>1292＞8623&gt;9月份起稅外</v>
          </cell>
          <cell r="J58">
            <v>30</v>
          </cell>
          <cell r="L58" t="str">
            <v>037-369338&gt;Fax:037-369343＞0932-525705</v>
          </cell>
          <cell r="M58" t="str">
            <v>2-0054</v>
          </cell>
          <cell r="R58" t="b">
            <v>0</v>
          </cell>
          <cell r="S58" t="str"/>
          <cell r="T58" t="b">
            <v>0</v>
          </cell>
          <cell r="W58">
            <v>360</v>
          </cell>
          <cell r="X58" t="str">
            <v>苗栗縣苗栗巿南勢里南勢20-7號＞登:苗栗縣公館鄉玉泉村16鄰248之7號。</v>
          </cell>
          <cell r="Y58" t="str">
            <v>苗栗縣苗栗巿</v>
          </cell>
          <cell r="Z58" t="str">
            <v>苗栗縣苗栗巿南勢里南勢20之7號.</v>
          </cell>
          <cell r="AA58" t="str">
            <v>360苗栗縣苗栗巿南勢里南勢20-7號＞登:苗栗縣公館鄉玉泉村16鄰248之7號。</v>
          </cell>
          <cell r="AK58" t="str">
            <v>ZV-559</v>
          </cell>
          <cell r="AL58" t="str">
            <v>1-0019-福雄&gt;寄&gt;附發票&gt;附回郵</v>
          </cell>
          <cell r="AM58" t="str">
            <v>1-0019</v>
          </cell>
        </row>
        <row r="59">
          <cell r="B59" t="str">
            <v>1-0054</v>
          </cell>
          <cell r="C59">
            <v>36102</v>
          </cell>
          <cell r="D59" t="str">
            <v>1-0054-(1/2)美聖&gt;寄&gt;附發票&gt;附回郵</v>
          </cell>
          <cell r="E59" t="str">
            <v>美聖實業股份有限公司＞負:林茂盛(1/2)</v>
          </cell>
          <cell r="F59" t="str">
            <v>美聖實業股份有限公司(54)</v>
          </cell>
          <cell r="G59" t="str">
            <v>稅外</v>
          </cell>
          <cell r="H59" t="str">
            <v>寄＞附發票＞附回郵＞</v>
          </cell>
          <cell r="I59" t="str">
            <v>8965＞9962＞稅外</v>
          </cell>
          <cell r="J59">
            <v>30</v>
          </cell>
          <cell r="L59" t="str">
            <v>037-584378＞0932-667420陳小姐＞傳真037-584381</v>
          </cell>
          <cell r="M59" t="str">
            <v>2-0144</v>
          </cell>
          <cell r="R59" t="b">
            <v>0</v>
          </cell>
          <cell r="S59" t="str"/>
          <cell r="T59" t="b">
            <v>0</v>
          </cell>
          <cell r="W59">
            <v>350</v>
          </cell>
          <cell r="X59" t="str">
            <v>苗栗縣竹南鎮竹南工業區和興路243號＞登:苗栗縣造橋鄉錦水村2鄰錦水7-32號。</v>
          </cell>
          <cell r="Y59" t="str">
            <v>苗栗縣竹南鎮</v>
          </cell>
          <cell r="Z59" t="str">
            <v>苗栗縣竹南鎮竹南工業區和興路243號.</v>
          </cell>
          <cell r="AA59" t="str">
            <v>350苗栗縣竹南鎮竹南工業區和興路243號＞登:苗栗縣造橋鄉錦水村2鄰錦水7-32號。</v>
          </cell>
          <cell r="AK59" t="str">
            <v>F9-4718</v>
          </cell>
          <cell r="AL59" t="str">
            <v>1-0019-福雄&gt;寄&gt;附發票&gt;附回郵</v>
          </cell>
          <cell r="AM59" t="str">
            <v>1-0019</v>
          </cell>
        </row>
        <row r="60">
          <cell r="B60" t="str">
            <v>1-0055</v>
          </cell>
          <cell r="C60">
            <v>36102</v>
          </cell>
          <cell r="D60" t="str">
            <v>1-0055-利阡&gt;寄&gt;匯款</v>
          </cell>
          <cell r="E60" t="str">
            <v>利阡&gt;沈之見</v>
          </cell>
          <cell r="F60" t="str">
            <v>沈之見(55)</v>
          </cell>
          <cell r="G60" t="str">
            <v>未稅</v>
          </cell>
          <cell r="H60" t="str">
            <v>寄＞匯款6167477＞</v>
          </cell>
          <cell r="I60" t="str">
            <v>未稅</v>
          </cell>
          <cell r="J60">
            <v>30</v>
          </cell>
          <cell r="K60" t="str">
            <v>3392＞8331＞未稅</v>
          </cell>
          <cell r="L60" t="str">
            <v>0910-294576</v>
          </cell>
          <cell r="M60">
            <v>0</v>
          </cell>
          <cell r="O60">
            <v>59</v>
          </cell>
          <cell r="P60">
            <v>7</v>
          </cell>
          <cell r="Q60">
            <v>28</v>
          </cell>
          <cell r="R60">
            <v>51</v>
          </cell>
          <cell r="S60">
            <v>70</v>
          </cell>
          <cell r="T60">
            <v>25777</v>
          </cell>
          <cell r="U60" t="str">
            <v>J121286090</v>
          </cell>
          <cell r="W60">
            <v>350</v>
          </cell>
          <cell r="X60" t="str">
            <v>新竹縣新豐鄉青埔村10鄰青埔子166號</v>
          </cell>
          <cell r="Y60" t="str">
            <v>苗栗縣竹南鎮</v>
          </cell>
          <cell r="Z60" t="str">
            <v>苗栗縣竹南鎮永貞路二段105巷16號.</v>
          </cell>
          <cell r="AA60" t="str">
            <v>350新竹縣新豐鄉青埔村10鄰青埔子166號</v>
          </cell>
          <cell r="AK60" t="str">
            <v>0198-FV</v>
          </cell>
          <cell r="AL60" t="str">
            <v>1-0021-毅和&gt;寄&gt;附發票&gt;附回郵</v>
          </cell>
          <cell r="AM60" t="str">
            <v>1-0021</v>
          </cell>
        </row>
        <row r="61">
          <cell r="B61" t="str">
            <v>1-0056</v>
          </cell>
          <cell r="C61">
            <v>36102</v>
          </cell>
          <cell r="D61" t="str">
            <v>1-0056-寬輾&gt;寄&gt;附回郵(1/3)</v>
          </cell>
          <cell r="E61" t="str">
            <v>寬輾重車有限公司(1/3)</v>
          </cell>
          <cell r="F61" t="str">
            <v>寬輾重車有限公司(56)</v>
          </cell>
          <cell r="G61" t="str">
            <v>未稅</v>
          </cell>
          <cell r="H61" t="str">
            <v>寄＞附回郵＞(票/現)</v>
          </cell>
          <cell r="I61" t="str">
            <v>未稅&gt;25號月結</v>
          </cell>
          <cell r="J61">
            <v>25</v>
          </cell>
          <cell r="L61" t="str">
            <v>037-450363＞037-450899＞0936-066362＞傳真037-450742</v>
          </cell>
          <cell r="M61" t="str">
            <v>2-0062</v>
          </cell>
          <cell r="O61">
            <v>62</v>
          </cell>
          <cell r="P61">
            <v>10</v>
          </cell>
          <cell r="Q61">
            <v>7</v>
          </cell>
          <cell r="R61">
            <v>48</v>
          </cell>
          <cell r="S61">
            <v>73</v>
          </cell>
          <cell r="T61">
            <v>26944</v>
          </cell>
          <cell r="U61" t="str">
            <v>K121085021</v>
          </cell>
          <cell r="V61" t="str">
            <v>杜建寬</v>
          </cell>
          <cell r="W61">
            <v>356</v>
          </cell>
          <cell r="X61" t="str">
            <v>苗栗縣後龍鎮福寧里9鄰烏眉88-3號1樓。</v>
          </cell>
          <cell r="Y61" t="str">
            <v>苗栗縣後龍鎮</v>
          </cell>
          <cell r="Z61" t="str">
            <v>苗栗縣後龍鎮福寧里9鄰烏眉88-3號1樓.</v>
          </cell>
          <cell r="AA61" t="str">
            <v>356苗栗縣後龍鎮福寧里9鄰烏眉88-3號1樓。</v>
          </cell>
          <cell r="AK61" t="str">
            <v>037-SW</v>
          </cell>
          <cell r="AL61" t="str">
            <v>1-0021-毅和&gt;寄&gt;附發票&gt;附回郵</v>
          </cell>
          <cell r="AM61" t="str">
            <v>1-0021</v>
          </cell>
        </row>
        <row r="62">
          <cell r="B62" t="str">
            <v>1-0057</v>
          </cell>
          <cell r="C62">
            <v>36102</v>
          </cell>
          <cell r="D62" t="str">
            <v>1-0057-俊達&gt;寄&gt;自結</v>
          </cell>
          <cell r="E62" t="str">
            <v>駿達汽車修理廠＞負:羅國松</v>
          </cell>
          <cell r="F62" t="str">
            <v>駿達汽車修理廠(57)</v>
          </cell>
          <cell r="G62" t="str">
            <v>未稅</v>
          </cell>
          <cell r="H62" t="str">
            <v>寄＞自結＞</v>
          </cell>
          <cell r="I62" t="str">
            <v>未稅</v>
          </cell>
          <cell r="J62">
            <v>30</v>
          </cell>
          <cell r="L62" t="str">
            <v>037-544896＞0937-729624</v>
          </cell>
          <cell r="M62">
            <v>0</v>
          </cell>
          <cell r="R62" t="b">
            <v>0</v>
          </cell>
          <cell r="S62" t="str"/>
          <cell r="T62" t="b">
            <v>0</v>
          </cell>
          <cell r="W62">
            <v>361</v>
          </cell>
          <cell r="X62" t="str">
            <v>苗栗縣造橋鄉造橋村10鄰雙鵝山22號。</v>
          </cell>
          <cell r="Y62" t="str">
            <v>苗栗縣造橋鄉</v>
          </cell>
          <cell r="Z62" t="str">
            <v>苗栗縣造橋鄉造橋村10鄰雙鵝山22號.</v>
          </cell>
          <cell r="AA62" t="str">
            <v>361苗栗縣造橋鄉造橋村10鄰雙鵝山22號。</v>
          </cell>
          <cell r="AK62" t="str">
            <v>038-SW</v>
          </cell>
          <cell r="AL62" t="str">
            <v>1-0021-毅和&gt;寄&gt;附發票&gt;附回郵</v>
          </cell>
          <cell r="AM62" t="str">
            <v>1-0021</v>
          </cell>
        </row>
        <row r="63">
          <cell r="B63" t="str">
            <v>1-0058</v>
          </cell>
          <cell r="C63">
            <v>36102</v>
          </cell>
          <cell r="D63" t="str">
            <v>1-0058-鑫能&gt;寄&gt;匯款</v>
          </cell>
          <cell r="E63" t="str">
            <v>鑫能企業有限公司＞負:胡振能</v>
          </cell>
          <cell r="F63" t="str">
            <v>鑫能企業有限公司(58)</v>
          </cell>
          <cell r="G63" t="str">
            <v>未稅</v>
          </cell>
          <cell r="H63" t="str">
            <v>寄＞匯款0037200＞</v>
          </cell>
          <cell r="I63" t="str">
            <v>未稅</v>
          </cell>
          <cell r="J63">
            <v>30</v>
          </cell>
          <cell r="K63" t="str">
            <v>1300＞7548＞未稅</v>
          </cell>
          <cell r="L63" t="str">
            <v>037-474453＞037-616928＞0910-565369胡振能</v>
          </cell>
          <cell r="M63" t="str">
            <v>2-0089</v>
          </cell>
          <cell r="R63" t="b">
            <v>0</v>
          </cell>
          <cell r="S63" t="str"/>
          <cell r="T63" t="b">
            <v>0</v>
          </cell>
          <cell r="W63">
            <v>350</v>
          </cell>
          <cell r="X63" t="str">
            <v>苗栗縣竹南鎮山佳里華興街28鄰57號。</v>
          </cell>
          <cell r="Y63" t="str">
            <v>苗栗縣竹南鎮</v>
          </cell>
          <cell r="Z63" t="str">
            <v>苗栗縣竹南鎮山佳里華興街28鄰57號.</v>
          </cell>
          <cell r="AA63" t="str">
            <v>350苗栗縣竹南鎮山佳里華興街28鄰57號。</v>
          </cell>
          <cell r="AK63" t="str">
            <v>0558-PQ</v>
          </cell>
          <cell r="AL63" t="str">
            <v>1-0021-毅和&gt;寄&gt;附發票&gt;附回郵</v>
          </cell>
          <cell r="AM63" t="str">
            <v>1-0021</v>
          </cell>
        </row>
        <row r="64">
          <cell r="B64" t="str">
            <v>1-0059</v>
          </cell>
          <cell r="C64">
            <v>36102</v>
          </cell>
          <cell r="D64" t="str">
            <v>1-0059-金輪&gt;精輪&gt;寄&gt;自結</v>
          </cell>
          <cell r="E64" t="str">
            <v>精輪輪胎企業社＞金輪國際實業社＞負:黃士郎</v>
          </cell>
          <cell r="F64" t="str">
            <v>精輪輪胎企業社(59)</v>
          </cell>
          <cell r="G64" t="str">
            <v>未稅</v>
          </cell>
          <cell r="H64" t="str">
            <v>寄＞自結＞</v>
          </cell>
          <cell r="I64" t="str">
            <v>未稅</v>
          </cell>
          <cell r="J64">
            <v>30</v>
          </cell>
          <cell r="K64" t="str">
            <v>1920＞0443精輪企業社＞2685＞3329金輪＞5450&gt;5935經輪輪胎有限&gt;未稅</v>
          </cell>
          <cell r="L64" t="str">
            <v>037-586435工廠＞0912-618690黃士郎＞傳真037-585186</v>
          </cell>
          <cell r="M64">
            <v>0</v>
          </cell>
          <cell r="R64" t="b">
            <v>0</v>
          </cell>
          <cell r="S64" t="str"/>
          <cell r="T64" t="b">
            <v>0</v>
          </cell>
          <cell r="W64">
            <v>350</v>
          </cell>
          <cell r="X64" t="str">
            <v>苗栗縣竹南鎮崎頂里15鄰尖山101號。</v>
          </cell>
          <cell r="Y64" t="str">
            <v>苗栗縣竹南鎮</v>
          </cell>
          <cell r="Z64" t="str">
            <v>苗栗縣竹南鎮崎頂里15鄰尖山101號.</v>
          </cell>
          <cell r="AA64" t="str">
            <v>350苗栗縣竹南鎮崎頂里15鄰尖山101號。</v>
          </cell>
          <cell r="AK64" t="str">
            <v>057-SW</v>
          </cell>
          <cell r="AL64" t="str">
            <v>1-0021-毅和&gt;寄&gt;附發票&gt;附回郵</v>
          </cell>
          <cell r="AM64" t="str">
            <v>1-0021</v>
          </cell>
        </row>
        <row r="65">
          <cell r="B65" t="str">
            <v>1-0060</v>
          </cell>
          <cell r="C65">
            <v>36102</v>
          </cell>
          <cell r="D65" t="str">
            <v>1-0060-源鴻&gt;寄&gt;親收</v>
          </cell>
          <cell r="E65" t="str">
            <v>源鴻汽車＞負:楊棟雄</v>
          </cell>
          <cell r="F65" t="str">
            <v>源鴻汽車(60)</v>
          </cell>
          <cell r="G65" t="str">
            <v>未稅</v>
          </cell>
          <cell r="H65" t="str">
            <v>寄＞親收＞</v>
          </cell>
          <cell r="I65" t="str">
            <v>未稅</v>
          </cell>
          <cell r="J65">
            <v>30</v>
          </cell>
          <cell r="K65" t="str">
            <v>4565＞4692＞未稅</v>
          </cell>
          <cell r="L65" t="str">
            <v>037-550793＞0925-973009</v>
          </cell>
          <cell r="M65" t="str">
            <v>2-0050</v>
          </cell>
          <cell r="R65" t="b">
            <v>0</v>
          </cell>
          <cell r="S65" t="str"/>
          <cell r="T65" t="b">
            <v>0</v>
          </cell>
          <cell r="W65">
            <v>350</v>
          </cell>
          <cell r="X65" t="str">
            <v>苗栗縣竹南鎮營盤里21鄰新生路327號。</v>
          </cell>
          <cell r="Y65" t="str">
            <v>苗栗縣竹南鎮</v>
          </cell>
          <cell r="Z65" t="str">
            <v>苗栗縣竹南鎮營盤里21鄰新生路327號.</v>
          </cell>
          <cell r="AA65" t="str">
            <v>350苗栗縣竹南鎮營盤里21鄰新生路327號。</v>
          </cell>
          <cell r="AK65" t="str">
            <v>059-SW</v>
          </cell>
          <cell r="AL65" t="str">
            <v>1-0021-毅和&gt;寄&gt;附發票&gt;附回郵</v>
          </cell>
          <cell r="AM65" t="str">
            <v>1-0021</v>
          </cell>
        </row>
        <row r="66">
          <cell r="B66" t="str">
            <v>1-0061</v>
          </cell>
          <cell r="C66">
            <v>36102</v>
          </cell>
          <cell r="D66" t="str">
            <v>1-0061-信豐&gt;寄&gt;附發票&gt;附回郵</v>
          </cell>
          <cell r="E66" t="str">
            <v>信豐輪胎行＞負:沈秀蜜</v>
          </cell>
          <cell r="F66" t="str">
            <v>信豐輪胎行(61)</v>
          </cell>
          <cell r="G66" t="str">
            <v>含稅</v>
          </cell>
          <cell r="H66" t="str">
            <v>寄＞附發票＞附回郵＞</v>
          </cell>
          <cell r="I66" t="str">
            <v>5051＞6214＞含稅&gt;卡利歐未稅</v>
          </cell>
          <cell r="J66">
            <v>30</v>
          </cell>
          <cell r="L66" t="str">
            <v>037-831571＞</v>
          </cell>
          <cell r="M66" t="str">
            <v>2-0142</v>
          </cell>
          <cell r="R66" t="b">
            <v>0</v>
          </cell>
          <cell r="S66" t="str"/>
          <cell r="T66" t="b">
            <v>0</v>
          </cell>
          <cell r="W66">
            <v>352</v>
          </cell>
          <cell r="X66" t="str">
            <v>苗栗縣三灣鄉三灣村18鄰中正路293號。</v>
          </cell>
          <cell r="Y66" t="str">
            <v>苗栗縣三灣鄉</v>
          </cell>
          <cell r="Z66" t="str">
            <v>苗栗縣三灣鄉三灣村18鄰中正路293號.</v>
          </cell>
          <cell r="AA66" t="str">
            <v>352苗栗縣三灣鄉三灣村18鄰中正路293號。</v>
          </cell>
          <cell r="AK66" t="str">
            <v>0787-HB</v>
          </cell>
          <cell r="AL66" t="str">
            <v>1-0021-毅和&gt;寄&gt;附發票&gt;附回郵</v>
          </cell>
          <cell r="AM66" t="str">
            <v>1-0021</v>
          </cell>
        </row>
        <row r="67">
          <cell r="B67" t="str">
            <v>1-0062</v>
          </cell>
          <cell r="C67">
            <v>36102</v>
          </cell>
          <cell r="D67" t="str">
            <v>1-0062-至懋&gt;寄&gt;附發票&gt;附回郵</v>
          </cell>
          <cell r="E67" t="str">
            <v>至懋汽車股份有限公司＞負:江照楠</v>
          </cell>
          <cell r="F67" t="str">
            <v>至懋汽車股份有限公司(62)</v>
          </cell>
          <cell r="G67" t="str">
            <v>稅外</v>
          </cell>
          <cell r="H67" t="str">
            <v>寄＞發票改次日開完先寄送＞附回郵＞</v>
          </cell>
          <cell r="I67" t="str">
            <v>2810＞1628＞稅外＞中華全佑＞1張簽單1張發票＞25號月結</v>
          </cell>
          <cell r="J67">
            <v>25</v>
          </cell>
          <cell r="L67" t="str">
            <v>037-625600＞傳真037-627782</v>
          </cell>
          <cell r="M67">
            <v>0</v>
          </cell>
          <cell r="R67" t="b">
            <v>0</v>
          </cell>
          <cell r="S67" t="str"/>
          <cell r="T67" t="b">
            <v>0</v>
          </cell>
          <cell r="W67">
            <v>351</v>
          </cell>
          <cell r="X67" t="str">
            <v>苗栗縣頭份鎮中華路231號＞登:新北市林口區文化二路1段266號10樓之3。</v>
          </cell>
          <cell r="Y67" t="str">
            <v>苗栗縣頭份鎮</v>
          </cell>
          <cell r="Z67" t="str">
            <v>苗栗縣頭份鎮中華路231號.</v>
          </cell>
          <cell r="AA67" t="str">
            <v>351苗栗縣頭份鎮中華路231號＞登:新北市林口區文化二路1段266號10樓之3。</v>
          </cell>
          <cell r="AK67" t="str">
            <v>115-SW</v>
          </cell>
          <cell r="AL67" t="str">
            <v>1-0021-毅和&gt;寄&gt;附發票&gt;附回郵</v>
          </cell>
          <cell r="AM67" t="str">
            <v>1-0021</v>
          </cell>
        </row>
        <row r="68">
          <cell r="B68" t="str">
            <v>1-0063</v>
          </cell>
          <cell r="C68">
            <v>36102</v>
          </cell>
          <cell r="D68" t="str">
            <v>1-0063-德緯&gt;寄&gt;附回郵</v>
          </cell>
          <cell r="E68" t="str">
            <v>德緯企業有限公司＞負:陳保成</v>
          </cell>
          <cell r="F68" t="str">
            <v>德緯企業有限公司(63)</v>
          </cell>
          <cell r="G68" t="str">
            <v>未稅</v>
          </cell>
          <cell r="H68" t="str">
            <v>寄＞附回郵＞</v>
          </cell>
          <cell r="I68" t="str">
            <v>未稅</v>
          </cell>
          <cell r="J68">
            <v>30</v>
          </cell>
          <cell r="K68" t="str">
            <v>5051＞1800＞未稅</v>
          </cell>
          <cell r="L68" t="str">
            <v>037-463209＞0937-729888＞傳真037-463509</v>
          </cell>
          <cell r="M68">
            <v>0</v>
          </cell>
          <cell r="R68" t="b">
            <v>0</v>
          </cell>
          <cell r="S68" t="str"/>
          <cell r="T68" t="b">
            <v>0</v>
          </cell>
          <cell r="W68">
            <v>350</v>
          </cell>
          <cell r="X68" t="str">
            <v>苗栗縣竹南鎮聖福里17鄰龍天路138號。</v>
          </cell>
          <cell r="Y68" t="str">
            <v>苗栗縣竹南鎮</v>
          </cell>
          <cell r="Z68" t="str">
            <v>苗栗縣竹南鎮聖福里17鄰龍天路138號.</v>
          </cell>
          <cell r="AA68" t="str">
            <v>350苗栗縣竹南鎮聖福里17鄰龍天路138號。</v>
          </cell>
          <cell r="AK68" t="str">
            <v>116-SW</v>
          </cell>
          <cell r="AL68" t="str">
            <v>1-0021-毅和&gt;寄&gt;附發票&gt;附回郵</v>
          </cell>
          <cell r="AM68" t="str">
            <v>1-0021</v>
          </cell>
        </row>
        <row r="69">
          <cell r="B69" t="str">
            <v>1-0064</v>
          </cell>
          <cell r="C69">
            <v>36102</v>
          </cell>
          <cell r="D69" t="str">
            <v>1-0064-順祥吊車&gt;寄&gt;附發票&gt;附回郵</v>
          </cell>
          <cell r="E69" t="str">
            <v>順祥起重工程行＞負:林明南</v>
          </cell>
          <cell r="F69" t="str">
            <v>順祥起重工程行(64)</v>
          </cell>
          <cell r="G69" t="str">
            <v>稅外</v>
          </cell>
          <cell r="H69" t="str">
            <v>寄＞附發票＞附回郵＞</v>
          </cell>
          <cell r="I69" t="str">
            <v>2149＞1798＞稅外</v>
          </cell>
          <cell r="J69">
            <v>30</v>
          </cell>
          <cell r="L69" t="str">
            <v>037-461487＞0937-789709</v>
          </cell>
          <cell r="M69">
            <v>0</v>
          </cell>
          <cell r="R69" t="b">
            <v>0</v>
          </cell>
          <cell r="S69" t="str"/>
          <cell r="T69" t="b">
            <v>0</v>
          </cell>
          <cell r="W69">
            <v>350</v>
          </cell>
          <cell r="X69" t="str">
            <v>苗栗縣竹南鎮大厝里9鄰59-15號＞登:苗栗縣竹南鎮 佳興里13鄰 新民街68號。</v>
          </cell>
          <cell r="Y69" t="str">
            <v>苗栗縣竹南鎮</v>
          </cell>
          <cell r="Z69" t="str">
            <v>苗栗縣竹南鎮大厝里9鄰59之15號.</v>
          </cell>
          <cell r="AA69" t="str">
            <v>350苗栗縣竹南鎮大厝里9鄰59-15號＞登:苗栗縣竹南鎮 佳興里13鄰 新民街68號。</v>
          </cell>
          <cell r="AK69" t="str">
            <v>117-SW</v>
          </cell>
          <cell r="AL69" t="str">
            <v>1-0021-毅和&gt;寄&gt;附發票&gt;附回郵</v>
          </cell>
          <cell r="AM69" t="str">
            <v>1-0021</v>
          </cell>
        </row>
        <row r="70">
          <cell r="B70" t="str">
            <v>1-0065</v>
          </cell>
          <cell r="C70">
            <v>36102</v>
          </cell>
          <cell r="D70" t="str">
            <v>1-0065-台澄&gt;郭董&gt;寄&gt;老闆親收</v>
          </cell>
          <cell r="E70" t="str">
            <v>台澄企業社＞負:郭淦軒&gt;郭董</v>
          </cell>
          <cell r="F70" t="str">
            <v>台澄企業社(65)</v>
          </cell>
          <cell r="G70" t="str">
            <v>未稅</v>
          </cell>
          <cell r="H70" t="str">
            <v>寄＞老闆親收＞</v>
          </cell>
          <cell r="I70" t="str">
            <v>未稅</v>
          </cell>
          <cell r="J70">
            <v>30</v>
          </cell>
          <cell r="K70" t="str">
            <v>3967＞6282＞未稅</v>
          </cell>
          <cell r="L70" t="str">
            <v>037-652512＞0912-965036</v>
          </cell>
          <cell r="M70" t="str">
            <v>2-0097</v>
          </cell>
          <cell r="R70" t="b">
            <v>0</v>
          </cell>
          <cell r="S70" t="str"/>
          <cell r="T70" t="b">
            <v>0</v>
          </cell>
          <cell r="W70">
            <v>361</v>
          </cell>
          <cell r="X70" t="str">
            <v>苗栗縣造橋鄉龍昇村5鄰5-18號＞登:苗栗縣造橋鄉龍昇村5鄰九車籠5-18號1樓。</v>
          </cell>
          <cell r="Y70" t="str">
            <v>苗栗縣造橋鄉</v>
          </cell>
          <cell r="Z70" t="str">
            <v>苗栗縣造橋鄉龍昇村5鄰5之18號.</v>
          </cell>
          <cell r="AA70" t="str">
            <v>361苗栗縣造橋鄉龍昇村5鄰5-18號＞登:苗栗縣造橋鄉龍昇村5鄰九車籠5-18號1樓。</v>
          </cell>
          <cell r="AK70" t="str">
            <v>118-SW</v>
          </cell>
          <cell r="AL70" t="str">
            <v>1-0021-毅和&gt;寄&gt;附發票&gt;附回郵</v>
          </cell>
          <cell r="AM70" t="str">
            <v>1-0021</v>
          </cell>
        </row>
        <row r="71">
          <cell r="B71" t="str">
            <v>1-0066</v>
          </cell>
          <cell r="C71" t="str">
            <v>101-05-01</v>
          </cell>
          <cell r="D71" t="str">
            <v>1-0066-豪泰&gt;寄&gt;附發票&gt;附回郵</v>
          </cell>
          <cell r="E71" t="str">
            <v>豪泰汽車客運股份有限公司＞負:鄭茂滄</v>
          </cell>
          <cell r="F71" t="str">
            <v>豪泰汽車客運股份有限公司(66)</v>
          </cell>
          <cell r="G71" t="str">
            <v>稅外</v>
          </cell>
          <cell r="H71" t="str">
            <v>寄＞附發票＞附回郵＞</v>
          </cell>
          <cell r="I71" t="str">
            <v>1675＞2907＞稅外</v>
          </cell>
          <cell r="J71">
            <v>30</v>
          </cell>
          <cell r="L71" t="str">
            <v>02-25569397＞傳真02-25569275＞0925-556823鄭老板＞0915-393933老板娘</v>
          </cell>
          <cell r="M71">
            <v>0</v>
          </cell>
          <cell r="R71" t="b">
            <v>0</v>
          </cell>
          <cell r="S71" t="str"/>
          <cell r="T71" t="b">
            <v>0</v>
          </cell>
          <cell r="W71">
            <v>103</v>
          </cell>
          <cell r="X71" t="str">
            <v>台北巿大同區承德路一段67號2樓。</v>
          </cell>
          <cell r="Y71" t="str">
            <v>台北巿大同區</v>
          </cell>
          <cell r="Z71" t="str">
            <v>台北巿大同區承德路一段67號2樓.</v>
          </cell>
          <cell r="AA71" t="str">
            <v>103台北巿大同區承德路一段67號2樓。</v>
          </cell>
          <cell r="AK71" t="str">
            <v>119-SW</v>
          </cell>
          <cell r="AL71" t="str">
            <v>1-0021-毅和&gt;寄&gt;附發票&gt;附回郵</v>
          </cell>
          <cell r="AM71" t="str">
            <v>1-0021</v>
          </cell>
        </row>
        <row r="72">
          <cell r="B72" t="str">
            <v>1-0067</v>
          </cell>
          <cell r="C72" t="str">
            <v>101-09-10</v>
          </cell>
          <cell r="D72" t="str">
            <v>1-0067-小阿姨&gt;寄&gt;自結</v>
          </cell>
          <cell r="E72" t="str">
            <v>陳文煌＞小阿姨＞靠行:東園企業社,負:王新侑</v>
          </cell>
          <cell r="F72" t="str">
            <v>陳文煌(67)</v>
          </cell>
          <cell r="G72" t="str">
            <v>未稅</v>
          </cell>
          <cell r="H72" t="str">
            <v>寄＞自結＞</v>
          </cell>
          <cell r="I72" t="str">
            <v>未稅</v>
          </cell>
          <cell r="J72">
            <v>30</v>
          </cell>
          <cell r="K72" t="str">
            <v>4582＞3965＞未稅</v>
          </cell>
          <cell r="L72" t="str">
            <v>0932-634560</v>
          </cell>
          <cell r="M72">
            <v>0</v>
          </cell>
          <cell r="R72" t="b">
            <v>0</v>
          </cell>
          <cell r="S72" t="str"/>
          <cell r="T72" t="b">
            <v>0</v>
          </cell>
          <cell r="W72">
            <v>361</v>
          </cell>
          <cell r="X72" t="str">
            <v>苗栗縣造橋鄉朝陽路106號＞登:苗栗縣後龍鎮大庄里10鄰民族路49號1樓。</v>
          </cell>
          <cell r="Y72" t="str">
            <v>苗栗縣造橋鄉</v>
          </cell>
          <cell r="Z72" t="str">
            <v>苗栗縣造橋鄉朝陽路106號.</v>
          </cell>
          <cell r="AA72" t="str">
            <v>361苗栗縣造橋鄉朝陽路106號＞登:苗栗縣後龍鎮大庄里10鄰民族路49號1樓。</v>
          </cell>
          <cell r="AK72" t="str">
            <v>156-SW</v>
          </cell>
          <cell r="AL72" t="str">
            <v>1-0021-毅和&gt;寄&gt;附發票&gt;附回郵</v>
          </cell>
          <cell r="AM72" t="str">
            <v>1-0021</v>
          </cell>
        </row>
        <row r="73">
          <cell r="B73" t="str">
            <v>1-0068</v>
          </cell>
          <cell r="C73" t="str">
            <v>109-05-12/郭雯瑀</v>
          </cell>
          <cell r="D73" t="str">
            <v>1-0068-(1/2)台北輝&gt;佳驛輪胎行&gt;寄&gt;附發票&gt;附回郵</v>
          </cell>
          <cell r="E73" t="str">
            <v>佳驛輪胎行＞陳清輝</v>
          </cell>
          <cell r="F73" t="str">
            <v>佳驛輪胎行(68)</v>
          </cell>
          <cell r="G73" t="str">
            <v>含稅</v>
          </cell>
          <cell r="H73" t="str">
            <v>寄&gt;附發票&gt;附回郵&gt;跟443一起寄</v>
          </cell>
          <cell r="I73" t="str">
            <v>9878＞6399＞含稅＞25號月結</v>
          </cell>
          <cell r="J73">
            <v>25</v>
          </cell>
          <cell r="L73" t="str">
            <v>0932-650420＞0918-990052</v>
          </cell>
          <cell r="M73" t="str">
            <v>2-0145</v>
          </cell>
          <cell r="R73" t="b">
            <v>0</v>
          </cell>
          <cell r="S73" t="str"/>
          <cell r="T73" t="b">
            <v>0</v>
          </cell>
          <cell r="W73">
            <v>243</v>
          </cell>
          <cell r="X73" t="str">
            <v>新北市泰山區明志路2段254巷16弄15號4樓&gt;新北市泰山區同榮郵局124號信箱</v>
          </cell>
          <cell r="Y73" t="str">
            <v>新北市泰山區</v>
          </cell>
          <cell r="Z73" t="str">
            <v>新北市泰山區同榮郵局124號信箱</v>
          </cell>
          <cell r="AA73" t="str">
            <v>243新北市泰山區明志路2段254巷16弄15號4樓&gt;新北市泰山區同榮郵局124號信箱</v>
          </cell>
          <cell r="AK73" t="str">
            <v>157-SW</v>
          </cell>
          <cell r="AL73" t="str">
            <v>1-0021-毅和&gt;寄&gt;附發票&gt;附回郵</v>
          </cell>
          <cell r="AM73" t="str">
            <v>1-0021</v>
          </cell>
        </row>
        <row r="74">
          <cell r="B74" t="str">
            <v>1-0069</v>
          </cell>
          <cell r="C74" t="str">
            <v>101-05-01</v>
          </cell>
          <cell r="D74" t="str">
            <v>1-0069-卓文湧&gt;天頂&gt;寄&gt;自結</v>
          </cell>
          <cell r="E74" t="str">
            <v>卓文湧＞靠行:天頂交通股份有限公司,負:陳漢琮</v>
          </cell>
          <cell r="F74" t="str">
            <v>卓文湧(69)</v>
          </cell>
          <cell r="G74" t="str">
            <v>未稅</v>
          </cell>
          <cell r="H74" t="str">
            <v>寄＞自結＞</v>
          </cell>
          <cell r="I74" t="str">
            <v>未稅</v>
          </cell>
          <cell r="J74">
            <v>30</v>
          </cell>
          <cell r="K74" t="str">
            <v>0285＞1499＞未稅</v>
          </cell>
          <cell r="L74" t="str">
            <v>037-483672＞0910-156031＞0928-996942</v>
          </cell>
          <cell r="M74" t="str">
            <v>2-0076</v>
          </cell>
          <cell r="R74" t="b">
            <v>0</v>
          </cell>
          <cell r="S74" t="str"/>
          <cell r="T74" t="b">
            <v>0</v>
          </cell>
          <cell r="W74">
            <v>350</v>
          </cell>
          <cell r="X74" t="str">
            <v>苗栗縣竹南鎮環巿路三段151巷38弄2號＞登:新竹市 東區博愛街76巷1號。</v>
          </cell>
          <cell r="Y74" t="str">
            <v>苗栗縣竹南鎮</v>
          </cell>
          <cell r="Z74" t="str">
            <v>苗栗縣竹南鎮環巿路三段151巷38弄2號.</v>
          </cell>
          <cell r="AA74" t="str">
            <v>350苗栗縣竹南鎮環巿路三段151巷38弄2號＞登:新竹市 東區博愛街76巷1號。</v>
          </cell>
          <cell r="AK74" t="str">
            <v>2P-0178</v>
          </cell>
          <cell r="AL74" t="str">
            <v>1-0021-毅和&gt;寄&gt;附發票&gt;附回郵</v>
          </cell>
          <cell r="AM74" t="str">
            <v>1-0021</v>
          </cell>
        </row>
        <row r="75">
          <cell r="B75" t="str">
            <v>1-0070</v>
          </cell>
          <cell r="C75" t="str">
            <v>101-05-01</v>
          </cell>
          <cell r="D75" t="str">
            <v>1-0070-曾錦忠&gt;佳弘&gt;電&gt;自結</v>
          </cell>
          <cell r="E75" t="str">
            <v>曾錦忠＞靠行:佳弘交通股份有限公司,負:徐正佳</v>
          </cell>
          <cell r="F75" t="str">
            <v>曾錦忠(70)</v>
          </cell>
          <cell r="G75" t="str">
            <v>未稅</v>
          </cell>
          <cell r="H75" t="str">
            <v>電＞自結＞</v>
          </cell>
          <cell r="I75" t="str">
            <v>未稅</v>
          </cell>
          <cell r="J75">
            <v>30</v>
          </cell>
          <cell r="K75" t="str">
            <v>4981＞0267＞未稅</v>
          </cell>
          <cell r="L75" t="str">
            <v>0989-364840＞</v>
          </cell>
          <cell r="M75">
            <v>0</v>
          </cell>
          <cell r="R75" t="b">
            <v>0</v>
          </cell>
          <cell r="S75" t="str"/>
          <cell r="T75" t="b">
            <v>0</v>
          </cell>
          <cell r="W75">
            <v>360</v>
          </cell>
          <cell r="X75" t="str">
            <v>登:苗栗縣苗栗市上苗里長安街140號。</v>
          </cell>
          <cell r="Y75" t="str"/>
          <cell r="AA75" t="str">
            <v>360登:苗栗縣苗栗市上苗里長安街140號。</v>
          </cell>
          <cell r="AK75" t="str">
            <v>4718-RZ</v>
          </cell>
          <cell r="AL75" t="str">
            <v>1-0021-毅和&gt;寄&gt;附發票&gt;附回郵</v>
          </cell>
          <cell r="AM75" t="str">
            <v>1-0021</v>
          </cell>
        </row>
        <row r="76">
          <cell r="B76" t="str">
            <v>1-0071</v>
          </cell>
          <cell r="C76" t="str">
            <v>105-03-04</v>
          </cell>
          <cell r="D76" t="str">
            <v>1-0071-彭國清&gt;寄&gt;自結</v>
          </cell>
          <cell r="E76" t="str">
            <v>彭國清</v>
          </cell>
          <cell r="F76" t="str">
            <v>彭國清(71)</v>
          </cell>
          <cell r="G76" t="str">
            <v>未稅</v>
          </cell>
          <cell r="H76" t="str">
            <v>寄＞自結＞</v>
          </cell>
          <cell r="I76" t="str">
            <v>未稅</v>
          </cell>
          <cell r="J76">
            <v>30</v>
          </cell>
          <cell r="L76" t="str">
            <v>0910-517163彭國清</v>
          </cell>
          <cell r="M76">
            <v>0</v>
          </cell>
          <cell r="R76" t="b">
            <v>0</v>
          </cell>
          <cell r="S76" t="str"/>
          <cell r="T76" t="b">
            <v>0</v>
          </cell>
          <cell r="W76">
            <v>356</v>
          </cell>
          <cell r="X76" t="str">
            <v>苗栗縣後龍鎮大庄里5鄰13號之8。</v>
          </cell>
          <cell r="Y76" t="str">
            <v>苗栗縣後龍鎮</v>
          </cell>
          <cell r="Z76" t="str">
            <v>苗栗縣後龍鎮大庄里5鄰13號之8.</v>
          </cell>
          <cell r="AA76" t="str">
            <v>356苗栗縣後龍鎮大庄里5鄰13號之8。</v>
          </cell>
          <cell r="AK76" t="str">
            <v>4738-QT</v>
          </cell>
          <cell r="AL76" t="str">
            <v>1-0021-毅和&gt;寄&gt;附發票&gt;附回郵</v>
          </cell>
          <cell r="AM76" t="str">
            <v>1-0021</v>
          </cell>
        </row>
        <row r="77">
          <cell r="B77" t="str">
            <v>1-0072</v>
          </cell>
          <cell r="C77" t="str">
            <v>101-05-01</v>
          </cell>
          <cell r="D77" t="str">
            <v>1-0072-源勝&gt;寄&gt;附回郵</v>
          </cell>
          <cell r="E77" t="str">
            <v>群慎企業社＞許永慶</v>
          </cell>
          <cell r="F77" t="str">
            <v>群慎企業社(72)</v>
          </cell>
          <cell r="G77" t="str">
            <v>未稅</v>
          </cell>
          <cell r="H77" t="str">
            <v>寄＞附回郵＞</v>
          </cell>
          <cell r="I77" t="str">
            <v>未稅</v>
          </cell>
          <cell r="J77">
            <v>30</v>
          </cell>
          <cell r="K77" t="str">
            <v>0994＞7702＞未稅</v>
          </cell>
          <cell r="L77" t="str">
            <v>02-29617658＞0960-611182＞傳真02-29545336</v>
          </cell>
          <cell r="M77">
            <v>0</v>
          </cell>
          <cell r="R77" t="b">
            <v>0</v>
          </cell>
          <cell r="S77" t="str"/>
          <cell r="T77" t="b">
            <v>0</v>
          </cell>
          <cell r="W77">
            <v>220</v>
          </cell>
          <cell r="X77" t="str">
            <v>台北縣板橋巿實踐路93巷15號。</v>
          </cell>
          <cell r="Y77" t="str">
            <v>台北縣板橋巿</v>
          </cell>
          <cell r="Z77" t="str">
            <v>台北縣板橋巿實踐路93巷15號.</v>
          </cell>
          <cell r="AA77" t="str">
            <v>220台北縣板橋巿實踐路93巷15號。</v>
          </cell>
          <cell r="AK77" t="str">
            <v>4739-QT</v>
          </cell>
          <cell r="AL77" t="str">
            <v>1-0021-毅和&gt;寄&gt;附發票&gt;附回郵</v>
          </cell>
          <cell r="AM77" t="str">
            <v>1-0021</v>
          </cell>
        </row>
        <row r="78">
          <cell r="B78" t="str">
            <v>1-0073</v>
          </cell>
          <cell r="C78" t="str">
            <v>104-10-12</v>
          </cell>
          <cell r="D78" t="str">
            <v>1-0073-李志文&gt;龍秀&gt;裕嘉&gt;寄平信&gt;自結</v>
          </cell>
          <cell r="E78" t="str">
            <v>李志文＞龍秀&gt;裕嘉＞靠行: 和鑫汽車貨運有限公司,負: 陳昱臻＞菜車</v>
          </cell>
          <cell r="F78" t="str">
            <v>李志文-龍秀(73)</v>
          </cell>
          <cell r="G78" t="str">
            <v>未稅</v>
          </cell>
          <cell r="H78" t="str">
            <v>寄平信＞自結＞</v>
          </cell>
          <cell r="I78" t="str">
            <v>未稅</v>
          </cell>
          <cell r="J78">
            <v>30</v>
          </cell>
          <cell r="K78" t="str">
            <v>2463＞4341＞未稅</v>
          </cell>
          <cell r="L78" t="str">
            <v>0905-120002李志文</v>
          </cell>
          <cell r="M78">
            <v>0</v>
          </cell>
          <cell r="O78">
            <v>55</v>
          </cell>
          <cell r="P78">
            <v>2</v>
          </cell>
          <cell r="Q78">
            <v>15</v>
          </cell>
          <cell r="R78">
            <v>56</v>
          </cell>
          <cell r="S78">
            <v>66</v>
          </cell>
          <cell r="T78">
            <v>24153</v>
          </cell>
          <cell r="U78" t="str">
            <v>K121058588</v>
          </cell>
          <cell r="W78">
            <v>350</v>
          </cell>
          <cell r="X78" t="str">
            <v>苗栗縣竹南鎮復興路235巷28號＞登:嘉義縣朴子市大葛里朴子七路176號1樓。</v>
          </cell>
          <cell r="Y78" t="str">
            <v>苗栗縣竹南鎮</v>
          </cell>
          <cell r="Z78" t="str">
            <v>苗栗縣竹南鎮復興路235巷28號.</v>
          </cell>
          <cell r="AA78" t="str">
            <v>350苗栗縣竹南鎮復興路235巷28號＞登:嘉義縣朴子市大葛里朴子七路176號1樓。</v>
          </cell>
          <cell r="AK78" t="str">
            <v>520-TZ</v>
          </cell>
          <cell r="AL78" t="str">
            <v>1-0021-毅和&gt;寄&gt;附發票&gt;附回郵</v>
          </cell>
          <cell r="AM78" t="str">
            <v>1-0021</v>
          </cell>
        </row>
        <row r="79">
          <cell r="B79" t="str">
            <v>1-0074</v>
          </cell>
          <cell r="C79" t="str">
            <v>101-05-01</v>
          </cell>
          <cell r="D79" t="str">
            <v>1-0074-順安&gt;寄&gt;附發票&gt;附回郵</v>
          </cell>
          <cell r="E79" t="str">
            <v>順安汽車修理所＞負:吳運隆</v>
          </cell>
          <cell r="F79" t="str">
            <v>順安汽車修理所(74)</v>
          </cell>
          <cell r="G79" t="str">
            <v>稅外</v>
          </cell>
          <cell r="H79" t="str">
            <v>寄＞附發票＞附回郵＞</v>
          </cell>
          <cell r="I79" t="str">
            <v>5016＞0585＞稅外</v>
          </cell>
          <cell r="J79">
            <v>30</v>
          </cell>
          <cell r="L79" t="str">
            <v>037-626960＞0932-527964＞0912-617532老婆</v>
          </cell>
          <cell r="M79" t="str">
            <v>2-0064</v>
          </cell>
          <cell r="R79" t="b">
            <v>0</v>
          </cell>
          <cell r="S79" t="str"/>
          <cell r="T79" t="b">
            <v>0</v>
          </cell>
          <cell r="W79">
            <v>350</v>
          </cell>
          <cell r="X79" t="str">
            <v>苗栗縣竹南鎮公館里9鄰大埔頂34-2號。</v>
          </cell>
          <cell r="Y79" t="str">
            <v>苗栗縣竹南鎮</v>
          </cell>
          <cell r="Z79" t="str">
            <v>苗栗縣竹南鎮公館里9鄰大埔頂34之2號.</v>
          </cell>
          <cell r="AA79" t="str">
            <v>350苗栗縣竹南鎮公館里9鄰大埔頂34-2號。</v>
          </cell>
          <cell r="AK79" t="str">
            <v>521-TZ</v>
          </cell>
          <cell r="AL79" t="str">
            <v>1-0021-毅和&gt;寄&gt;附發票&gt;附回郵</v>
          </cell>
          <cell r="AM79" t="str">
            <v>1-0021</v>
          </cell>
        </row>
        <row r="80">
          <cell r="B80" t="str">
            <v>1-0075</v>
          </cell>
          <cell r="C80" t="str">
            <v>101-05-01</v>
          </cell>
          <cell r="D80" t="str">
            <v>1-0075-鄧順生&gt;佳金&gt;寄&gt;自結</v>
          </cell>
          <cell r="E80" t="str">
            <v>鄧順生＞靠行:佳金貨運股份有限公司,負:蕭江貴梅</v>
          </cell>
          <cell r="F80" t="str">
            <v>鄧順生(75)</v>
          </cell>
          <cell r="G80" t="str">
            <v>未稅</v>
          </cell>
          <cell r="H80" t="str">
            <v>寄＞自結＞</v>
          </cell>
          <cell r="I80" t="str">
            <v>未稅</v>
          </cell>
          <cell r="J80">
            <v>30</v>
          </cell>
          <cell r="K80" t="str">
            <v>0285＞1499＞未稅</v>
          </cell>
          <cell r="L80" t="str">
            <v>0928-241218＞</v>
          </cell>
          <cell r="M80">
            <v>0</v>
          </cell>
          <cell r="R80" t="b">
            <v>0</v>
          </cell>
          <cell r="S80" t="str"/>
          <cell r="T80" t="b">
            <v>0</v>
          </cell>
          <cell r="W80">
            <v>350</v>
          </cell>
          <cell r="X80" t="str">
            <v>苗栗縣竹南鎮育材路23巷13弄7號＞登:新竹市東區博愛街76巷1號。</v>
          </cell>
          <cell r="Y80" t="str">
            <v>苗栗縣竹南鎮</v>
          </cell>
          <cell r="Z80" t="str">
            <v>苗栗縣竹南鎮育材路23巷13弄7號.</v>
          </cell>
          <cell r="AA80" t="str">
            <v>350苗栗縣竹南鎮育材路23巷13弄7號＞登:新竹市東區博愛街76巷1號。</v>
          </cell>
          <cell r="AK80" t="str">
            <v>522-TZ</v>
          </cell>
          <cell r="AL80" t="str">
            <v>1-0021-毅和&gt;寄&gt;附發票&gt;附回郵</v>
          </cell>
          <cell r="AM80" t="str">
            <v>1-0021</v>
          </cell>
        </row>
        <row r="81">
          <cell r="B81" t="str">
            <v>1-0076</v>
          </cell>
          <cell r="C81" t="str">
            <v>101-05-01</v>
          </cell>
          <cell r="D81" t="str">
            <v>1-0076-省裕&gt;寄＞附發票＞附回郵</v>
          </cell>
          <cell r="E81" t="str">
            <v>省裕交通股份有限公司＞負:楊嘉種＞康益誠</v>
          </cell>
          <cell r="F81" t="str">
            <v>省裕交通股份有限公司(76)</v>
          </cell>
          <cell r="G81" t="str">
            <v>含稅</v>
          </cell>
          <cell r="H81" t="str">
            <v>寄＞附發票＞附回郵＞</v>
          </cell>
          <cell r="I81" t="str">
            <v>2249＞6429＞含稅</v>
          </cell>
          <cell r="J81">
            <v>30</v>
          </cell>
          <cell r="L81" t="str">
            <v>04-26812237＞0937-246345＞傳真04-26821379</v>
          </cell>
          <cell r="M81">
            <v>0</v>
          </cell>
          <cell r="R81" t="b">
            <v>0</v>
          </cell>
          <cell r="S81" t="str"/>
          <cell r="T81" t="b">
            <v>0</v>
          </cell>
          <cell r="W81">
            <v>437</v>
          </cell>
          <cell r="X81" t="str">
            <v>台中縣大甲區太白里通天路103之1號。</v>
          </cell>
          <cell r="Y81" t="str">
            <v>台中縣大甲區</v>
          </cell>
          <cell r="Z81" t="str">
            <v>台中縣大甲區太白里通天路103之1號.</v>
          </cell>
          <cell r="AA81" t="str">
            <v>437台中縣大甲區太白里通天路103之1號。</v>
          </cell>
          <cell r="AK81" t="str">
            <v>55-2700</v>
          </cell>
          <cell r="AL81" t="str">
            <v>1-0021-毅和&gt;寄&gt;附發票&gt;附回郵</v>
          </cell>
          <cell r="AM81" t="str">
            <v>1-0021</v>
          </cell>
        </row>
        <row r="82">
          <cell r="B82" t="str">
            <v>1-0077</v>
          </cell>
          <cell r="C82" t="str">
            <v>101-05-01</v>
          </cell>
          <cell r="D82" t="str">
            <v>1-0077-德龍紙業&gt;寄&gt;附發票＞親收</v>
          </cell>
          <cell r="E82" t="str">
            <v>德龍紙器商行＞負:柯秋龍</v>
          </cell>
          <cell r="F82" t="str">
            <v>德龍紙器商行(77)</v>
          </cell>
          <cell r="G82" t="str">
            <v>稅外</v>
          </cell>
          <cell r="H82" t="str">
            <v>寄＞附發票＞親收＞</v>
          </cell>
          <cell r="I82" t="str">
            <v>0294＞2301＞稅外</v>
          </cell>
          <cell r="J82">
            <v>30</v>
          </cell>
          <cell r="L82" t="str">
            <v>037-463634&gt;037-469838&gt;傳真037-465648</v>
          </cell>
          <cell r="M82" t="str">
            <v>2-0150</v>
          </cell>
          <cell r="R82" t="b">
            <v>0</v>
          </cell>
          <cell r="S82" t="str"/>
          <cell r="T82" t="b">
            <v>0</v>
          </cell>
          <cell r="W82">
            <v>350</v>
          </cell>
          <cell r="X82" t="str">
            <v>苗栗縣竹南鎮中美里10鄰保安林57號。</v>
          </cell>
          <cell r="Y82" t="str">
            <v>苗栗縣竹南鎮</v>
          </cell>
          <cell r="Z82" t="str">
            <v>苗栗縣竹南鎮中美里10鄰保安林57號.</v>
          </cell>
          <cell r="AA82" t="str">
            <v>350苗栗縣竹南鎮中美里10鄰保安林57號。</v>
          </cell>
          <cell r="AK82" t="str">
            <v>55-2908</v>
          </cell>
          <cell r="AL82" t="str">
            <v>1-0021-毅和&gt;寄&gt;附發票&gt;附回郵</v>
          </cell>
          <cell r="AM82" t="str">
            <v>1-0021</v>
          </cell>
        </row>
        <row r="83">
          <cell r="B83" t="str">
            <v>1-0078</v>
          </cell>
          <cell r="C83" t="str">
            <v>101-10-01</v>
          </cell>
          <cell r="D83" t="str">
            <v>1-0078-俊瑾&gt;寄&gt;附發票&gt;附回郵</v>
          </cell>
          <cell r="E83" t="str">
            <v>俊瑾企業有限公司＞負:彭德貴</v>
          </cell>
          <cell r="F83" t="str">
            <v>俊瑾企業有限公司(78)</v>
          </cell>
          <cell r="G83" t="str">
            <v>含稅</v>
          </cell>
          <cell r="H83" t="str">
            <v>寄＞附發票＞附回郵＞</v>
          </cell>
          <cell r="I83" t="str">
            <v>8459＞9473＞含稅</v>
          </cell>
          <cell r="J83">
            <v>30</v>
          </cell>
          <cell r="L83" t="str">
            <v>037-832346＞0975-127663彭先生哥哥</v>
          </cell>
          <cell r="M83">
            <v>0</v>
          </cell>
          <cell r="R83" t="b">
            <v>0</v>
          </cell>
          <cell r="S83" t="str"/>
          <cell r="T83" t="b">
            <v>0</v>
          </cell>
          <cell r="W83">
            <v>353</v>
          </cell>
          <cell r="X83" t="str">
            <v>苗栗縣南庄鄉園林村2鄰下圓林68-20號＞苗栗縣三灣鄉北埔村二鄰下林坪29-2號＞登:苗栗縣頭份鎮建國里6鄰大同路75號。</v>
          </cell>
          <cell r="Y83" t="str">
            <v>苗栗縣南庄鄉</v>
          </cell>
          <cell r="Z83" t="str">
            <v>苗栗縣南庄鄉圓林村2鄰下圓林68之20號.</v>
          </cell>
          <cell r="AA83" t="str">
            <v>353苗栗縣南庄鄉園林村2鄰下圓林68-20號＞苗栗縣三灣鄉北埔村二鄰下林坪29-2號＞登:苗栗縣頭份鎮建國里6鄰大同路75號。</v>
          </cell>
          <cell r="AK83" t="str">
            <v>55-5700</v>
          </cell>
          <cell r="AL83" t="str">
            <v>1-0021-毅和&gt;寄&gt;附發票&gt;附回郵</v>
          </cell>
          <cell r="AM83" t="str">
            <v>1-0021</v>
          </cell>
        </row>
        <row r="84">
          <cell r="B84" t="str">
            <v>1-0079</v>
          </cell>
          <cell r="C84" t="str">
            <v>101-05-01</v>
          </cell>
          <cell r="D84" t="str">
            <v>1-0079-旭中&gt;寄&gt;附發票&gt;附回郵</v>
          </cell>
          <cell r="E84" t="str">
            <v>旭中機械工程股份有限公司＞負:陳國松</v>
          </cell>
          <cell r="F84" t="str">
            <v>旭中機械工程股份有限公司(79)</v>
          </cell>
          <cell r="G84" t="str">
            <v>稅外</v>
          </cell>
          <cell r="H84" t="str">
            <v>寄＞附發票＞附回郵＞</v>
          </cell>
          <cell r="I84" t="str">
            <v>2220＞4680＞稅外</v>
          </cell>
          <cell r="J84">
            <v>30</v>
          </cell>
          <cell r="L84" t="str">
            <v>037-469528＞0937-771370＞傳真037-469518</v>
          </cell>
          <cell r="M84" t="str">
            <v>2-0070</v>
          </cell>
          <cell r="R84" t="b">
            <v>0</v>
          </cell>
          <cell r="S84" t="str"/>
          <cell r="T84" t="b">
            <v>0</v>
          </cell>
          <cell r="W84">
            <v>350</v>
          </cell>
          <cell r="X84" t="str">
            <v>苗栗縣竹南鎮中美里10鄰47-1號＞登:苗栗縣竹南鎮海口里19鄰保安林9之2號。</v>
          </cell>
          <cell r="Y84" t="str">
            <v>苗栗縣竹南鎮</v>
          </cell>
          <cell r="Z84" t="str">
            <v>苗栗縣竹南鎮中美里10鄰47之1號.</v>
          </cell>
          <cell r="AA84" t="str">
            <v>350苗栗縣竹南鎮中美里10鄰47-1號＞登:苗栗縣竹南鎮海口里19鄰保安林9之2號。</v>
          </cell>
          <cell r="AK84" t="str">
            <v>555-TZ</v>
          </cell>
          <cell r="AL84" t="str">
            <v>1-0021-毅和&gt;寄&gt;附發票&gt;附回郵</v>
          </cell>
          <cell r="AM84" t="str">
            <v>1-0021</v>
          </cell>
        </row>
        <row r="85">
          <cell r="B85" t="str">
            <v>1-0080</v>
          </cell>
          <cell r="C85" t="str">
            <v>100-11-02</v>
          </cell>
          <cell r="D85" t="str">
            <v>1-0080-百巢&gt;寄&gt;附發票&gt;附回郵</v>
          </cell>
          <cell r="E85" t="str">
            <v>百巢企業股份有限公司＞負:陳淑雲</v>
          </cell>
          <cell r="F85" t="str">
            <v>百巢企業股份有限公司(80)</v>
          </cell>
          <cell r="G85" t="str">
            <v>稅外</v>
          </cell>
          <cell r="H85" t="str">
            <v>寄＞附發票＞附回郵＞</v>
          </cell>
          <cell r="I85" t="str">
            <v>8417＞7092＞稅外</v>
          </cell>
          <cell r="J85">
            <v>30</v>
          </cell>
          <cell r="L85" t="str">
            <v>037-720199&gt;037-720069＞0935-363610連仕源＞傳真037-721826</v>
          </cell>
          <cell r="M85" t="str">
            <v>2-0049</v>
          </cell>
          <cell r="R85" t="b">
            <v>0</v>
          </cell>
          <cell r="S85" t="str"/>
          <cell r="T85" t="b">
            <v>0</v>
          </cell>
          <cell r="W85">
            <v>350</v>
          </cell>
          <cell r="X85" t="str">
            <v>苗栗縣竹南鎮中英里17鄰61-1號。</v>
          </cell>
          <cell r="Y85" t="str">
            <v>苗栗縣後龍鎮</v>
          </cell>
          <cell r="Z85" t="str">
            <v>苗栗縣後龍鎮東明里下浮尾117號</v>
          </cell>
          <cell r="AA85" t="str">
            <v>350苗栗縣竹南鎮中英里17鄰61-1號。</v>
          </cell>
          <cell r="AK85" t="str">
            <v>556-TZ</v>
          </cell>
          <cell r="AL85" t="str">
            <v>1-0021-毅和&gt;寄&gt;附發票&gt;附回郵</v>
          </cell>
          <cell r="AM85" t="str">
            <v>1-0021</v>
          </cell>
        </row>
        <row r="86">
          <cell r="B86" t="str">
            <v>1-0081</v>
          </cell>
          <cell r="C86" t="str">
            <v>101-05-01</v>
          </cell>
          <cell r="D86" t="str">
            <v>1-0081-鑫毅&gt;寄&gt;附發票&gt;匯款</v>
          </cell>
          <cell r="E86" t="str">
            <v>鑫毅企業社＞負:許明宏</v>
          </cell>
          <cell r="F86" t="str">
            <v>鑫毅企業社(81)</v>
          </cell>
          <cell r="G86" t="str">
            <v>稅外</v>
          </cell>
          <cell r="H86" t="str">
            <v>寄＞附發票＞匯款＞</v>
          </cell>
          <cell r="I86" t="str">
            <v>4555＞2013＞稅外＞中華全佑</v>
          </cell>
          <cell r="J86">
            <v>30</v>
          </cell>
          <cell r="L86" t="str">
            <v>037-629697＞0932-566121</v>
          </cell>
          <cell r="M86">
            <v>0</v>
          </cell>
          <cell r="R86" t="b">
            <v>0</v>
          </cell>
          <cell r="S86" t="str"/>
          <cell r="T86" t="b">
            <v>0</v>
          </cell>
          <cell r="W86">
            <v>350</v>
          </cell>
          <cell r="X86" t="str">
            <v>苗栗縣竹南鎮公館里3鄰17號＞登:苗栗縣竹南鎮海口里光德路55巷11號。</v>
          </cell>
          <cell r="Y86" t="str">
            <v>苗栗縣竹南鎮</v>
          </cell>
          <cell r="Z86" t="str">
            <v>苗栗縣竹南鎮公館里3鄰17號.</v>
          </cell>
          <cell r="AA86" t="str">
            <v>350苗栗縣竹南鎮公館里3鄰17號＞登:苗栗縣竹南鎮海口里光德路55巷11號。</v>
          </cell>
          <cell r="AK86" t="str">
            <v>557-TZ</v>
          </cell>
          <cell r="AL86" t="str">
            <v>1-0021-毅和&gt;寄&gt;附發票&gt;附回郵</v>
          </cell>
          <cell r="AM86" t="str">
            <v>1-0021</v>
          </cell>
        </row>
        <row r="87">
          <cell r="B87" t="str">
            <v>1-0082</v>
          </cell>
          <cell r="C87" t="str">
            <v>101-05-01</v>
          </cell>
          <cell r="D87" t="str">
            <v>1-0082-頭份汽車&gt;寄&gt;附發票&gt;附回郵</v>
          </cell>
          <cell r="E87" t="str">
            <v>頭份汽車有限公司＞頭份汽車修理廠＞負:徐成銘</v>
          </cell>
          <cell r="F87" t="str">
            <v>頭份汽車有限公司82)</v>
          </cell>
          <cell r="G87" t="str">
            <v>稅外</v>
          </cell>
          <cell r="H87" t="str">
            <v>寄＞附發票＞附回郵＞</v>
          </cell>
          <cell r="I87" t="str">
            <v>8665＞0880＞稅外</v>
          </cell>
          <cell r="J87">
            <v>30</v>
          </cell>
          <cell r="L87" t="str">
            <v>037-684578＞037-684579＞0960-599179徐偉倫</v>
          </cell>
          <cell r="M87">
            <v>0</v>
          </cell>
          <cell r="R87" t="b">
            <v>0</v>
          </cell>
          <cell r="S87" t="str"/>
          <cell r="T87" t="b">
            <v>0</v>
          </cell>
          <cell r="W87">
            <v>351</v>
          </cell>
          <cell r="X87" t="str">
            <v>苗栗縣頭份巿濱江街73之5號＞登:苗栗縣三灣鄉三灣村16鄰博愛路110-6號。</v>
          </cell>
          <cell r="Y87" t="str">
            <v>苗栗縣頭份巿</v>
          </cell>
          <cell r="Z87" t="str">
            <v>苗栗縣頭份巿濱江街73之5號.</v>
          </cell>
          <cell r="AA87" t="str">
            <v>351苗栗縣頭份巿濱江街73之5號＞登:苗栗縣三灣鄉三灣村16鄰博愛路110-6號。</v>
          </cell>
          <cell r="AK87" t="str">
            <v>6091-NA</v>
          </cell>
          <cell r="AL87" t="str">
            <v>1-0021-毅和&gt;寄&gt;附發票&gt;附回郵</v>
          </cell>
          <cell r="AM87" t="str">
            <v>1-0021</v>
          </cell>
        </row>
        <row r="88">
          <cell r="B88" t="str">
            <v>1-0083</v>
          </cell>
          <cell r="C88" t="str">
            <v>101-05-01</v>
          </cell>
          <cell r="D88" t="str">
            <v>1-0083-觀鼎&gt;寄&gt;附發票&gt;匯款</v>
          </cell>
          <cell r="E88" t="str">
            <v>觀鼎企業有限公司＞負:莊瑞龍</v>
          </cell>
          <cell r="F88" t="str">
            <v>觀鼎企業有限公司(83)</v>
          </cell>
          <cell r="G88" t="str">
            <v>含稅</v>
          </cell>
          <cell r="H88" t="str">
            <v>寄＞附發票＞匯款＞</v>
          </cell>
          <cell r="I88" t="str">
            <v>4728＞9215＞含稅＞中華全佑＞25號月結</v>
          </cell>
          <cell r="J88">
            <v>25</v>
          </cell>
          <cell r="L88" t="str">
            <v>03-5182368＞0915-201271車管蘇先生＞傳真03-5182968</v>
          </cell>
          <cell r="M88">
            <v>0</v>
          </cell>
          <cell r="R88" t="b">
            <v>0</v>
          </cell>
          <cell r="S88" t="str"/>
          <cell r="T88" t="b">
            <v>0</v>
          </cell>
          <cell r="W88">
            <v>300</v>
          </cell>
          <cell r="X88" t="str">
            <v>新竹巿香山區南港里西濱路六段599號＞登:新竹市東區中華路5段545號。</v>
          </cell>
          <cell r="Y88" t="str">
            <v>新竹巿香山區</v>
          </cell>
          <cell r="Z88" t="str">
            <v>新竹巿香山區南港里西濱路六段599號.</v>
          </cell>
          <cell r="AA88" t="str">
            <v>300新竹巿香山區南港里西濱路六段599號＞登:新竹市東區中華路5段545號。</v>
          </cell>
          <cell r="AK88" t="str">
            <v>6323-YY</v>
          </cell>
          <cell r="AL88" t="str">
            <v>1-0021-毅和&gt;寄&gt;附發票&gt;附回郵</v>
          </cell>
          <cell r="AM88" t="str">
            <v>1-0021</v>
          </cell>
        </row>
        <row r="89">
          <cell r="B89" t="str">
            <v>1-0084</v>
          </cell>
          <cell r="C89" t="str">
            <v>101-05-01</v>
          </cell>
          <cell r="D89" t="str">
            <v>1-0084-金益鼎&gt;寄&gt;附發票&gt;匯款</v>
          </cell>
          <cell r="E89" t="str">
            <v>金益鼎企業股份有限公司＞負:莊清旗</v>
          </cell>
          <cell r="F89" t="str">
            <v>金益鼎企業股份有限公司(84)</v>
          </cell>
          <cell r="G89" t="str">
            <v>含稅</v>
          </cell>
          <cell r="H89" t="str">
            <v>寄＞附發票＞匯款＞</v>
          </cell>
          <cell r="I89" t="str">
            <v>9741＞9282＞含稅＞中華全佑＞25號月結</v>
          </cell>
          <cell r="J89">
            <v>25</v>
          </cell>
          <cell r="L89" t="str">
            <v>03-5182368＞0915-201271車管蘇先生＞傳真03-5182968</v>
          </cell>
          <cell r="M89">
            <v>0</v>
          </cell>
          <cell r="R89" t="b">
            <v>0</v>
          </cell>
          <cell r="S89" t="str"/>
          <cell r="T89" t="b">
            <v>0</v>
          </cell>
          <cell r="W89">
            <v>300</v>
          </cell>
          <cell r="X89" t="str">
            <v>新竹巿香山區南港里西濱路六段599號。</v>
          </cell>
          <cell r="Y89" t="str">
            <v>新竹巿香山區</v>
          </cell>
          <cell r="Z89" t="str">
            <v>新竹巿香山區南港里西濱路六段599號.</v>
          </cell>
          <cell r="AA89" t="str">
            <v>300新竹巿香山區南港里西濱路六段599號。</v>
          </cell>
          <cell r="AK89" t="str">
            <v>6330-YY</v>
          </cell>
          <cell r="AL89" t="str">
            <v>1-0021-毅和&gt;寄&gt;附發票&gt;附回郵</v>
          </cell>
          <cell r="AM89" t="str">
            <v>1-0021</v>
          </cell>
        </row>
        <row r="90">
          <cell r="B90" t="str">
            <v>1-0085</v>
          </cell>
          <cell r="C90" t="str">
            <v>101-05-01</v>
          </cell>
          <cell r="D90" t="str">
            <v>1-0085-宏昇起重&gt;寄&gt;附發票&gt;附回郵</v>
          </cell>
          <cell r="E90" t="str">
            <v>宏昇起重工程行＞負:陳俊辰</v>
          </cell>
          <cell r="F90" t="str">
            <v>宏昇起重工程行(85)</v>
          </cell>
          <cell r="G90" t="str">
            <v>稅外</v>
          </cell>
          <cell r="H90" t="str">
            <v>寄＞附發票＞附回郵＞</v>
          </cell>
          <cell r="I90" t="str">
            <v>8191＞6735＞稅外</v>
          </cell>
          <cell r="J90">
            <v>30</v>
          </cell>
          <cell r="L90" t="str">
            <v>03-5376589＞0910-519223＞0937-990092老闆娘</v>
          </cell>
          <cell r="M90" t="str">
            <v>2-0198</v>
          </cell>
          <cell r="R90" t="b">
            <v>0</v>
          </cell>
          <cell r="S90" t="str"/>
          <cell r="T90" t="b">
            <v>0</v>
          </cell>
          <cell r="W90">
            <v>300</v>
          </cell>
          <cell r="X90" t="str">
            <v>新竹巿五福路一段19巷22弄11號。</v>
          </cell>
          <cell r="Y90" t="str">
            <v>新竹巿五福路</v>
          </cell>
          <cell r="Z90" t="str">
            <v>新竹巿五福路一段19巷22弄11號.</v>
          </cell>
          <cell r="AA90" t="str">
            <v>300新竹巿五福路一段19巷22弄11號。</v>
          </cell>
          <cell r="AK90" t="str">
            <v>6653-KX</v>
          </cell>
          <cell r="AL90" t="str">
            <v>1-0021-毅和&gt;寄&gt;附發票&gt;附回郵</v>
          </cell>
          <cell r="AM90" t="str">
            <v>1-0021</v>
          </cell>
        </row>
        <row r="91">
          <cell r="B91" t="str">
            <v>1-0086</v>
          </cell>
          <cell r="C91" t="str">
            <v>101-05-01</v>
          </cell>
          <cell r="D91" t="str">
            <v>1-0086-陳根旺&gt;寄&gt;附發票&gt;附回郵</v>
          </cell>
          <cell r="E91" t="str">
            <v>亞鉅興業有限公司＞勝清實業有限公司＞負:李秋美＞陳根旺</v>
          </cell>
          <cell r="F91" t="str">
            <v>陳根旺(86)</v>
          </cell>
          <cell r="G91" t="str">
            <v>稅外</v>
          </cell>
          <cell r="H91" t="str">
            <v>寄＞附發票＞附回郵＞</v>
          </cell>
          <cell r="I91" t="str">
            <v>5398＞7126亞鉅＞2726＞3286勝清＞稅外</v>
          </cell>
          <cell r="J91">
            <v>30</v>
          </cell>
          <cell r="L91" t="str">
            <v>04-26865161＞0955-871259＞傳真04-26800907</v>
          </cell>
          <cell r="M91">
            <v>0</v>
          </cell>
          <cell r="R91" t="b">
            <v>0</v>
          </cell>
          <cell r="S91" t="str"/>
          <cell r="T91" t="b">
            <v>0</v>
          </cell>
          <cell r="W91">
            <v>437</v>
          </cell>
          <cell r="X91" t="str">
            <v>臺中市大甲區武曲里大安港路222-7號。</v>
          </cell>
          <cell r="Y91" t="str">
            <v>臺中市大甲區</v>
          </cell>
          <cell r="Z91" t="str">
            <v>臺中市大甲區武曲里大安港路222之7號.</v>
          </cell>
          <cell r="AA91" t="str">
            <v>437臺中市大甲區武曲里大安港路222-7號。</v>
          </cell>
          <cell r="AK91" t="str">
            <v>682-Q2</v>
          </cell>
          <cell r="AL91" t="str">
            <v>1-0021-毅和&gt;寄&gt;附發票&gt;附回郵</v>
          </cell>
          <cell r="AM91" t="str">
            <v>1-0021</v>
          </cell>
        </row>
        <row r="92">
          <cell r="B92" t="str">
            <v>1-0087</v>
          </cell>
          <cell r="C92" t="str">
            <v>101-05-01</v>
          </cell>
          <cell r="D92" t="str">
            <v>1-0087-慶揚&gt;寄&gt;匯款</v>
          </cell>
          <cell r="E92" t="str">
            <v>慶揚輪胎有限公司＞負:江春蘭</v>
          </cell>
          <cell r="F92" t="str">
            <v>慶揚輪胎有限公司(87)</v>
          </cell>
          <cell r="G92" t="str">
            <v>未稅</v>
          </cell>
          <cell r="H92" t="str">
            <v>寄＞匯款帳號:032186040.5407300＞</v>
          </cell>
          <cell r="I92" t="str">
            <v>未稅</v>
          </cell>
          <cell r="J92">
            <v>30</v>
          </cell>
          <cell r="K92" t="str">
            <v>1304＞0933＞未稅</v>
          </cell>
          <cell r="L92" t="str">
            <v>04-8325660＞0933-402457＞傳真04-8351917</v>
          </cell>
          <cell r="M92">
            <v>0</v>
          </cell>
          <cell r="R92" t="b">
            <v>0</v>
          </cell>
          <cell r="S92" t="str"/>
          <cell r="T92" t="b">
            <v>0</v>
          </cell>
          <cell r="W92">
            <v>510</v>
          </cell>
          <cell r="X92" t="str">
            <v>彰化縣員林鎮中正路31巷5號＞登:彰化縣員林鎮中正里林森路273號。</v>
          </cell>
          <cell r="Y92" t="str">
            <v>彰化縣員林市</v>
          </cell>
          <cell r="Z92" t="str">
            <v>彰化縣員林市林森路273號.</v>
          </cell>
          <cell r="AA92" t="str">
            <v>510彰化縣員林鎮中正路31巷5號＞登:彰化縣員林鎮中正里林森路273號。</v>
          </cell>
          <cell r="AK92" t="str">
            <v>685-Q2</v>
          </cell>
          <cell r="AL92" t="str">
            <v>1-0021-毅和&gt;寄&gt;附發票&gt;附回郵</v>
          </cell>
          <cell r="AM92" t="str">
            <v>1-0021</v>
          </cell>
        </row>
        <row r="93">
          <cell r="B93" t="str">
            <v>1-0088</v>
          </cell>
          <cell r="C93" t="str">
            <v>101-05-01</v>
          </cell>
          <cell r="D93" t="str">
            <v>1-0088-新生&gt;寄&gt;附發票&gt;附回郵</v>
          </cell>
          <cell r="E93" t="str">
            <v>新生汽車貨運行＞負:黃碧玉＞蕭炳輝</v>
          </cell>
          <cell r="F93" t="str">
            <v>新生汽車貨運行(88)</v>
          </cell>
          <cell r="G93" t="str">
            <v>含稅</v>
          </cell>
          <cell r="H93" t="str">
            <v>寄＞附發票＞附回郵＞</v>
          </cell>
          <cell r="I93" t="str">
            <v>5579＞6191＞含稅</v>
          </cell>
          <cell r="J93">
            <v>30</v>
          </cell>
          <cell r="L93" t="str">
            <v>04-25265978＞0910-472026</v>
          </cell>
          <cell r="M93">
            <v>0</v>
          </cell>
          <cell r="R93" t="b">
            <v>0</v>
          </cell>
          <cell r="S93" t="str"/>
          <cell r="T93" t="b">
            <v>0</v>
          </cell>
          <cell r="W93">
            <v>420</v>
          </cell>
          <cell r="X93" t="str">
            <v>台中縣豐原巿保康路73號＞登:臺中市外埔區土城里土城北路156號。</v>
          </cell>
          <cell r="Y93" t="str">
            <v>台中縣豐原巿</v>
          </cell>
          <cell r="Z93" t="str">
            <v>台中縣豐原巿保康路73號.</v>
          </cell>
          <cell r="AA93" t="str">
            <v>420台中縣豐原巿保康路73號＞登:臺中市外埔區土城里土城北路156號。</v>
          </cell>
          <cell r="AK93" t="str">
            <v>686-Q2</v>
          </cell>
          <cell r="AL93" t="str">
            <v>1-0021-毅和&gt;寄&gt;附發票&gt;附回郵</v>
          </cell>
          <cell r="AM93" t="str">
            <v>1-0021</v>
          </cell>
        </row>
        <row r="94">
          <cell r="B94" t="str">
            <v>1-0089</v>
          </cell>
          <cell r="C94" t="str">
            <v>101-05-01</v>
          </cell>
          <cell r="D94" t="str">
            <v>1-0089-玖盟&gt;寄＞附回郵</v>
          </cell>
          <cell r="E94" t="str">
            <v>玖盟輪胎行＞負:陳美玉＞盧碧芳</v>
          </cell>
          <cell r="F94" t="str">
            <v>玖盟輪胎行(89)</v>
          </cell>
          <cell r="G94" t="str">
            <v>未稅</v>
          </cell>
          <cell r="H94" t="str">
            <v>寄＞附回郵＞</v>
          </cell>
          <cell r="I94" t="str">
            <v>未稅</v>
          </cell>
          <cell r="J94">
            <v>30</v>
          </cell>
          <cell r="K94" t="str">
            <v>0093＞6747＞未稅</v>
          </cell>
          <cell r="L94" t="str">
            <v>02-24561578</v>
          </cell>
          <cell r="M94">
            <v>0</v>
          </cell>
          <cell r="R94" t="b">
            <v>0</v>
          </cell>
          <cell r="S94" t="str"/>
          <cell r="T94" t="b">
            <v>0</v>
          </cell>
          <cell r="W94">
            <v>206</v>
          </cell>
          <cell r="X94" t="str">
            <v>基隆巿七堵區大華一路34-2號1樓。</v>
          </cell>
          <cell r="Y94" t="str">
            <v>基隆巿七堵區</v>
          </cell>
          <cell r="Z94" t="str">
            <v>基隆巿七堵區大華一路34之2號1樓.</v>
          </cell>
          <cell r="AA94" t="str">
            <v>206基隆巿七堵區大華一路34-2號1樓。</v>
          </cell>
          <cell r="AK94" t="str">
            <v>687-Q2</v>
          </cell>
          <cell r="AL94" t="str">
            <v>1-0021-毅和&gt;寄&gt;附發票&gt;附回郵</v>
          </cell>
          <cell r="AM94" t="str">
            <v>1-0021</v>
          </cell>
        </row>
        <row r="95">
          <cell r="B95" t="str">
            <v>1-0090</v>
          </cell>
          <cell r="C95" t="str">
            <v>101-05-01</v>
          </cell>
          <cell r="D95" t="str">
            <v>1-0090-洪福氣&gt;寄&gt;自結</v>
          </cell>
          <cell r="E95" t="str">
            <v>洪福氣＞靠行:源強運輸公司,負:廖彗均</v>
          </cell>
          <cell r="F95" t="str">
            <v>洪福氣(90)</v>
          </cell>
          <cell r="G95" t="str">
            <v>未稅</v>
          </cell>
          <cell r="H95" t="str">
            <v>寄＞自結＞</v>
          </cell>
          <cell r="I95" t="str">
            <v>未稅</v>
          </cell>
          <cell r="J95">
            <v>30</v>
          </cell>
          <cell r="K95" t="str">
            <v>1604＞2836＞未稅</v>
          </cell>
          <cell r="L95" t="str">
            <v>037-582062＞0933-410122</v>
          </cell>
          <cell r="M95">
            <v>0</v>
          </cell>
          <cell r="R95" t="b">
            <v>0</v>
          </cell>
          <cell r="S95" t="str"/>
          <cell r="T95" t="b">
            <v>0</v>
          </cell>
          <cell r="W95">
            <v>350</v>
          </cell>
          <cell r="X95" t="str">
            <v>苗栗縣竹南鎮大埔里19鄰5號＞登:苗栗縣頭份鎮自強里26鄰自強路57號。</v>
          </cell>
          <cell r="Y95" t="str">
            <v>苗栗縣竹南鎮</v>
          </cell>
          <cell r="Z95" t="str">
            <v>苗栗縣竹南鎮大埔里19鄰5號.</v>
          </cell>
          <cell r="AA95" t="str">
            <v>350苗栗縣竹南鎮大埔里19鄰5號＞登:苗栗縣頭份鎮自強里26鄰自強路57號。</v>
          </cell>
          <cell r="AK95" t="str">
            <v>689-Q2</v>
          </cell>
          <cell r="AL95" t="str">
            <v>1-0021-毅和&gt;寄&gt;附發票&gt;附回郵</v>
          </cell>
          <cell r="AM95" t="str">
            <v>1-0021</v>
          </cell>
        </row>
        <row r="96">
          <cell r="B96" t="str">
            <v>1-0091</v>
          </cell>
          <cell r="C96" t="str">
            <v>101-05-01</v>
          </cell>
          <cell r="D96" t="str">
            <v>1-0091-捷瑞駿&gt;寄&gt;附發票&gt;附回郵</v>
          </cell>
          <cell r="E96" t="str">
            <v>捷瑞駿貨運股份有限公司＞負:陳有德</v>
          </cell>
          <cell r="F96" t="str">
            <v>捷瑞駿貨運股份有限公司(91)</v>
          </cell>
          <cell r="G96" t="str">
            <v>含稅</v>
          </cell>
          <cell r="H96" t="str">
            <v>寄＞附發票＞附回郵＞</v>
          </cell>
          <cell r="I96" t="str">
            <v>4974＞1403＞含稅</v>
          </cell>
          <cell r="J96">
            <v>30</v>
          </cell>
          <cell r="L96" t="str">
            <v>037-482227＞ 0915-401727＞傳真037-482256</v>
          </cell>
          <cell r="M96">
            <v>0</v>
          </cell>
          <cell r="R96" t="b">
            <v>0</v>
          </cell>
          <cell r="S96" t="str"/>
          <cell r="T96" t="b">
            <v>0</v>
          </cell>
          <cell r="W96">
            <v>350</v>
          </cell>
          <cell r="X96" t="str">
            <v>苗栗縣竹南鎮天文里15鄰龍昇街107巷71號＞登:苗栗縣竹南鎮竹興里6鄰勤興街37巷8號。</v>
          </cell>
          <cell r="Y96" t="str">
            <v>苗栗縣竹南鎮</v>
          </cell>
          <cell r="Z96" t="str">
            <v>苗栗縣竹南鎮天文里15鄰龍昇街107巷71號.</v>
          </cell>
          <cell r="AA96" t="str">
            <v>350苗栗縣竹南鎮天文里15鄰龍昇街107巷71號＞登:苗栗縣竹南鎮竹興里6鄰勤興街37巷8號。</v>
          </cell>
          <cell r="AK96" t="str">
            <v>690-Q2</v>
          </cell>
          <cell r="AL96" t="str">
            <v>1-0021-毅和&gt;寄&gt;附發票&gt;附回郵</v>
          </cell>
          <cell r="AM96" t="str">
            <v>1-0021</v>
          </cell>
        </row>
        <row r="97">
          <cell r="B97" t="str">
            <v>1-0092</v>
          </cell>
          <cell r="C97" t="str">
            <v>101-05-01</v>
          </cell>
          <cell r="D97" t="str">
            <v>1-0092-新通交通&gt;寄&gt;附發票&gt;附回郵</v>
          </cell>
          <cell r="E97" t="str">
            <v>育明小客車租賃有限公司＞負:黃彥明</v>
          </cell>
          <cell r="F97" t="str">
            <v>育明小客車租賃有限公司(92)</v>
          </cell>
          <cell r="G97" t="str">
            <v>含稅</v>
          </cell>
          <cell r="H97" t="str">
            <v>寄＞附發票＞匯款＞</v>
          </cell>
          <cell r="I97" t="str">
            <v>5220＞5118＞含稅＞中華全佑</v>
          </cell>
          <cell r="J97">
            <v>30</v>
          </cell>
          <cell r="L97" t="str">
            <v>0981-687139黃彥明</v>
          </cell>
          <cell r="M97">
            <v>0</v>
          </cell>
          <cell r="R97" t="b">
            <v>0</v>
          </cell>
          <cell r="S97" t="str"/>
          <cell r="T97" t="b">
            <v>0</v>
          </cell>
          <cell r="W97">
            <v>300</v>
          </cell>
          <cell r="X97" t="str">
            <v>新竹市東區水源里原興路285號1樓。</v>
          </cell>
          <cell r="Y97" t="str">
            <v>新竹市東區水</v>
          </cell>
          <cell r="Z97" t="str">
            <v>新竹市東區水源里原興路285號1樓.</v>
          </cell>
          <cell r="AA97" t="str">
            <v>300新竹市東區水源里原興路285號1樓。</v>
          </cell>
          <cell r="AK97" t="str">
            <v>7262-R2</v>
          </cell>
          <cell r="AL97" t="str">
            <v>1-0021-毅和&gt;寄&gt;附發票&gt;附回郵</v>
          </cell>
          <cell r="AM97" t="str">
            <v>1-0021</v>
          </cell>
        </row>
        <row r="98">
          <cell r="B98" t="str">
            <v>1-0093</v>
          </cell>
          <cell r="C98" t="str">
            <v>101-05-01</v>
          </cell>
          <cell r="D98" t="str">
            <v>1-0093-瑞騏&gt;寄&gt;附發票&gt;附回郵</v>
          </cell>
          <cell r="E98" t="str">
            <v>瑞騏輪胎行＞負:張宥鈞</v>
          </cell>
          <cell r="F98" t="str">
            <v>瑞騏輪胎行(93)</v>
          </cell>
          <cell r="G98" t="str">
            <v>含稅</v>
          </cell>
          <cell r="H98" t="str">
            <v>寄＞附發票＞附回郵＞</v>
          </cell>
          <cell r="I98" t="str">
            <v>1442＞9449＞含稅</v>
          </cell>
          <cell r="J98">
            <v>30</v>
          </cell>
          <cell r="L98" t="str">
            <v>04-26911484&gt;0933-574474蘇文良</v>
          </cell>
          <cell r="M98">
            <v>0</v>
          </cell>
          <cell r="R98" t="b">
            <v>0</v>
          </cell>
          <cell r="S98" t="str"/>
          <cell r="T98" t="b">
            <v>0</v>
          </cell>
          <cell r="W98">
            <v>432</v>
          </cell>
          <cell r="X98" t="str">
            <v>台中市大肚區遊園路一段1-9號.</v>
          </cell>
          <cell r="Y98" t="str">
            <v>台中市大肚區</v>
          </cell>
          <cell r="Z98" t="str">
            <v>台中市大肚區遊園路一段1-9號.</v>
          </cell>
          <cell r="AA98" t="str">
            <v>432台中市大肚區遊園路一段1-9號.</v>
          </cell>
          <cell r="AK98" t="str">
            <v>763-RW</v>
          </cell>
          <cell r="AL98" t="str">
            <v>1-0021-毅和&gt;寄&gt;附發票&gt;附回郵</v>
          </cell>
          <cell r="AM98" t="str">
            <v>1-0021</v>
          </cell>
        </row>
        <row r="99">
          <cell r="B99" t="str">
            <v>1-0094</v>
          </cell>
          <cell r="C99" t="str">
            <v>101-05-01</v>
          </cell>
          <cell r="D99" t="str">
            <v>1-0094-東南輪胎&gt;現結</v>
          </cell>
          <cell r="E99" t="str">
            <v>東南輪胎行＞負:周添丁</v>
          </cell>
          <cell r="F99" t="str">
            <v>東南輪胎行(94)</v>
          </cell>
          <cell r="G99" t="str">
            <v>未稅</v>
          </cell>
          <cell r="H99" t="str">
            <v>現結</v>
          </cell>
          <cell r="I99" t="str">
            <v>未稅</v>
          </cell>
          <cell r="J99">
            <v>30</v>
          </cell>
          <cell r="K99" t="str">
            <v>4537＞3807＞未稅</v>
          </cell>
          <cell r="L99" t="str">
            <v>037-</v>
          </cell>
          <cell r="M99">
            <v>0</v>
          </cell>
          <cell r="R99" t="b">
            <v>0</v>
          </cell>
          <cell r="S99" t="str"/>
          <cell r="T99" t="b">
            <v>0</v>
          </cell>
          <cell r="W99">
            <v>350</v>
          </cell>
          <cell r="X99" t="str">
            <v>苗栗縣竹南鎮山佳里9鄰佳北二街99號1樓。</v>
          </cell>
          <cell r="Y99" t="str">
            <v>苗栗縣竹南鎮</v>
          </cell>
          <cell r="Z99" t="str">
            <v>苗栗縣竹南鎮山佳里9鄰佳北二街99號1樓.</v>
          </cell>
          <cell r="AA99" t="str">
            <v>350苗栗縣竹南鎮山佳里9鄰佳北二街99號1樓。</v>
          </cell>
          <cell r="AK99" t="str">
            <v>765-RW</v>
          </cell>
          <cell r="AL99" t="str">
            <v>1-0021-毅和&gt;寄&gt;附發票&gt;附回郵</v>
          </cell>
          <cell r="AM99" t="str">
            <v>1-0021</v>
          </cell>
        </row>
        <row r="100">
          <cell r="B100" t="str">
            <v>1-0095</v>
          </cell>
          <cell r="C100" t="str">
            <v>101-05-01</v>
          </cell>
          <cell r="D100" t="str">
            <v>1-0095-伍城&gt;寄&gt;附發票&gt;附回郵</v>
          </cell>
          <cell r="E100" t="str">
            <v>伍城交通股份有限公司＞負:邱榮英</v>
          </cell>
          <cell r="F100" t="str">
            <v>伍城交通股份有限公司(95)</v>
          </cell>
          <cell r="G100" t="str">
            <v>含稅</v>
          </cell>
          <cell r="H100" t="str">
            <v>寄＞附發票＞附回郵＞</v>
          </cell>
          <cell r="I100" t="str">
            <v>4900＞3026＞含稅</v>
          </cell>
          <cell r="J100">
            <v>30</v>
          </cell>
          <cell r="L100" t="str">
            <v>037-267711＞0919-706166</v>
          </cell>
          <cell r="M100">
            <v>0</v>
          </cell>
          <cell r="R100" t="b">
            <v>0</v>
          </cell>
          <cell r="S100" t="str"/>
          <cell r="T100" t="b">
            <v>0</v>
          </cell>
          <cell r="W100">
            <v>360</v>
          </cell>
          <cell r="X100" t="str">
            <v>苗栗縣苗栗巿北苗里中華路183號＞登:苗栗縣苗栗市上苗里7鄰社寮街57號。</v>
          </cell>
          <cell r="Y100" t="str">
            <v>苗栗縣苗栗巿</v>
          </cell>
          <cell r="Z100" t="str">
            <v>苗栗縣苗栗巿北苗里中華路183號.</v>
          </cell>
          <cell r="AA100" t="str">
            <v>360苗栗縣苗栗巿北苗里中華路183號＞登:苗栗縣苗栗市上苗里7鄰社寮街57號。</v>
          </cell>
          <cell r="AK100" t="str">
            <v>788-RW</v>
          </cell>
          <cell r="AL100" t="str">
            <v>1-0021-毅和&gt;寄&gt;附發票&gt;附回郵</v>
          </cell>
          <cell r="AM100" t="str">
            <v>1-0021</v>
          </cell>
        </row>
        <row r="101">
          <cell r="B101" t="str">
            <v>1-0096</v>
          </cell>
          <cell r="C101" t="str">
            <v>101-05-01</v>
          </cell>
          <cell r="D101" t="str">
            <v>1-0096-正新砂石行&gt;寄&gt;附回郵</v>
          </cell>
          <cell r="E101" t="str">
            <v>正新砂石行＞負:張秀金＞正新建材工程行＞負:施進益</v>
          </cell>
          <cell r="F101" t="str">
            <v>正新砂石行(96)</v>
          </cell>
          <cell r="G101" t="str">
            <v>未稅</v>
          </cell>
          <cell r="H101" t="str">
            <v>寄＞附回郵＞</v>
          </cell>
          <cell r="I101" t="str">
            <v>未稅</v>
          </cell>
          <cell r="J101">
            <v>30</v>
          </cell>
          <cell r="K101" t="str">
            <v>1422＞7921正新砂石＞3967＞4806正新建材＞未稅</v>
          </cell>
          <cell r="L101" t="str">
            <v>03-5377222＞0925-501112施進益＞傳真03-5377203＞037-460034</v>
          </cell>
          <cell r="M101">
            <v>0</v>
          </cell>
          <cell r="R101" t="b">
            <v>0</v>
          </cell>
          <cell r="S101" t="str"/>
          <cell r="T101" t="b">
            <v>0</v>
          </cell>
          <cell r="W101">
            <v>300</v>
          </cell>
          <cell r="X101" t="str">
            <v>新竹巿南港街7巷29號＞砂登:苗栗縣竹南鎮大埔里19鄰五福新村46號＞建登:苗栗縣竹南鎮營盤里22鄰萬全街29號1樓。</v>
          </cell>
          <cell r="Y101" t="str">
            <v>新竹巿南港街</v>
          </cell>
          <cell r="Z101" t="str">
            <v>新竹巿南港街7巷29號.</v>
          </cell>
          <cell r="AA101" t="str">
            <v>300新竹巿南港街7巷29號＞砂登:苗栗縣竹南鎮大埔里19鄰五福新村46號＞建登:苗栗縣竹南鎮營盤里22鄰萬全街29號1樓。</v>
          </cell>
          <cell r="AK101" t="str">
            <v>789-RW</v>
          </cell>
          <cell r="AL101" t="str">
            <v>1-0021-毅和&gt;寄&gt;附發票&gt;附回郵</v>
          </cell>
          <cell r="AM101" t="str">
            <v>1-0021</v>
          </cell>
        </row>
        <row r="102">
          <cell r="B102" t="str">
            <v>1-0097</v>
          </cell>
          <cell r="C102" t="str">
            <v>106-05-06</v>
          </cell>
          <cell r="D102" t="str">
            <v>1-0097-佳金&gt;江運弘&gt;寄&gt;自結</v>
          </cell>
          <cell r="E102" t="str">
            <v>江運弘</v>
          </cell>
          <cell r="F102" t="str">
            <v>江運弘(97)</v>
          </cell>
          <cell r="G102" t="str">
            <v>未稅</v>
          </cell>
          <cell r="H102" t="str">
            <v>寄＞自結＞</v>
          </cell>
          <cell r="I102" t="str">
            <v>未稅</v>
          </cell>
          <cell r="J102">
            <v>30</v>
          </cell>
          <cell r="L102" t="str">
            <v>0935-765506江運弘</v>
          </cell>
          <cell r="M102">
            <v>0</v>
          </cell>
          <cell r="O102">
            <v>57</v>
          </cell>
          <cell r="P102">
            <v>5</v>
          </cell>
          <cell r="Q102">
            <v>6</v>
          </cell>
          <cell r="R102">
            <v>53</v>
          </cell>
          <cell r="S102">
            <v>68</v>
          </cell>
          <cell r="T102">
            <v>24964</v>
          </cell>
          <cell r="U102" t="str">
            <v>K120828068</v>
          </cell>
          <cell r="X102" t="str">
            <v>苗栗縣竹南鎮聖福里17鄰建國路288巷163弄22之2號</v>
          </cell>
          <cell r="Y102" t="str">
            <v>苗栗縣竹南鎮</v>
          </cell>
          <cell r="Z102" t="str">
            <v>苗栗縣竹南鎮聖福里17鄰建國路288巷163弄22之2號.</v>
          </cell>
          <cell r="AA102" t="str">
            <v>苗栗縣竹南鎮聖福里17鄰建國路288巷163弄22之2號</v>
          </cell>
          <cell r="AK102" t="str">
            <v>807-RW</v>
          </cell>
          <cell r="AL102" t="str">
            <v>1-0021-毅和&gt;寄&gt;附發票&gt;附回郵</v>
          </cell>
          <cell r="AM102" t="str">
            <v>1-0021</v>
          </cell>
        </row>
        <row r="103">
          <cell r="B103" t="str">
            <v>1-0098</v>
          </cell>
          <cell r="C103" t="str">
            <v>101-05-01</v>
          </cell>
          <cell r="D103" t="str">
            <v>1-0098-玄盛管路&gt;寄&gt;附發票&gt;附回郵</v>
          </cell>
          <cell r="E103" t="str">
            <v>玄盛管路工程行＞苑裡＞黃志民</v>
          </cell>
          <cell r="F103" t="str">
            <v>玄盛管路工程行(98)</v>
          </cell>
          <cell r="G103" t="str">
            <v>稅外</v>
          </cell>
          <cell r="H103" t="str">
            <v>寄＞附發票＞附回郵＞</v>
          </cell>
          <cell r="I103" t="str">
            <v>9896＞7906＞稅外</v>
          </cell>
          <cell r="J103">
            <v>30</v>
          </cell>
          <cell r="L103" t="str">
            <v>037-862778＞0938-397115＞傳真037-866202</v>
          </cell>
          <cell r="M103">
            <v>0</v>
          </cell>
          <cell r="R103" t="b">
            <v>0</v>
          </cell>
          <cell r="S103" t="str"/>
          <cell r="T103" t="b">
            <v>0</v>
          </cell>
          <cell r="W103">
            <v>358</v>
          </cell>
          <cell r="X103" t="str">
            <v>苗栗縣苑裡鎮客庄里25鄰3巷1號。</v>
          </cell>
          <cell r="Y103" t="str">
            <v>苗栗縣苑裡鎮</v>
          </cell>
          <cell r="Z103" t="str">
            <v>苗栗縣苑裡鎮客庄里25鄰3巷1號.</v>
          </cell>
          <cell r="AA103" t="str">
            <v>358苗栗縣苑裡鎮客庄里25鄰3巷1號。</v>
          </cell>
          <cell r="AK103" t="str">
            <v>8091-NA</v>
          </cell>
          <cell r="AL103" t="str">
            <v>1-0021-毅和&gt;寄&gt;附發票&gt;附回郵</v>
          </cell>
          <cell r="AM103" t="str">
            <v>1-0021</v>
          </cell>
        </row>
        <row r="104">
          <cell r="B104" t="str">
            <v>1-0099</v>
          </cell>
          <cell r="C104" t="str">
            <v>101-05-01</v>
          </cell>
          <cell r="D104" t="str">
            <v>1-0099-李文翰&gt;全鋒兩六&gt;寄&gt;自結</v>
          </cell>
          <cell r="E104" t="str">
            <v>全鋒兩六＞李文翰</v>
          </cell>
          <cell r="F104" t="str">
            <v>全鋒兩六(99)</v>
          </cell>
          <cell r="G104" t="str">
            <v>未稅</v>
          </cell>
          <cell r="H104" t="str">
            <v>寄＞自結＞</v>
          </cell>
          <cell r="I104" t="str">
            <v>未稅</v>
          </cell>
          <cell r="J104">
            <v>30</v>
          </cell>
          <cell r="L104" t="str">
            <v>0928-387777＞0925-983021</v>
          </cell>
          <cell r="M104">
            <v>0</v>
          </cell>
          <cell r="R104" t="b">
            <v>0</v>
          </cell>
          <cell r="S104" t="str"/>
          <cell r="T104" t="b">
            <v>0</v>
          </cell>
          <cell r="W104">
            <v>351</v>
          </cell>
          <cell r="X104" t="str">
            <v>苗栗縣頭份鎮廣興里4鄰118-7號。</v>
          </cell>
          <cell r="Y104" t="str">
            <v>苗栗縣頭份鎮</v>
          </cell>
          <cell r="Z104" t="str">
            <v>苗栗縣頭份鎮廣興里4鄰118之7號.</v>
          </cell>
          <cell r="AA104" t="str">
            <v>351苗栗縣頭份鎮廣興里4鄰118-7號。</v>
          </cell>
          <cell r="AK104" t="str">
            <v>809-NA</v>
          </cell>
          <cell r="AL104" t="str">
            <v>1-0021-毅和&gt;寄&gt;附發票&gt;附回郵</v>
          </cell>
          <cell r="AM104" t="str">
            <v>1-0021</v>
          </cell>
        </row>
        <row r="105">
          <cell r="B105" t="str">
            <v>1-0100</v>
          </cell>
          <cell r="C105" t="str">
            <v>101-05-01</v>
          </cell>
          <cell r="D105" t="str">
            <v>1-0100-秦廣任&gt;寄&gt;附發票&gt;附回郵</v>
          </cell>
          <cell r="E105" t="str">
            <v>台灣瑞曼迪斯股份有限公司＞負:陸德博＞秦廣任</v>
          </cell>
          <cell r="F105" t="str">
            <v>台灣瑞曼迪斯股份有限公司(100)</v>
          </cell>
          <cell r="G105" t="str">
            <v>未稅</v>
          </cell>
          <cell r="H105" t="str">
            <v>寄＞附回郵＞</v>
          </cell>
          <cell r="I105" t="str">
            <v>未稅</v>
          </cell>
          <cell r="J105">
            <v>30</v>
          </cell>
          <cell r="L105" t="str">
            <v>03-3765640</v>
          </cell>
          <cell r="M105">
            <v>0</v>
          </cell>
          <cell r="R105" t="b">
            <v>0</v>
          </cell>
          <cell r="S105" t="str"/>
          <cell r="T105" t="b">
            <v>0</v>
          </cell>
          <cell r="W105">
            <v>330</v>
          </cell>
          <cell r="X105" t="str">
            <v>桃園巿建新街7號＞登:桃園縣大園鄉南港村許厝港54之10號1樓。</v>
          </cell>
          <cell r="Y105" t="str">
            <v>桃園巿建新街</v>
          </cell>
          <cell r="Z105" t="str">
            <v>桃園巿建新街7號.</v>
          </cell>
          <cell r="AA105" t="str">
            <v>330桃園巿建新街7號＞登:桃園縣大園鄉南港村許厝港54之10號1樓。</v>
          </cell>
          <cell r="AK105" t="str">
            <v>809-RW</v>
          </cell>
          <cell r="AL105" t="str">
            <v>1-0021-毅和&gt;寄&gt;附發票&gt;附回郵</v>
          </cell>
          <cell r="AM105" t="str">
            <v>1-0021</v>
          </cell>
        </row>
        <row r="106">
          <cell r="B106" t="str">
            <v>1-0101</v>
          </cell>
          <cell r="C106" t="str">
            <v>101-05-01</v>
          </cell>
          <cell r="D106" t="str">
            <v>1-0101-西河&gt;寄&gt;附發票&gt;附回郵</v>
          </cell>
          <cell r="E106" t="str">
            <v>西河起重機械有限公司＞負:劉淑庭＞林炳達</v>
          </cell>
          <cell r="F106" t="str">
            <v>西河起重機械有限公司(101)</v>
          </cell>
          <cell r="G106" t="str">
            <v>稅外</v>
          </cell>
          <cell r="H106" t="str">
            <v>寄＞附發票＞附回郵＞</v>
          </cell>
          <cell r="I106" t="str">
            <v>2439＞2759＞稅外</v>
          </cell>
          <cell r="J106">
            <v>30</v>
          </cell>
          <cell r="L106" t="str">
            <v xml:space="preserve">03-4561775＞0927-451877 </v>
          </cell>
          <cell r="M106" t="str">
            <v>2-0004</v>
          </cell>
          <cell r="R106" t="b">
            <v>0</v>
          </cell>
          <cell r="S106" t="str"/>
          <cell r="T106" t="b">
            <v>0</v>
          </cell>
          <cell r="W106">
            <v>320</v>
          </cell>
          <cell r="X106" t="str">
            <v>桃園縣中壢巿平鎮區福隆路一段412號</v>
          </cell>
          <cell r="Y106" t="str">
            <v>桃園縣中壢巿</v>
          </cell>
          <cell r="Z106" t="str">
            <v>桃園縣中壢巿龍岡郵局83號信箱</v>
          </cell>
          <cell r="AA106" t="str">
            <v>320桃園縣中壢巿平鎮區福隆路一段412號</v>
          </cell>
          <cell r="AK106" t="str">
            <v>858-TK</v>
          </cell>
          <cell r="AL106" t="str">
            <v>1-0021-毅和&gt;寄&gt;附發票&gt;附回郵</v>
          </cell>
          <cell r="AM106" t="str">
            <v>1-0021</v>
          </cell>
        </row>
        <row r="107">
          <cell r="B107" t="str">
            <v>1-0102</v>
          </cell>
          <cell r="C107" t="str">
            <v>101-05-01</v>
          </cell>
          <cell r="D107" t="str">
            <v>1-0102-賴進順&gt;寄&gt;自結</v>
          </cell>
          <cell r="E107" t="str">
            <v>宏鐸汽車保養廠＞負:賴進順</v>
          </cell>
          <cell r="F107" t="str">
            <v>賴進順(102)</v>
          </cell>
          <cell r="G107" t="str">
            <v>未稅</v>
          </cell>
          <cell r="H107" t="str">
            <v>寄＞自結＞</v>
          </cell>
          <cell r="I107" t="str">
            <v>未稅</v>
          </cell>
          <cell r="J107">
            <v>30</v>
          </cell>
          <cell r="L107" t="str">
            <v>037-626229工廠＞037-612402住宅＞0932-668029賴進順</v>
          </cell>
          <cell r="M107">
            <v>0</v>
          </cell>
          <cell r="R107" t="b">
            <v>0</v>
          </cell>
          <cell r="S107" t="str"/>
          <cell r="T107" t="b">
            <v>0</v>
          </cell>
          <cell r="W107">
            <v>351</v>
          </cell>
          <cell r="X107" t="str">
            <v>苗栗縣頭份鎮廣興里6鄰137-18號。</v>
          </cell>
          <cell r="Y107" t="str">
            <v>苗栗縣頭份鎮</v>
          </cell>
          <cell r="Z107" t="str">
            <v>苗栗縣頭份鎮廣興里6鄰137之18號.</v>
          </cell>
          <cell r="AA107" t="str">
            <v>351苗栗縣頭份鎮廣興里6鄰137-18號。</v>
          </cell>
          <cell r="AK107" t="str">
            <v>859-TK</v>
          </cell>
          <cell r="AL107" t="str">
            <v>1-0021-毅和&gt;寄&gt;附發票&gt;附回郵</v>
          </cell>
          <cell r="AM107" t="str">
            <v>1-0021</v>
          </cell>
        </row>
        <row r="108">
          <cell r="B108" t="str">
            <v>1-0103</v>
          </cell>
          <cell r="C108" t="str">
            <v>109-02-12/郭雯瑀</v>
          </cell>
          <cell r="D108" t="str">
            <v>1-0103-何文光&gt;鴻富&gt;電&gt;匯款</v>
          </cell>
          <cell r="E108" t="str">
            <v>何文光&gt;靠行:鴻富交通</v>
          </cell>
          <cell r="F108" t="str">
            <v>何文光(103)</v>
          </cell>
          <cell r="G108" t="str">
            <v>未稅</v>
          </cell>
          <cell r="H108" t="str">
            <v>電&gt;匯款06137</v>
          </cell>
          <cell r="I108" t="str">
            <v>未稅</v>
          </cell>
          <cell r="J108">
            <v>30</v>
          </cell>
          <cell r="L108" t="str">
            <v>0921-159591何文光</v>
          </cell>
          <cell r="M108">
            <v>0</v>
          </cell>
          <cell r="R108" t="b">
            <v>0</v>
          </cell>
          <cell r="S108" t="str"/>
          <cell r="T108" t="b">
            <v>0</v>
          </cell>
          <cell r="W108">
            <v>364</v>
          </cell>
          <cell r="X108" t="str">
            <v>苗栗縣大湖鄉靜湖村民族路50號</v>
          </cell>
          <cell r="Y108" t="str">
            <v>苗栗縣大湖鄉</v>
          </cell>
          <cell r="Z108" t="str">
            <v>苗栗縣大湖鄉靜湖村民族路50號</v>
          </cell>
          <cell r="AA108" t="str">
            <v>364苗栗縣大湖鄉靜湖村民族路50號</v>
          </cell>
          <cell r="AK108" t="str">
            <v>860-TK</v>
          </cell>
          <cell r="AL108" t="str">
            <v>1-0021-毅和&gt;寄&gt;附發票&gt;附回郵</v>
          </cell>
          <cell r="AM108" t="str">
            <v>1-0021</v>
          </cell>
        </row>
        <row r="109">
          <cell r="B109" t="str">
            <v>1-0104</v>
          </cell>
          <cell r="C109" t="str">
            <v>106-05-26</v>
          </cell>
          <cell r="D109" t="str">
            <v>1-0104-勁達汽車&gt;寄&gt;附回郵</v>
          </cell>
          <cell r="E109" t="str">
            <v>勁達汽車公司</v>
          </cell>
          <cell r="F109" t="str">
            <v>勁達汽車(104)</v>
          </cell>
          <cell r="G109" t="str">
            <v>未稅</v>
          </cell>
          <cell r="H109" t="str">
            <v>寄＞附回郵＞</v>
          </cell>
          <cell r="I109" t="str">
            <v>未稅</v>
          </cell>
          <cell r="J109">
            <v>30</v>
          </cell>
          <cell r="L109" t="str">
            <v>037-613678&gt;0932527493許瑞安</v>
          </cell>
          <cell r="M109">
            <v>0</v>
          </cell>
          <cell r="R109" t="b">
            <v>0</v>
          </cell>
          <cell r="S109" t="str"/>
          <cell r="T109" t="b">
            <v>0</v>
          </cell>
          <cell r="W109">
            <v>351</v>
          </cell>
          <cell r="X109" t="str">
            <v>苗栗縣頭份鎮蘆竹里永貞路一段100號。</v>
          </cell>
          <cell r="Y109" t="str">
            <v>苗栗縣頭份鎮</v>
          </cell>
          <cell r="Z109" t="str">
            <v>苗栗縣頭份鎮蘆竹里永貞路一段100號.</v>
          </cell>
          <cell r="AA109" t="str">
            <v>351苗栗縣頭份鎮蘆竹里永貞路一段100號。</v>
          </cell>
          <cell r="AK109" t="str">
            <v>887-TK</v>
          </cell>
          <cell r="AL109" t="str">
            <v>1-0021-毅和&gt;寄&gt;附發票&gt;附回郵</v>
          </cell>
          <cell r="AM109" t="str">
            <v>1-0021</v>
          </cell>
        </row>
        <row r="110">
          <cell r="B110" t="str">
            <v>1-0105</v>
          </cell>
          <cell r="C110" t="str">
            <v>101-05-01</v>
          </cell>
          <cell r="D110" t="str">
            <v>1-0105-胡清陽&gt;苗連.花旗&gt;寄&gt;附發票&gt;附回郵</v>
          </cell>
          <cell r="E110" t="str">
            <v>花旗企業社＞負:胡清陽</v>
          </cell>
          <cell r="F110" t="str">
            <v>花旗企業社(105)</v>
          </cell>
          <cell r="G110" t="str">
            <v>稅外</v>
          </cell>
          <cell r="H110" t="str">
            <v>寄＞附發票＞附回郵＞</v>
          </cell>
          <cell r="I110" t="str">
            <v>2520＞5732＞稅外</v>
          </cell>
          <cell r="J110">
            <v>30</v>
          </cell>
          <cell r="L110" t="str">
            <v>037-251472＞0928-139231</v>
          </cell>
          <cell r="M110">
            <v>0</v>
          </cell>
          <cell r="R110" t="b">
            <v>0</v>
          </cell>
          <cell r="S110" t="str"/>
          <cell r="T110" t="b">
            <v>0</v>
          </cell>
          <cell r="W110">
            <v>362</v>
          </cell>
          <cell r="X110" t="str">
            <v>苗栗縣頭屋鄉頭屋村14鄰尖豐路98號1樓。</v>
          </cell>
          <cell r="Y110" t="str">
            <v>苗栗縣頭屋鄉</v>
          </cell>
          <cell r="Z110" t="str">
            <v>苗栗縣頭屋鄉頭屋村14鄰尖豐路98號1樓.</v>
          </cell>
          <cell r="AA110" t="str">
            <v>362苗栗縣頭屋鄉頭屋村14鄰尖豐路98號1樓。</v>
          </cell>
          <cell r="AK110" t="str">
            <v>889-TK</v>
          </cell>
          <cell r="AL110" t="str">
            <v>1-0021-毅和&gt;寄&gt;附發票&gt;附回郵</v>
          </cell>
          <cell r="AM110" t="str">
            <v>1-0021</v>
          </cell>
        </row>
        <row r="111">
          <cell r="B111" t="str">
            <v>1-0106</v>
          </cell>
          <cell r="C111" t="str">
            <v>101-05-01</v>
          </cell>
          <cell r="D111" t="str">
            <v>1-0106-宏技&gt;寄&gt;附發票&gt;附回郵</v>
          </cell>
          <cell r="E111" t="str">
            <v>宏技股份有限公司＞負:吳敏峰</v>
          </cell>
          <cell r="F111" t="str">
            <v>宏技股份有限公司(106)</v>
          </cell>
          <cell r="G111" t="str">
            <v>稅外</v>
          </cell>
          <cell r="H111" t="str">
            <v>寄＞附發票＞附回郵＞</v>
          </cell>
          <cell r="I111" t="str">
            <v>2240＞4287＞稅外</v>
          </cell>
          <cell r="J111">
            <v>30</v>
          </cell>
          <cell r="L111" t="str">
            <v>037-466705＞傳真037-467727</v>
          </cell>
          <cell r="M111" t="str">
            <v>2-0124</v>
          </cell>
          <cell r="R111" t="b">
            <v>0</v>
          </cell>
          <cell r="S111" t="str"/>
          <cell r="T111" t="b">
            <v>0</v>
          </cell>
          <cell r="W111">
            <v>350</v>
          </cell>
          <cell r="X111" t="str">
            <v>苗栗縣竹南鎮天文里20鄰龍江街298巷31號。</v>
          </cell>
          <cell r="Y111" t="str">
            <v>苗栗縣竹南鎮</v>
          </cell>
          <cell r="Z111" t="str">
            <v>苗栗縣竹南鎮天文里20鄰龍江街298巷31號.</v>
          </cell>
          <cell r="AA111" t="str">
            <v>350苗栗縣竹南鎮天文里20鄰龍江街298巷31號。</v>
          </cell>
          <cell r="AK111" t="str">
            <v>AAJ-068</v>
          </cell>
          <cell r="AL111" t="str">
            <v>1-0021-毅和&gt;寄&gt;附發票&gt;附回郵</v>
          </cell>
          <cell r="AM111" t="str">
            <v>1-0021</v>
          </cell>
        </row>
        <row r="112">
          <cell r="B112" t="str">
            <v>1-0107</v>
          </cell>
          <cell r="C112" t="str">
            <v>101-05-01</v>
          </cell>
          <cell r="D112" t="str">
            <v>1-0107-東南工業&gt;寄&gt;附發票&gt;附回郵</v>
          </cell>
          <cell r="E112" t="str">
            <v>東南工業原料有限公司＞負:陳柯舜英</v>
          </cell>
          <cell r="F112" t="str">
            <v>東南工業原料有限公司(107)</v>
          </cell>
          <cell r="G112" t="str">
            <v>稅外</v>
          </cell>
          <cell r="H112" t="str">
            <v>寄＞附發票＞附回郵＞</v>
          </cell>
          <cell r="I112" t="str">
            <v>4618＞1911＞稅外</v>
          </cell>
          <cell r="J112">
            <v>30</v>
          </cell>
          <cell r="L112" t="str">
            <v>037-</v>
          </cell>
          <cell r="M112">
            <v>0</v>
          </cell>
          <cell r="R112" t="b">
            <v>0</v>
          </cell>
          <cell r="S112" t="str"/>
          <cell r="T112" t="b">
            <v>0</v>
          </cell>
          <cell r="W112">
            <v>302</v>
          </cell>
          <cell r="X112" t="str">
            <v>新竹巿北大路433號＞登:新竹市北區崇禮里14鄰北大路433號。</v>
          </cell>
          <cell r="Y112" t="str">
            <v>新竹巿北大路</v>
          </cell>
          <cell r="Z112" t="str">
            <v>新竹巿北大路433號.</v>
          </cell>
          <cell r="AA112" t="str">
            <v>302新竹巿北大路433號＞登:新竹市北區崇禮里14鄰北大路433號。</v>
          </cell>
          <cell r="AK112" t="str">
            <v>AAJ-609</v>
          </cell>
          <cell r="AL112" t="str">
            <v>1-0021-毅和&gt;寄&gt;附發票&gt;附回郵</v>
          </cell>
          <cell r="AM112" t="str">
            <v>1-0021</v>
          </cell>
        </row>
        <row r="113">
          <cell r="B113" t="str">
            <v>1-0108</v>
          </cell>
          <cell r="C113" t="str">
            <v>101-05-01</v>
          </cell>
          <cell r="D113" t="str">
            <v>1-0108-鍀泰&gt;寄&gt;附回郵</v>
          </cell>
          <cell r="E113" t="str">
            <v>吉寬企業社＞鍀泰＞負:鄭雪珠＞吳吉寬</v>
          </cell>
          <cell r="F113" t="str">
            <v>吉寬企業社(108)</v>
          </cell>
          <cell r="G113" t="str">
            <v>未稅</v>
          </cell>
          <cell r="H113" t="str">
            <v>寄＞附回郵＞附回郵＞</v>
          </cell>
          <cell r="I113" t="str">
            <v>未稅</v>
          </cell>
          <cell r="J113">
            <v>30</v>
          </cell>
          <cell r="K113" t="str">
            <v>9990＞5372＞未稅</v>
          </cell>
          <cell r="L113" t="str">
            <v>037-596392＞0935-371429</v>
          </cell>
          <cell r="M113">
            <v>0</v>
          </cell>
          <cell r="R113" t="b">
            <v>0</v>
          </cell>
          <cell r="S113" t="str"/>
          <cell r="T113" t="b">
            <v>0</v>
          </cell>
          <cell r="W113">
            <v>351</v>
          </cell>
          <cell r="X113" t="str">
            <v>苗栗縣頭份鎮中華路1532-1號＞登:苗栗縣頭份鎮忠孝里28鄰光大街41號1樓。</v>
          </cell>
          <cell r="Y113" t="str">
            <v>苗栗縣頭份鎮</v>
          </cell>
          <cell r="Z113" t="str">
            <v>苗栗縣頭份鎮中華路1532之1號.</v>
          </cell>
          <cell r="AA113" t="str">
            <v>351苗栗縣頭份鎮中華路1532-1號＞登:苗栗縣頭份鎮忠孝里28鄰光大街41號1樓。</v>
          </cell>
          <cell r="AK113" t="str">
            <v>AAJ-610</v>
          </cell>
          <cell r="AL113" t="str">
            <v>1-0021-毅和&gt;寄&gt;附發票&gt;附回郵</v>
          </cell>
          <cell r="AM113" t="str">
            <v>1-0021</v>
          </cell>
        </row>
        <row r="114">
          <cell r="B114" t="str">
            <v>1-0109</v>
          </cell>
          <cell r="C114" t="str">
            <v>101-05-01</v>
          </cell>
          <cell r="D114" t="str">
            <v>1-0109-東禾修理廠&gt;寄&gt;附發票&gt;附回郵</v>
          </cell>
          <cell r="E114" t="str">
            <v>東禾企業社＞負:吳怡儒＞馬銀亮</v>
          </cell>
          <cell r="F114" t="str">
            <v>東禾企業社(109)</v>
          </cell>
          <cell r="G114" t="str">
            <v>稅外</v>
          </cell>
          <cell r="H114" t="str">
            <v>寄＞附發票＞附回郵＞</v>
          </cell>
          <cell r="I114" t="str">
            <v>2155&gt;0515亮昇輪胎行&gt;1387＞4147＞稅外</v>
          </cell>
          <cell r="J114">
            <v>30</v>
          </cell>
          <cell r="L114" t="str">
            <v>03-5378459＞0933-791932馬銀亮</v>
          </cell>
          <cell r="M114" t="str">
            <v>2-0067</v>
          </cell>
          <cell r="R114" t="b">
            <v>0</v>
          </cell>
          <cell r="S114" t="str"/>
          <cell r="T114" t="b">
            <v>0</v>
          </cell>
          <cell r="W114">
            <v>300</v>
          </cell>
          <cell r="X114" t="str">
            <v>新竹巿鹽水里中華路六段96之1號。</v>
          </cell>
          <cell r="Y114" t="str">
            <v>新竹巿鹽水里</v>
          </cell>
          <cell r="Z114" t="str">
            <v>新竹巿鹽水里中華路六段96之1號.</v>
          </cell>
          <cell r="AA114" t="str">
            <v>300新竹巿鹽水里中華路六段96之1號。</v>
          </cell>
          <cell r="AK114" t="str">
            <v>AAJ-611</v>
          </cell>
          <cell r="AL114" t="str">
            <v>1-0021-毅和&gt;寄&gt;附發票&gt;附回郵</v>
          </cell>
          <cell r="AM114" t="str">
            <v>1-0021</v>
          </cell>
        </row>
        <row r="115">
          <cell r="B115" t="str">
            <v>1-0110</v>
          </cell>
          <cell r="C115" t="str">
            <v>101-05-01</v>
          </cell>
          <cell r="D115" t="str">
            <v>1-0110-華北&gt;寄&gt;匯款</v>
          </cell>
          <cell r="E115" t="str">
            <v>華北輪胎有限公司＞負:黃祿餘</v>
          </cell>
          <cell r="F115" t="str">
            <v>華北輪胎有限公司(110)</v>
          </cell>
          <cell r="G115" t="str">
            <v>未稅</v>
          </cell>
          <cell r="H115" t="str">
            <v>寄＞匯款＞</v>
          </cell>
          <cell r="I115" t="str">
            <v>未稅</v>
          </cell>
          <cell r="J115">
            <v>30</v>
          </cell>
          <cell r="K115" t="str">
            <v>8431＞6192＞未稅</v>
          </cell>
          <cell r="L115" t="str">
            <v>07-3453115</v>
          </cell>
          <cell r="M115">
            <v>0</v>
          </cell>
          <cell r="R115" t="b">
            <v>0</v>
          </cell>
          <cell r="S115" t="str"/>
          <cell r="T115" t="b">
            <v>0</v>
          </cell>
          <cell r="W115">
            <v>813</v>
          </cell>
          <cell r="X115" t="str">
            <v>高雄巿左營區文自路648號＞登:高雄市三民區鼎泰里民族一路543巷25號10樓之１。</v>
          </cell>
          <cell r="Y115" t="str">
            <v>高雄巿左營區</v>
          </cell>
          <cell r="Z115" t="str">
            <v>高雄巿左營區文自路648號.</v>
          </cell>
          <cell r="AA115" t="str">
            <v>813高雄巿左營區文自路648號＞登:高雄市三民區鼎泰里民族一路543巷25號10樓之１。</v>
          </cell>
          <cell r="AK115" t="str">
            <v>AAJ-612</v>
          </cell>
          <cell r="AL115" t="str">
            <v>1-0021-毅和&gt;寄&gt;附發票&gt;附回郵</v>
          </cell>
          <cell r="AM115" t="str">
            <v>1-0021</v>
          </cell>
        </row>
        <row r="116">
          <cell r="B116" t="str">
            <v>1-0111</v>
          </cell>
          <cell r="C116" t="str">
            <v>101-05-01</v>
          </cell>
          <cell r="D116" t="str">
            <v>1-0111-泳壯&gt;寄&gt;附發票&gt;附回郵</v>
          </cell>
          <cell r="E116" t="str">
            <v>泳壯有限公司＞負:陳天來</v>
          </cell>
          <cell r="F116" t="str">
            <v>泳壯有限公司(111)</v>
          </cell>
          <cell r="G116" t="str">
            <v>稅外</v>
          </cell>
          <cell r="H116" t="str">
            <v>寄＞附發票＞附回郵＞</v>
          </cell>
          <cell r="I116" t="str">
            <v>2764＞1056＞稅外</v>
          </cell>
          <cell r="J116">
            <v>30</v>
          </cell>
          <cell r="L116" t="str">
            <v>037-552175＞0933-410229＞傳真037-475275</v>
          </cell>
          <cell r="M116" t="str">
            <v>2-0079</v>
          </cell>
          <cell r="R116" t="b">
            <v>0</v>
          </cell>
          <cell r="S116" t="str"/>
          <cell r="T116" t="b">
            <v>0</v>
          </cell>
          <cell r="W116">
            <v>350</v>
          </cell>
          <cell r="X116" t="str">
            <v>苗栗縣竹南鎮天文里20鄰龍江街298巷116號＞登:苗栗縣竹南鎮天文里20鄰龍江街298巷37-1號 。</v>
          </cell>
          <cell r="Y116" t="str">
            <v>苗栗縣竹南鎮</v>
          </cell>
          <cell r="Z116" t="str">
            <v>苗栗縣竹南鎮天文里20鄰龍江街298巷116號.</v>
          </cell>
          <cell r="AA116" t="str">
            <v>350苗栗縣竹南鎮天文里20鄰龍江街298巷116號＞登:苗栗縣竹南鎮天文里20鄰龍江街298巷37-1號 。</v>
          </cell>
          <cell r="AK116" t="str">
            <v>AFP-9690</v>
          </cell>
          <cell r="AL116" t="str">
            <v>1-0021-毅和&gt;寄&gt;附發票&gt;附回郵</v>
          </cell>
          <cell r="AM116" t="str">
            <v>1-0021</v>
          </cell>
        </row>
        <row r="117">
          <cell r="B117" t="str">
            <v>1-0112</v>
          </cell>
          <cell r="C117" t="str">
            <v>101-05-01</v>
          </cell>
          <cell r="D117" t="str">
            <v>1-0112-祐安&gt;寄&gt;自結</v>
          </cell>
          <cell r="E117" t="str">
            <v>佑安交通有限公司＞負:張哲源＞吳俊賢</v>
          </cell>
          <cell r="F117" t="str">
            <v>佑安交通有限公司(112)</v>
          </cell>
          <cell r="G117" t="str">
            <v>未稅</v>
          </cell>
          <cell r="H117" t="str">
            <v>寄＞自結＞</v>
          </cell>
          <cell r="I117" t="str">
            <v>未稅</v>
          </cell>
          <cell r="J117">
            <v>30</v>
          </cell>
          <cell r="K117" t="str">
            <v>0042＞8406＞未稅</v>
          </cell>
          <cell r="L117" t="str">
            <v>037-580488＞0910-534576</v>
          </cell>
          <cell r="M117">
            <v>0</v>
          </cell>
          <cell r="O117">
            <v>57</v>
          </cell>
          <cell r="P117">
            <v>6</v>
          </cell>
          <cell r="Q117">
            <v>2</v>
          </cell>
          <cell r="R117">
            <v>53</v>
          </cell>
          <cell r="S117">
            <v>68</v>
          </cell>
          <cell r="T117">
            <v>24991</v>
          </cell>
          <cell r="U117" t="str">
            <v>H121423261</v>
          </cell>
          <cell r="V117" t="str">
            <v>吳俊賢</v>
          </cell>
          <cell r="W117">
            <v>350</v>
          </cell>
          <cell r="X117" t="str">
            <v>苗栗縣竹南鎮大埔里五福街558號＞登:基隆市中正區正砂里中正路448號。</v>
          </cell>
          <cell r="Y117" t="str">
            <v>苗栗縣竹南鎮</v>
          </cell>
          <cell r="Z117" t="str">
            <v>苗栗縣竹南鎮大埔里五福街558號.</v>
          </cell>
          <cell r="AA117" t="str">
            <v>350苗栗縣竹南鎮大埔里五福街558號＞登:基隆市中正區正砂里中正路448號。</v>
          </cell>
          <cell r="AK117" t="str">
            <v>RAD-0315</v>
          </cell>
          <cell r="AL117" t="str">
            <v>1-0021-毅和&gt;寄&gt;附發票&gt;附回郵</v>
          </cell>
          <cell r="AM117" t="str">
            <v>1-0021</v>
          </cell>
        </row>
        <row r="118">
          <cell r="B118" t="str">
            <v>1-0113</v>
          </cell>
          <cell r="C118" t="str">
            <v>101-05-01</v>
          </cell>
          <cell r="D118" t="str">
            <v>1-0113-陳文雄&gt;寄&gt;自結</v>
          </cell>
          <cell r="E118" t="str">
            <v>陳文雄＞靠行:志松汽車貨運股份有限公司,負:方錦珍</v>
          </cell>
          <cell r="F118" t="str">
            <v>陳文雄(113)</v>
          </cell>
          <cell r="G118" t="str">
            <v>未稅</v>
          </cell>
          <cell r="H118" t="str">
            <v>寄＞自結＞</v>
          </cell>
          <cell r="I118" t="str">
            <v>未稅</v>
          </cell>
          <cell r="J118">
            <v>30</v>
          </cell>
          <cell r="K118" t="str">
            <v>4972＞6472＞未稅</v>
          </cell>
          <cell r="L118" t="str">
            <v>037-461611＞0937-280186</v>
          </cell>
          <cell r="M118">
            <v>0</v>
          </cell>
          <cell r="O118">
            <v>47</v>
          </cell>
          <cell r="P118">
            <v>9</v>
          </cell>
          <cell r="Q118">
            <v>14</v>
          </cell>
          <cell r="R118">
            <v>63</v>
          </cell>
          <cell r="S118">
            <v>58</v>
          </cell>
          <cell r="T118">
            <v>21442</v>
          </cell>
          <cell r="U118" t="str">
            <v>K120745920</v>
          </cell>
          <cell r="V118" t="str">
            <v>陳文雄</v>
          </cell>
          <cell r="W118">
            <v>350</v>
          </cell>
          <cell r="X118" t="str">
            <v>苗栗縣竹南鎮龍鳳里龍安街6鄰143號＞登:苗栗縣頭份鎮蟠桃里3鄰中央路268號3樓。</v>
          </cell>
          <cell r="Y118" t="str">
            <v>苗栗縣竹南鎮</v>
          </cell>
          <cell r="Z118" t="str">
            <v>苗栗縣竹南鎮龍鳳里龍安街6鄰143號.</v>
          </cell>
          <cell r="AA118" t="str">
            <v>350苗栗縣竹南鎮龍鳳里龍安街6鄰143號＞登:苗栗縣頭份鎮蟠桃里3鄰中央路268號3樓。</v>
          </cell>
          <cell r="AK118" t="str">
            <v>0079-D5</v>
          </cell>
          <cell r="AL118" t="str">
            <v>1-0022-台新&gt;寄&gt;附發票&gt;兩個月25號匯款</v>
          </cell>
          <cell r="AM118" t="str">
            <v>1-0022</v>
          </cell>
        </row>
        <row r="119">
          <cell r="B119" t="str">
            <v>1-0114</v>
          </cell>
          <cell r="C119" t="str">
            <v>101-05-01</v>
          </cell>
          <cell r="D119" t="str">
            <v>1-0114-鍾享鵬&gt;寄&gt;自結</v>
          </cell>
          <cell r="E119" t="str">
            <v>鍾享鵬＞靠行:志松汽車貨運股份有限公司,負:方錦珍</v>
          </cell>
          <cell r="F119" t="str">
            <v>鍾享鵬(114)</v>
          </cell>
          <cell r="G119" t="str">
            <v>未稅</v>
          </cell>
          <cell r="H119" t="str">
            <v>寄＞自結＞</v>
          </cell>
          <cell r="I119" t="str">
            <v>未稅</v>
          </cell>
          <cell r="J119">
            <v>30</v>
          </cell>
          <cell r="K119" t="str">
            <v>4972＞6472＞未稅</v>
          </cell>
          <cell r="L119" t="str">
            <v>0910-565456</v>
          </cell>
          <cell r="M119">
            <v>0</v>
          </cell>
          <cell r="R119" t="b">
            <v>0</v>
          </cell>
          <cell r="S119" t="str"/>
          <cell r="T119" t="b">
            <v>0</v>
          </cell>
          <cell r="W119">
            <v>351</v>
          </cell>
          <cell r="X119" t="str">
            <v>苗栗縣頭份鎮新華里3鄰下新店83-1號＞登:苗栗縣頭份鎮蟠桃里3鄰中央路268號3樓。</v>
          </cell>
          <cell r="Y119" t="str">
            <v>苗栗縣頭份鎮</v>
          </cell>
          <cell r="Z119" t="str">
            <v>苗栗縣頭份鎮新華里3鄰下新店83之1號.</v>
          </cell>
          <cell r="AA119" t="str">
            <v>351苗栗縣頭份鎮新華里3鄰下新店83-1號＞登:苗栗縣頭份鎮蟠桃里3鄰中央路268號3樓。</v>
          </cell>
          <cell r="AK119" t="str">
            <v>067-GF</v>
          </cell>
          <cell r="AL119" t="str">
            <v>1-0022-台新&gt;寄&gt;附發票&gt;兩個月25號匯款</v>
          </cell>
          <cell r="AM119" t="str">
            <v>1-0022</v>
          </cell>
        </row>
        <row r="120">
          <cell r="B120" t="str">
            <v>1-0115</v>
          </cell>
          <cell r="C120" t="str">
            <v>101-05-01</v>
          </cell>
          <cell r="D120" t="str">
            <v>1-0115-上億&gt;寄&gt;附回郵</v>
          </cell>
          <cell r="E120" t="str">
            <v>上億企業社＞負:詹詠順</v>
          </cell>
          <cell r="F120" t="str">
            <v>上億企業社(115)</v>
          </cell>
          <cell r="G120" t="str">
            <v>未稅</v>
          </cell>
          <cell r="H120" t="str">
            <v>寄＞附回郵＞</v>
          </cell>
          <cell r="I120" t="str">
            <v>未稅</v>
          </cell>
          <cell r="J120">
            <v>30</v>
          </cell>
          <cell r="K120" t="str">
            <v>2019＞5849＞未稅</v>
          </cell>
          <cell r="L120" t="str">
            <v>05-3753553＞0928-700886＞傳真05-3755595</v>
          </cell>
          <cell r="M120">
            <v>0</v>
          </cell>
          <cell r="R120" t="b">
            <v>0</v>
          </cell>
          <cell r="S120" t="str"/>
          <cell r="T120" t="b">
            <v>0</v>
          </cell>
          <cell r="W120">
            <v>611</v>
          </cell>
          <cell r="X120" t="str">
            <v>嘉義縣鹿草鄉鹿草村667之15號＞登:嘉義縣鹿草鄉鹿草村18鄰鹿草703號。</v>
          </cell>
          <cell r="Y120" t="str">
            <v>嘉義縣鹿草鄉</v>
          </cell>
          <cell r="Z120" t="str">
            <v>嘉義縣鹿草鄉鹿草村667之15號.</v>
          </cell>
          <cell r="AA120" t="str">
            <v>611嘉義縣鹿草鄉鹿草村667之15號＞登:嘉義縣鹿草鄉鹿草村18鄰鹿草703號。</v>
          </cell>
          <cell r="AK120" t="str">
            <v>067-JF</v>
          </cell>
          <cell r="AL120" t="str">
            <v>1-0022-台新&gt;寄&gt;附發票&gt;兩個月25號匯款</v>
          </cell>
          <cell r="AM120" t="str">
            <v>1-0022</v>
          </cell>
        </row>
        <row r="121">
          <cell r="B121" t="str">
            <v>1-0116</v>
          </cell>
          <cell r="C121" t="str">
            <v>101-05-01</v>
          </cell>
          <cell r="D121" t="str">
            <v>1-0116-漢騏&gt;寄&gt;附發票&gt;匯款</v>
          </cell>
          <cell r="E121" t="str">
            <v>漢騏有限公司＞負:陳志宏</v>
          </cell>
          <cell r="F121" t="str">
            <v>漢騏有限公司(116)</v>
          </cell>
          <cell r="G121" t="str">
            <v>稅外</v>
          </cell>
          <cell r="H121" t="str">
            <v>寄＞附發票＞匯款:漢騏＞</v>
          </cell>
          <cell r="I121" t="str">
            <v>2766＞2349＞稅外＞中華全佑</v>
          </cell>
          <cell r="J121">
            <v>30</v>
          </cell>
          <cell r="L121" t="str">
            <v>037-621711＞0935-313674陳志宏＞傳真037-621708</v>
          </cell>
          <cell r="M121">
            <v>0</v>
          </cell>
          <cell r="R121" t="b">
            <v>0</v>
          </cell>
          <cell r="S121" t="str"/>
          <cell r="T121" t="b">
            <v>0</v>
          </cell>
          <cell r="W121">
            <v>350</v>
          </cell>
          <cell r="X121" t="str">
            <v>苗栗縣竹南鎮公館里2鄰7號＞登:苗栗縣頭份鎮成功里12鄰民生新村24號。</v>
          </cell>
          <cell r="Y121" t="str">
            <v>苗栗縣竹南鎮</v>
          </cell>
          <cell r="Z121" t="str">
            <v>苗栗縣竹南鎮公館里2鄰7號.</v>
          </cell>
          <cell r="AA121" t="str">
            <v>350苗栗縣竹南鎮公館里2鄰7號＞登:苗栗縣頭份鎮成功里12鄰民生新村24號。</v>
          </cell>
          <cell r="AK121" t="str">
            <v>125-JD</v>
          </cell>
          <cell r="AL121" t="str">
            <v>1-0022-台新&gt;寄&gt;附發票&gt;兩個月25號匯款</v>
          </cell>
          <cell r="AM121" t="str">
            <v>1-0022</v>
          </cell>
        </row>
        <row r="122">
          <cell r="B122" t="str">
            <v>1-0117</v>
          </cell>
          <cell r="C122" t="str">
            <v>101-05-01</v>
          </cell>
          <cell r="D122" t="str">
            <v>1-0117-貴盛&gt;寄&gt;附發票&gt;附回郵</v>
          </cell>
          <cell r="E122" t="str">
            <v>貴盛交通股份有限公司＞負:廖淑娟＞徐仁貴</v>
          </cell>
          <cell r="F122" t="str">
            <v>貴盛交通股份有限公司(117)</v>
          </cell>
          <cell r="G122" t="str">
            <v>稅外</v>
          </cell>
          <cell r="H122" t="str">
            <v>寄＞附發票＞附回郵＞</v>
          </cell>
          <cell r="I122" t="str">
            <v>4978＞1050＞稅外</v>
          </cell>
          <cell r="J122">
            <v>30</v>
          </cell>
          <cell r="L122" t="str">
            <v>037-265401＞0932-565021＞傳真037-264538</v>
          </cell>
          <cell r="M122">
            <v>0</v>
          </cell>
          <cell r="R122" t="b">
            <v>0</v>
          </cell>
          <cell r="S122" t="str"/>
          <cell r="T122" t="b">
            <v>0</v>
          </cell>
          <cell r="W122">
            <v>360</v>
          </cell>
          <cell r="X122" t="str">
            <v>苗栗縣苗栗巿福安里10鄰中華路566號。</v>
          </cell>
          <cell r="Y122" t="str">
            <v>苗栗縣苗栗巿</v>
          </cell>
          <cell r="Z122" t="str">
            <v>苗栗縣苗栗巿福安里10鄰中華路566號.</v>
          </cell>
          <cell r="AA122" t="str">
            <v>360苗栗縣苗栗巿福安里10鄰中華路566號。</v>
          </cell>
          <cell r="AK122" t="str">
            <v>308-HK</v>
          </cell>
          <cell r="AL122" t="str">
            <v>1-0022-台新&gt;寄&gt;附發票&gt;兩個月25號匯款</v>
          </cell>
          <cell r="AM122" t="str">
            <v>1-0022</v>
          </cell>
        </row>
        <row r="123">
          <cell r="B123" t="str">
            <v>1-0118</v>
          </cell>
          <cell r="C123" t="str">
            <v>101-05-01</v>
          </cell>
          <cell r="D123" t="str">
            <v>1-0118-金昌&gt;寄&gt;附發票&gt;附回郵</v>
          </cell>
          <cell r="E123" t="str">
            <v>金昌遊覽車客運有限公司＞負:葉維漢＞潘兆祥</v>
          </cell>
          <cell r="F123" t="str">
            <v>金昌遊覽車客運有限公司(118)</v>
          </cell>
          <cell r="G123" t="str">
            <v>含稅</v>
          </cell>
          <cell r="H123" t="str">
            <v>寄＞附發票＞附回郵＞</v>
          </cell>
          <cell r="I123" t="str">
            <v>7059＞1422＞含稅</v>
          </cell>
          <cell r="J123">
            <v>30</v>
          </cell>
          <cell r="L123" t="str">
            <v>037-333588＞0939-333588潘兆祥＞傳真037-369966</v>
          </cell>
          <cell r="M123" t="str">
            <v>2-0057</v>
          </cell>
          <cell r="R123" t="b">
            <v>0</v>
          </cell>
          <cell r="S123" t="str"/>
          <cell r="T123" t="b">
            <v>0</v>
          </cell>
          <cell r="W123">
            <v>360</v>
          </cell>
          <cell r="X123" t="str">
            <v>苗栗縣苗栗巿福麗里 11鄰至公路387號。</v>
          </cell>
          <cell r="Y123" t="str">
            <v>苗栗縣苗栗巿</v>
          </cell>
          <cell r="Z123" t="str">
            <v>苗栗縣苗栗巿福麗里 11鄰至公路387號.</v>
          </cell>
          <cell r="AA123" t="str">
            <v>360苗栗縣苗栗巿福麗里 11鄰至公路387號。</v>
          </cell>
          <cell r="AK123" t="str">
            <v>310-HK</v>
          </cell>
          <cell r="AL123" t="str">
            <v>1-0022-台新&gt;寄&gt;附發票&gt;兩個月25號匯款</v>
          </cell>
          <cell r="AM123" t="str">
            <v>1-0022</v>
          </cell>
        </row>
        <row r="124">
          <cell r="B124" t="str">
            <v>1-0119</v>
          </cell>
          <cell r="C124" t="str">
            <v>101-05-01</v>
          </cell>
          <cell r="D124" t="str">
            <v>1-0119-總宜&gt;寄&gt;自結</v>
          </cell>
          <cell r="E124" t="str">
            <v>宜成砂石有限公司＞負:林明莉＞總宜砂石行＞負:詹添棟＞邱瑞華</v>
          </cell>
          <cell r="F124" t="str">
            <v>宜成砂石有限公司(119)</v>
          </cell>
          <cell r="G124" t="str">
            <v>未稅</v>
          </cell>
          <cell r="H124" t="str">
            <v>寄&gt;自結&gt;03135&gt;翻修胎直花4200元粗花4500元</v>
          </cell>
          <cell r="I124" t="str">
            <v>未稅</v>
          </cell>
          <cell r="J124">
            <v>30</v>
          </cell>
          <cell r="K124" t="str">
            <v>2424＞7329宜成＞4557＞4207總宜＞未稅</v>
          </cell>
          <cell r="L124" t="str">
            <v>0922-787179＞傳真04-25892930</v>
          </cell>
          <cell r="M124">
            <v>0</v>
          </cell>
          <cell r="R124" t="b">
            <v>0</v>
          </cell>
          <cell r="S124" t="str"/>
          <cell r="T124" t="b">
            <v>0</v>
          </cell>
          <cell r="W124">
            <v>369</v>
          </cell>
          <cell r="X124" t="str">
            <v>苗栗縣卓蘭鎮新榮里10鄰仁愛路16號1樓 。</v>
          </cell>
          <cell r="Y124" t="str">
            <v>苗栗縣卓蘭鎮</v>
          </cell>
          <cell r="Z124" t="str">
            <v>苗栗縣卓蘭鎮新榮里10鄰仁愛路16號1樓.</v>
          </cell>
          <cell r="AA124" t="str">
            <v>369苗栗縣卓蘭鎮新榮里10鄰仁愛路16號1樓 。</v>
          </cell>
          <cell r="AK124" t="str">
            <v>380-HK</v>
          </cell>
          <cell r="AL124" t="str">
            <v>1-0022-台新&gt;寄&gt;附發票&gt;兩個月25號匯款</v>
          </cell>
          <cell r="AM124" t="str">
            <v>1-0022</v>
          </cell>
        </row>
        <row r="125">
          <cell r="B125" t="str">
            <v>1-0120</v>
          </cell>
          <cell r="C125" t="str">
            <v>100-04-01</v>
          </cell>
          <cell r="D125" t="str">
            <v>1-0120-福昌&gt;現結</v>
          </cell>
          <cell r="E125" t="str">
            <v>千昱企業社＞負:陳麗鈴＞福昌＞林銀雄</v>
          </cell>
          <cell r="F125" t="str">
            <v>千昱企業社(120)</v>
          </cell>
          <cell r="G125" t="str">
            <v>未稅</v>
          </cell>
          <cell r="H125" t="str">
            <v>現結</v>
          </cell>
          <cell r="I125" t="str">
            <v>未稅</v>
          </cell>
          <cell r="J125">
            <v>30</v>
          </cell>
          <cell r="K125" t="str">
            <v>8335＞5604＞未稅</v>
          </cell>
          <cell r="L125" t="str">
            <v>0986-297825＞0963-152909</v>
          </cell>
          <cell r="M125">
            <v>0</v>
          </cell>
          <cell r="R125" t="b">
            <v>0</v>
          </cell>
          <cell r="S125" t="str"/>
          <cell r="T125" t="b">
            <v>0</v>
          </cell>
          <cell r="W125">
            <v>356</v>
          </cell>
          <cell r="X125" t="str">
            <v>登:苗栗縣後龍鎮大庄里2鄰龍庄街42號。</v>
          </cell>
          <cell r="Y125" t="str"/>
          <cell r="AA125" t="str">
            <v>356登:苗栗縣後龍鎮大庄里2鄰龍庄街42號。</v>
          </cell>
          <cell r="AK125" t="str">
            <v>381-HK</v>
          </cell>
          <cell r="AL125" t="str">
            <v>1-0022-台新&gt;寄&gt;附發票&gt;兩個月25號匯款</v>
          </cell>
          <cell r="AM125" t="str">
            <v>1-0022</v>
          </cell>
        </row>
        <row r="126">
          <cell r="B126" t="str">
            <v>1-0121</v>
          </cell>
          <cell r="C126" t="str">
            <v>101-05-01</v>
          </cell>
          <cell r="D126" t="str">
            <v>1-0121-天廣&gt;天泰&gt;現結</v>
          </cell>
          <cell r="E126" t="str">
            <v>天泰企業社</v>
          </cell>
          <cell r="F126" t="str">
            <v>天泰企業社(121)</v>
          </cell>
          <cell r="G126" t="str">
            <v>稅外</v>
          </cell>
          <cell r="H126" t="str">
            <v>現結</v>
          </cell>
          <cell r="I126" t="str">
            <v>9967＞4061＞稅外</v>
          </cell>
          <cell r="J126">
            <v>30</v>
          </cell>
          <cell r="L126" t="str">
            <v>037-722226＞0910-918791＞傳真037-722479</v>
          </cell>
          <cell r="M126">
            <v>0</v>
          </cell>
          <cell r="R126" t="b">
            <v>0</v>
          </cell>
          <cell r="S126" t="str"/>
          <cell r="T126" t="b">
            <v>0</v>
          </cell>
          <cell r="W126">
            <v>356</v>
          </cell>
          <cell r="X126" t="str">
            <v>苗栗縣後龍鎮勝利街263-15號。</v>
          </cell>
          <cell r="Y126" t="str">
            <v>苗栗縣後龍鎮</v>
          </cell>
          <cell r="Z126" t="str">
            <v>苗栗縣後龍鎮勝利街263之15號.</v>
          </cell>
          <cell r="AA126" t="str">
            <v>356苗栗縣後龍鎮勝利街263-15號。</v>
          </cell>
          <cell r="AK126" t="str">
            <v>421-HK</v>
          </cell>
          <cell r="AL126" t="str">
            <v>1-0022-台新&gt;寄&gt;附發票&gt;兩個月25號匯款</v>
          </cell>
          <cell r="AM126" t="str">
            <v>1-0022</v>
          </cell>
        </row>
        <row r="127">
          <cell r="B127" t="str">
            <v>1-0122</v>
          </cell>
          <cell r="C127" t="str">
            <v>101-05-01</v>
          </cell>
          <cell r="D127" t="str">
            <v>1-0122-嘉偉&gt;元美&gt;寄&gt;附發票&gt;附回郵</v>
          </cell>
          <cell r="E127" t="str">
            <v>嘉偉國際股份有限公司＞負:蘇武東&gt;元美</v>
          </cell>
          <cell r="F127" t="str">
            <v>嘉偉國際股份有限公司(122)</v>
          </cell>
          <cell r="G127" t="str">
            <v>稅外</v>
          </cell>
          <cell r="H127" t="str">
            <v>寄＞附發票＞附回郵＞</v>
          </cell>
          <cell r="I127" t="str">
            <v>8012＞6874＞稅外</v>
          </cell>
          <cell r="J127">
            <v>30</v>
          </cell>
          <cell r="L127" t="str">
            <v>03-5307668＞0915-265411＞傳真03-5400091</v>
          </cell>
          <cell r="M127" t="str">
            <v>2-0159</v>
          </cell>
          <cell r="R127" t="b">
            <v>0</v>
          </cell>
          <cell r="S127" t="str"/>
          <cell r="T127" t="b">
            <v>0</v>
          </cell>
          <cell r="W127">
            <v>300</v>
          </cell>
          <cell r="X127" t="str">
            <v>新竹縣新竹巿港南里12鄰海埔路181巷191號＞登:新竹市香山區港南里海埔路181巷191號1樓 。</v>
          </cell>
          <cell r="Y127" t="str">
            <v>新竹縣新竹巿</v>
          </cell>
          <cell r="Z127" t="str">
            <v>新竹縣新竹巿港南里12鄰海埔路181巷191號.</v>
          </cell>
          <cell r="AA127" t="str">
            <v>300新竹縣新竹巿港南里12鄰海埔路181巷191號＞登:新竹市香山區港南里海埔路181巷191號1樓 。</v>
          </cell>
          <cell r="AK127" t="str">
            <v>439-HK</v>
          </cell>
          <cell r="AL127" t="str">
            <v>1-0022-台新&gt;寄&gt;附發票&gt;兩個月25號匯款</v>
          </cell>
          <cell r="AM127" t="str">
            <v>1-0022</v>
          </cell>
        </row>
        <row r="128">
          <cell r="B128" t="str">
            <v>1-0123</v>
          </cell>
          <cell r="C128" t="str">
            <v>105-02-26</v>
          </cell>
          <cell r="D128" t="str">
            <v>1-0123-傅新財&gt;寄&gt;附發票&gt;附回郵</v>
          </cell>
          <cell r="E128" t="str">
            <v>傅新財.國照交通事業有限公司</v>
          </cell>
          <cell r="F128" t="str">
            <v>國照交通事業有限公司(123)</v>
          </cell>
          <cell r="G128" t="str">
            <v>未稅</v>
          </cell>
          <cell r="H128" t="str">
            <v>寄＞附發票＞附回郵＞</v>
          </cell>
          <cell r="I128" t="str">
            <v>未稅</v>
          </cell>
          <cell r="J128">
            <v>30</v>
          </cell>
          <cell r="K128" t="str">
            <v>8488&gt;1268&gt;未稅</v>
          </cell>
          <cell r="L128" t="str">
            <v>0977-466277-傅新財</v>
          </cell>
          <cell r="M128">
            <v>0</v>
          </cell>
          <cell r="O128">
            <v>57</v>
          </cell>
          <cell r="P128">
            <v>5</v>
          </cell>
          <cell r="Q128">
            <v>25</v>
          </cell>
          <cell r="R128">
            <v>53</v>
          </cell>
          <cell r="S128">
            <v>68</v>
          </cell>
          <cell r="T128">
            <v>24983</v>
          </cell>
          <cell r="U128" t="str">
            <v>L120356503</v>
          </cell>
          <cell r="V128" t="str">
            <v>傅新財</v>
          </cell>
          <cell r="W128">
            <v>326</v>
          </cell>
          <cell r="X128" t="str">
            <v>台中市東勢區鎮東關路上城里29號</v>
          </cell>
          <cell r="Y128" t="str">
            <v>桃園巿平鎮區</v>
          </cell>
          <cell r="Z128" t="str">
            <v>桃園巿平鎮區廣達里廣西路4巷11弄15號.</v>
          </cell>
          <cell r="AA128" t="str">
            <v>326台中市東勢區鎮東關路上城里29號</v>
          </cell>
          <cell r="AK128" t="str">
            <v>4810-KC</v>
          </cell>
          <cell r="AL128" t="str">
            <v>1-0022-台新&gt;寄&gt;附發票&gt;兩個月25號匯款</v>
          </cell>
          <cell r="AM128" t="str">
            <v>1-0022</v>
          </cell>
        </row>
        <row r="129">
          <cell r="B129" t="str">
            <v>1-0124</v>
          </cell>
          <cell r="C129" t="str">
            <v>101-05-01</v>
          </cell>
          <cell r="D129" t="str">
            <v>1-0124-天聲&gt;寄&gt;附發票&gt;附回郵</v>
          </cell>
          <cell r="E129" t="str">
            <v>天聲工業股份有限公司＞負:張水圳</v>
          </cell>
          <cell r="F129" t="str">
            <v>天聲工業股份有限公司(124)</v>
          </cell>
          <cell r="G129" t="str">
            <v>稅外</v>
          </cell>
          <cell r="H129" t="str">
            <v>寄＞附發票＞附回郵＞</v>
          </cell>
          <cell r="I129" t="str">
            <v>1227＞5995＞稅外</v>
          </cell>
          <cell r="J129">
            <v>30</v>
          </cell>
          <cell r="L129" t="str">
            <v>03-5372167＞傳真035-370919</v>
          </cell>
          <cell r="M129">
            <v>0</v>
          </cell>
          <cell r="R129" t="b">
            <v>0</v>
          </cell>
          <cell r="S129" t="str"/>
          <cell r="T129" t="b">
            <v>0</v>
          </cell>
          <cell r="W129">
            <v>300</v>
          </cell>
          <cell r="X129" t="str">
            <v>新竹巿南港街23號＞登:臺北市中山區建國北路2段127號9樓。</v>
          </cell>
          <cell r="Y129" t="str">
            <v>新竹巿南港街</v>
          </cell>
          <cell r="Z129" t="str">
            <v>新竹巿南港街23號.</v>
          </cell>
          <cell r="AA129" t="str">
            <v>300新竹巿南港街23號＞登:臺北市中山區建國北路2段127號9樓。</v>
          </cell>
          <cell r="AK129" t="str">
            <v>626-HF</v>
          </cell>
          <cell r="AL129" t="str">
            <v>1-0022-台新&gt;寄&gt;附發票&gt;兩個月25號匯款</v>
          </cell>
          <cell r="AM129" t="str">
            <v>1-0022</v>
          </cell>
        </row>
        <row r="130">
          <cell r="B130" t="str">
            <v>1-0125</v>
          </cell>
          <cell r="C130" t="str">
            <v>101-05-01</v>
          </cell>
          <cell r="D130" t="str">
            <v>1-0125-源順&gt;寄&gt;附發票&gt;附回郵</v>
          </cell>
          <cell r="E130" t="str">
            <v>源順包裝材料有限公司＞負:林文發</v>
          </cell>
          <cell r="F130" t="str">
            <v>源順包裝材料有限公司(125)</v>
          </cell>
          <cell r="G130" t="str">
            <v>稅外</v>
          </cell>
          <cell r="H130" t="str">
            <v>寄＞附發票＞附回郵＞</v>
          </cell>
          <cell r="I130" t="str">
            <v>1692＞6082＞稅外</v>
          </cell>
          <cell r="J130">
            <v>30</v>
          </cell>
          <cell r="L130" t="str">
            <v>037-552930＞0918-801932＞傳真037-481967</v>
          </cell>
          <cell r="M130" t="str">
            <v>2-0174</v>
          </cell>
          <cell r="R130" t="b">
            <v>0</v>
          </cell>
          <cell r="S130" t="str"/>
          <cell r="T130" t="b">
            <v>0</v>
          </cell>
          <cell r="W130">
            <v>350</v>
          </cell>
          <cell r="X130" t="str">
            <v>苗栗縣竹南鎮中英里保安林62-6號＞登:苗栗縣竹南鎮崎頂里4鄰仁愛路2201巷5弄66號 。</v>
          </cell>
          <cell r="Y130" t="str">
            <v>苗栗縣竹南鎮</v>
          </cell>
          <cell r="Z130" t="str">
            <v>苗栗縣竹南鎮大厝里23鄰獅山70-21號.</v>
          </cell>
          <cell r="AA130" t="str">
            <v>350苗栗縣竹南鎮中英里保安林62-6號＞登:苗栗縣竹南鎮崎頂里4鄰仁愛路2201巷5弄66號 。</v>
          </cell>
          <cell r="AK130" t="str">
            <v>629-HF</v>
          </cell>
          <cell r="AL130" t="str">
            <v>1-0022-台新&gt;寄&gt;附發票&gt;兩個月25號匯款</v>
          </cell>
          <cell r="AM130" t="str">
            <v>1-0022</v>
          </cell>
        </row>
        <row r="131">
          <cell r="B131" t="str">
            <v>1-0126</v>
          </cell>
          <cell r="C131" t="str">
            <v>101-05-01</v>
          </cell>
          <cell r="D131" t="str">
            <v>1-0126-小鍾&gt;現結</v>
          </cell>
          <cell r="E131" t="str">
            <v>鍾元鈞＞靠行:志鴻汽車貨運股份有限公司,負:曾俊彥</v>
          </cell>
          <cell r="F131" t="str">
            <v>鍾元鈞(126)</v>
          </cell>
          <cell r="G131" t="str">
            <v>未稅</v>
          </cell>
          <cell r="H131" t="str">
            <v>現結</v>
          </cell>
          <cell r="I131" t="str">
            <v>未稅</v>
          </cell>
          <cell r="J131">
            <v>30</v>
          </cell>
          <cell r="K131" t="str">
            <v>8692＞7660＞未稅</v>
          </cell>
          <cell r="L131" t="str">
            <v>02-88091324＞0920-657756＞0910-637756</v>
          </cell>
          <cell r="M131">
            <v>0</v>
          </cell>
          <cell r="R131" t="b">
            <v>0</v>
          </cell>
          <cell r="S131" t="str"/>
          <cell r="T131" t="b">
            <v>0</v>
          </cell>
          <cell r="W131">
            <v>251</v>
          </cell>
          <cell r="X131" t="str">
            <v>台北縣淡水鎮民族路50巷22號12樓＞登:苗栗縣苗栗市福安里20鄰中華東街470號2樓。</v>
          </cell>
          <cell r="Y131" t="str">
            <v>台北縣淡水鎮</v>
          </cell>
          <cell r="Z131" t="str">
            <v>台北縣淡水鎮民族路50巷22號12樓.</v>
          </cell>
          <cell r="AA131" t="str">
            <v>251台北縣淡水鎮民族路50巷22號12樓＞登:苗栗縣苗栗市福安里20鄰中華東街470號2樓。</v>
          </cell>
          <cell r="AK131" t="str">
            <v>716-JD</v>
          </cell>
          <cell r="AL131" t="str">
            <v>1-0022-台新&gt;寄&gt;附發票&gt;兩個月25號匯款</v>
          </cell>
          <cell r="AM131" t="str">
            <v>1-0022</v>
          </cell>
        </row>
        <row r="132">
          <cell r="B132" t="str">
            <v>1-0127</v>
          </cell>
          <cell r="C132" t="str">
            <v>101-05-01</v>
          </cell>
          <cell r="D132" t="str">
            <v>1-0127-驊瑞&gt;寄&gt;附回郵</v>
          </cell>
          <cell r="E132" t="str">
            <v>驊瑞汽車貨運股份有限公司＞葉志豪</v>
          </cell>
          <cell r="F132" t="str">
            <v>驊瑞汽車貨運股份有限公司(127)</v>
          </cell>
          <cell r="G132" t="str">
            <v>未稅</v>
          </cell>
          <cell r="H132" t="str">
            <v>寄＞附回郵＞</v>
          </cell>
          <cell r="I132" t="str">
            <v>未稅</v>
          </cell>
          <cell r="J132">
            <v>30</v>
          </cell>
          <cell r="K132" t="str">
            <v>9685＞7452＞未稅</v>
          </cell>
          <cell r="L132" t="str">
            <v>037-482499＞037-481989＞0955-509366＞傳真037-471388</v>
          </cell>
          <cell r="M132">
            <v>0</v>
          </cell>
          <cell r="R132" t="b">
            <v>0</v>
          </cell>
          <cell r="S132" t="str"/>
          <cell r="T132" t="b">
            <v>0</v>
          </cell>
          <cell r="W132">
            <v>350</v>
          </cell>
          <cell r="X132" t="str">
            <v>苗栗縣竹南鎮港墘里12鄰86號。</v>
          </cell>
          <cell r="Y132" t="str">
            <v>苗栗縣竹南鎮</v>
          </cell>
          <cell r="Z132" t="str">
            <v>苗栗縣竹南鎮港墘里12鄰86號.</v>
          </cell>
          <cell r="AA132" t="str">
            <v>350苗栗縣竹南鎮港墘里12鄰86號。</v>
          </cell>
          <cell r="AK132" t="str">
            <v>725-JC</v>
          </cell>
          <cell r="AL132" t="str">
            <v>1-0022-台新&gt;寄&gt;附發票&gt;兩個月25號匯款</v>
          </cell>
          <cell r="AM132" t="str">
            <v>1-0022</v>
          </cell>
        </row>
        <row r="133">
          <cell r="B133" t="str">
            <v>1-0128</v>
          </cell>
          <cell r="C133" t="str">
            <v>101-05-01</v>
          </cell>
          <cell r="D133" t="str">
            <v>1-0128-廣進&gt;寄&gt;自結</v>
          </cell>
          <cell r="E133" t="str">
            <v>廣進停車場＞林清輝</v>
          </cell>
          <cell r="F133" t="str">
            <v>廣進停車場-林清輝(128)</v>
          </cell>
          <cell r="G133" t="str">
            <v>未稅</v>
          </cell>
          <cell r="H133" t="str">
            <v>寄＞自結＞</v>
          </cell>
          <cell r="I133" t="str">
            <v>未稅</v>
          </cell>
          <cell r="J133">
            <v>30</v>
          </cell>
          <cell r="L133" t="str">
            <v>0932-527807</v>
          </cell>
          <cell r="M133" t="str">
            <v>2-0098</v>
          </cell>
          <cell r="R133" t="b">
            <v>0</v>
          </cell>
          <cell r="S133" t="str"/>
          <cell r="T133" t="b">
            <v>0</v>
          </cell>
          <cell r="W133">
            <v>351</v>
          </cell>
          <cell r="X133" t="str">
            <v>苗栗縣頭份鎮信義路103號。</v>
          </cell>
          <cell r="Y133" t="str">
            <v>苗栗縣頭份鎮</v>
          </cell>
          <cell r="Z133" t="str">
            <v>苗栗縣頭份鎮信義路103號.</v>
          </cell>
          <cell r="AA133" t="str">
            <v>351苗栗縣頭份鎮信義路103號。</v>
          </cell>
          <cell r="AK133" t="str">
            <v>725-JD</v>
          </cell>
          <cell r="AL133" t="str">
            <v>1-0022-台新&gt;寄&gt;附發票&gt;兩個月25號匯款</v>
          </cell>
          <cell r="AM133" t="str">
            <v>1-0022</v>
          </cell>
        </row>
        <row r="134">
          <cell r="B134" t="str">
            <v>1-0129</v>
          </cell>
          <cell r="C134" t="str">
            <v>105-02-27</v>
          </cell>
          <cell r="D134" t="str">
            <v>1-0129-佳運&gt;寄&gt;附發票&gt;附回郵</v>
          </cell>
          <cell r="E134" t="str">
            <v>佳運重機械工程股份有限公司＞負:張林桂</v>
          </cell>
          <cell r="F134" t="str">
            <v>佳運重機械工程股份有限公司(129)</v>
          </cell>
          <cell r="G134" t="str">
            <v>稅外</v>
          </cell>
          <cell r="H134" t="str">
            <v>寄＞附發票＞附回郵＞</v>
          </cell>
          <cell r="I134" t="str">
            <v>5454＞7597＞稅外</v>
          </cell>
          <cell r="J134">
            <v>30</v>
          </cell>
          <cell r="L134" t="str">
            <v>03-5591177＞0915-392263劉曜糧＞傳真03-5591222</v>
          </cell>
          <cell r="M134">
            <v>0</v>
          </cell>
          <cell r="R134" t="b">
            <v>0</v>
          </cell>
          <cell r="S134" t="str"/>
          <cell r="T134" t="b">
            <v>0</v>
          </cell>
          <cell r="W134">
            <v>304</v>
          </cell>
          <cell r="X134" t="str">
            <v>新竹縣新豐鄉茄苳路166-1號＞登:新竹縣竹北巿竹義里11鄰中正東路425巷16號。</v>
          </cell>
          <cell r="Y134" t="str">
            <v>新竹縣新豐鄉</v>
          </cell>
          <cell r="Z134" t="str">
            <v>新竹縣新豐鄉茄苳路166之1號.</v>
          </cell>
          <cell r="AA134" t="str">
            <v>304新竹縣新豐鄉茄苳路166-1號＞登:新竹縣竹北巿竹義里11鄰中正東路425巷16號。</v>
          </cell>
          <cell r="AK134" t="str">
            <v>726-JB</v>
          </cell>
          <cell r="AL134" t="str">
            <v>1-0022-台新&gt;寄&gt;附發票&gt;兩個月25號匯款</v>
          </cell>
          <cell r="AM134" t="str">
            <v>1-0022</v>
          </cell>
        </row>
        <row r="135">
          <cell r="B135" t="str">
            <v>1-0130</v>
          </cell>
          <cell r="C135" t="str">
            <v>104-08-26</v>
          </cell>
          <cell r="D135" t="str">
            <v>1-0130-鴻錩輪胎(聯倉)&gt;寄&gt;自結</v>
          </cell>
          <cell r="E135" t="str">
            <v>鴻錩輪胎行</v>
          </cell>
          <cell r="F135" t="str">
            <v>鴻錩輪胎行(130)</v>
          </cell>
          <cell r="G135" t="str">
            <v>未稅</v>
          </cell>
          <cell r="H135" t="str">
            <v>寄＞自結＞</v>
          </cell>
          <cell r="I135" t="str">
            <v>未稅</v>
          </cell>
          <cell r="J135">
            <v>30</v>
          </cell>
          <cell r="L135" t="str">
            <v>0928-789591陳學義</v>
          </cell>
          <cell r="M135">
            <v>0</v>
          </cell>
          <cell r="R135" t="b">
            <v>0</v>
          </cell>
          <cell r="S135" t="str"/>
          <cell r="T135" t="b">
            <v>0</v>
          </cell>
          <cell r="W135">
            <v>351</v>
          </cell>
          <cell r="X135" t="str">
            <v>苗栗縣頭份市中華路1322號</v>
          </cell>
          <cell r="Y135" t="str">
            <v>苗栗縣頭份市</v>
          </cell>
          <cell r="Z135" t="str">
            <v>苗栗縣頭份市中華路1322號</v>
          </cell>
          <cell r="AA135" t="str">
            <v>351苗栗縣頭份市中華路1322號</v>
          </cell>
          <cell r="AK135" t="str">
            <v>726-JD</v>
          </cell>
          <cell r="AL135" t="str">
            <v>1-0022-台新&gt;寄&gt;附發票&gt;兩個月25號匯款</v>
          </cell>
          <cell r="AM135" t="str">
            <v>1-0022</v>
          </cell>
        </row>
        <row r="136">
          <cell r="B136" t="str">
            <v>1-0131</v>
          </cell>
          <cell r="C136" t="str">
            <v>101-05-01</v>
          </cell>
          <cell r="D136" t="str">
            <v>1-0131-鴻運&gt;寄&gt;附回郵</v>
          </cell>
          <cell r="E136" t="str">
            <v>鴻運汽車保養所＞負:林雅娟＞黃明進</v>
          </cell>
          <cell r="F136" t="str">
            <v>鴻運汽車保養所(131)</v>
          </cell>
          <cell r="G136" t="str">
            <v>未稅</v>
          </cell>
          <cell r="H136" t="str">
            <v>寄＞附回郵＞</v>
          </cell>
          <cell r="I136" t="str">
            <v>未稅</v>
          </cell>
          <cell r="J136">
            <v>30</v>
          </cell>
          <cell r="K136" t="str">
            <v>9987＞0367＞未稅</v>
          </cell>
          <cell r="L136" t="str">
            <v>037-626398＞0933-516187＞傳真037-628236</v>
          </cell>
          <cell r="M136">
            <v>0</v>
          </cell>
          <cell r="R136" t="b">
            <v>0</v>
          </cell>
          <cell r="S136" t="str"/>
          <cell r="T136" t="b">
            <v>0</v>
          </cell>
          <cell r="W136">
            <v>351</v>
          </cell>
          <cell r="X136" t="str">
            <v>苗栗縣頭份鎮田寮里永貞路一段200號。</v>
          </cell>
          <cell r="Y136" t="str">
            <v>苗栗縣頭份鎮</v>
          </cell>
          <cell r="Z136" t="str">
            <v>苗栗縣頭份鎮田寮里永貞路一段200號.</v>
          </cell>
          <cell r="AA136" t="str">
            <v>351苗栗縣頭份鎮田寮里永貞路一段200號。</v>
          </cell>
          <cell r="AK136" t="str">
            <v>727-JD</v>
          </cell>
          <cell r="AL136" t="str">
            <v>1-0022-台新&gt;寄&gt;附發票&gt;兩個月25號匯款</v>
          </cell>
          <cell r="AM136" t="str">
            <v>1-0022</v>
          </cell>
        </row>
        <row r="137">
          <cell r="B137" t="str">
            <v>1-0132</v>
          </cell>
          <cell r="C137" t="str">
            <v>101-05-01</v>
          </cell>
          <cell r="D137" t="str">
            <v>1-0132-君毅中學&gt;寄&gt;附發票&gt;附回郵</v>
          </cell>
          <cell r="E137" t="str">
            <v>苗栗縣私立君毅高級中學</v>
          </cell>
          <cell r="F137" t="str">
            <v>苗栗縣私立君毅高級中學(132)</v>
          </cell>
          <cell r="G137" t="str">
            <v>含稅</v>
          </cell>
          <cell r="H137" t="str">
            <v>寄＞附發票＞附回郵＞</v>
          </cell>
          <cell r="I137" t="str">
            <v>5040＞1705＞含稅</v>
          </cell>
          <cell r="J137">
            <v>30</v>
          </cell>
          <cell r="L137" t="str">
            <v>037-639755＞傳真037-625880</v>
          </cell>
          <cell r="M137">
            <v>0</v>
          </cell>
          <cell r="R137" t="b">
            <v>0</v>
          </cell>
          <cell r="S137" t="str"/>
          <cell r="T137" t="b">
            <v>0</v>
          </cell>
          <cell r="W137">
            <v>350</v>
          </cell>
          <cell r="X137" t="str">
            <v>苗栗縣竹南鎮公義路245號。</v>
          </cell>
          <cell r="Y137" t="str">
            <v>苗栗縣竹南鎮</v>
          </cell>
          <cell r="Z137" t="str">
            <v>苗栗縣竹南鎮公義路245號.</v>
          </cell>
          <cell r="AA137" t="str">
            <v>350苗栗縣竹南鎮公義路245號。</v>
          </cell>
          <cell r="AK137" t="str">
            <v>728-JB</v>
          </cell>
          <cell r="AL137" t="str">
            <v>1-0022-台新&gt;寄&gt;附發票&gt;兩個月25號匯款</v>
          </cell>
          <cell r="AM137" t="str">
            <v>1-0022</v>
          </cell>
        </row>
        <row r="138">
          <cell r="B138" t="str">
            <v>1-0133</v>
          </cell>
          <cell r="C138" t="str">
            <v>101-05-01</v>
          </cell>
          <cell r="D138" t="str">
            <v>1-0133-宏隆貨運&gt;寄&gt;附回郵</v>
          </cell>
          <cell r="E138" t="str">
            <v>溫田增＞靠行宏隆運輸股份有限公司,負:田國平</v>
          </cell>
          <cell r="F138" t="str">
            <v>溫田增(133)</v>
          </cell>
          <cell r="G138" t="str">
            <v>未稅</v>
          </cell>
          <cell r="H138" t="str">
            <v>寄＞附回郵＞</v>
          </cell>
          <cell r="I138" t="str">
            <v>未稅</v>
          </cell>
          <cell r="J138">
            <v>30</v>
          </cell>
          <cell r="K138" t="str">
            <v>4974＞4871＞未稅</v>
          </cell>
          <cell r="L138" t="str">
            <v>0935-268526</v>
          </cell>
          <cell r="M138">
            <v>0</v>
          </cell>
          <cell r="O138">
            <v>55</v>
          </cell>
          <cell r="P138">
            <v>6</v>
          </cell>
          <cell r="Q138">
            <v>21</v>
          </cell>
          <cell r="R138">
            <v>55</v>
          </cell>
          <cell r="S138">
            <v>66</v>
          </cell>
          <cell r="T138">
            <v>24279</v>
          </cell>
          <cell r="U138" t="str">
            <v>J120511414</v>
          </cell>
          <cell r="V138" t="str">
            <v>溫田增</v>
          </cell>
          <cell r="W138">
            <v>302</v>
          </cell>
          <cell r="X138" t="str">
            <v>新竹縣竹北巿竹仁里36鄰三民路232號＞登:新竹縣竹東鎮沿河街661巷3號1樓。</v>
          </cell>
          <cell r="Y138" t="str">
            <v>新竹縣竹北巿</v>
          </cell>
          <cell r="Z138" t="str">
            <v>新竹縣竹北巿竹仁里36鄰三民路232號.</v>
          </cell>
          <cell r="AA138" t="str">
            <v>302新竹縣竹北巿竹仁里36鄰三民路232號＞登:新竹縣竹東鎮沿河街661巷3號1樓。</v>
          </cell>
          <cell r="AK138" t="str">
            <v>728-JD</v>
          </cell>
          <cell r="AL138" t="str">
            <v>1-0022-台新&gt;寄&gt;附發票&gt;兩個月25號匯款</v>
          </cell>
          <cell r="AM138" t="str">
            <v>1-0022</v>
          </cell>
        </row>
        <row r="139">
          <cell r="B139" t="str">
            <v>1-0134</v>
          </cell>
          <cell r="C139" t="str">
            <v>101-05-01</v>
          </cell>
          <cell r="D139" t="str">
            <v>1-0134-千宏&gt;寄&gt;匯款</v>
          </cell>
          <cell r="E139" t="str">
            <v>千宏輪胎企業有限公司＞負:葉彥宗</v>
          </cell>
          <cell r="F139" t="str">
            <v>千宏輪胎企業有限公司(134)</v>
          </cell>
          <cell r="G139" t="str">
            <v>未稅</v>
          </cell>
          <cell r="H139" t="str">
            <v>寄＞附回郵＞</v>
          </cell>
          <cell r="I139" t="str">
            <v>未稅</v>
          </cell>
          <cell r="J139">
            <v>30</v>
          </cell>
          <cell r="K139" t="str">
            <v>2782＞1058＞未稅</v>
          </cell>
          <cell r="L139" t="str">
            <v>05-2364666</v>
          </cell>
          <cell r="M139">
            <v>0</v>
          </cell>
          <cell r="R139" t="b">
            <v>0</v>
          </cell>
          <cell r="S139" t="str"/>
          <cell r="T139" t="b">
            <v>0</v>
          </cell>
          <cell r="W139">
            <v>600</v>
          </cell>
          <cell r="X139" t="str">
            <v>嘉義市西區劉厝里大聖二街39號。</v>
          </cell>
          <cell r="Y139" t="str">
            <v>嘉義市西區劉</v>
          </cell>
          <cell r="Z139" t="str">
            <v>嘉義市西區劉厝里大聖二街39號.</v>
          </cell>
          <cell r="AA139" t="str">
            <v>600嘉義市西區劉厝里大聖二街39號。</v>
          </cell>
          <cell r="AK139" t="str">
            <v>729-JD</v>
          </cell>
          <cell r="AL139" t="str">
            <v>1-0022-台新&gt;寄&gt;附發票&gt;兩個月25號匯款</v>
          </cell>
          <cell r="AM139" t="str">
            <v>1-0022</v>
          </cell>
        </row>
        <row r="140">
          <cell r="B140" t="str">
            <v>1-0135</v>
          </cell>
          <cell r="C140" t="str">
            <v>109-04-06/郭雯瑀</v>
          </cell>
          <cell r="D140" t="str">
            <v>1-0135-洪瑞賢&gt;臭屁&gt;自結</v>
          </cell>
          <cell r="E140" t="str">
            <v>洪瑞賢&gt;臭屁</v>
          </cell>
          <cell r="F140" t="str">
            <v>洪瑞賢(135)</v>
          </cell>
          <cell r="G140" t="str">
            <v>未稅</v>
          </cell>
          <cell r="H140" t="str">
            <v>自結</v>
          </cell>
          <cell r="I140" t="str">
            <v>未稅</v>
          </cell>
          <cell r="J140">
            <v>30</v>
          </cell>
          <cell r="L140" t="str">
            <v>0927-652785</v>
          </cell>
          <cell r="M140" t="str">
            <v>2-0120</v>
          </cell>
          <cell r="O140">
            <v>60</v>
          </cell>
          <cell r="P140">
            <v>8</v>
          </cell>
          <cell r="Q140">
            <v>11</v>
          </cell>
          <cell r="R140">
            <v>50</v>
          </cell>
          <cell r="S140">
            <v>71</v>
          </cell>
          <cell r="T140">
            <v>26156</v>
          </cell>
          <cell r="U140" t="str">
            <v>B120535800</v>
          </cell>
          <cell r="V140" t="str">
            <v>洪瑞賢</v>
          </cell>
          <cell r="Y140" t="str"/>
          <cell r="AA140" t="str"/>
          <cell r="AK140" t="str">
            <v>759-JD</v>
          </cell>
          <cell r="AL140" t="str">
            <v>1-0022-台新&gt;寄&gt;附發票&gt;兩個月25號匯款</v>
          </cell>
          <cell r="AM140" t="str">
            <v>1-0022</v>
          </cell>
        </row>
        <row r="141">
          <cell r="B141" t="str">
            <v>1-0136</v>
          </cell>
          <cell r="C141" t="str">
            <v>102-01-22</v>
          </cell>
          <cell r="D141" t="str">
            <v>1-0136-順華&gt;寄&gt;附發票&gt;三個月匯款</v>
          </cell>
          <cell r="E141" t="str">
            <v>順華交通股份有限公司＞負:曾雍鴻</v>
          </cell>
          <cell r="F141" t="str">
            <v>順華交通股份有限公司(136)</v>
          </cell>
          <cell r="G141" t="str">
            <v>稅外</v>
          </cell>
          <cell r="H141" t="str">
            <v>寄＞附發票＞匯款</v>
          </cell>
          <cell r="I141" t="str">
            <v>4972＞5543＞稅外&gt;中華全佑</v>
          </cell>
          <cell r="J141">
            <v>30</v>
          </cell>
          <cell r="L141" t="str">
            <v>037-476121＞0932-668335車管羅先生＞傳真037-477961</v>
          </cell>
          <cell r="M141">
            <v>0</v>
          </cell>
          <cell r="R141" t="b">
            <v>0</v>
          </cell>
          <cell r="S141" t="str"/>
          <cell r="T141" t="b">
            <v>0</v>
          </cell>
          <cell r="W141">
            <v>350</v>
          </cell>
          <cell r="X141" t="str">
            <v>苗栗縣竹南鎮崎頂里3鄰青草51-6號。</v>
          </cell>
          <cell r="Y141" t="str">
            <v>苗栗縣竹南鎮</v>
          </cell>
          <cell r="Z141" t="str">
            <v>苗栗縣竹南鎮崎頂里3鄰青草51之6號.</v>
          </cell>
          <cell r="AA141" t="str">
            <v>350苗栗縣竹南鎮崎頂里3鄰青草51-6號。</v>
          </cell>
          <cell r="AK141" t="str">
            <v>760-JD</v>
          </cell>
          <cell r="AL141" t="str">
            <v>1-0022-台新&gt;寄&gt;附發票&gt;兩個月25號匯款</v>
          </cell>
          <cell r="AM141" t="str">
            <v>1-0022</v>
          </cell>
        </row>
        <row r="142">
          <cell r="B142" t="str">
            <v>1-0137</v>
          </cell>
          <cell r="C142" t="str">
            <v>106-04-19</v>
          </cell>
          <cell r="D142" t="str">
            <v>1-0137-華鎮環保科技有限公司&gt;寄&gt;匯款</v>
          </cell>
          <cell r="E142" t="str">
            <v>華鎮環保科技有限公司&gt;負:莊韡智</v>
          </cell>
          <cell r="F142" t="str">
            <v>華鎮環保科技有限公司(137)</v>
          </cell>
          <cell r="G142" t="str">
            <v>未稅</v>
          </cell>
          <cell r="H142" t="str">
            <v>寄＞匯款＞</v>
          </cell>
          <cell r="I142" t="str">
            <v>未稅</v>
          </cell>
          <cell r="J142">
            <v>30</v>
          </cell>
          <cell r="K142" t="str">
            <v>5379&gt;8954&gt;未稅</v>
          </cell>
          <cell r="L142" t="str">
            <v>03-5437099&gt;傳真03-5315685</v>
          </cell>
          <cell r="M142">
            <v>0</v>
          </cell>
          <cell r="R142" t="b">
            <v>0</v>
          </cell>
          <cell r="S142" t="str"/>
          <cell r="T142" t="b">
            <v>0</v>
          </cell>
          <cell r="W142">
            <v>300</v>
          </cell>
          <cell r="X142" t="str">
            <v>新竹市士林東路37號</v>
          </cell>
          <cell r="Y142" t="str">
            <v>新竹市士林東</v>
          </cell>
          <cell r="Z142" t="str">
            <v>新竹市士林東路37號</v>
          </cell>
          <cell r="AA142" t="str">
            <v>300新竹市士林東路37號</v>
          </cell>
          <cell r="AK142" t="str">
            <v>761-JD</v>
          </cell>
          <cell r="AL142" t="str">
            <v>1-0022-台新&gt;寄&gt;附發票&gt;兩個月25號匯款</v>
          </cell>
          <cell r="AM142" t="str">
            <v>1-0022</v>
          </cell>
        </row>
        <row r="143">
          <cell r="B143" t="str">
            <v>1-0138</v>
          </cell>
          <cell r="C143" t="str">
            <v>101-05-01</v>
          </cell>
          <cell r="D143" t="str">
            <v>1-0138-栗合興&gt;栗安&gt;寄&gt;附發票&gt;三個月匯款</v>
          </cell>
          <cell r="E143" t="str">
            <v>栗合興業股份有限公司＞負:彭瑋欣＞冠廷＞王英珠</v>
          </cell>
          <cell r="F143" t="str">
            <v>栗合興業股份有限公司(138)</v>
          </cell>
          <cell r="G143" t="str">
            <v>含稅</v>
          </cell>
          <cell r="H143" t="str">
            <v>寄＞附發票＞匯款:冠廷＞</v>
          </cell>
          <cell r="I143" t="str">
            <v>8998＞7022＞含稅＞中華全佑</v>
          </cell>
          <cell r="J143">
            <v>30</v>
          </cell>
          <cell r="L143" t="str">
            <v>037-464736＞傳真037-461636</v>
          </cell>
          <cell r="M143" t="str">
            <v>2-0178</v>
          </cell>
          <cell r="R143" t="b">
            <v>0</v>
          </cell>
          <cell r="S143" t="str"/>
          <cell r="T143" t="b">
            <v>0</v>
          </cell>
          <cell r="W143">
            <v>350</v>
          </cell>
          <cell r="X143" t="str">
            <v>苗栗縣竹南鎮竹興里竹圍仔87-16號＞登:苗栗縣竹南鎮中英里17鄰保安林234號。</v>
          </cell>
          <cell r="Y143" t="str">
            <v>苗栗縣竹南鎮</v>
          </cell>
          <cell r="Z143" t="str">
            <v>苗栗縣竹南鎮竹興里竹圍仔87-16號.</v>
          </cell>
          <cell r="AA143" t="str">
            <v>350苗栗縣竹南鎮竹興里竹圍仔87-16號＞登:苗栗縣竹南鎮中英里17鄰保安林234號。</v>
          </cell>
          <cell r="AK143" t="str">
            <v>762-JD</v>
          </cell>
          <cell r="AL143" t="str">
            <v>1-0022-台新&gt;寄&gt;附發票&gt;兩個月25號匯款</v>
          </cell>
          <cell r="AM143" t="str">
            <v>1-0022</v>
          </cell>
        </row>
        <row r="144">
          <cell r="B144" t="str">
            <v>1-0139</v>
          </cell>
          <cell r="C144" t="str">
            <v>101-05-01</v>
          </cell>
          <cell r="D144" t="str">
            <v>1-0139-鑫欣&gt;寄&gt;附發票&gt;附回郵</v>
          </cell>
          <cell r="E144" t="str">
            <v>鑫欣汽車貨運股份有限公司＞登陳欽偉</v>
          </cell>
          <cell r="F144" t="str">
            <v>鑫欣汽車貨運股份有限公司(139)</v>
          </cell>
          <cell r="G144" t="str">
            <v>稅外</v>
          </cell>
          <cell r="H144" t="str">
            <v>寄＞附發票＞附回郵＞</v>
          </cell>
          <cell r="I144" t="str">
            <v>4721＞7640＞稅外</v>
          </cell>
          <cell r="J144">
            <v>30</v>
          </cell>
          <cell r="L144" t="str">
            <v>03-5308345</v>
          </cell>
          <cell r="M144">
            <v>0</v>
          </cell>
          <cell r="R144" t="b">
            <v>0</v>
          </cell>
          <cell r="S144" t="str"/>
          <cell r="T144" t="b">
            <v>0</v>
          </cell>
          <cell r="W144">
            <v>300</v>
          </cell>
          <cell r="X144" t="str">
            <v>新竹縣新竹巿延平路二段963號＞登:新竹市東區光華一街34-2號3樓。</v>
          </cell>
          <cell r="Y144" t="str">
            <v>新竹縣新竹巿</v>
          </cell>
          <cell r="Z144" t="str">
            <v>新竹縣新竹巿延平路二段963號.</v>
          </cell>
          <cell r="AA144" t="str">
            <v>300新竹縣新竹巿延平路二段963號＞登:新竹市東區光華一街34-2號3樓。</v>
          </cell>
          <cell r="AK144" t="str">
            <v>763-JB</v>
          </cell>
          <cell r="AL144" t="str">
            <v>1-0022-台新&gt;寄&gt;附發票&gt;兩個月25號匯款</v>
          </cell>
          <cell r="AM144" t="str">
            <v>1-0022</v>
          </cell>
        </row>
        <row r="145">
          <cell r="B145" t="str">
            <v>1-0140</v>
          </cell>
          <cell r="C145" t="str">
            <v>101-05-01</v>
          </cell>
          <cell r="D145" t="str">
            <v>1-0140-向錢走拖吊車&gt;寄&gt;自結</v>
          </cell>
          <cell r="E145" t="str">
            <v>向錢走企業社＞負:蘇清華＞蠻牛＞蘇晉樑</v>
          </cell>
          <cell r="F145" t="str">
            <v>向錢走企業社(140)</v>
          </cell>
          <cell r="G145" t="str">
            <v>未稅</v>
          </cell>
          <cell r="H145" t="str">
            <v>寄＞自結＞</v>
          </cell>
          <cell r="I145" t="str">
            <v>未稅</v>
          </cell>
          <cell r="J145">
            <v>30</v>
          </cell>
          <cell r="K145" t="str">
            <v>9966＞1740＞未稅</v>
          </cell>
          <cell r="L145" t="str">
            <v>0955-883860</v>
          </cell>
          <cell r="M145">
            <v>0</v>
          </cell>
          <cell r="R145" t="b">
            <v>0</v>
          </cell>
          <cell r="S145" t="str"/>
          <cell r="T145" t="b">
            <v>0</v>
          </cell>
          <cell r="W145">
            <v>360</v>
          </cell>
          <cell r="X145" t="str">
            <v>苗栗縣苗栗市北苗里22鄰英才路256號1號。</v>
          </cell>
          <cell r="Y145" t="str">
            <v>苗栗縣苗栗市</v>
          </cell>
          <cell r="Z145" t="str">
            <v>苗栗縣苗栗市北苗里22鄰英才路256號1號.</v>
          </cell>
          <cell r="AA145" t="str">
            <v>360苗栗縣苗栗市北苗里22鄰英才路256號1號。</v>
          </cell>
          <cell r="AK145" t="str">
            <v>763-JD</v>
          </cell>
          <cell r="AL145" t="str">
            <v>1-0022-台新&gt;寄&gt;附發票&gt;兩個月25號匯款</v>
          </cell>
          <cell r="AM145" t="str">
            <v>1-0022</v>
          </cell>
        </row>
        <row r="146">
          <cell r="B146" t="str">
            <v>1-0141</v>
          </cell>
          <cell r="C146" t="str">
            <v>101-05-01</v>
          </cell>
          <cell r="D146" t="str">
            <v>1-0141-向錢走發電機&gt;寄&gt;自結</v>
          </cell>
          <cell r="E146" t="str">
            <v>向錢走企業社＞負:蘇清華</v>
          </cell>
          <cell r="F146" t="str">
            <v>向錢走企業社(141)</v>
          </cell>
          <cell r="G146" t="str">
            <v>未稅</v>
          </cell>
          <cell r="H146" t="str">
            <v>寄＞自結＞</v>
          </cell>
          <cell r="I146" t="str">
            <v>未稅</v>
          </cell>
          <cell r="J146">
            <v>30</v>
          </cell>
          <cell r="K146" t="str">
            <v>9966＞1740＞未稅</v>
          </cell>
          <cell r="L146" t="str">
            <v>037-724955＞0937-586813＞傳真037-724249</v>
          </cell>
          <cell r="M146">
            <v>0</v>
          </cell>
          <cell r="R146" t="b">
            <v>0</v>
          </cell>
          <cell r="S146" t="str"/>
          <cell r="T146" t="b">
            <v>0</v>
          </cell>
          <cell r="W146">
            <v>360</v>
          </cell>
          <cell r="X146" t="str">
            <v>苗栗縣苗栗巿北苗里22鄰英才路256號1號。</v>
          </cell>
          <cell r="Y146" t="str">
            <v>苗栗縣苗栗巿</v>
          </cell>
          <cell r="Z146" t="str">
            <v>苗栗縣苗栗巿北苗里22鄰英才路256號1號.</v>
          </cell>
          <cell r="AA146" t="str">
            <v>360苗栗縣苗栗巿北苗里22鄰英才路256號1號。</v>
          </cell>
          <cell r="AK146" t="str">
            <v>863-JC</v>
          </cell>
          <cell r="AL146" t="str">
            <v>1-0022-台新&gt;寄&gt;附發票&gt;兩個月25號匯款</v>
          </cell>
          <cell r="AM146" t="str">
            <v>1-0022</v>
          </cell>
        </row>
        <row r="147">
          <cell r="B147" t="str">
            <v>1-0142</v>
          </cell>
          <cell r="C147" t="str">
            <v>101-05-01</v>
          </cell>
          <cell r="D147" t="str">
            <v>1-0142-黃俊誠&gt;捷順&gt;寄&gt;自結</v>
          </cell>
          <cell r="E147" t="str">
            <v>黃俊誠＞靠行:捷順運輸股份有限公司,負:徐重仁</v>
          </cell>
          <cell r="F147" t="str">
            <v>黃俊誠(142)</v>
          </cell>
          <cell r="G147" t="str">
            <v>未稅</v>
          </cell>
          <cell r="H147" t="str">
            <v>寄＞自結＞</v>
          </cell>
          <cell r="I147" t="str">
            <v>未稅</v>
          </cell>
          <cell r="J147">
            <v>30</v>
          </cell>
          <cell r="K147" t="str">
            <v>8045＞3736＞未稅</v>
          </cell>
          <cell r="L147" t="str">
            <v>037-667273＞0916-036231</v>
          </cell>
          <cell r="M147">
            <v>0</v>
          </cell>
          <cell r="R147" t="b">
            <v>0</v>
          </cell>
          <cell r="S147" t="str"/>
          <cell r="T147" t="b">
            <v>0</v>
          </cell>
          <cell r="W147">
            <v>351</v>
          </cell>
          <cell r="X147" t="str">
            <v>苗栗縣頭份鎮上埔里21鄰松竹新村81號＞登:桃園縣中壢市五福里民族路242之1號2樓。</v>
          </cell>
          <cell r="Y147" t="str">
            <v>苗栗縣頭份鎮</v>
          </cell>
          <cell r="Z147" t="str">
            <v>苗栗縣頭份鎮上埔里21鄰松竹新村81號.</v>
          </cell>
          <cell r="AA147" t="str">
            <v>351苗栗縣頭份鎮上埔里21鄰松竹新村81號＞登:桃園縣中壢市五福里民族路242之1號2樓。</v>
          </cell>
          <cell r="AK147" t="str">
            <v>872-HY</v>
          </cell>
          <cell r="AL147" t="str">
            <v>1-0022-台新&gt;寄&gt;附發票&gt;兩個月25號匯款</v>
          </cell>
          <cell r="AM147" t="str">
            <v>1-0022</v>
          </cell>
        </row>
        <row r="148">
          <cell r="B148" t="str">
            <v>1-0143</v>
          </cell>
          <cell r="C148" t="str">
            <v>101-05-01</v>
          </cell>
          <cell r="D148" t="str">
            <v>1-0143-劉邦禹&gt;寄平信&gt;自結</v>
          </cell>
          <cell r="E148" t="str">
            <v>劉邦禹托吊車＞銓億</v>
          </cell>
          <cell r="F148" t="str">
            <v>劉邦禹托吊車(143)</v>
          </cell>
          <cell r="G148" t="str">
            <v>未稅</v>
          </cell>
          <cell r="H148" t="str">
            <v>寄平信＞自結＞</v>
          </cell>
          <cell r="I148" t="str">
            <v>未稅</v>
          </cell>
          <cell r="J148">
            <v>30</v>
          </cell>
          <cell r="L148" t="str">
            <v>0919-043618</v>
          </cell>
          <cell r="M148" t="str">
            <v>2-0183</v>
          </cell>
          <cell r="O148">
            <v>65</v>
          </cell>
          <cell r="P148">
            <v>9</v>
          </cell>
          <cell r="Q148">
            <v>17</v>
          </cell>
          <cell r="R148">
            <v>45</v>
          </cell>
          <cell r="S148">
            <v>76</v>
          </cell>
          <cell r="T148">
            <v>28020</v>
          </cell>
          <cell r="U148" t="str">
            <v>J121778048</v>
          </cell>
          <cell r="V148" t="str">
            <v>劉邦禹</v>
          </cell>
          <cell r="W148">
            <v>356</v>
          </cell>
          <cell r="X148" t="str">
            <v>苗栗縣後龍鎮灣寶里下灣寶庄128之8號。</v>
          </cell>
          <cell r="Y148" t="str">
            <v>苗栗縣後龍鎮</v>
          </cell>
          <cell r="Z148" t="str">
            <v>苗栗縣後龍鎮灣寶里下灣寶庄128之8號.</v>
          </cell>
          <cell r="AA148" t="str">
            <v>356苗栗縣後龍鎮灣寶里下灣寶庄128之8號。</v>
          </cell>
          <cell r="AK148" t="str">
            <v>882-HY</v>
          </cell>
          <cell r="AL148" t="str">
            <v>1-0022-台新&gt;寄&gt;附發票&gt;兩個月25號匯款</v>
          </cell>
          <cell r="AM148" t="str">
            <v>1-0022</v>
          </cell>
        </row>
        <row r="149">
          <cell r="B149" t="str">
            <v>1-0144</v>
          </cell>
          <cell r="C149" t="str">
            <v>101-05-01</v>
          </cell>
          <cell r="D149" t="str">
            <v>1-0144-陳舜堂&gt;寄&gt;自結</v>
          </cell>
          <cell r="E149" t="str">
            <v>陳舜堂＞舜治雞糞買賣雞場處理</v>
          </cell>
          <cell r="F149" t="str">
            <v>陳舜堂(144)</v>
          </cell>
          <cell r="G149" t="str">
            <v>未稅</v>
          </cell>
          <cell r="H149" t="str">
            <v>寄＞自結＞</v>
          </cell>
          <cell r="I149" t="str">
            <v>未稅</v>
          </cell>
          <cell r="J149">
            <v>30</v>
          </cell>
          <cell r="L149" t="str">
            <v>0963-178044＞0931-599907＞0931-085099</v>
          </cell>
          <cell r="M149">
            <v>0</v>
          </cell>
          <cell r="O149">
            <v>63</v>
          </cell>
          <cell r="P149">
            <v>11</v>
          </cell>
          <cell r="Q149">
            <v>5</v>
          </cell>
          <cell r="R149">
            <v>47</v>
          </cell>
          <cell r="S149">
            <v>74</v>
          </cell>
          <cell r="T149">
            <v>27338</v>
          </cell>
          <cell r="W149">
            <v>361</v>
          </cell>
          <cell r="X149" t="str">
            <v>苗栗縣造橋鄉談文村8鄰35-5號。</v>
          </cell>
          <cell r="Y149" t="str">
            <v>苗栗縣造橋鄉</v>
          </cell>
          <cell r="Z149" t="str">
            <v>苗栗縣造橋鄉談文村8鄰35-5號.</v>
          </cell>
          <cell r="AA149" t="str">
            <v>361苗栗縣造橋鄉談文村8鄰35-5號。</v>
          </cell>
          <cell r="AK149" t="str">
            <v>906-HY</v>
          </cell>
          <cell r="AL149" t="str">
            <v>1-0022-台新&gt;寄&gt;附發票&gt;兩個月25號匯款</v>
          </cell>
          <cell r="AM149" t="str">
            <v>1-0022</v>
          </cell>
        </row>
        <row r="150">
          <cell r="B150" t="str">
            <v>1-0145</v>
          </cell>
          <cell r="C150" t="str">
            <v>101-05-01</v>
          </cell>
          <cell r="D150" t="str">
            <v>1-0145-鄭光良&gt;寄&gt;自結</v>
          </cell>
          <cell r="E150" t="str">
            <v>鄭光良＞靠行:志松汽車貨運股份有限公司,負:方錦珍</v>
          </cell>
          <cell r="F150" t="str">
            <v>鄭光良(145)</v>
          </cell>
          <cell r="G150" t="str">
            <v>未稅</v>
          </cell>
          <cell r="H150" t="str">
            <v>寄＞自結＞</v>
          </cell>
          <cell r="I150" t="str">
            <v>未稅</v>
          </cell>
          <cell r="J150">
            <v>30</v>
          </cell>
          <cell r="K150" t="str">
            <v>4972＞6472＞未稅</v>
          </cell>
          <cell r="L150" t="str">
            <v>0932-949995鄭光良</v>
          </cell>
          <cell r="M150">
            <v>0</v>
          </cell>
          <cell r="R150" t="b">
            <v>0</v>
          </cell>
          <cell r="S150" t="str"/>
          <cell r="T150" t="b">
            <v>0</v>
          </cell>
          <cell r="W150">
            <v>350</v>
          </cell>
          <cell r="X150" t="str">
            <v>苗栗縣竹南鎮港墘里仁德路259巷103弄2號＞登:苗栗縣頭份鎮蟠桃里3鄰中央路268號3樓。</v>
          </cell>
          <cell r="Y150" t="str">
            <v>苗栗縣竹南鎮</v>
          </cell>
          <cell r="Z150" t="str">
            <v>苗栗縣竹南鎮港墘里仁德路259巷103弄2號.</v>
          </cell>
          <cell r="AA150" t="str">
            <v>350苗栗縣竹南鎮港墘里仁德路259巷103弄2號＞登:苗栗縣頭份鎮蟠桃里3鄰中央路268號3樓。</v>
          </cell>
          <cell r="AK150" t="str">
            <v>9229-N8</v>
          </cell>
          <cell r="AL150" t="str">
            <v>1-0022-台新&gt;寄&gt;附發票&gt;兩個月25號匯款</v>
          </cell>
          <cell r="AM150" t="str">
            <v>1-0022</v>
          </cell>
        </row>
        <row r="151">
          <cell r="B151" t="str">
            <v>1-0146</v>
          </cell>
          <cell r="C151" t="str">
            <v>101-05-01</v>
          </cell>
          <cell r="D151" t="str">
            <v>1-0146-佳億塑膠&gt;寄&gt;附發票&gt;附回郵</v>
          </cell>
          <cell r="E151" t="str">
            <v>佳億塑膠工業有限公司＞負:劉寬瀛</v>
          </cell>
          <cell r="F151" t="str">
            <v>佳億塑膠工業有限公司(146)</v>
          </cell>
          <cell r="G151" t="str">
            <v>稅外</v>
          </cell>
          <cell r="H151" t="str">
            <v>寄＞附發票＞附回郵＞</v>
          </cell>
          <cell r="I151" t="str">
            <v>3454＞6135＞稅外</v>
          </cell>
          <cell r="J151">
            <v>30</v>
          </cell>
          <cell r="L151" t="str">
            <v>037-463349＞0910-211288＞傳真037-468897</v>
          </cell>
          <cell r="M151">
            <v>0</v>
          </cell>
          <cell r="R151" t="b">
            <v>0</v>
          </cell>
          <cell r="S151" t="str"/>
          <cell r="T151" t="b">
            <v>0</v>
          </cell>
          <cell r="W151">
            <v>350</v>
          </cell>
          <cell r="X151" t="str">
            <v>苗栗縣竹南鎮龍江街372巷75號＞登:新北市樹林區保安里千歲街26-10號4樓。</v>
          </cell>
          <cell r="Y151" t="str">
            <v>苗栗縣竹南鎮</v>
          </cell>
          <cell r="Z151" t="str">
            <v>苗栗縣竹南鎮龍江街372巷75號.</v>
          </cell>
          <cell r="AA151" t="str">
            <v>350苗栗縣竹南鎮龍江街372巷75號＞登:新北市樹林區保安里千歲街26-10號4樓。</v>
          </cell>
          <cell r="AK151" t="str">
            <v>971-ZC</v>
          </cell>
          <cell r="AL151" t="str">
            <v>1-0022-台新&gt;寄&gt;附發票&gt;兩個月25號匯款</v>
          </cell>
          <cell r="AM151" t="str">
            <v>1-0022</v>
          </cell>
        </row>
        <row r="152">
          <cell r="B152" t="str">
            <v>1-0147</v>
          </cell>
          <cell r="C152" t="str">
            <v>101-05-01</v>
          </cell>
          <cell r="D152" t="str">
            <v>1-0147-銘麒&gt;寄&gt;附發票&gt;附回郵</v>
          </cell>
          <cell r="E152" t="str">
            <v>銘麒交通股份有限公司＞負:洪山林</v>
          </cell>
          <cell r="F152" t="str">
            <v>銘麒交通股份有限公司(147)</v>
          </cell>
          <cell r="G152" t="str">
            <v>含稅</v>
          </cell>
          <cell r="H152" t="str">
            <v>寄＞附發票＞附回郵＞</v>
          </cell>
          <cell r="I152" t="str">
            <v>5502＞8880＞含稅</v>
          </cell>
          <cell r="J152">
            <v>30</v>
          </cell>
          <cell r="L152" t="str">
            <v>04-25573749＞0937-731475＞傳真04-25581058</v>
          </cell>
          <cell r="M152">
            <v>0</v>
          </cell>
          <cell r="R152" t="b">
            <v>0</v>
          </cell>
          <cell r="S152" t="str"/>
          <cell r="T152" t="b">
            <v>0</v>
          </cell>
          <cell r="W152">
            <v>421</v>
          </cell>
          <cell r="X152" t="str">
            <v>台中縣后里鄉舊社路2之9號＞登:臺中市后里區義德里甲后路329巷1弄3號。</v>
          </cell>
          <cell r="Y152" t="str">
            <v>台中縣后里鄉</v>
          </cell>
          <cell r="Z152" t="str">
            <v>台中縣后里鄉舊社路2之9號.</v>
          </cell>
          <cell r="AA152" t="str">
            <v>421台中縣后里鄉舊社路2之9號＞登:臺中市后里區義德里甲后路329巷1弄3號。</v>
          </cell>
          <cell r="AK152" t="str">
            <v>986-ZC</v>
          </cell>
          <cell r="AL152" t="str">
            <v>1-0022-台新&gt;寄&gt;附發票&gt;兩個月25號匯款</v>
          </cell>
          <cell r="AM152" t="str">
            <v>1-0022</v>
          </cell>
        </row>
        <row r="153">
          <cell r="B153" t="str">
            <v>1-0148</v>
          </cell>
          <cell r="C153" t="str">
            <v>101-05-01</v>
          </cell>
          <cell r="D153" t="str">
            <v>1-0148-億安&gt;寄&gt;附回郵</v>
          </cell>
          <cell r="E153" t="str">
            <v>億安交通事業股份有限公司＞負:朱清錦＞邱衡臺</v>
          </cell>
          <cell r="F153" t="str">
            <v>億安交通事業股份有限公司(148)</v>
          </cell>
          <cell r="G153" t="str">
            <v>未稅</v>
          </cell>
          <cell r="H153" t="str">
            <v>寄＞附回郵＞</v>
          </cell>
          <cell r="I153" t="str">
            <v>未稅</v>
          </cell>
          <cell r="J153">
            <v>30</v>
          </cell>
          <cell r="K153" t="str">
            <v>8104＞7602＞未稅</v>
          </cell>
          <cell r="L153" t="str">
            <v>04-26567655＞0928-133111＞傳真04-26567645</v>
          </cell>
          <cell r="M153">
            <v>0</v>
          </cell>
          <cell r="R153" t="b">
            <v>0</v>
          </cell>
          <cell r="S153" t="str"/>
          <cell r="T153" t="b">
            <v>0</v>
          </cell>
          <cell r="W153">
            <v>436</v>
          </cell>
          <cell r="X153" t="str">
            <v>台中縣清水鎮三民路三段310號＞登:高雄市小港區孔宅里高鳳路276號1樓。</v>
          </cell>
          <cell r="Y153" t="str">
            <v>台中縣清水鎮</v>
          </cell>
          <cell r="Z153" t="str">
            <v>台中縣清水鎮三民路三段310號.</v>
          </cell>
          <cell r="AA153" t="str">
            <v>436台中縣清水鎮三民路三段310號＞登:高雄市小港區孔宅里高鳳路276號1樓。</v>
          </cell>
          <cell r="AK153" t="str">
            <v>987-ZC</v>
          </cell>
          <cell r="AL153" t="str">
            <v>1-0022-台新&gt;寄&gt;附發票&gt;兩個月25號匯款</v>
          </cell>
          <cell r="AM153" t="str">
            <v>1-0022</v>
          </cell>
        </row>
        <row r="154">
          <cell r="B154" t="str">
            <v>1-0149</v>
          </cell>
          <cell r="C154" t="str">
            <v>101-05-01</v>
          </cell>
          <cell r="D154" t="str">
            <v>1-0149-早餐&gt;寄&gt;自結</v>
          </cell>
          <cell r="E154" t="str">
            <v>柏騰造綠設計工作室＞栢民封</v>
          </cell>
          <cell r="F154" t="str">
            <v>柏騰造綠設計工作室(149)</v>
          </cell>
          <cell r="G154" t="str">
            <v>未稅</v>
          </cell>
          <cell r="H154" t="str">
            <v>寄＞自結＞</v>
          </cell>
          <cell r="I154" t="str">
            <v>未稅</v>
          </cell>
          <cell r="J154">
            <v>30</v>
          </cell>
          <cell r="L154" t="str">
            <v>037-620853＞0917-197811</v>
          </cell>
          <cell r="M154">
            <v>0</v>
          </cell>
          <cell r="R154" t="b">
            <v>0</v>
          </cell>
          <cell r="S154" t="str"/>
          <cell r="T154" t="b">
            <v>0</v>
          </cell>
          <cell r="W154">
            <v>361</v>
          </cell>
          <cell r="X154" t="str">
            <v>苗栗縣造橋鄉談文村8鄰51-5號。</v>
          </cell>
          <cell r="Y154" t="str">
            <v>苗栗縣造橋鄉</v>
          </cell>
          <cell r="Z154" t="str">
            <v>苗栗縣造橋鄉談文村8鄰51之5號.</v>
          </cell>
          <cell r="AA154" t="str">
            <v>361苗栗縣造橋鄉談文村8鄰51-5號。</v>
          </cell>
          <cell r="AK154" t="str">
            <v>988-ZC</v>
          </cell>
          <cell r="AL154" t="str">
            <v>1-0022-台新&gt;寄&gt;附發票&gt;兩個月25號匯款</v>
          </cell>
          <cell r="AM154" t="str">
            <v>1-0022</v>
          </cell>
        </row>
        <row r="155">
          <cell r="B155" t="str">
            <v>1-0150</v>
          </cell>
          <cell r="C155" t="str">
            <v>101-05-01</v>
          </cell>
          <cell r="D155" t="str">
            <v>1-0150-老劉&gt;寄&gt;附發票&gt;自結</v>
          </cell>
          <cell r="E155" t="str">
            <v>老劉企業社＞負:劉繼康</v>
          </cell>
          <cell r="F155" t="str">
            <v>老劉企業社(150)</v>
          </cell>
          <cell r="G155" t="str">
            <v>稅外</v>
          </cell>
          <cell r="H155" t="str">
            <v>寄＞附發票＞自結＞</v>
          </cell>
          <cell r="I155" t="str">
            <v>5054＞8757＞稅外</v>
          </cell>
          <cell r="J155">
            <v>30</v>
          </cell>
          <cell r="L155" t="str">
            <v>037-464325＞037-481570＞0935-158217</v>
          </cell>
          <cell r="M155">
            <v>0</v>
          </cell>
          <cell r="R155" t="b">
            <v>0</v>
          </cell>
          <cell r="S155" t="str"/>
          <cell r="T155" t="b">
            <v>0</v>
          </cell>
          <cell r="W155">
            <v>350</v>
          </cell>
          <cell r="X155" t="str">
            <v>苗栗縣竹南鎮營盤里15鄰營盤邊52-1號。</v>
          </cell>
          <cell r="Y155" t="str">
            <v>苗栗縣竹南鎮</v>
          </cell>
          <cell r="Z155" t="str">
            <v>苗栗縣竹南鎮營盤里15鄰營盤邊52之1號.</v>
          </cell>
          <cell r="AA155" t="str">
            <v>350苗栗縣竹南鎮營盤里15鄰營盤邊52-1號。</v>
          </cell>
          <cell r="AK155" t="str">
            <v>989-ZC</v>
          </cell>
          <cell r="AL155" t="str">
            <v>1-0022-台新&gt;寄&gt;附發票&gt;兩個月25號匯款</v>
          </cell>
          <cell r="AM155" t="str">
            <v>1-0022</v>
          </cell>
        </row>
        <row r="156">
          <cell r="B156" t="str">
            <v>1-0151</v>
          </cell>
          <cell r="C156" t="str">
            <v>101-05-01</v>
          </cell>
          <cell r="D156" t="str">
            <v>1-0151-宏樺&gt;寄&gt;附回郵</v>
          </cell>
          <cell r="E156" t="str">
            <v>宏樺輪胎行＞負:洪秀春</v>
          </cell>
          <cell r="F156" t="str">
            <v>宏樺輪胎行(151)</v>
          </cell>
          <cell r="G156" t="str">
            <v>未稅</v>
          </cell>
          <cell r="H156" t="str">
            <v>寄＞附回郵＞</v>
          </cell>
          <cell r="I156" t="str">
            <v>未稅</v>
          </cell>
          <cell r="J156">
            <v>30</v>
          </cell>
          <cell r="K156" t="str">
            <v>4568＞1282＞未稅</v>
          </cell>
          <cell r="L156" t="str">
            <v>037-226075＞037-231459＞0936-305103</v>
          </cell>
          <cell r="M156">
            <v>0</v>
          </cell>
          <cell r="O156">
            <v>56</v>
          </cell>
          <cell r="P156">
            <v>7</v>
          </cell>
          <cell r="Q156">
            <v>30</v>
          </cell>
          <cell r="R156">
            <v>54</v>
          </cell>
          <cell r="S156">
            <v>67</v>
          </cell>
          <cell r="T156">
            <v>24683</v>
          </cell>
          <cell r="U156" t="str">
            <v>K220219070</v>
          </cell>
          <cell r="V156" t="str">
            <v>洪秀春</v>
          </cell>
          <cell r="W156">
            <v>363</v>
          </cell>
          <cell r="X156" t="str">
            <v>苗栗縣公館鄉五谷村2鄰58-7號＞登:苗栗縣後龍鎮校椅里5鄰圪仔路53-9號1樓。</v>
          </cell>
          <cell r="Y156" t="str">
            <v>苗栗縣公館鄉</v>
          </cell>
          <cell r="Z156" t="str">
            <v>苗栗縣公館鄉五谷村2鄰58-7號.</v>
          </cell>
          <cell r="AA156" t="str">
            <v>363苗栗縣公館鄉五谷村2鄰58-7號＞登:苗栗縣後龍鎮校椅里5鄰圪仔路53-9號1樓。</v>
          </cell>
          <cell r="AK156" t="str">
            <v>990-ZC</v>
          </cell>
          <cell r="AL156" t="str">
            <v>1-0022-台新&gt;寄&gt;附發票&gt;兩個月25號匯款</v>
          </cell>
          <cell r="AM156" t="str">
            <v>1-0022</v>
          </cell>
        </row>
        <row r="157">
          <cell r="B157" t="str">
            <v>1-0152</v>
          </cell>
          <cell r="C157" t="str">
            <v>101-05-01</v>
          </cell>
          <cell r="D157" t="str">
            <v>1-0152-藝豐&gt;寄&gt;附發票</v>
          </cell>
          <cell r="E157" t="str">
            <v>藝豐通運有限公司＞負:蕭崇吉</v>
          </cell>
          <cell r="F157" t="str">
            <v>藝豐通運有限公司(152)</v>
          </cell>
          <cell r="G157" t="str">
            <v>含稅</v>
          </cell>
          <cell r="H157" t="str">
            <v>寄＞附發票＞匯款0063467＞4472616＞</v>
          </cell>
          <cell r="I157" t="str">
            <v>1694＞8059＞含稅＞中華全佑</v>
          </cell>
          <cell r="J157">
            <v>30</v>
          </cell>
          <cell r="L157" t="str">
            <v>037-460732＞0913-939979＞傳真037-464586</v>
          </cell>
          <cell r="M157">
            <v>0</v>
          </cell>
          <cell r="R157" t="b">
            <v>0</v>
          </cell>
          <cell r="S157" t="str"/>
          <cell r="T157" t="b">
            <v>0</v>
          </cell>
          <cell r="W157">
            <v>350</v>
          </cell>
          <cell r="X157" t="str">
            <v>苗栗縣竹南鎮龍鳳里15鄰龍江街33巷33號。</v>
          </cell>
          <cell r="Y157" t="str">
            <v>苗栗縣竹南鎮</v>
          </cell>
          <cell r="Z157" t="str">
            <v>苗栗縣竹南鎮龍鳳里15鄰龍江街33巷33號.</v>
          </cell>
          <cell r="AA157" t="str">
            <v>350苗栗縣竹南鎮龍鳳里15鄰龍江街33巷33號。</v>
          </cell>
          <cell r="AK157" t="str">
            <v>241-QP</v>
          </cell>
          <cell r="AL157" t="str">
            <v>1-0023-楊育茹&gt;拓隆&gt;廣丞&gt;寄&gt;附發票&gt;附回郵</v>
          </cell>
          <cell r="AM157" t="str">
            <v>1-0023</v>
          </cell>
        </row>
        <row r="158">
          <cell r="B158" t="str">
            <v>1-0153</v>
          </cell>
          <cell r="C158" t="str">
            <v>101-05-01</v>
          </cell>
          <cell r="D158" t="str">
            <v>1-0153-豐龍&gt;寄&gt;自結</v>
          </cell>
          <cell r="E158" t="str">
            <v>豐龍企業社＞負:李銘鈞</v>
          </cell>
          <cell r="F158" t="str">
            <v>豐龍企業社(153)</v>
          </cell>
          <cell r="G158" t="str">
            <v>未稅</v>
          </cell>
          <cell r="H158" t="str">
            <v>寄＞自結＞</v>
          </cell>
          <cell r="I158" t="str">
            <v>未稅</v>
          </cell>
          <cell r="J158">
            <v>30</v>
          </cell>
          <cell r="K158" t="str">
            <v>1422＞3235＞未稅</v>
          </cell>
          <cell r="L158" t="str">
            <v>037-550007＞0931-609053＞傳真037-550009</v>
          </cell>
          <cell r="M158">
            <v>0</v>
          </cell>
          <cell r="R158" t="b">
            <v>0</v>
          </cell>
          <cell r="S158" t="str"/>
          <cell r="T158" t="b">
            <v>0</v>
          </cell>
          <cell r="W158">
            <v>350</v>
          </cell>
          <cell r="X158" t="str">
            <v>苗栗縣竹南鎮竹興里12鄰博愛街863號1樓。</v>
          </cell>
          <cell r="Y158" t="str">
            <v>苗栗縣竹南鎮</v>
          </cell>
          <cell r="Z158" t="str">
            <v>苗栗縣竹南鎮竹興里12鄰博愛街863號1樓.</v>
          </cell>
          <cell r="AA158" t="str">
            <v>350苗栗縣竹南鎮竹興里12鄰博愛街863號1樓。</v>
          </cell>
          <cell r="AK158" t="str">
            <v>308-R9</v>
          </cell>
          <cell r="AL158" t="str">
            <v>1-0023-楊育茹&gt;拓隆&gt;廣丞&gt;寄&gt;附發票&gt;附回郵</v>
          </cell>
          <cell r="AM158" t="str">
            <v>1-0023</v>
          </cell>
        </row>
        <row r="159">
          <cell r="B159" t="str">
            <v>1-0154</v>
          </cell>
          <cell r="C159" t="str">
            <v>101-05-01</v>
          </cell>
          <cell r="D159" t="str">
            <v>1-0154-慶榮&gt;寄&gt;附回郵</v>
          </cell>
          <cell r="E159" t="str">
            <v>江慶榮＞傅菊蘭＞靠行:勝興通運有限公司,負:陳信男＞慶榮</v>
          </cell>
          <cell r="F159" t="str">
            <v>江慶榮(154)</v>
          </cell>
          <cell r="G159" t="str">
            <v>未稅</v>
          </cell>
          <cell r="H159" t="str">
            <v>寄＞附回郵＞</v>
          </cell>
          <cell r="I159" t="str">
            <v>未稅</v>
          </cell>
          <cell r="J159">
            <v>30</v>
          </cell>
          <cell r="K159" t="str">
            <v>1632＞7679＞未稅</v>
          </cell>
          <cell r="L159" t="str">
            <v>037-272592＞0910-272592＞0933-795898</v>
          </cell>
          <cell r="M159">
            <v>0</v>
          </cell>
          <cell r="R159" t="b">
            <v>0</v>
          </cell>
          <cell r="S159" t="str"/>
          <cell r="T159" t="b">
            <v>0</v>
          </cell>
          <cell r="W159">
            <v>360</v>
          </cell>
          <cell r="X159" t="str">
            <v>苗栗縣苗栗巿福安里2鄰83-11號＞登:苗栗縣頭份鎮自強里25鄰中華路1091之3號。</v>
          </cell>
          <cell r="Y159" t="str">
            <v>苗栗縣苗栗巿</v>
          </cell>
          <cell r="Z159" t="str">
            <v>苗栗縣苗栗巿福安里2鄰83之11號.</v>
          </cell>
          <cell r="AA159" t="str">
            <v>360苗栗縣苗栗巿福安里2鄰83-11號＞登:苗栗縣頭份鎮自強里25鄰中華路1091之3號。</v>
          </cell>
          <cell r="AK159" t="str">
            <v>548-TK</v>
          </cell>
          <cell r="AL159" t="str">
            <v>1-0023-楊育茹&gt;拓隆&gt;廣丞&gt;寄&gt;附發票&gt;附回郵</v>
          </cell>
          <cell r="AM159" t="str">
            <v>1-0023</v>
          </cell>
        </row>
        <row r="160">
          <cell r="B160" t="str">
            <v>1-0155</v>
          </cell>
          <cell r="C160" t="str">
            <v>101-05-01</v>
          </cell>
          <cell r="D160" t="str">
            <v>1-0155-品皇&gt;寄&gt;附回郵</v>
          </cell>
          <cell r="E160" t="str">
            <v>品儀商行＞負:曾森美＞品皇</v>
          </cell>
          <cell r="F160" t="str">
            <v>品儀商行(155)</v>
          </cell>
          <cell r="G160" t="str">
            <v>未稅</v>
          </cell>
          <cell r="H160" t="str">
            <v>寄＞附回郵＞</v>
          </cell>
          <cell r="I160" t="str">
            <v>未稅</v>
          </cell>
          <cell r="J160">
            <v>30</v>
          </cell>
          <cell r="K160" t="str">
            <v>2189＞1231＞未稅</v>
          </cell>
          <cell r="L160" t="str">
            <v>037-473499＞0955-821639＞傳真037-476368</v>
          </cell>
          <cell r="M160">
            <v>0</v>
          </cell>
          <cell r="R160" t="b">
            <v>0</v>
          </cell>
          <cell r="S160" t="str"/>
          <cell r="T160" t="b">
            <v>0</v>
          </cell>
          <cell r="W160">
            <v>350</v>
          </cell>
          <cell r="X160" t="str">
            <v>苗栗縣竹南鎮聖福里18鄰龍天路37號。</v>
          </cell>
          <cell r="Y160" t="str">
            <v>苗栗縣竹南鎮</v>
          </cell>
          <cell r="Z160" t="str">
            <v>苗栗縣竹南鎮聖福里18鄰龍天路37號.</v>
          </cell>
          <cell r="AA160" t="str">
            <v>350苗栗縣竹南鎮聖福里18鄰龍天路37號。</v>
          </cell>
          <cell r="AK160" t="str">
            <v>698-Q2</v>
          </cell>
          <cell r="AL160" t="str">
            <v>1-0023-楊育茹&gt;拓隆&gt;廣丞&gt;寄&gt;附發票&gt;附回郵</v>
          </cell>
          <cell r="AM160" t="str">
            <v>1-0023</v>
          </cell>
        </row>
        <row r="161">
          <cell r="B161" t="str">
            <v>1-0156</v>
          </cell>
          <cell r="C161" t="str">
            <v>101-05-01</v>
          </cell>
          <cell r="D161" t="str">
            <v>1-0156-德嘉&gt;寄&gt;自結</v>
          </cell>
          <cell r="E161" t="str">
            <v>德嘉交通運輸股份有限公司</v>
          </cell>
          <cell r="F161" t="str">
            <v>德嘉交通運輸股份有限公司(156)</v>
          </cell>
          <cell r="G161" t="str">
            <v>未稅</v>
          </cell>
          <cell r="H161" t="str">
            <v>寄＞自結＞</v>
          </cell>
          <cell r="I161" t="str">
            <v>未稅</v>
          </cell>
          <cell r="J161">
            <v>30</v>
          </cell>
          <cell r="L161" t="str">
            <v>0987-227784</v>
          </cell>
          <cell r="M161">
            <v>0</v>
          </cell>
          <cell r="O161">
            <v>57</v>
          </cell>
          <cell r="P161">
            <v>10</v>
          </cell>
          <cell r="Q161">
            <v>9</v>
          </cell>
          <cell r="R161">
            <v>53</v>
          </cell>
          <cell r="S161">
            <v>68</v>
          </cell>
          <cell r="T161">
            <v>25120</v>
          </cell>
          <cell r="U161" t="str">
            <v>E121283077</v>
          </cell>
          <cell r="W161">
            <v>351</v>
          </cell>
          <cell r="X161" t="str">
            <v>苗栗縣頭份鎮合興里3鄰復興街39號。</v>
          </cell>
          <cell r="Y161" t="str">
            <v>苗栗縣頭份鎮</v>
          </cell>
          <cell r="Z161" t="str">
            <v>苗栗縣頭份鎮合興里3鄰復興街39號.</v>
          </cell>
          <cell r="AA161" t="str">
            <v>351苗栗縣頭份鎮合興里3鄰復興街39號。</v>
          </cell>
          <cell r="AK161" t="str">
            <v>861-TY</v>
          </cell>
          <cell r="AL161" t="str">
            <v>1-0023-楊育茹&gt;拓隆&gt;廣丞&gt;寄&gt;附發票&gt;附回郵</v>
          </cell>
          <cell r="AM161" t="str">
            <v>1-0023</v>
          </cell>
        </row>
        <row r="162">
          <cell r="B162" t="str">
            <v>1-0157</v>
          </cell>
          <cell r="C162" t="str">
            <v>101-05-01</v>
          </cell>
          <cell r="D162" t="str">
            <v>1-0157-得詮&gt;寄&gt;附發票&gt;附回郵</v>
          </cell>
          <cell r="E162" t="str">
            <v>得全聯合開發股份有限公司＞負:蔡振輝</v>
          </cell>
          <cell r="F162" t="str">
            <v>得全聯合開發股份有限公司(157)</v>
          </cell>
          <cell r="G162" t="str">
            <v>稅外</v>
          </cell>
          <cell r="H162" t="str">
            <v>寄＞附發票＞附回郵＞</v>
          </cell>
          <cell r="I162" t="str">
            <v>2428＞6764＞稅外</v>
          </cell>
          <cell r="J162">
            <v>30</v>
          </cell>
          <cell r="L162" t="str">
            <v>03-5399826＞0927-386638＞0913-058226老板娘＞傳真03-5400175</v>
          </cell>
          <cell r="M162">
            <v>0</v>
          </cell>
          <cell r="R162" t="b">
            <v>0</v>
          </cell>
          <cell r="S162" t="str"/>
          <cell r="T162" t="b">
            <v>0</v>
          </cell>
          <cell r="W162">
            <v>300</v>
          </cell>
          <cell r="X162" t="str">
            <v>新竹巿浸水北街810-1號＞登:新竹市東區中山路369號1樓。</v>
          </cell>
          <cell r="Y162" t="str">
            <v>新竹巿浸水北</v>
          </cell>
          <cell r="Z162" t="str">
            <v>新竹巿浸水北街810-1號.</v>
          </cell>
          <cell r="AA162" t="str">
            <v>300新竹巿浸水北街810-1號＞登:新竹市東區中山路369號1樓。</v>
          </cell>
          <cell r="AK162" t="str">
            <v>907-VN</v>
          </cell>
          <cell r="AL162" t="str">
            <v>1-0023-楊育茹&gt;拓隆&gt;廣丞&gt;寄&gt;附發票&gt;附回郵</v>
          </cell>
          <cell r="AM162" t="str">
            <v>1-0023</v>
          </cell>
        </row>
        <row r="163">
          <cell r="B163" t="str">
            <v>1-0158</v>
          </cell>
          <cell r="C163" t="str">
            <v>101-05-01</v>
          </cell>
          <cell r="D163" t="str">
            <v>1-0158-元誠&gt;寄&gt;附發票&gt;附回郵</v>
          </cell>
          <cell r="E163" t="str">
            <v>元誠通運有限公司＞負:丁良德＞歐文洲</v>
          </cell>
          <cell r="F163" t="str">
            <v>元誠通運有限公司(158)</v>
          </cell>
          <cell r="G163" t="str">
            <v>稅外</v>
          </cell>
          <cell r="H163" t="str">
            <v>寄＞附發票＞附回郵＞</v>
          </cell>
          <cell r="I163" t="str">
            <v>9729＞5992＞稅外</v>
          </cell>
          <cell r="J163">
            <v>30</v>
          </cell>
          <cell r="L163" t="str">
            <v>03-5628399＞0925-813862＞0910-319477＞傳真03-5628055</v>
          </cell>
          <cell r="M163">
            <v>0</v>
          </cell>
          <cell r="R163" t="b">
            <v>0</v>
          </cell>
          <cell r="S163" t="str"/>
          <cell r="T163" t="b">
            <v>0</v>
          </cell>
          <cell r="W163">
            <v>300</v>
          </cell>
          <cell r="X163" t="str">
            <v>新竹市東區公園里15鄰光復路2段509號。</v>
          </cell>
          <cell r="Y163" t="str">
            <v>新竹市東區公</v>
          </cell>
          <cell r="Z163" t="str">
            <v>新竹市東區公園里15鄰光復路2段509號.</v>
          </cell>
          <cell r="AA163" t="str">
            <v>300新竹市東區公園里15鄰光復路2段509號。</v>
          </cell>
          <cell r="AK163" t="str">
            <v>982-Q2</v>
          </cell>
          <cell r="AL163" t="str">
            <v>1-0023-楊育茹&gt;拓隆&gt;廣丞&gt;寄&gt;附發票&gt;附回郵</v>
          </cell>
          <cell r="AM163" t="str">
            <v>1-0023</v>
          </cell>
        </row>
        <row r="164">
          <cell r="B164" t="str">
            <v>1-0159</v>
          </cell>
          <cell r="C164" t="str">
            <v>101-05-01</v>
          </cell>
          <cell r="D164" t="str">
            <v>1-0159-吉星建材&gt;寄&gt;附發票&gt;匯款</v>
          </cell>
          <cell r="E164" t="str">
            <v>吉星建材行＞負:許漢才</v>
          </cell>
          <cell r="F164" t="str">
            <v>吉星建材行(159)</v>
          </cell>
          <cell r="G164" t="str">
            <v>含稅</v>
          </cell>
          <cell r="H164" t="str">
            <v>寄＞附發票＞匯款＞</v>
          </cell>
          <cell r="I164" t="str">
            <v>1335＞5166＞含稅</v>
          </cell>
          <cell r="J164">
            <v>30</v>
          </cell>
          <cell r="L164" t="str">
            <v>037-580020＞0935-057405＞傳真:037-582443</v>
          </cell>
          <cell r="M164">
            <v>0</v>
          </cell>
          <cell r="R164" t="b">
            <v>0</v>
          </cell>
          <cell r="S164" t="str"/>
          <cell r="T164" t="b">
            <v>0</v>
          </cell>
          <cell r="W164">
            <v>350</v>
          </cell>
          <cell r="X164" t="str">
            <v>苗栗縣竹南鎮和興路189巷6號旁＞登:苗栗縣竹南鎮中港里6鄰八德路33號。</v>
          </cell>
          <cell r="Y164" t="str">
            <v>苗栗縣竹南鎮</v>
          </cell>
          <cell r="Z164" t="str">
            <v>苗栗縣竹南鎮和興路189巷6號旁.</v>
          </cell>
          <cell r="AA164" t="str">
            <v>350苗栗縣竹南鎮和興路189巷6號旁＞登:苗栗縣竹南鎮中港里6鄰八德路33號。</v>
          </cell>
          <cell r="AK164" t="str">
            <v>999-VK</v>
          </cell>
          <cell r="AL164" t="str">
            <v>1-0023-楊育茹&gt;拓隆&gt;廣丞&gt;寄&gt;附發票&gt;附回郵</v>
          </cell>
          <cell r="AM164" t="str">
            <v>1-0023</v>
          </cell>
        </row>
        <row r="165">
          <cell r="B165" t="str">
            <v>1-0160</v>
          </cell>
          <cell r="C165" t="str">
            <v>101-05-01</v>
          </cell>
          <cell r="D165" t="str">
            <v>1-0160-寶通氣體&gt;寄&gt;附發票&gt;附回郵</v>
          </cell>
          <cell r="E165" t="str">
            <v>寶通氣體企業股份有限公司＞負:溫陳素月＞溫皓欽</v>
          </cell>
          <cell r="F165" t="str">
            <v>寶通氣體企業股份有限公司(160)</v>
          </cell>
          <cell r="G165" t="str">
            <v>稅外</v>
          </cell>
          <cell r="H165" t="str">
            <v>寄＞附發票＞附回郵＞</v>
          </cell>
          <cell r="I165" t="str">
            <v>2326＞9056＞稅外</v>
          </cell>
          <cell r="J165">
            <v>30</v>
          </cell>
          <cell r="L165" t="str">
            <v>037-629767＞0932-667435＞傳真037-611209</v>
          </cell>
          <cell r="M165">
            <v>0</v>
          </cell>
          <cell r="R165" t="b">
            <v>0</v>
          </cell>
          <cell r="S165" t="str"/>
          <cell r="T165" t="b">
            <v>0</v>
          </cell>
          <cell r="W165">
            <v>350</v>
          </cell>
          <cell r="X165" t="str">
            <v>苗栗縣竹南鎮公館里大埔頂5號＞登:苗栗縣竹南鎮新南里18鄰永貞路2段105巷18弄3號1樓。</v>
          </cell>
          <cell r="Y165" t="str">
            <v>苗栗縣竹南鎮</v>
          </cell>
          <cell r="Z165" t="str">
            <v>苗栗縣竹南鎮公館里大埔頂5號.</v>
          </cell>
          <cell r="AA165" t="str">
            <v>350苗栗縣竹南鎮公館里大埔頂5號＞登:苗栗縣竹南鎮新南里18鄰永貞路2段105巷18弄3號1樓。</v>
          </cell>
          <cell r="AK165" t="str">
            <v>LAG-727</v>
          </cell>
          <cell r="AL165" t="str">
            <v>1-0023-楊育茹&gt;拓隆&gt;廣丞&gt;寄&gt;附發票&gt;附回郵</v>
          </cell>
          <cell r="AM165" t="str">
            <v>1-0023</v>
          </cell>
        </row>
        <row r="166">
          <cell r="B166" t="str">
            <v>1-0161</v>
          </cell>
          <cell r="C166" t="str">
            <v>101-05-01</v>
          </cell>
          <cell r="D166" t="str">
            <v>1-0161-亮春&gt;寄&gt;附發票&gt;附回郵</v>
          </cell>
          <cell r="E166" t="str">
            <v>亮安企業社＞負:許桓蒼</v>
          </cell>
          <cell r="F166" t="str">
            <v>亮安企業社(161)</v>
          </cell>
          <cell r="G166" t="str">
            <v>稅外</v>
          </cell>
          <cell r="H166" t="str">
            <v>寄＞附發票＞附回郵＞</v>
          </cell>
          <cell r="I166" t="str">
            <v>2143＞9647＞稅外</v>
          </cell>
          <cell r="J166">
            <v>30</v>
          </cell>
          <cell r="L166" t="str">
            <v>037-467939＞0910-519660</v>
          </cell>
          <cell r="M166">
            <v>0</v>
          </cell>
          <cell r="R166" t="b">
            <v>0</v>
          </cell>
          <cell r="S166" t="str"/>
          <cell r="T166" t="b">
            <v>0</v>
          </cell>
          <cell r="W166">
            <v>350</v>
          </cell>
          <cell r="X166" t="str">
            <v>苗栗縣竹南鎮正南里福德路165之1號。</v>
          </cell>
          <cell r="Y166" t="str">
            <v>苗栗縣竹南鎮</v>
          </cell>
          <cell r="Z166" t="str">
            <v>苗栗縣竹南鎮正南里福德路165之1號.</v>
          </cell>
          <cell r="AA166" t="str">
            <v>350苗栗縣竹南鎮正南里福德路165之1號。</v>
          </cell>
          <cell r="AK166" t="str">
            <v>LAG-583</v>
          </cell>
          <cell r="AL166" t="str">
            <v>1-0023-楊育茹&gt;拓隆&gt;廣丞&gt;寄&gt;附發票&gt;附回郵</v>
          </cell>
          <cell r="AM166" t="str">
            <v>1-0023</v>
          </cell>
        </row>
        <row r="167">
          <cell r="B167" t="str">
            <v>1-0162</v>
          </cell>
          <cell r="C167" t="str">
            <v>101-05-01</v>
          </cell>
          <cell r="D167" t="str">
            <v>1-0162-鎰利&gt;鎰金&gt;鎰加&gt;寄&gt;附發票&gt;2個月匯款</v>
          </cell>
          <cell r="E167" t="str">
            <v>鎰加貨運股份有限公司＞鎰嘉通運股份有限公司＞鎰利貨運股份有限公司＞負:陳天送</v>
          </cell>
          <cell r="F167" t="str">
            <v>鎰加貨運股份有限公司(162)</v>
          </cell>
          <cell r="G167" t="str">
            <v>含稅</v>
          </cell>
          <cell r="H167" t="str">
            <v>寄＞附發票＞匯款＞0027084.12769.22375.03115&gt;匯款資料: 銀行代號:8080440,玉山銀行竹南分行 帳:0440940003115 戶名:鎰利貨運股份有限公司</v>
          </cell>
          <cell r="I167" t="str">
            <v>8977＞3719鎰嘉＞8499＞8577鎰利＞5006&gt;5800&gt;竹南汽車&gt;含稅&gt;中華全威＞開:鎰嘉&gt;鎰利&gt;竹南汽車&gt;總金額分3家</v>
          </cell>
          <cell r="J167">
            <v>30</v>
          </cell>
          <cell r="L167" t="str">
            <v>037-462621＞0988-636087陳天送＞傳真037-471892</v>
          </cell>
          <cell r="M167" t="str">
            <v>2-0053</v>
          </cell>
          <cell r="R167" t="b">
            <v>0</v>
          </cell>
          <cell r="S167" t="str"/>
          <cell r="T167" t="b">
            <v>0</v>
          </cell>
          <cell r="W167">
            <v>350</v>
          </cell>
          <cell r="X167" t="str">
            <v>苗栗縣竹南鎮天文里20鄰龍江街298巷29號。</v>
          </cell>
          <cell r="Y167" t="str">
            <v>苗栗縣竹南鎮</v>
          </cell>
          <cell r="Z167" t="str">
            <v>苗栗縣竹南鎮天文里20鄰龍江街298巷29號.</v>
          </cell>
          <cell r="AA167" t="str">
            <v>350苗栗縣竹南鎮天文里20鄰龍江街298巷29號。</v>
          </cell>
          <cell r="AK167" t="str">
            <v>068-Y7</v>
          </cell>
          <cell r="AL167" t="str">
            <v>1-0026-太原氣體&gt;寄&gt;附發票&gt;附回郵</v>
          </cell>
          <cell r="AM167" t="str">
            <v>1-0026</v>
          </cell>
        </row>
        <row r="168">
          <cell r="B168" t="str">
            <v>1-0163</v>
          </cell>
          <cell r="C168" t="str">
            <v>101-05-01</v>
          </cell>
          <cell r="D168" t="str">
            <v>1-0163-晨煜&gt;寄&gt;附發票&gt;附回郵</v>
          </cell>
          <cell r="E168" t="str">
            <v>晨煜起重工程行＞負:杜丁福</v>
          </cell>
          <cell r="F168" t="str">
            <v>晨煜起重工程行(163)</v>
          </cell>
          <cell r="G168" t="str">
            <v>稅外</v>
          </cell>
          <cell r="H168" t="str">
            <v>寄＞附發票＞附回郵＞</v>
          </cell>
          <cell r="I168" t="str">
            <v>8880＞9823＞稅外</v>
          </cell>
          <cell r="J168">
            <v>30</v>
          </cell>
          <cell r="L168" t="str">
            <v>037-478342＞0937-223668</v>
          </cell>
          <cell r="M168">
            <v>0</v>
          </cell>
          <cell r="R168" t="b">
            <v>0</v>
          </cell>
          <cell r="S168" t="str"/>
          <cell r="T168" t="b">
            <v>0</v>
          </cell>
          <cell r="W168">
            <v>350</v>
          </cell>
          <cell r="X168" t="str">
            <v>苗栗縣竹南鎮營盤里5鄰建國路84巷49號。</v>
          </cell>
          <cell r="Y168" t="str">
            <v>苗栗縣竹南鎮</v>
          </cell>
          <cell r="Z168" t="str">
            <v>苗栗縣竹南鎮營盤里5鄰建國路84巷49號.</v>
          </cell>
          <cell r="AA168" t="str">
            <v>350苗栗縣竹南鎮營盤里5鄰建國路84巷49號。</v>
          </cell>
          <cell r="AK168" t="str">
            <v>2478-DU</v>
          </cell>
          <cell r="AL168" t="str">
            <v>1-0026-太原氣體&gt;寄&gt;附發票&gt;附回郵</v>
          </cell>
          <cell r="AM168" t="str">
            <v>1-0026</v>
          </cell>
        </row>
        <row r="169">
          <cell r="B169" t="str">
            <v>1-0164</v>
          </cell>
          <cell r="C169" t="str">
            <v>101-05-01</v>
          </cell>
          <cell r="D169" t="str">
            <v>1-0164-元慶&gt;寄&gt;附發票&gt;附回郵</v>
          </cell>
          <cell r="E169" t="str">
            <v>元慶誠旅運有限公司＞負:陳翊菱＞元慶通運有限公司＞負:蔡孟翰</v>
          </cell>
          <cell r="F169" t="str">
            <v>元慶誠旅運有限公司(164)</v>
          </cell>
          <cell r="G169" t="str">
            <v>稅外</v>
          </cell>
          <cell r="H169" t="str">
            <v>寄＞附發票＞附回郵＞</v>
          </cell>
          <cell r="I169" t="str">
            <v>1635＞8623元慶誠＞8109＞6758元慶＞稅外</v>
          </cell>
          <cell r="J169">
            <v>30</v>
          </cell>
          <cell r="L169" t="str">
            <v>03-5236966＞0930-930932經理(公司沒接可打這支)＞傳真03-5236233</v>
          </cell>
          <cell r="M169">
            <v>0</v>
          </cell>
          <cell r="R169" t="b">
            <v>0</v>
          </cell>
          <cell r="S169" t="str"/>
          <cell r="T169" t="b">
            <v>0</v>
          </cell>
          <cell r="W169">
            <v>300</v>
          </cell>
          <cell r="X169" t="str">
            <v>新竹巿經國路二段324號2樓＞登:新竹市北區金華里田美三街31號9樓。</v>
          </cell>
          <cell r="Y169" t="str">
            <v>新竹巿經國路</v>
          </cell>
          <cell r="Z169" t="str">
            <v>新竹巿經國路二段324號2樓.</v>
          </cell>
          <cell r="AA169" t="str">
            <v>300新竹巿經國路二段324號2樓＞登:新竹市北區金華里田美三街31號9樓。</v>
          </cell>
          <cell r="AK169" t="str">
            <v>812-TZ</v>
          </cell>
          <cell r="AL169" t="str">
            <v>1-0026-太原氣體&gt;寄&gt;附發票&gt;附回郵</v>
          </cell>
          <cell r="AM169" t="str">
            <v>1-0026</v>
          </cell>
        </row>
        <row r="170">
          <cell r="B170" t="str">
            <v>1-0165</v>
          </cell>
          <cell r="C170" t="str">
            <v>101-05-01</v>
          </cell>
          <cell r="D170" t="str">
            <v>1-0165-統賀&gt;現結</v>
          </cell>
          <cell r="E170" t="str">
            <v>統賀通運有限公司＞負:黃昌曰＞林世和</v>
          </cell>
          <cell r="F170" t="str">
            <v>統賀通運有限公司(165)</v>
          </cell>
          <cell r="G170" t="str">
            <v>未稅</v>
          </cell>
          <cell r="H170" t="str">
            <v>現結</v>
          </cell>
          <cell r="I170" t="str">
            <v>未稅</v>
          </cell>
          <cell r="J170">
            <v>30</v>
          </cell>
          <cell r="K170" t="str">
            <v>2845＞8788＞未稅</v>
          </cell>
          <cell r="L170" t="str">
            <v>0919-469093</v>
          </cell>
          <cell r="M170">
            <v>0</v>
          </cell>
          <cell r="R170" t="b">
            <v>0</v>
          </cell>
          <cell r="S170" t="str"/>
          <cell r="T170" t="b">
            <v>0</v>
          </cell>
          <cell r="W170">
            <v>110</v>
          </cell>
          <cell r="X170" t="str">
            <v>登:臺北市信義區新仁里忠孝東路4段553巷46弄２號。</v>
          </cell>
          <cell r="Y170" t="str"/>
          <cell r="AA170" t="str">
            <v>110登:臺北市信義區新仁里忠孝東路4段553巷46弄２號。</v>
          </cell>
          <cell r="AK170" t="str">
            <v>897-TZ</v>
          </cell>
          <cell r="AL170" t="str">
            <v>1-0026-太原氣體&gt;寄&gt;附發票&gt;附回郵</v>
          </cell>
          <cell r="AM170" t="str">
            <v>1-0026</v>
          </cell>
        </row>
        <row r="171">
          <cell r="B171" t="str">
            <v>1-0166</v>
          </cell>
          <cell r="C171" t="str">
            <v>101-05-01</v>
          </cell>
          <cell r="D171" t="str">
            <v>1-0166-歐特耐&gt;寄&gt;附發票&gt;附回郵</v>
          </cell>
          <cell r="E171" t="str">
            <v>歐特耐國際股份有限公司</v>
          </cell>
          <cell r="F171" t="str">
            <v>歐特耐國際股份有限公司(166)</v>
          </cell>
          <cell r="G171" t="str">
            <v>稅外</v>
          </cell>
          <cell r="H171" t="str">
            <v>寄＞附發票＞附回郵＞</v>
          </cell>
          <cell r="I171" t="str">
            <v>1266＞2709＞稅外＞25號月結</v>
          </cell>
          <cell r="J171">
            <v>25</v>
          </cell>
          <cell r="L171" t="str">
            <v>07-8061088＞0933-388356陳政偉＞0932-599232葉孟翰＞傳真03-4900652</v>
          </cell>
          <cell r="M171">
            <v>0</v>
          </cell>
          <cell r="R171" t="b">
            <v>0</v>
          </cell>
          <cell r="S171" t="str"/>
          <cell r="T171" t="b">
            <v>0</v>
          </cell>
          <cell r="W171">
            <v>105</v>
          </cell>
          <cell r="X171" t="str">
            <v>台北巿松山區復興北路331號7樓。</v>
          </cell>
          <cell r="Y171" t="str">
            <v>台北巿松山區</v>
          </cell>
          <cell r="Z171" t="str">
            <v>台北巿松山區復興北路331號7樓.</v>
          </cell>
          <cell r="AA171" t="str">
            <v>105台北巿松山區復興北路331號7樓。</v>
          </cell>
          <cell r="AK171" t="str">
            <v>951-TU</v>
          </cell>
          <cell r="AL171" t="str">
            <v>1-0026-太原氣體&gt;寄&gt;附發票&gt;附回郵</v>
          </cell>
          <cell r="AM171" t="str">
            <v>1-0026</v>
          </cell>
        </row>
        <row r="172">
          <cell r="B172" t="str">
            <v>1-0167</v>
          </cell>
          <cell r="C172" t="str">
            <v>101-05-01</v>
          </cell>
          <cell r="D172" t="str">
            <v>1-0167-高展&gt;寄&gt;自結</v>
          </cell>
          <cell r="E172" t="str">
            <v>鄭勝方＞靠行:高展汽車貨運股份有限公司,負:李春林</v>
          </cell>
          <cell r="F172" t="str">
            <v>鄭勝方(167)</v>
          </cell>
          <cell r="G172" t="str">
            <v>未稅</v>
          </cell>
          <cell r="H172" t="str">
            <v>寄＞自結＞</v>
          </cell>
          <cell r="I172" t="str">
            <v>未稅</v>
          </cell>
          <cell r="J172">
            <v>30</v>
          </cell>
          <cell r="K172" t="str">
            <v>4970＞9635＞未稅</v>
          </cell>
          <cell r="L172" t="str">
            <v>0913-047555</v>
          </cell>
          <cell r="M172">
            <v>0</v>
          </cell>
          <cell r="R172" t="b">
            <v>0</v>
          </cell>
          <cell r="S172" t="str"/>
          <cell r="T172" t="b">
            <v>0</v>
          </cell>
          <cell r="W172">
            <v>350</v>
          </cell>
          <cell r="X172" t="str">
            <v>苗栗縣竹南鎮環巿路一段138巷2弄6號10樓＞登:苗栗縣通霄鎮五南里4鄰29-2號。</v>
          </cell>
          <cell r="Y172" t="str">
            <v>苗栗縣竹南鎮</v>
          </cell>
          <cell r="Z172" t="str">
            <v>苗栗縣竹南鎮環巿路一段138巷2弄6號10樓.</v>
          </cell>
          <cell r="AA172" t="str">
            <v>350苗栗縣竹南鎮環巿路一段138巷2弄6號10樓＞登:苗栗縣通霄鎮五南里4鄰29-2號。</v>
          </cell>
          <cell r="AK172" t="str">
            <v>9F-593</v>
          </cell>
          <cell r="AL172" t="str">
            <v>1-0026-太原氣體&gt;寄&gt;附發票&gt;附回郵</v>
          </cell>
          <cell r="AM172" t="str">
            <v>1-0026</v>
          </cell>
        </row>
        <row r="173">
          <cell r="B173" t="str">
            <v>1-0168</v>
          </cell>
          <cell r="C173" t="str">
            <v>101-05-01</v>
          </cell>
          <cell r="D173" t="str">
            <v>1-0168-永明&gt;寄&gt;親收</v>
          </cell>
          <cell r="E173" t="str">
            <v>永明造紙股份有限公司＞負:林國昌＞林維震</v>
          </cell>
          <cell r="F173" t="str">
            <v>永明造紙股份有限公司(168)</v>
          </cell>
          <cell r="G173" t="str">
            <v>未稅</v>
          </cell>
          <cell r="H173" t="str">
            <v>寄＞親收＞</v>
          </cell>
          <cell r="I173" t="str">
            <v>未稅</v>
          </cell>
          <cell r="J173">
            <v>30</v>
          </cell>
          <cell r="K173" t="str">
            <v>4972＞0343＞未稅</v>
          </cell>
          <cell r="L173" t="str">
            <v>037-462060＞0938-627055＞傳真037-468339</v>
          </cell>
          <cell r="M173">
            <v>0</v>
          </cell>
          <cell r="R173" t="b">
            <v>0</v>
          </cell>
          <cell r="S173" t="str"/>
          <cell r="T173" t="b">
            <v>0</v>
          </cell>
          <cell r="W173">
            <v>350</v>
          </cell>
          <cell r="X173" t="str">
            <v>苗栗縣竹南鎮中美里8鄰澎湖厝6之1號。</v>
          </cell>
          <cell r="Y173" t="str">
            <v>苗栗縣竹南鎮</v>
          </cell>
          <cell r="Z173" t="str">
            <v>苗栗縣竹南鎮中美里8鄰澎湖厝6之1號.</v>
          </cell>
          <cell r="AA173" t="str">
            <v>350苗栗縣竹南鎮中美里8鄰澎湖厝6之1號。</v>
          </cell>
          <cell r="AK173" t="str">
            <v>RT-663</v>
          </cell>
          <cell r="AL173" t="str">
            <v>1-0026-太原氣體&gt;寄&gt;附發票&gt;附回郵</v>
          </cell>
          <cell r="AM173" t="str">
            <v>1-0026</v>
          </cell>
        </row>
        <row r="174">
          <cell r="B174" t="str">
            <v>1-0169</v>
          </cell>
          <cell r="C174" t="str">
            <v>101-05-01</v>
          </cell>
          <cell r="D174" t="str">
            <v>1-0169-勇鑫&gt;寄&gt;附發票&gt;附回郵</v>
          </cell>
          <cell r="E174" t="str">
            <v>勇鑫輪胎行＞負:廖進財</v>
          </cell>
          <cell r="F174" t="str">
            <v>勇鑫輪胎行(169)</v>
          </cell>
          <cell r="G174" t="str">
            <v>含稅</v>
          </cell>
          <cell r="H174" t="str">
            <v>寄＞附發票&gt;附回郵＞</v>
          </cell>
          <cell r="I174" t="str">
            <v>9787&gt;1761&gt;含稅</v>
          </cell>
          <cell r="J174">
            <v>30</v>
          </cell>
          <cell r="L174" t="str">
            <v>037-744593＞0921-365006</v>
          </cell>
          <cell r="M174">
            <v>0</v>
          </cell>
          <cell r="R174" t="b">
            <v>0</v>
          </cell>
          <cell r="S174" t="str"/>
          <cell r="T174" t="b">
            <v>0</v>
          </cell>
          <cell r="W174">
            <v>437</v>
          </cell>
          <cell r="X174" t="str">
            <v>台中縣大甲區頂店里成功路45巷20號＞登:臺中市大甲區孟春里中山路752巷45號。</v>
          </cell>
          <cell r="Y174" t="str">
            <v>台中縣大甲區</v>
          </cell>
          <cell r="Z174" t="str">
            <v>台中縣大甲區頂店里成功路45巷20號.</v>
          </cell>
          <cell r="AA174" t="str">
            <v>437台中縣大甲區頂店里成功路45巷20號＞登:臺中市大甲區孟春里中山路752巷45號。</v>
          </cell>
          <cell r="AK174" t="str">
            <v>801-GM</v>
          </cell>
          <cell r="AL174" t="str">
            <v>1-0029-聖統環保</v>
          </cell>
          <cell r="AM174" t="str">
            <v>1-0029</v>
          </cell>
        </row>
        <row r="175">
          <cell r="B175" t="str">
            <v>1-0170</v>
          </cell>
          <cell r="C175" t="str">
            <v>101-05-01</v>
          </cell>
          <cell r="D175" t="str">
            <v>1-0170-台一&gt;寄&gt;附回郵</v>
          </cell>
          <cell r="E175" t="str">
            <v>台一輪胎行＞負:吳慶堂</v>
          </cell>
          <cell r="F175" t="str">
            <v>台一輪胎行(170)</v>
          </cell>
          <cell r="G175" t="str">
            <v>未稅</v>
          </cell>
          <cell r="H175" t="str">
            <v>寄＞附回郵＞</v>
          </cell>
          <cell r="I175" t="str">
            <v>未稅</v>
          </cell>
          <cell r="J175">
            <v>30</v>
          </cell>
          <cell r="K175" t="str">
            <v>1718＞9479＞未稅</v>
          </cell>
          <cell r="L175" t="str">
            <v>04-27013019＞0932-547205</v>
          </cell>
          <cell r="M175">
            <v>0</v>
          </cell>
          <cell r="R175" t="b">
            <v>0</v>
          </cell>
          <cell r="S175" t="str"/>
          <cell r="T175" t="b">
            <v>0</v>
          </cell>
          <cell r="W175">
            <v>428</v>
          </cell>
          <cell r="X175" t="str">
            <v>台中縣大雅郵政22-174號信箱＞登:臺中市西屯區廣福里廣福路348號1樓。</v>
          </cell>
          <cell r="Y175" t="str">
            <v>台中縣大雅郵</v>
          </cell>
          <cell r="Z175" t="str">
            <v>台中縣大雅郵政22-174號信箱.</v>
          </cell>
          <cell r="AA175" t="str">
            <v>428台中縣大雅郵政22-174號信箱＞登:臺中市西屯區廣福里廣福路348號1樓。</v>
          </cell>
          <cell r="AK175" t="str">
            <v>948-TZ</v>
          </cell>
          <cell r="AL175" t="str">
            <v>1-0031-上和&gt;寄&gt;附發票&gt;附回郵</v>
          </cell>
          <cell r="AM175" t="str">
            <v>1-0031</v>
          </cell>
        </row>
        <row r="176">
          <cell r="B176" t="str">
            <v>1-0171</v>
          </cell>
          <cell r="C176" t="str">
            <v>101-05-01</v>
          </cell>
          <cell r="D176" t="str">
            <v>1-0171-李龍煌&gt;捷發&gt;翔順&gt;寄&gt;附發票&gt;附回郵</v>
          </cell>
          <cell r="E176" t="str">
            <v>翔順遊覽通運有限公司＞負:溫宏昌＞峰行＞捷發＞李龍煌</v>
          </cell>
          <cell r="F176" t="str">
            <v>翔順遊覽通運有限公司(171)</v>
          </cell>
          <cell r="G176" t="str">
            <v>稅外</v>
          </cell>
          <cell r="H176" t="str">
            <v>寄＞附發票＞附回郵＞</v>
          </cell>
          <cell r="I176" t="str">
            <v>1671＞9507＞稅外</v>
          </cell>
          <cell r="J176">
            <v>30</v>
          </cell>
          <cell r="L176" t="str">
            <v>037-755267＞0936-818332</v>
          </cell>
          <cell r="M176">
            <v>0</v>
          </cell>
          <cell r="R176" t="b">
            <v>0</v>
          </cell>
          <cell r="S176" t="str"/>
          <cell r="T176" t="b">
            <v>0</v>
          </cell>
          <cell r="W176">
            <v>357</v>
          </cell>
          <cell r="X176" t="str">
            <v>苗栗縣通霄鎮五北里82號＞登:苗栗縣苑裡鎮西勢里10鄰介壽路120號2樓。</v>
          </cell>
          <cell r="Y176" t="str">
            <v>苗栗縣通霄鎮</v>
          </cell>
          <cell r="Z176" t="str">
            <v>苗栗縣通霄鎮五北里82號.</v>
          </cell>
          <cell r="AA176" t="str">
            <v>357苗栗縣通霄鎮五北里82號＞登:苗栗縣苑裡鎮西勢里10鄰介壽路120號2樓。</v>
          </cell>
          <cell r="AK176" t="str">
            <v>852-TU</v>
          </cell>
          <cell r="AL176" t="str">
            <v>1-0031-上和&gt;寄&gt;附發票&gt;附回郵</v>
          </cell>
          <cell r="AM176" t="str">
            <v>1-0031</v>
          </cell>
        </row>
        <row r="177">
          <cell r="B177" t="str">
            <v>1-0172</v>
          </cell>
          <cell r="C177" t="str">
            <v>105-02-02</v>
          </cell>
          <cell r="D177" t="str">
            <v>1-0172-昕一&gt;寄&gt;附發票&gt;附回郵</v>
          </cell>
          <cell r="E177" t="str">
            <v>昕一工業股份有限公司＞負:顏文清</v>
          </cell>
          <cell r="F177" t="str">
            <v>昕一工業股份有限公司(172)</v>
          </cell>
          <cell r="G177" t="str">
            <v>稅外</v>
          </cell>
          <cell r="H177" t="str">
            <v>寄＞附發票＞附回郵＞</v>
          </cell>
          <cell r="I177" t="str">
            <v>3546＞6307＞稅外＞中華全佑＞1張簽單1張發票＞25號月結</v>
          </cell>
          <cell r="J177">
            <v>25</v>
          </cell>
          <cell r="L177" t="str">
            <v>03-5323122＞0933-115083＞傳真03-5430236＞tai@syc.com.tw</v>
          </cell>
          <cell r="M177">
            <v>0</v>
          </cell>
          <cell r="R177" t="b">
            <v>0</v>
          </cell>
          <cell r="S177" t="str"/>
          <cell r="T177" t="b">
            <v>0</v>
          </cell>
          <cell r="W177">
            <v>300</v>
          </cell>
          <cell r="X177" t="str">
            <v>新竹巿中華路一段31之1號＞登:新北市泰山區明志路3段523號。</v>
          </cell>
          <cell r="Y177" t="str">
            <v>新竹巿中華路</v>
          </cell>
          <cell r="Z177" t="str">
            <v>新竹巿中華路一段31之1號.</v>
          </cell>
          <cell r="AA177" t="str">
            <v>300新竹巿中華路一段31之1號＞登:新北市泰山區明志路3段523號。</v>
          </cell>
          <cell r="AK177" t="str">
            <v>9511-KP</v>
          </cell>
          <cell r="AL177" t="str">
            <v>1-0031-上和&gt;寄&gt;附發票&gt;附回郵</v>
          </cell>
          <cell r="AM177" t="str">
            <v>1-0031</v>
          </cell>
        </row>
        <row r="178">
          <cell r="B178" t="str">
            <v>1-0173</v>
          </cell>
          <cell r="C178" t="str">
            <v>101-05-01</v>
          </cell>
          <cell r="D178" t="str">
            <v>1-0173-金珠&gt;寄&gt;附發票&gt;附回郵</v>
          </cell>
          <cell r="E178" t="str">
            <v>金珠通運有限公司＞負:彭麗榕</v>
          </cell>
          <cell r="F178" t="str">
            <v>金珠通運有限公司(173)</v>
          </cell>
          <cell r="G178" t="str">
            <v>稅外</v>
          </cell>
          <cell r="H178" t="str">
            <v>寄＞附發票＞附回郵＞</v>
          </cell>
          <cell r="I178" t="str">
            <v>7064＞2864＞稅外</v>
          </cell>
          <cell r="J178">
            <v>30</v>
          </cell>
          <cell r="L178" t="str">
            <v>03-7581177</v>
          </cell>
          <cell r="M178">
            <v>0</v>
          </cell>
          <cell r="R178" t="b">
            <v>0</v>
          </cell>
          <cell r="S178" t="str"/>
          <cell r="T178" t="b">
            <v>0</v>
          </cell>
          <cell r="W178">
            <v>350</v>
          </cell>
          <cell r="X178" t="str">
            <v>苗栗縣竹南鎮公義里11鄰仁義街12號</v>
          </cell>
          <cell r="Y178" t="str">
            <v>苗栗縣竹南鎮</v>
          </cell>
          <cell r="Z178" t="str">
            <v>苗栗縣竹南鎮公義里11鄰仁義街12號.</v>
          </cell>
          <cell r="AA178" t="str">
            <v>350苗栗縣竹南鎮公義里11鄰仁義街12號</v>
          </cell>
          <cell r="AK178" t="str">
            <v>W5-4935</v>
          </cell>
          <cell r="AL178" t="str">
            <v>1-0031-上和&gt;寄&gt;附發票&gt;附回郵</v>
          </cell>
          <cell r="AM178" t="str">
            <v>1-0031</v>
          </cell>
        </row>
        <row r="179">
          <cell r="B179" t="str">
            <v>1-0174</v>
          </cell>
          <cell r="C179" t="str">
            <v>101-05-01</v>
          </cell>
          <cell r="D179" t="str">
            <v>1-0174-炬笙&gt;寄&gt;附發票&gt;附回郵</v>
          </cell>
          <cell r="E179" t="str">
            <v>炬笙有限公司＞負:江達貴</v>
          </cell>
          <cell r="F179" t="str">
            <v>炬笙有限公司(174)</v>
          </cell>
          <cell r="G179" t="str">
            <v>含稅</v>
          </cell>
          <cell r="H179" t="str">
            <v>寄＞附發票＞附回郵＞</v>
          </cell>
          <cell r="I179" t="str">
            <v>1606＞2017＞含稅</v>
          </cell>
          <cell r="J179">
            <v>30</v>
          </cell>
          <cell r="L179" t="str">
            <v>037-664411＞0933-177115＞傳真037-664965</v>
          </cell>
          <cell r="M179">
            <v>0</v>
          </cell>
          <cell r="R179" t="b">
            <v>0</v>
          </cell>
          <cell r="S179" t="str"/>
          <cell r="T179" t="b">
            <v>0</v>
          </cell>
          <cell r="W179">
            <v>351</v>
          </cell>
          <cell r="X179" t="str">
            <v>苗栗縣頭份鎮翠亨路139號＞登:苗栗縣竹南鎮山佳里24鄰萬富新村9號。</v>
          </cell>
          <cell r="Y179" t="str">
            <v>苗栗縣頭份鎮</v>
          </cell>
          <cell r="Z179" t="str">
            <v>苗栗縣頭份鎮翠亨路139號.</v>
          </cell>
          <cell r="AA179" t="str">
            <v>351苗栗縣頭份鎮翠亨路139號＞登:苗栗縣竹南鎮山佳里24鄰萬富新村9號。</v>
          </cell>
          <cell r="AK179" t="str">
            <v>886-TU</v>
          </cell>
          <cell r="AL179" t="str">
            <v>1-0031-上和&gt;寄&gt;附發票&gt;附回郵</v>
          </cell>
          <cell r="AM179" t="str">
            <v>1-0031</v>
          </cell>
        </row>
        <row r="180">
          <cell r="B180" t="str">
            <v>1-0175</v>
          </cell>
          <cell r="C180" t="str">
            <v>101-05-01</v>
          </cell>
          <cell r="D180" t="str">
            <v>1-0175-莊人傑&gt;寄平信&gt;附發票＞自結</v>
          </cell>
          <cell r="E180" t="str">
            <v>莊人傑＞靠行:松生交通股份有限公司</v>
          </cell>
          <cell r="F180" t="str">
            <v>莊人傑(175)</v>
          </cell>
          <cell r="G180" t="str">
            <v>稅外</v>
          </cell>
          <cell r="H180" t="str">
            <v>寄平信＞附發票＞自結＞</v>
          </cell>
          <cell r="I180" t="str">
            <v>8304&gt;4911&gt;稅外</v>
          </cell>
          <cell r="J180">
            <v>30</v>
          </cell>
          <cell r="L180" t="str">
            <v>0915-999164</v>
          </cell>
          <cell r="M180">
            <v>0</v>
          </cell>
          <cell r="R180" t="b">
            <v>0</v>
          </cell>
          <cell r="S180" t="str"/>
          <cell r="T180" t="b">
            <v>0</v>
          </cell>
          <cell r="V180" t="str">
            <v>陳漢琮</v>
          </cell>
          <cell r="W180">
            <v>350</v>
          </cell>
          <cell r="X180" t="str">
            <v>苗栗縣竹南鎮龍山路三段1巷67弄6號2樓之2＞登:苗栗縣頭份鎮蟠桃里3鄰中央路268號。</v>
          </cell>
          <cell r="Y180" t="str">
            <v>苗栗縣竹南鎮</v>
          </cell>
          <cell r="Z180" t="str">
            <v>苗栗縣竹南鎮龍山路三段1巷67弄6號2樓之2.</v>
          </cell>
          <cell r="AA180" t="str">
            <v>350苗栗縣竹南鎮龍山路三段1巷67弄6號2樓之2＞登:苗栗縣頭份鎮蟠桃里3鄰中央路268號。</v>
          </cell>
          <cell r="AK180" t="str">
            <v>788-TK</v>
          </cell>
          <cell r="AL180" t="str">
            <v>1-0031-上和&gt;寄&gt;附發票&gt;附回郵</v>
          </cell>
          <cell r="AM180" t="str">
            <v>1-0031</v>
          </cell>
        </row>
        <row r="181">
          <cell r="B181" t="str">
            <v>1-0176</v>
          </cell>
          <cell r="C181" t="str">
            <v>101-05-01</v>
          </cell>
          <cell r="D181" t="str">
            <v>1-0176-眾信&gt;寄&gt;附發票&gt;附回郵</v>
          </cell>
          <cell r="E181" t="str">
            <v>眾信企業社＞眾信汽車修理廠＞傅士訓</v>
          </cell>
          <cell r="F181" t="str">
            <v>眾信汽車修理廠(176)</v>
          </cell>
          <cell r="G181" t="str">
            <v>稅外</v>
          </cell>
          <cell r="H181" t="str">
            <v>寄＞附發票＞附回郵＞</v>
          </cell>
          <cell r="I181" t="str">
            <v>1921＞4805＞稅外</v>
          </cell>
          <cell r="J181">
            <v>30</v>
          </cell>
          <cell r="L181" t="str">
            <v>037-475717＞0910-026144</v>
          </cell>
          <cell r="M181" t="str">
            <v>2-0006</v>
          </cell>
          <cell r="R181" t="b">
            <v>0</v>
          </cell>
          <cell r="S181" t="str"/>
          <cell r="T181" t="b">
            <v>0</v>
          </cell>
          <cell r="W181">
            <v>350</v>
          </cell>
          <cell r="X181" t="str">
            <v>苗栗縣竹南鎮港墘里塭內12鄰35-18號。登:苗栗縣頭份市流東里17鄰中正新村15號。</v>
          </cell>
          <cell r="Y181" t="str">
            <v>苗栗縣竹南鎮</v>
          </cell>
          <cell r="Z181" t="str">
            <v>苗栗縣竹南鎮港墘里塭內12鄰35-18號.</v>
          </cell>
          <cell r="AA181" t="str">
            <v>350苗栗縣竹南鎮港墘里塭內12鄰35-18號。登:苗栗縣頭份市流東里17鄰中正新村15號。</v>
          </cell>
          <cell r="AK181" t="str">
            <v>723-TK</v>
          </cell>
          <cell r="AL181" t="str">
            <v>1-0031-上和&gt;寄&gt;附發票&gt;附回郵</v>
          </cell>
          <cell r="AM181" t="str">
            <v>1-0031</v>
          </cell>
        </row>
        <row r="182">
          <cell r="B182" t="str">
            <v>1-0177</v>
          </cell>
          <cell r="C182" t="str">
            <v>101-05-01</v>
          </cell>
          <cell r="D182" t="str">
            <v>1-0177-桃宏牛屎&gt;寄&gt;自結</v>
          </cell>
          <cell r="E182" t="str">
            <v>莊明煌＞靠行:桃宏交通股份有限公司,負:張永欽</v>
          </cell>
          <cell r="F182" t="str">
            <v>莊明煌(177)</v>
          </cell>
          <cell r="G182" t="str">
            <v>未稅</v>
          </cell>
          <cell r="H182" t="str">
            <v>寄＞自結＞</v>
          </cell>
          <cell r="I182" t="str">
            <v>未稅</v>
          </cell>
          <cell r="J182">
            <v>30</v>
          </cell>
          <cell r="K182" t="str">
            <v>8692＞5403＞未稅</v>
          </cell>
          <cell r="L182" t="str">
            <v>02-26092035＞03-3581967＞0930-647221＞0989-527965</v>
          </cell>
          <cell r="M182">
            <v>0</v>
          </cell>
          <cell r="R182" t="b">
            <v>0</v>
          </cell>
          <cell r="S182" t="str"/>
          <cell r="T182" t="b">
            <v>0</v>
          </cell>
          <cell r="W182">
            <v>330</v>
          </cell>
          <cell r="X182" t="str">
            <v>桃園巿大業路一段397-2號3樓＞登:新北市林口區南勢里20鄰南勢街250巷68號2樓。</v>
          </cell>
          <cell r="Y182" t="str">
            <v>桃園巿大業路</v>
          </cell>
          <cell r="Z182" t="str">
            <v>桃園巿大業路一段397-2號3樓.</v>
          </cell>
          <cell r="AA182" t="str">
            <v>330桃園巿大業路一段397-2號3樓＞登:新北市林口區南勢里20鄰南勢街250巷68號2樓。</v>
          </cell>
          <cell r="AK182" t="str">
            <v>1007-N2</v>
          </cell>
          <cell r="AL182" t="str">
            <v>1-0031-上和&gt;寄&gt;附發票&gt;附回郵</v>
          </cell>
          <cell r="AM182" t="str">
            <v>1-0031</v>
          </cell>
        </row>
        <row r="183">
          <cell r="B183" t="str">
            <v>1-0178</v>
          </cell>
          <cell r="C183" t="str">
            <v>101-05-01</v>
          </cell>
          <cell r="D183" t="str">
            <v>1-0178-久晟&gt;寄&gt;附回郵</v>
          </cell>
          <cell r="E183" t="str">
            <v>久晟交通股份有限公司</v>
          </cell>
          <cell r="F183" t="str">
            <v>久晟交通股份有限公司(178)</v>
          </cell>
          <cell r="G183" t="str">
            <v>未稅</v>
          </cell>
          <cell r="H183" t="str">
            <v>寄＞附回郵＞</v>
          </cell>
          <cell r="I183" t="str">
            <v>未稅</v>
          </cell>
          <cell r="J183">
            <v>30</v>
          </cell>
          <cell r="L183" t="str">
            <v>037-262469</v>
          </cell>
          <cell r="M183">
            <v>0</v>
          </cell>
          <cell r="R183" t="b">
            <v>0</v>
          </cell>
          <cell r="S183" t="str"/>
          <cell r="T183" t="b">
            <v>0</v>
          </cell>
          <cell r="W183">
            <v>360</v>
          </cell>
          <cell r="X183" t="str">
            <v>苗栗巿嘉盛里復興路五段137號。</v>
          </cell>
          <cell r="Y183" t="str">
            <v>苗栗巿嘉盛里</v>
          </cell>
          <cell r="Z183" t="str">
            <v>苗栗巿嘉盛里復興路五段137號.</v>
          </cell>
          <cell r="AA183" t="str">
            <v>360苗栗巿嘉盛里復興路五段137號。</v>
          </cell>
          <cell r="AK183" t="str">
            <v>RV-632</v>
          </cell>
          <cell r="AL183" t="str">
            <v>1-0031-上和&gt;寄&gt;附發票&gt;附回郵</v>
          </cell>
          <cell r="AM183" t="str">
            <v>1-0031</v>
          </cell>
        </row>
        <row r="184">
          <cell r="B184" t="str">
            <v>1-0179</v>
          </cell>
          <cell r="C184" t="str">
            <v>109-02-13/郭雯瑀</v>
          </cell>
          <cell r="D184" t="str">
            <v>1-0179-竤星企業社&gt;寄&gt;附發票&gt;自結&gt;勿電</v>
          </cell>
          <cell r="E184" t="str">
            <v>竤星企業社&gt;建能企業社&gt;永矩阿光</v>
          </cell>
          <cell r="F184" t="str">
            <v>竤星企業社(179)</v>
          </cell>
          <cell r="G184" t="str">
            <v>含稅</v>
          </cell>
          <cell r="H184" t="str">
            <v>寄&gt;附發票&gt;自結</v>
          </cell>
          <cell r="I184" t="str">
            <v>8228&gt;3836含稅</v>
          </cell>
          <cell r="J184">
            <v>30</v>
          </cell>
          <cell r="L184" t="str">
            <v>0976-591025阿光&gt;老闆親收</v>
          </cell>
          <cell r="M184">
            <v>0</v>
          </cell>
          <cell r="R184" t="b">
            <v>0</v>
          </cell>
          <cell r="S184" t="str"/>
          <cell r="T184" t="b">
            <v>0</v>
          </cell>
          <cell r="W184">
            <v>310</v>
          </cell>
          <cell r="X184" t="str">
            <v>新竹縣竹東鎮中正里中正路168號1樓</v>
          </cell>
          <cell r="Y184" t="str">
            <v>新竹縣竹東鎮</v>
          </cell>
          <cell r="Z184" t="str">
            <v>新竹縣竹東鎮中正里中正路168號1樓</v>
          </cell>
          <cell r="AA184" t="str">
            <v>310新竹縣竹東鎮中正里中正路168號1樓</v>
          </cell>
          <cell r="AK184" t="str">
            <v>Q9-8483</v>
          </cell>
          <cell r="AL184" t="str">
            <v>1-0031-上和&gt;寄&gt;附發票&gt;附回郵</v>
          </cell>
          <cell r="AM184" t="str">
            <v>1-0031</v>
          </cell>
        </row>
        <row r="185">
          <cell r="B185" t="str">
            <v>1-0180</v>
          </cell>
          <cell r="C185" t="str">
            <v>101-05-01</v>
          </cell>
          <cell r="D185" t="str">
            <v>1-0180-益勝鷹架&gt;寄&gt;附發票&gt;匯款</v>
          </cell>
          <cell r="E185" t="str">
            <v>益勝鷹架有限公司＞負:陳軍銘</v>
          </cell>
          <cell r="F185" t="str">
            <v>益勝鷹架有限公司(180)</v>
          </cell>
          <cell r="G185" t="str">
            <v>含稅</v>
          </cell>
          <cell r="H185" t="str">
            <v>寄＞附發票＞匯款:益勝鷹架.83408＞</v>
          </cell>
          <cell r="I185" t="str">
            <v>4277＞6004＞含稅</v>
          </cell>
          <cell r="J185">
            <v>30</v>
          </cell>
          <cell r="L185" t="str">
            <v>037-431983&gt;0963-344333老闆:陳軍銘&gt;0963-344222會計</v>
          </cell>
          <cell r="M185" t="str">
            <v>2-0080</v>
          </cell>
          <cell r="R185" t="b">
            <v>0</v>
          </cell>
          <cell r="S185" t="str"/>
          <cell r="T185" t="b">
            <v>0</v>
          </cell>
          <cell r="W185">
            <v>356</v>
          </cell>
          <cell r="X185" t="str">
            <v>苗栗縣後龍鎮海埔里6鄰海埔51-3號。</v>
          </cell>
          <cell r="Y185" t="str">
            <v>苗栗縣後龍鎮</v>
          </cell>
          <cell r="Z185" t="str">
            <v>苗栗縣後龍鎮海埔里6鄰海埔51-3號。</v>
          </cell>
          <cell r="AA185" t="str">
            <v>356苗栗縣後龍鎮海埔里6鄰海埔51-3號。</v>
          </cell>
          <cell r="AK185" t="str">
            <v>6H-8151</v>
          </cell>
          <cell r="AL185" t="str">
            <v>1-0031-上和&gt;寄&gt;附發票&gt;附回郵</v>
          </cell>
          <cell r="AM185" t="str">
            <v>1-0031</v>
          </cell>
        </row>
        <row r="186">
          <cell r="B186" t="str">
            <v>1-0181</v>
          </cell>
          <cell r="C186" t="str">
            <v>104-02-22</v>
          </cell>
          <cell r="D186" t="str">
            <v>1-0181-昌欣&gt;寄&gt;親收</v>
          </cell>
          <cell r="E186" t="str">
            <v>昌欣汽車材料行＞負:李聰銘</v>
          </cell>
          <cell r="F186" t="str">
            <v>昌欣汽車材料行(181)</v>
          </cell>
          <cell r="G186" t="str">
            <v>未稅</v>
          </cell>
          <cell r="H186" t="str">
            <v>寄＞親收＞</v>
          </cell>
          <cell r="I186" t="str">
            <v>未稅</v>
          </cell>
          <cell r="J186">
            <v>30</v>
          </cell>
          <cell r="K186" t="str">
            <v>1919＞8951＞未稅</v>
          </cell>
          <cell r="L186" t="str">
            <v>037-433845＞0910-494059＞傳真037-433847</v>
          </cell>
          <cell r="M186">
            <v>0</v>
          </cell>
          <cell r="R186" t="b">
            <v>0</v>
          </cell>
          <cell r="S186" t="str"/>
          <cell r="T186" t="b">
            <v>0</v>
          </cell>
          <cell r="W186">
            <v>356</v>
          </cell>
          <cell r="X186" t="str">
            <v>苗栗縣後龍鎮大山里4鄰上大山腳90-5號。</v>
          </cell>
          <cell r="Y186" t="str">
            <v>苗栗縣後龍鎮</v>
          </cell>
          <cell r="Z186" t="str">
            <v>苗栗縣後龍鎮大山里4鄰上大山腳90之5號.</v>
          </cell>
          <cell r="AA186" t="str">
            <v>356苗栗縣後龍鎮大山里4鄰上大山腳90-5號。</v>
          </cell>
          <cell r="AK186" t="str">
            <v>432-Y7</v>
          </cell>
          <cell r="AL186" t="str">
            <v>1-0031-上和&gt;寄&gt;附發票&gt;附回郵</v>
          </cell>
          <cell r="AM186" t="str">
            <v>1-0031</v>
          </cell>
        </row>
        <row r="187">
          <cell r="B187" t="str">
            <v>1-0182</v>
          </cell>
          <cell r="C187" t="str">
            <v>101-05-01</v>
          </cell>
          <cell r="D187" t="str">
            <v>1-0182-福海&gt;寄&gt;附回郵</v>
          </cell>
          <cell r="E187" t="str">
            <v>福海輪胎企業有限公司＞負:劉明忠</v>
          </cell>
          <cell r="F187" t="str">
            <v>福海輪胎企業有限公司(182)</v>
          </cell>
          <cell r="G187" t="str">
            <v>未稅</v>
          </cell>
          <cell r="H187" t="str">
            <v>寄＞附回郵＞</v>
          </cell>
          <cell r="I187" t="str">
            <v>未稅</v>
          </cell>
          <cell r="J187">
            <v>30</v>
          </cell>
          <cell r="K187" t="str">
            <v>2807＞5537＞未稅＞救車未稅</v>
          </cell>
          <cell r="L187" t="str">
            <v>02-24974500＞0937-053500＞傳真02-24973272</v>
          </cell>
          <cell r="M187">
            <v>0</v>
          </cell>
          <cell r="R187" t="b">
            <v>0</v>
          </cell>
          <cell r="S187" t="str"/>
          <cell r="T187" t="b">
            <v>0</v>
          </cell>
          <cell r="W187">
            <v>224</v>
          </cell>
          <cell r="X187" t="str">
            <v>新北市瑞芳區瑞濱里建基路1段4號。</v>
          </cell>
          <cell r="Y187" t="str">
            <v>新北市瑞芳區</v>
          </cell>
          <cell r="Z187" t="str">
            <v>新北市瑞芳區瑞濱里建基路1段4號.</v>
          </cell>
          <cell r="AA187" t="str">
            <v>224新北市瑞芳區瑞濱里建基路1段4號。</v>
          </cell>
          <cell r="AK187" t="str">
            <v>7193-DR</v>
          </cell>
          <cell r="AL187" t="str">
            <v>1-0031-上和&gt;寄&gt;附發票&gt;附回郵</v>
          </cell>
          <cell r="AM187" t="str">
            <v>1-0031</v>
          </cell>
        </row>
        <row r="188">
          <cell r="B188" t="str">
            <v>1-0183</v>
          </cell>
          <cell r="C188" t="str">
            <v>100-04-01</v>
          </cell>
          <cell r="D188" t="str">
            <v>1-0183-郁捷&gt;寄&gt;附發票&gt;附回郵</v>
          </cell>
          <cell r="E188" t="str">
            <v>郁捷通運有限公司＞負:王淑瑩＞郁鵬</v>
          </cell>
          <cell r="F188" t="str">
            <v>郁捷通運有限公司(183)</v>
          </cell>
          <cell r="G188" t="str">
            <v>稅外</v>
          </cell>
          <cell r="H188" t="str">
            <v>寄＞附發票＞附回郵＞</v>
          </cell>
          <cell r="I188" t="str">
            <v>4618＞3811＞稅外</v>
          </cell>
          <cell r="J188">
            <v>30</v>
          </cell>
          <cell r="L188" t="str">
            <v>03-5875556＞03-4719552＞0937-170129</v>
          </cell>
          <cell r="M188">
            <v>0</v>
          </cell>
          <cell r="R188" t="b">
            <v>0</v>
          </cell>
          <cell r="S188" t="str"/>
          <cell r="T188" t="b">
            <v>0</v>
          </cell>
          <cell r="W188">
            <v>320</v>
          </cell>
          <cell r="X188" t="str">
            <v>桃園縣中壢市龍昌里龍昌路324巷33號1樓。</v>
          </cell>
          <cell r="Y188" t="str">
            <v>桃園縣中壢市</v>
          </cell>
          <cell r="Z188" t="str">
            <v>桃園縣中壢市龍昌里龍昌路324巷33號1樓.</v>
          </cell>
          <cell r="AA188" t="str">
            <v>320桃園縣中壢市龍昌里龍昌路324巷33號1樓。</v>
          </cell>
          <cell r="AK188" t="str">
            <v>MH-2969</v>
          </cell>
          <cell r="AL188" t="str">
            <v>1-0031-上和&gt;寄&gt;附發票&gt;附回郵</v>
          </cell>
          <cell r="AM188" t="str">
            <v>1-0031</v>
          </cell>
        </row>
        <row r="189">
          <cell r="B189" t="str">
            <v>1-0184</v>
          </cell>
          <cell r="C189" t="str">
            <v>101-05-01</v>
          </cell>
          <cell r="D189" t="str">
            <v>1-0184-新寶&gt;寄&gt;附發票&gt;附回郵</v>
          </cell>
          <cell r="E189" t="str">
            <v>新寶交通有限公司＞負:廖淑華</v>
          </cell>
          <cell r="F189" t="str">
            <v>新寶交通有限公司(184)</v>
          </cell>
          <cell r="G189" t="str">
            <v>稅外</v>
          </cell>
          <cell r="H189" t="str">
            <v>寄＞附發票＞附回郵＞匯款:0476405＞</v>
          </cell>
          <cell r="I189" t="str">
            <v>4702＞7395＞稅外</v>
          </cell>
          <cell r="J189">
            <v>30</v>
          </cell>
          <cell r="L189" t="str">
            <v>03-5361861＞0932-112907＞0933-266129＞傳真03-5260289</v>
          </cell>
          <cell r="M189">
            <v>0</v>
          </cell>
          <cell r="R189" t="b">
            <v>0</v>
          </cell>
          <cell r="S189" t="str"/>
          <cell r="T189" t="b">
            <v>0</v>
          </cell>
          <cell r="W189">
            <v>300</v>
          </cell>
          <cell r="X189" t="str">
            <v>新竹市北區延平路三段437號。</v>
          </cell>
          <cell r="Y189" t="str">
            <v>新竹市北區延</v>
          </cell>
          <cell r="Z189" t="str">
            <v>新竹市北區延平路三段437號.</v>
          </cell>
          <cell r="AA189" t="str">
            <v>300新竹市北區延平路三段437號。</v>
          </cell>
          <cell r="AK189" t="str">
            <v>877-GY</v>
          </cell>
          <cell r="AL189" t="str">
            <v>1-0035-小香港爸爸&gt;寄&gt;自結</v>
          </cell>
          <cell r="AM189" t="str">
            <v>1-0035</v>
          </cell>
        </row>
        <row r="190">
          <cell r="B190" t="str">
            <v>1-0185</v>
          </cell>
          <cell r="C190" t="str">
            <v>101-05-01</v>
          </cell>
          <cell r="D190" t="str">
            <v>1-0185-羅濟統&gt;寄&gt;自結</v>
          </cell>
          <cell r="E190" t="str">
            <v>羅濟統＞靠行:永慶貨運股份有限公司,負:謝宗典</v>
          </cell>
          <cell r="F190" t="str">
            <v>羅濟統(185)</v>
          </cell>
          <cell r="G190" t="str">
            <v>未稅</v>
          </cell>
          <cell r="H190" t="str">
            <v>寄＞自結＞</v>
          </cell>
          <cell r="I190" t="str">
            <v>未稅</v>
          </cell>
          <cell r="J190">
            <v>30</v>
          </cell>
          <cell r="K190" t="str">
            <v>1641＞6617＞未稅</v>
          </cell>
          <cell r="L190" t="str">
            <v>0927-203184＞0937-203184</v>
          </cell>
          <cell r="M190">
            <v>0</v>
          </cell>
          <cell r="O190">
            <v>50</v>
          </cell>
          <cell r="P190">
            <v>6</v>
          </cell>
          <cell r="Q190">
            <v>10</v>
          </cell>
          <cell r="R190">
            <v>60</v>
          </cell>
          <cell r="S190">
            <v>61</v>
          </cell>
          <cell r="T190">
            <v>22442</v>
          </cell>
          <cell r="U190" t="str">
            <v>J120669246</v>
          </cell>
          <cell r="V190" t="str">
            <v>羅濟統</v>
          </cell>
          <cell r="W190">
            <v>300</v>
          </cell>
          <cell r="X190" t="str">
            <v>新竹巿中華路四段705之45號6樓＞登:新竹縣竹北市白地里中正西路1598巷12弄115號1樓。</v>
          </cell>
          <cell r="Y190" t="str">
            <v>新竹巿中華路</v>
          </cell>
          <cell r="Z190" t="str">
            <v>新竹巿中華路四段705之45號6樓.</v>
          </cell>
          <cell r="AA190" t="str">
            <v>300新竹巿中華路四段705之45號6樓＞登:新竹縣竹北市白地里中正西路1598巷12弄115號1樓。</v>
          </cell>
          <cell r="AK190" t="str">
            <v>993-ZS</v>
          </cell>
          <cell r="AL190" t="str">
            <v>1-0036-吳兆雄&gt;電&gt;自結</v>
          </cell>
          <cell r="AM190" t="str">
            <v>1-0036</v>
          </cell>
        </row>
        <row r="191">
          <cell r="B191" t="str">
            <v>1-0186</v>
          </cell>
          <cell r="C191" t="str">
            <v>101-05-01</v>
          </cell>
          <cell r="D191" t="str">
            <v>1-0186-宏揚&gt;電&gt;自結</v>
          </cell>
          <cell r="E191" t="str">
            <v>宏揚輪胎行＞冠宏師父</v>
          </cell>
          <cell r="F191" t="str">
            <v>宏揚輪胎行(186)</v>
          </cell>
          <cell r="G191" t="str">
            <v>未稅</v>
          </cell>
          <cell r="H191" t="str">
            <v>電＞自結＞</v>
          </cell>
          <cell r="I191" t="str">
            <v>未稅</v>
          </cell>
          <cell r="J191">
            <v>30</v>
          </cell>
          <cell r="L191" t="str">
            <v>0925-102687＞0934-285046</v>
          </cell>
          <cell r="M191">
            <v>0</v>
          </cell>
          <cell r="R191" t="b">
            <v>0</v>
          </cell>
          <cell r="S191" t="str"/>
          <cell r="T191" t="b">
            <v>0</v>
          </cell>
          <cell r="Y191" t="str"/>
          <cell r="AA191" t="str"/>
          <cell r="AK191" t="str">
            <v>936-QR</v>
          </cell>
          <cell r="AL191" t="str">
            <v>1-0039-來大&gt;景森&gt;寄&gt;附發票&gt;附回郵</v>
          </cell>
          <cell r="AM191" t="str">
            <v>1-0039</v>
          </cell>
        </row>
        <row r="192">
          <cell r="B192" t="str">
            <v>1-0187</v>
          </cell>
          <cell r="C192" t="str">
            <v>101-05-01</v>
          </cell>
          <cell r="D192" t="str">
            <v>1-0187-啟成&gt;寄&gt;附發票&gt;附回郵</v>
          </cell>
          <cell r="E192" t="str">
            <v>啟成土木包工業＞負:吳啟成</v>
          </cell>
          <cell r="F192" t="str">
            <v>啟成土木包工業(187)</v>
          </cell>
          <cell r="G192" t="str">
            <v>稅外</v>
          </cell>
          <cell r="H192" t="str">
            <v>寄＞附發票＞附回郵＞</v>
          </cell>
          <cell r="I192" t="str">
            <v>5052＞5065＞稅外</v>
          </cell>
          <cell r="J192">
            <v>30</v>
          </cell>
          <cell r="L192" t="str">
            <v>0910-654245帳款問題連先生&gt;037-580896＞037-582355＞0910-475168吳啟成＞0919-295591吳皓傑＞傳真037-580010</v>
          </cell>
          <cell r="M192" t="str">
            <v>2-0059</v>
          </cell>
          <cell r="R192" t="b">
            <v>0</v>
          </cell>
          <cell r="S192" t="str"/>
          <cell r="T192" t="b">
            <v>0</v>
          </cell>
          <cell r="W192">
            <v>350</v>
          </cell>
          <cell r="X192" t="str">
            <v>苗栗縣竹南鎮大埔里仁愛路1222巷13弄12號＞登:苗栗縣竹南鎮大埔里15鄰仁愛路1195號。</v>
          </cell>
          <cell r="Y192" t="str">
            <v>苗栗縣竹南鎮</v>
          </cell>
          <cell r="Z192" t="str">
            <v>苗栗縣竹南鎮大埔里仁愛路1222巷13弄12號.</v>
          </cell>
          <cell r="AA192" t="str">
            <v>350苗栗縣竹南鎮大埔里仁愛路1222巷13弄12號＞登:苗栗縣竹南鎮大埔里15鄰仁愛路1195號。</v>
          </cell>
          <cell r="AK192" t="str">
            <v>9786-LG</v>
          </cell>
          <cell r="AL192" t="str">
            <v>1-0039-來大&gt;景森&gt;寄&gt;附發票&gt;附回郵</v>
          </cell>
          <cell r="AM192" t="str">
            <v>1-0039</v>
          </cell>
        </row>
        <row r="193">
          <cell r="B193" t="str">
            <v>1-0188</v>
          </cell>
          <cell r="C193" t="str">
            <v>101-05-01</v>
          </cell>
          <cell r="D193" t="str">
            <v>1-0188-舒樂&gt;寄&gt;附發票&gt;附回郵</v>
          </cell>
          <cell r="E193" t="str">
            <v>舒樂服務股份有限公司新竹分公司＞負:張王嶺</v>
          </cell>
          <cell r="F193" t="str">
            <v>舒樂服務股份有限公司新竹分公司(188)</v>
          </cell>
          <cell r="G193" t="str">
            <v>稅外</v>
          </cell>
          <cell r="H193" t="str">
            <v>寄＞附發票＞附回郵＞</v>
          </cell>
          <cell r="I193" t="str">
            <v>1645＞0972＞稅外</v>
          </cell>
          <cell r="J193">
            <v>30</v>
          </cell>
          <cell r="L193" t="str">
            <v>03-5368307</v>
          </cell>
          <cell r="M193">
            <v>0</v>
          </cell>
          <cell r="R193" t="b">
            <v>0</v>
          </cell>
          <cell r="S193" t="str"/>
          <cell r="T193" t="b">
            <v>0</v>
          </cell>
          <cell r="W193">
            <v>300</v>
          </cell>
          <cell r="X193" t="str">
            <v>新竹郵政1008號信箱＞登:新竹市東區南市里德高街21號。</v>
          </cell>
          <cell r="Y193" t="str">
            <v>新竹郵政10</v>
          </cell>
          <cell r="Z193" t="str">
            <v>新竹郵政1008號信箱.</v>
          </cell>
          <cell r="AA193" t="str">
            <v>300新竹郵政1008號信箱＞登:新竹市東區南市里德高街21號。</v>
          </cell>
          <cell r="AK193" t="str">
            <v>9C-2182</v>
          </cell>
          <cell r="AL193" t="str">
            <v>1-0039-來大&gt;景森&gt;寄&gt;附發票&gt;附回郵</v>
          </cell>
          <cell r="AM193" t="str">
            <v>1-0039</v>
          </cell>
        </row>
        <row r="194">
          <cell r="B194" t="str">
            <v>1-0189</v>
          </cell>
          <cell r="C194" t="str">
            <v>101-05-01</v>
          </cell>
          <cell r="D194" t="str">
            <v>1-0189-李添財&gt;現&gt;自結</v>
          </cell>
          <cell r="E194" t="str">
            <v>李添財＞靠行:清華通運有限公司,負:黃清江</v>
          </cell>
          <cell r="F194" t="str">
            <v>李添財(189)</v>
          </cell>
          <cell r="G194" t="str">
            <v>未稅</v>
          </cell>
          <cell r="H194" t="str">
            <v>現＞自結＞</v>
          </cell>
          <cell r="I194" t="str">
            <v>未稅</v>
          </cell>
          <cell r="J194">
            <v>30</v>
          </cell>
          <cell r="K194" t="str">
            <v>4967＞1271＞未稅</v>
          </cell>
          <cell r="L194" t="str">
            <v>037-321622＞0918-321622</v>
          </cell>
          <cell r="M194">
            <v>0</v>
          </cell>
          <cell r="R194" t="b">
            <v>0</v>
          </cell>
          <cell r="S194" t="str"/>
          <cell r="T194" t="b">
            <v>0</v>
          </cell>
          <cell r="W194">
            <v>360</v>
          </cell>
          <cell r="X194" t="str">
            <v>苗栗縣苗栗巿玉華里23鄰莒光街52號＞登:苗栗縣後龍鎮龍坑里16鄰十班坑161-20號。</v>
          </cell>
          <cell r="Y194" t="str">
            <v>苗栗縣苗栗巿</v>
          </cell>
          <cell r="Z194" t="str">
            <v>苗栗縣苗栗巿玉華里23鄰莒光街52號.</v>
          </cell>
          <cell r="AA194" t="str">
            <v>360苗栗縣苗栗巿玉華里23鄰莒光街52號＞登:苗栗縣後龍鎮龍坑里16鄰十班坑161-20號。</v>
          </cell>
          <cell r="AK194" t="str">
            <v>130-ZE</v>
          </cell>
          <cell r="AL194" t="str">
            <v>1-0039-來大&gt;景森&gt;寄&gt;附發票&gt;附回郵</v>
          </cell>
          <cell r="AM194" t="str">
            <v>1-0039</v>
          </cell>
        </row>
        <row r="195">
          <cell r="B195" t="str">
            <v>1-0190</v>
          </cell>
          <cell r="C195" t="str">
            <v>101-05-01</v>
          </cell>
          <cell r="D195" t="str">
            <v>1-0190-嘉益&gt;寄&gt;附回郵</v>
          </cell>
          <cell r="E195" t="str">
            <v>王仁傑＞靠行:嘉益汽車貨運有限公司＞員盛通運有限公司,負:賴宜民</v>
          </cell>
          <cell r="F195" t="str">
            <v>王仁傑(190)</v>
          </cell>
          <cell r="G195" t="str">
            <v>未稅</v>
          </cell>
          <cell r="H195" t="str">
            <v>寄＞附回郵＞</v>
          </cell>
          <cell r="I195" t="str">
            <v>未稅</v>
          </cell>
          <cell r="J195">
            <v>30</v>
          </cell>
          <cell r="K195" t="str">
            <v>6580＞3299嘉益＞1690＞9231員盛＞未稅</v>
          </cell>
          <cell r="L195" t="str">
            <v>04-25673250＞0923-383039＞0923-166448</v>
          </cell>
          <cell r="M195">
            <v>0</v>
          </cell>
          <cell r="O195">
            <v>67</v>
          </cell>
          <cell r="P195">
            <v>6</v>
          </cell>
          <cell r="Q195">
            <v>7</v>
          </cell>
          <cell r="R195">
            <v>43</v>
          </cell>
          <cell r="S195">
            <v>78</v>
          </cell>
          <cell r="T195">
            <v>28648</v>
          </cell>
          <cell r="U195" t="str">
            <v>L122450746</v>
          </cell>
          <cell r="V195" t="str">
            <v>王仁傑</v>
          </cell>
          <cell r="W195">
            <v>427</v>
          </cell>
          <cell r="X195" t="str">
            <v>台中巿潭子鄉大富里民族路三段213巷1-3號＞登:彰化縣員林鎮惠來里15鄰中山路1段514巷6號1樓。</v>
          </cell>
          <cell r="Y195" t="str">
            <v>台中巿潭子鄉</v>
          </cell>
          <cell r="Z195" t="str">
            <v>台中巿潭子鄉大富里民族路三段213巷1之3號.</v>
          </cell>
          <cell r="AA195" t="str">
            <v>427台中巿潭子鄉大富里民族路三段213巷1-3號＞登:彰化縣員林鎮惠來里15鄰中山路1段514巷6號1樓。</v>
          </cell>
          <cell r="AK195" t="str">
            <v>936-JD</v>
          </cell>
          <cell r="AL195" t="str">
            <v>1-0040-久大&gt;寄&gt;附回郵</v>
          </cell>
          <cell r="AM195" t="str">
            <v>1-0040</v>
          </cell>
        </row>
        <row r="196">
          <cell r="B196" t="str">
            <v>1-0191</v>
          </cell>
          <cell r="C196" t="str">
            <v>101-05-01</v>
          </cell>
          <cell r="D196" t="str">
            <v>1-0191-誠積&gt;寄&gt;附發票&gt;附回郵</v>
          </cell>
          <cell r="E196" t="str">
            <v>誠積包裝企業社＞負:朱月星</v>
          </cell>
          <cell r="F196" t="str">
            <v>誠積包裝企業社(191)</v>
          </cell>
          <cell r="G196" t="str">
            <v>稅外</v>
          </cell>
          <cell r="H196" t="str">
            <v>寄＞附發票＞附回郵＞</v>
          </cell>
          <cell r="I196" t="str">
            <v>1334＞0880＞稅外</v>
          </cell>
          <cell r="J196">
            <v>30</v>
          </cell>
          <cell r="L196" t="str">
            <v>037-478471＞0932-614280王志南＞傳真037-463917</v>
          </cell>
          <cell r="M196">
            <v>0</v>
          </cell>
          <cell r="R196" t="b">
            <v>0</v>
          </cell>
          <cell r="S196" t="str"/>
          <cell r="T196" t="b">
            <v>0</v>
          </cell>
          <cell r="W196">
            <v>350</v>
          </cell>
          <cell r="X196" t="str">
            <v>苗栗縣竹南鎮大厝里2鄰南大路222-2號1樓。</v>
          </cell>
          <cell r="Y196" t="str">
            <v>苗栗縣竹南鎮</v>
          </cell>
          <cell r="Z196" t="str">
            <v>苗栗縣竹南鎮大厝里2鄰南大路222-2號1樓.</v>
          </cell>
          <cell r="AA196" t="str">
            <v>350苗栗縣竹南鎮大厝里2鄰南大路222-2號1樓。</v>
          </cell>
          <cell r="AK196" t="str">
            <v>120-HJ</v>
          </cell>
          <cell r="AL196" t="str">
            <v>1-0040-久大&gt;寄&gt;附回郵</v>
          </cell>
          <cell r="AM196" t="str">
            <v>1-0040</v>
          </cell>
        </row>
        <row r="197">
          <cell r="B197" t="str">
            <v>1-0192</v>
          </cell>
          <cell r="C197" t="str">
            <v>101-05-01</v>
          </cell>
          <cell r="D197" t="str">
            <v>1-0192-鈺昇&gt;寄&gt;附發票&gt;自結</v>
          </cell>
          <cell r="E197" t="str">
            <v>鈺昇企業社＞負:曾國豪</v>
          </cell>
          <cell r="F197" t="str">
            <v>鈺昇企業社(192)</v>
          </cell>
          <cell r="G197" t="str">
            <v>稅外</v>
          </cell>
          <cell r="H197" t="str">
            <v>寄＞附發票＞自結＞</v>
          </cell>
          <cell r="I197" t="str">
            <v>9966＞1381＞稅外</v>
          </cell>
          <cell r="J197">
            <v>30</v>
          </cell>
          <cell r="L197" t="str">
            <v>037-481501＞0919-676375＞傳真037-481501</v>
          </cell>
          <cell r="M197" t="str">
            <v>2-0123</v>
          </cell>
          <cell r="R197" t="b">
            <v>0</v>
          </cell>
          <cell r="S197" t="str"/>
          <cell r="T197" t="b">
            <v>0</v>
          </cell>
          <cell r="W197">
            <v>351</v>
          </cell>
          <cell r="X197" t="str">
            <v>苗栗縣頭份鎮自強里29鄰建國路13號。</v>
          </cell>
          <cell r="Y197" t="str">
            <v>苗栗縣頭份鎮</v>
          </cell>
          <cell r="Z197" t="str">
            <v>苗栗縣頭份鎮自強里29鄰建國路13號.</v>
          </cell>
          <cell r="AA197" t="str">
            <v>351苗栗縣頭份鎮自強里29鄰建國路13號。</v>
          </cell>
          <cell r="AK197" t="str">
            <v>645-ZC</v>
          </cell>
          <cell r="AL197" t="str">
            <v>1-0040-久大&gt;寄&gt;附回郵</v>
          </cell>
          <cell r="AM197" t="str">
            <v>1-0040</v>
          </cell>
        </row>
        <row r="198">
          <cell r="B198" t="str">
            <v>1-0193</v>
          </cell>
          <cell r="C198" t="str">
            <v>101-05-01</v>
          </cell>
          <cell r="D198" t="str">
            <v>1-0193-陳政君&gt;寄&gt;自結</v>
          </cell>
          <cell r="E198" t="str">
            <v>陳政君</v>
          </cell>
          <cell r="F198" t="str">
            <v>陳政君(193)</v>
          </cell>
          <cell r="G198" t="str">
            <v>未稅</v>
          </cell>
          <cell r="H198" t="str">
            <v>寄＞自結＞</v>
          </cell>
          <cell r="I198" t="str">
            <v>未稅</v>
          </cell>
          <cell r="J198">
            <v>30</v>
          </cell>
          <cell r="L198" t="str">
            <v>037-254519＞0955-582968</v>
          </cell>
          <cell r="M198">
            <v>0</v>
          </cell>
          <cell r="R198" t="b">
            <v>0</v>
          </cell>
          <cell r="S198" t="str"/>
          <cell r="T198" t="b">
            <v>0</v>
          </cell>
          <cell r="W198">
            <v>362</v>
          </cell>
          <cell r="X198" t="str">
            <v>苗栗縣頭屋鄉明德村3鄰45號。</v>
          </cell>
          <cell r="Y198" t="str">
            <v>苗栗縣頭屋鄉</v>
          </cell>
          <cell r="Z198" t="str">
            <v>苗栗縣頭屋鄉明德村3鄰45號.</v>
          </cell>
          <cell r="AA198" t="str">
            <v>362苗栗縣頭屋鄉明德村3鄰45號。</v>
          </cell>
          <cell r="AK198" t="str">
            <v>897-G5</v>
          </cell>
          <cell r="AL198" t="str">
            <v>1-0040-久大&gt;寄&gt;附回郵</v>
          </cell>
          <cell r="AM198" t="str">
            <v>1-0040</v>
          </cell>
        </row>
        <row r="199">
          <cell r="B199" t="str">
            <v>1-0194</v>
          </cell>
          <cell r="C199" t="str">
            <v>100-04-01</v>
          </cell>
          <cell r="D199" t="str">
            <v>1-0194-傅文芳&gt;大砲&gt;一路發拖吊&gt;電&gt;自結</v>
          </cell>
          <cell r="E199" t="str">
            <v>一路發拖吊＞負:傅文芳＞大砲</v>
          </cell>
          <cell r="F199" t="str">
            <v>傅文芳(194)</v>
          </cell>
          <cell r="G199" t="str">
            <v>未稅</v>
          </cell>
          <cell r="H199" t="str">
            <v>電＞自結＞</v>
          </cell>
          <cell r="I199" t="str">
            <v>未稅</v>
          </cell>
          <cell r="J199">
            <v>30</v>
          </cell>
          <cell r="K199" t="str">
            <v>1334＞2439＞未稅</v>
          </cell>
          <cell r="L199" t="str">
            <v>0933-177435老闆&gt;0937-734850老闆娘陳佩怡＞傳真037-561580</v>
          </cell>
          <cell r="M199">
            <v>0</v>
          </cell>
          <cell r="R199" t="b">
            <v>0</v>
          </cell>
          <cell r="S199" t="str"/>
          <cell r="T199" t="b">
            <v>0</v>
          </cell>
          <cell r="W199">
            <v>361</v>
          </cell>
          <cell r="X199" t="str">
            <v>苗栗縣造橋鄉朝陽村12鄰頭家城路仁愛巷13號。</v>
          </cell>
          <cell r="Y199" t="str">
            <v>苗栗縣造橋鄉</v>
          </cell>
          <cell r="Z199" t="str">
            <v>苗栗縣造橋鄉朝陽村12鄰頭家城路仁愛巷13號.</v>
          </cell>
          <cell r="AA199" t="str">
            <v>361苗栗縣造橋鄉朝陽村12鄰頭家城路仁愛巷13號。</v>
          </cell>
          <cell r="AK199" t="str">
            <v>645-Q9</v>
          </cell>
          <cell r="AL199" t="str">
            <v>1-0040-久大&gt;寄&gt;附回郵</v>
          </cell>
          <cell r="AM199" t="str">
            <v>1-0040</v>
          </cell>
        </row>
        <row r="200">
          <cell r="B200" t="str">
            <v>1-0195</v>
          </cell>
          <cell r="C200" t="str">
            <v>101-05-01</v>
          </cell>
          <cell r="D200" t="str">
            <v>1-0195-宏昌&gt;寄&gt;附回郵</v>
          </cell>
          <cell r="E200" t="str">
            <v>宏昌汽車修理廠＞負:鍾小慧＞羅經勇</v>
          </cell>
          <cell r="F200" t="str">
            <v>宏昌汽車修理廠(195)</v>
          </cell>
          <cell r="G200" t="str">
            <v>未稅</v>
          </cell>
          <cell r="H200" t="str">
            <v>寄＞附回郵＞</v>
          </cell>
          <cell r="I200" t="str">
            <v>未稅</v>
          </cell>
          <cell r="J200">
            <v>30</v>
          </cell>
          <cell r="K200" t="str">
            <v>1985＞2654＞未稅</v>
          </cell>
          <cell r="L200" t="str">
            <v>037-622713＞0932-613854羅經勇＞0919-676278老闆娘＞傳真037-612409</v>
          </cell>
          <cell r="M200">
            <v>0</v>
          </cell>
          <cell r="R200" t="b">
            <v>0</v>
          </cell>
          <cell r="S200" t="str"/>
          <cell r="T200" t="b">
            <v>0</v>
          </cell>
          <cell r="W200">
            <v>350</v>
          </cell>
          <cell r="X200" t="str">
            <v>苗栗縣竹南鎮公館里7鄰大埔頂5之22號</v>
          </cell>
          <cell r="Y200" t="str">
            <v>苗栗縣竹南鎮</v>
          </cell>
          <cell r="Z200" t="str">
            <v>苗栗縣竹南鎮公館里7鄰大埔頂5之22號.</v>
          </cell>
          <cell r="AA200" t="str">
            <v>350苗栗縣竹南鎮公館里7鄰大埔頂5之22號</v>
          </cell>
          <cell r="AK200" t="str">
            <v>263-HA</v>
          </cell>
          <cell r="AL200" t="str">
            <v>1-0040-久大&gt;寄&gt;附回郵</v>
          </cell>
          <cell r="AM200" t="str">
            <v>1-0040</v>
          </cell>
        </row>
        <row r="201">
          <cell r="B201" t="str">
            <v>1-0196</v>
          </cell>
          <cell r="C201" t="str">
            <v>100-04-01</v>
          </cell>
          <cell r="D201" t="str">
            <v>1-0196-建祥&gt;古振龍&gt;寄&gt;附回郵</v>
          </cell>
          <cell r="E201" t="str">
            <v>建祥＞古振龍</v>
          </cell>
          <cell r="F201" t="str">
            <v>古振龍(196)</v>
          </cell>
          <cell r="G201" t="str">
            <v>未稅</v>
          </cell>
          <cell r="H201" t="str">
            <v>寄＞附回郵＞</v>
          </cell>
          <cell r="I201" t="str">
            <v>未稅</v>
          </cell>
          <cell r="J201">
            <v>30</v>
          </cell>
          <cell r="L201" t="str">
            <v>037-541916＞0933-410773</v>
          </cell>
          <cell r="M201">
            <v>0</v>
          </cell>
          <cell r="O201">
            <v>66</v>
          </cell>
          <cell r="P201">
            <v>2</v>
          </cell>
          <cell r="Q201">
            <v>10</v>
          </cell>
          <cell r="R201">
            <v>45</v>
          </cell>
          <cell r="S201">
            <v>77</v>
          </cell>
          <cell r="T201">
            <v>28166</v>
          </cell>
          <cell r="V201" t="str">
            <v>古振龍</v>
          </cell>
          <cell r="W201">
            <v>351</v>
          </cell>
          <cell r="X201" t="str">
            <v>苗栗縣頭份鎮尖豐路751號。</v>
          </cell>
          <cell r="Y201" t="str">
            <v>苗栗縣頭份鎮</v>
          </cell>
          <cell r="Z201" t="str">
            <v>苗栗縣頭份鎮尖豐路751號.</v>
          </cell>
          <cell r="AA201" t="str">
            <v>351苗栗縣頭份鎮尖豐路751號。</v>
          </cell>
          <cell r="AK201" t="str">
            <v>KLA-9557</v>
          </cell>
          <cell r="AL201" t="str">
            <v>1-0040-久大&gt;寄&gt;附回郵</v>
          </cell>
          <cell r="AM201" t="str">
            <v>1-0040</v>
          </cell>
        </row>
        <row r="202">
          <cell r="B202" t="str">
            <v>1-0197</v>
          </cell>
          <cell r="C202" t="str">
            <v>101-05-01</v>
          </cell>
          <cell r="D202" t="str">
            <v>1-0197-文春&gt;寄&gt;附發票&gt;附回郵</v>
          </cell>
          <cell r="E202" t="str">
            <v>文春實業股份有限公司＞負:楊文賢</v>
          </cell>
          <cell r="F202" t="str">
            <v>文春實業股份有限公司(197)</v>
          </cell>
          <cell r="G202" t="str">
            <v>稅外</v>
          </cell>
          <cell r="H202" t="str">
            <v>寄＞附發票＞附回郵＞</v>
          </cell>
          <cell r="I202" t="str">
            <v>5054＞7997＞稅外</v>
          </cell>
          <cell r="J202">
            <v>30</v>
          </cell>
          <cell r="L202" t="str">
            <v>037-638912＞037-638921＞0936-369398李明賢＞傳真037-627266</v>
          </cell>
          <cell r="M202">
            <v>0</v>
          </cell>
          <cell r="R202" t="b">
            <v>0</v>
          </cell>
          <cell r="S202" t="str"/>
          <cell r="T202" t="b">
            <v>0</v>
          </cell>
          <cell r="W202">
            <v>351</v>
          </cell>
          <cell r="X202" t="str">
            <v>苗栗縣頭份鎮尖下里1鄰芝山莊10號。</v>
          </cell>
          <cell r="Y202" t="str">
            <v>苗栗縣頭份鎮</v>
          </cell>
          <cell r="Z202" t="str">
            <v>苗栗縣頭份鎮尖下里1鄰芝山莊10號.</v>
          </cell>
          <cell r="AA202" t="str">
            <v>351苗栗縣頭份鎮尖下里1鄰芝山莊10號。</v>
          </cell>
          <cell r="AK202" t="str">
            <v>KL-9631</v>
          </cell>
          <cell r="AL202" t="str">
            <v>1-0040-久大&gt;寄&gt;附回郵</v>
          </cell>
          <cell r="AM202" t="str">
            <v>1-0040</v>
          </cell>
        </row>
        <row r="203">
          <cell r="B203" t="str">
            <v>1-0198</v>
          </cell>
          <cell r="C203" t="str">
            <v>101-05-01</v>
          </cell>
          <cell r="D203" t="str">
            <v>1-0198-冠華&gt;寄&gt;附發票&gt;附回郵</v>
          </cell>
          <cell r="E203" t="str">
            <v>冠華交通股份有限公司＞負:楊陳瑞美</v>
          </cell>
          <cell r="F203" t="str">
            <v>冠華交通股份有限公司(198)</v>
          </cell>
          <cell r="G203" t="str">
            <v>稅外</v>
          </cell>
          <cell r="H203" t="str">
            <v>寄＞附發票＞附回郵＞</v>
          </cell>
          <cell r="I203" t="str">
            <v>1667＞2926＞稅外</v>
          </cell>
          <cell r="J203">
            <v>30</v>
          </cell>
          <cell r="L203" t="str">
            <v>037-674613＞0937-586864楊春華＞傳真037-680410</v>
          </cell>
          <cell r="M203">
            <v>0</v>
          </cell>
          <cell r="R203" t="b">
            <v>0</v>
          </cell>
          <cell r="S203" t="str"/>
          <cell r="T203" t="b">
            <v>0</v>
          </cell>
          <cell r="W203">
            <v>351</v>
          </cell>
          <cell r="X203" t="str">
            <v>苗栗縣頭份鎮成功里16鄰寶樹別莊119號。</v>
          </cell>
          <cell r="Y203" t="str">
            <v>苗栗縣頭份鎮</v>
          </cell>
          <cell r="Z203" t="str">
            <v>苗栗縣頭份鎮成功里16鄰寶樹別莊119號.</v>
          </cell>
          <cell r="AA203" t="str">
            <v>351苗栗縣頭份鎮成功里16鄰寶樹別莊119號。</v>
          </cell>
          <cell r="AK203" t="str">
            <v>726-VC</v>
          </cell>
          <cell r="AL203" t="str">
            <v>1-0042-(1/2)中港砂石&gt;寄&gt;附發票&gt;附回郵</v>
          </cell>
          <cell r="AM203" t="str">
            <v>1-0042</v>
          </cell>
        </row>
        <row r="204">
          <cell r="B204" t="str">
            <v>1-0199</v>
          </cell>
          <cell r="C204" t="str">
            <v>101-05-01</v>
          </cell>
          <cell r="D204" t="str">
            <v>1-0199-鐸昇&gt;寄&gt;附發票&gt;附回郵</v>
          </cell>
          <cell r="E204" t="str">
            <v>鐸昇精密有限公司＞負:王淑貞</v>
          </cell>
          <cell r="F204" t="str">
            <v>鐸昇精密有限公司(199)</v>
          </cell>
          <cell r="G204" t="str">
            <v>稅外</v>
          </cell>
          <cell r="H204" t="str">
            <v>寄＞附發票＞附回郵＞</v>
          </cell>
          <cell r="I204" t="str">
            <v>2891＞2035＞稅外＞25號月結</v>
          </cell>
          <cell r="J204">
            <v>25</v>
          </cell>
          <cell r="L204" t="str">
            <v>037-550911＞0933-177263＞傳真037-550113</v>
          </cell>
          <cell r="M204" t="str">
            <v>2-0007</v>
          </cell>
          <cell r="R204" t="b">
            <v>0</v>
          </cell>
          <cell r="S204" t="str"/>
          <cell r="T204" t="b">
            <v>0</v>
          </cell>
          <cell r="W204">
            <v>350</v>
          </cell>
          <cell r="X204" t="str">
            <v>苗栗縣竹南鎮中美里9鄰保安林30-6號＞登:苗栗縣竹南鎮新南里12鄰維新路268號。</v>
          </cell>
          <cell r="Y204" t="str">
            <v>苗栗縣竹南鎮</v>
          </cell>
          <cell r="Z204" t="str">
            <v>苗栗縣竹南鎮中美里9鄰保安林30之6號.</v>
          </cell>
          <cell r="AA204" t="str">
            <v>350苗栗縣竹南鎮中美里9鄰保安林30-6號＞登:苗栗縣竹南鎮新南里12鄰維新路268號。</v>
          </cell>
          <cell r="AK204" t="str">
            <v>846-UP</v>
          </cell>
          <cell r="AL204" t="str">
            <v>1-0042-(1/2)中港砂石&gt;寄&gt;附發票&gt;附回郵</v>
          </cell>
          <cell r="AM204" t="str">
            <v>1-0042</v>
          </cell>
        </row>
        <row r="205">
          <cell r="B205" t="str">
            <v>1-0200</v>
          </cell>
          <cell r="C205" t="str">
            <v>101-05-01</v>
          </cell>
          <cell r="D205" t="str">
            <v>1-0200-苗栗林拉鍊&gt;電&gt;自結</v>
          </cell>
          <cell r="E205" t="str">
            <v>苗栗林＞拉鏈</v>
          </cell>
          <cell r="F205" t="str">
            <v>拉鏈(200)</v>
          </cell>
          <cell r="G205" t="str">
            <v>未稅</v>
          </cell>
          <cell r="H205" t="str">
            <v>電＞自結＞</v>
          </cell>
          <cell r="I205" t="str">
            <v>未稅</v>
          </cell>
          <cell r="J205">
            <v>30</v>
          </cell>
          <cell r="L205" t="str">
            <v>037-</v>
          </cell>
          <cell r="M205">
            <v>0</v>
          </cell>
          <cell r="R205" t="b">
            <v>0</v>
          </cell>
          <cell r="S205" t="str"/>
          <cell r="T205" t="b">
            <v>0</v>
          </cell>
          <cell r="Y205" t="str"/>
          <cell r="AA205" t="str"/>
          <cell r="AK205" t="str">
            <v>709-S6</v>
          </cell>
          <cell r="AL205" t="str">
            <v>1-0042-(1/2)中港砂石&gt;寄&gt;附發票&gt;附回郵</v>
          </cell>
          <cell r="AM205" t="str">
            <v>1-0042</v>
          </cell>
        </row>
        <row r="206">
          <cell r="B206" t="str">
            <v>1-0201</v>
          </cell>
          <cell r="C206" t="str">
            <v>101-05-01</v>
          </cell>
          <cell r="D206" t="str">
            <v>1-0201-大乘&gt;寄&gt;附發票&gt;附回郵</v>
          </cell>
          <cell r="E206" t="str">
            <v>大乘興業股份有限公司＞負:陳柯舜英</v>
          </cell>
          <cell r="F206" t="str">
            <v>大乘興業股份有限公司(201)</v>
          </cell>
          <cell r="G206" t="str">
            <v>稅外</v>
          </cell>
          <cell r="H206" t="str">
            <v>寄＞附發票＞附回郵＞</v>
          </cell>
          <cell r="I206" t="str">
            <v>4720＞1372＞稅外</v>
          </cell>
          <cell r="J206">
            <v>30</v>
          </cell>
          <cell r="L206" t="str">
            <v>03-5243175</v>
          </cell>
          <cell r="M206">
            <v>0</v>
          </cell>
          <cell r="R206" t="b">
            <v>0</v>
          </cell>
          <cell r="S206" t="str"/>
          <cell r="T206" t="b">
            <v>0</v>
          </cell>
          <cell r="W206">
            <v>300</v>
          </cell>
          <cell r="X206" t="str">
            <v>新竹市東區北大路433號1樓。</v>
          </cell>
          <cell r="Y206" t="str">
            <v>新竹市東區北</v>
          </cell>
          <cell r="Z206" t="str">
            <v>新竹市東區北大路433號1樓.</v>
          </cell>
          <cell r="AA206" t="str">
            <v>300新竹市東區北大路433號1樓。</v>
          </cell>
          <cell r="AK206" t="str">
            <v>777-SQ</v>
          </cell>
          <cell r="AL206" t="str">
            <v>1-0042-(1/2)中港砂石&gt;寄&gt;附發票&gt;附回郵</v>
          </cell>
          <cell r="AM206" t="str">
            <v>1-0042</v>
          </cell>
        </row>
        <row r="207">
          <cell r="B207" t="str">
            <v>1-0202</v>
          </cell>
          <cell r="C207" t="str">
            <v>101-05-01</v>
          </cell>
          <cell r="D207" t="str">
            <v>1-0202-鍀泰&gt;寄&gt;附發票&gt;附回郵</v>
          </cell>
          <cell r="E207" t="str">
            <v>鍀泰鋼鐵股份有限公司＞負:蕭國奉</v>
          </cell>
          <cell r="F207" t="str">
            <v>鍀泰鋼鐵股份有限公司(202)</v>
          </cell>
          <cell r="G207" t="str">
            <v>稅外</v>
          </cell>
          <cell r="H207" t="str">
            <v>寄＞附發票＞附回郵＞</v>
          </cell>
          <cell r="I207" t="str">
            <v>5052＞0815＞稅外</v>
          </cell>
          <cell r="J207">
            <v>30</v>
          </cell>
          <cell r="L207" t="str">
            <v>037-562581＞傳真037-562565</v>
          </cell>
          <cell r="M207">
            <v>0</v>
          </cell>
          <cell r="R207" t="b">
            <v>0</v>
          </cell>
          <cell r="S207" t="str"/>
          <cell r="T207" t="b">
            <v>0</v>
          </cell>
          <cell r="W207">
            <v>361</v>
          </cell>
          <cell r="X207" t="str">
            <v>苗栗縣造橋鄉朝陽村朝陽路41號。</v>
          </cell>
          <cell r="Y207" t="str">
            <v>苗栗縣造橋鄉</v>
          </cell>
          <cell r="Z207" t="str">
            <v>苗栗縣造橋鄉朝陽村朝陽路41號.</v>
          </cell>
          <cell r="AA207" t="str">
            <v>361苗栗縣造橋鄉朝陽村朝陽路41號。</v>
          </cell>
          <cell r="AK207" t="str">
            <v>888-SQ</v>
          </cell>
          <cell r="AL207" t="str">
            <v>1-0042-(1/2)中港砂石&gt;寄&gt;附發票&gt;附回郵</v>
          </cell>
          <cell r="AM207" t="str">
            <v>1-0042</v>
          </cell>
        </row>
        <row r="208">
          <cell r="B208" t="str">
            <v>1-0203</v>
          </cell>
          <cell r="C208" t="str">
            <v>101-05-01</v>
          </cell>
          <cell r="D208" t="str">
            <v>1-0203-協福&gt;寄&gt;附發票&gt;附回郵</v>
          </cell>
          <cell r="E208" t="str">
            <v>協福窯業股份有限公司＞負:卓武建</v>
          </cell>
          <cell r="F208" t="str">
            <v>協福窯業股份有限公司(203)</v>
          </cell>
          <cell r="G208" t="str">
            <v>含稅</v>
          </cell>
          <cell r="H208" t="str">
            <v>寄＞附發票＞附回郵＞</v>
          </cell>
          <cell r="I208" t="str">
            <v>8498＞2863＞含稅</v>
          </cell>
          <cell r="J208">
            <v>30</v>
          </cell>
          <cell r="L208" t="str">
            <v>037-562018＞傳真037-562129</v>
          </cell>
          <cell r="M208">
            <v>0</v>
          </cell>
          <cell r="R208" t="b">
            <v>0</v>
          </cell>
          <cell r="S208" t="str"/>
          <cell r="T208" t="b">
            <v>0</v>
          </cell>
          <cell r="W208">
            <v>361</v>
          </cell>
          <cell r="X208" t="str">
            <v>苗栗縣造橋鄉豐湖村干珍窩7鄰5-1號。</v>
          </cell>
          <cell r="Y208" t="str">
            <v>苗栗縣造橋鄉</v>
          </cell>
          <cell r="Z208" t="str">
            <v>苗栗縣造橋鄉豐湖村干珍窩7鄰5之1號.</v>
          </cell>
          <cell r="AA208" t="str">
            <v>361苗栗縣造橋鄉豐湖村干珍窩7鄰5-1號。</v>
          </cell>
          <cell r="AK208" t="str">
            <v>332-ZV</v>
          </cell>
          <cell r="AL208" t="str">
            <v>1-0043-(2/2)和泰&gt;寄&gt;附發票&gt;附回郵</v>
          </cell>
          <cell r="AM208" t="str">
            <v>1-0043</v>
          </cell>
        </row>
        <row r="209">
          <cell r="B209" t="str">
            <v>1-0204</v>
          </cell>
          <cell r="C209" t="str">
            <v>101-05-01</v>
          </cell>
          <cell r="D209" t="str">
            <v>1-0204-宏駿&gt;寄&gt;附回郵</v>
          </cell>
          <cell r="E209" t="str">
            <v>嘉祥企業有限公司＞負:黃玉瑾＞陳利達</v>
          </cell>
          <cell r="F209" t="str">
            <v>嘉祥企業有限公司(204)</v>
          </cell>
          <cell r="G209" t="str">
            <v>未稅</v>
          </cell>
          <cell r="H209" t="str">
            <v>寄＞附回郵＞</v>
          </cell>
          <cell r="I209" t="str">
            <v>未稅</v>
          </cell>
          <cell r="J209">
            <v>30</v>
          </cell>
          <cell r="K209" t="str">
            <v>8439＞7363＞未稅</v>
          </cell>
          <cell r="L209" t="str">
            <v>03-3812691＞0970-353911＞傳真03-3812701</v>
          </cell>
          <cell r="M209">
            <v>0</v>
          </cell>
          <cell r="R209" t="b">
            <v>0</v>
          </cell>
          <cell r="S209" t="str"/>
          <cell r="T209" t="b">
            <v>0</v>
          </cell>
          <cell r="W209">
            <v>337</v>
          </cell>
          <cell r="X209" t="str">
            <v>桃園縣大園鄉中正東路三段129號＞登:桃園縣蘆竹鄉坑口村6鄰後壁厝45號1樓。</v>
          </cell>
          <cell r="Y209" t="str">
            <v>桃園縣大園鄉</v>
          </cell>
          <cell r="Z209" t="str">
            <v>桃園縣大園鄉中正東路三段129號.</v>
          </cell>
          <cell r="AA209" t="str">
            <v>337桃園縣大園鄉中正東路三段129號＞登:桃園縣蘆竹鄉坑口村6鄰後壁厝45號1樓。</v>
          </cell>
          <cell r="AK209" t="str">
            <v>838-Q9</v>
          </cell>
          <cell r="AL209" t="str">
            <v>1-0043-(2/2)和泰&gt;寄&gt;附發票&gt;附回郵</v>
          </cell>
          <cell r="AM209" t="str">
            <v>1-0043</v>
          </cell>
        </row>
        <row r="210">
          <cell r="B210" t="str">
            <v>1-0205</v>
          </cell>
          <cell r="C210" t="str">
            <v>101-05-01</v>
          </cell>
          <cell r="D210" t="str">
            <v>1-0205-新合盛行&gt;寄&gt;附發票&gt;附回郵</v>
          </cell>
          <cell r="E210" t="str">
            <v>新合盛行有限公司＞負:鍾育忠</v>
          </cell>
          <cell r="F210" t="str">
            <v>新合盛行有限公司(205)</v>
          </cell>
          <cell r="G210" t="str">
            <v>含稅</v>
          </cell>
          <cell r="H210" t="str">
            <v>寄＞附發票＞附回郵＞</v>
          </cell>
          <cell r="I210" t="str">
            <v>4971＞4460＞含稅</v>
          </cell>
          <cell r="J210">
            <v>30</v>
          </cell>
          <cell r="L210" t="str">
            <v>037-677468王's＞傳真037-612234</v>
          </cell>
          <cell r="M210">
            <v>0</v>
          </cell>
          <cell r="R210" t="b">
            <v>0</v>
          </cell>
          <cell r="S210" t="str"/>
          <cell r="T210" t="b">
            <v>0</v>
          </cell>
          <cell r="W210">
            <v>351</v>
          </cell>
          <cell r="X210" t="str">
            <v>苗栗縣頭份鎮自強路二段495號＞登:苗栗縣竹南鎮正南里23鄰中正路96之1號。</v>
          </cell>
          <cell r="Y210" t="str">
            <v>苗栗縣頭份鎮</v>
          </cell>
          <cell r="Z210" t="str">
            <v>苗栗縣頭份鎮自強路二段495號.</v>
          </cell>
          <cell r="AA210" t="str">
            <v>351苗栗縣頭份鎮自強路二段495號＞登:苗栗縣竹南鎮正南里23鄰中正路96之1號。</v>
          </cell>
          <cell r="AK210" t="str">
            <v>346-ZD</v>
          </cell>
          <cell r="AL210" t="str">
            <v>1-0043-(2/2)和泰&gt;寄&gt;附發票&gt;附回郵</v>
          </cell>
          <cell r="AM210" t="str">
            <v>1-0043</v>
          </cell>
        </row>
        <row r="211">
          <cell r="B211" t="str">
            <v>1-0206</v>
          </cell>
          <cell r="C211" t="str">
            <v>101-05-01</v>
          </cell>
          <cell r="D211" t="str">
            <v>1-0206-春池&gt;寄&gt;附發票&gt;附回郵</v>
          </cell>
          <cell r="E211" t="str">
            <v>春池玻璃實業有限公司＞負:吳春池</v>
          </cell>
          <cell r="F211" t="str">
            <v>春池玻璃實業有限公司(206)</v>
          </cell>
          <cell r="G211" t="str">
            <v>含稅</v>
          </cell>
          <cell r="H211" t="str">
            <v>寄＞附發票＞附回郵＞</v>
          </cell>
          <cell r="I211" t="str">
            <v>4724＞4061＞含稅＞全威</v>
          </cell>
          <cell r="J211">
            <v>30</v>
          </cell>
          <cell r="L211" t="str">
            <v>03-5389165＞傳真03-5380914</v>
          </cell>
          <cell r="M211">
            <v>0</v>
          </cell>
          <cell r="R211" t="b">
            <v>0</v>
          </cell>
          <cell r="S211" t="str"/>
          <cell r="T211" t="b">
            <v>0</v>
          </cell>
          <cell r="W211">
            <v>300</v>
          </cell>
          <cell r="X211" t="str">
            <v>新竹市4鄰牛埔路176號。</v>
          </cell>
          <cell r="Y211" t="str">
            <v>新竹市4鄰牛</v>
          </cell>
          <cell r="Z211" t="str">
            <v>新竹市4鄰牛埔路176號.</v>
          </cell>
          <cell r="AA211" t="str">
            <v>300新竹市4鄰牛埔路176號。</v>
          </cell>
          <cell r="AK211" t="str">
            <v>252-ZD</v>
          </cell>
          <cell r="AL211" t="str">
            <v>1-0043-(2/2)和泰&gt;寄&gt;附發票&gt;附回郵</v>
          </cell>
          <cell r="AM211" t="str">
            <v>1-0043</v>
          </cell>
        </row>
        <row r="212">
          <cell r="B212" t="str">
            <v>1-0207</v>
          </cell>
          <cell r="C212" t="str">
            <v>101-05-01</v>
          </cell>
          <cell r="D212" t="str">
            <v>1-0207-大順土木&gt;寄&gt;附回郵</v>
          </cell>
          <cell r="E212" t="str">
            <v>大順土木包工業＞黃仁勳</v>
          </cell>
          <cell r="F212" t="str">
            <v>大順土木包工業(207)</v>
          </cell>
          <cell r="G212" t="str">
            <v>未稅</v>
          </cell>
          <cell r="H212" t="str">
            <v>寄＞附回郵＞</v>
          </cell>
          <cell r="I212" t="str">
            <v>未稅</v>
          </cell>
          <cell r="J212">
            <v>30</v>
          </cell>
          <cell r="K212" t="str">
            <v>5051＞5159＞未稅</v>
          </cell>
          <cell r="L212" t="str">
            <v>037-831224＞037-833518＞0932-528334</v>
          </cell>
          <cell r="M212">
            <v>0</v>
          </cell>
          <cell r="R212" t="b">
            <v>0</v>
          </cell>
          <cell r="S212" t="str"/>
          <cell r="T212" t="b">
            <v>0</v>
          </cell>
          <cell r="W212">
            <v>352</v>
          </cell>
          <cell r="X212" t="str">
            <v>苗栗縣三灣鄉北埔村下林坪54號。</v>
          </cell>
          <cell r="Y212" t="str">
            <v>苗栗縣三灣鄉</v>
          </cell>
          <cell r="Z212" t="str">
            <v>苗栗縣三灣鄉北埔村下林坪54號.</v>
          </cell>
          <cell r="AA212" t="str">
            <v>352苗栗縣三灣鄉北埔村下林坪54號。</v>
          </cell>
          <cell r="AK212" t="str">
            <v>298-ZV</v>
          </cell>
          <cell r="AL212" t="str">
            <v>1-0043-(2/2)和泰&gt;寄&gt;附發票&gt;附回郵</v>
          </cell>
          <cell r="AM212" t="str">
            <v>1-0043</v>
          </cell>
        </row>
        <row r="213">
          <cell r="B213" t="str">
            <v>1-0208</v>
          </cell>
          <cell r="C213" t="str">
            <v>101-05-01</v>
          </cell>
          <cell r="D213" t="str">
            <v>1-0208-兆發&gt;寄&gt;附發票&gt;自結</v>
          </cell>
          <cell r="E213" t="str">
            <v>兆發商行＞德興商行＞負:林燕珠</v>
          </cell>
          <cell r="F213" t="str">
            <v>兆發商行(208)</v>
          </cell>
          <cell r="G213" t="str">
            <v>稅外</v>
          </cell>
          <cell r="H213" t="str">
            <v>寄＞附發票＞自結＞</v>
          </cell>
          <cell r="I213" t="str">
            <v>2140＞4020＞稅外</v>
          </cell>
          <cell r="J213">
            <v>30</v>
          </cell>
          <cell r="L213" t="str">
            <v>037-481022＞0932-571808</v>
          </cell>
          <cell r="M213">
            <v>0</v>
          </cell>
          <cell r="R213" t="b">
            <v>0</v>
          </cell>
          <cell r="S213" t="str"/>
          <cell r="T213" t="b">
            <v>0</v>
          </cell>
          <cell r="W213">
            <v>350</v>
          </cell>
          <cell r="X213" t="str">
            <v>苗栗縣竹南鎮海口里16鄰25-43號＞登:苗栗縣竹南鎮正南里23鄰大營路106-1號7樓。</v>
          </cell>
          <cell r="Y213" t="str">
            <v>苗栗縣竹南鎮</v>
          </cell>
          <cell r="Z213" t="str">
            <v>苗栗縣竹南鎮海口里16鄰25之43號.</v>
          </cell>
          <cell r="AA213" t="str">
            <v>350苗栗縣竹南鎮海口里16鄰25-43號＞登:苗栗縣竹南鎮正南里23鄰大營路106-1號7樓。</v>
          </cell>
          <cell r="AK213" t="str">
            <v>297-ZV</v>
          </cell>
          <cell r="AL213" t="str">
            <v>1-0043-(2/2)和泰&gt;寄&gt;附發票&gt;附回郵</v>
          </cell>
          <cell r="AM213" t="str">
            <v>1-0043</v>
          </cell>
        </row>
        <row r="214">
          <cell r="B214" t="str">
            <v>1-0209</v>
          </cell>
          <cell r="C214" t="str">
            <v>101-05-01</v>
          </cell>
          <cell r="D214" t="str">
            <v>1-0209-德泰汽車&gt;寄&gt;附回郵</v>
          </cell>
          <cell r="E214" t="str">
            <v>德泰汽車修理廠＞負:陳萬德＞土匪</v>
          </cell>
          <cell r="F214" t="str">
            <v>德泰汽車修理廠(209)</v>
          </cell>
          <cell r="G214" t="str">
            <v>未稅</v>
          </cell>
          <cell r="H214" t="str">
            <v>寄＞附回郵＞</v>
          </cell>
          <cell r="I214" t="str">
            <v>未稅</v>
          </cell>
          <cell r="J214">
            <v>30</v>
          </cell>
          <cell r="K214" t="str">
            <v>7692＞9231＞未稅</v>
          </cell>
          <cell r="L214" t="str">
            <v>037-611303＞0937-730029</v>
          </cell>
          <cell r="M214">
            <v>0</v>
          </cell>
          <cell r="R214" t="b">
            <v>0</v>
          </cell>
          <cell r="S214" t="str"/>
          <cell r="T214" t="b">
            <v>0</v>
          </cell>
          <cell r="W214">
            <v>351</v>
          </cell>
          <cell r="X214" t="str">
            <v>苗栗縣頭份鎮蘆竹里8鄰蘆竹105-2號。</v>
          </cell>
          <cell r="Y214" t="str">
            <v>苗栗縣頭份鎮</v>
          </cell>
          <cell r="Z214" t="str">
            <v>苗栗縣頭份鎮蘆竹里8鄰蘆竹105之2號.</v>
          </cell>
          <cell r="AA214" t="str">
            <v>351苗栗縣頭份鎮蘆竹里8鄰蘆竹105-2號。</v>
          </cell>
          <cell r="AK214" t="str">
            <v>LAH-108</v>
          </cell>
          <cell r="AL214" t="str">
            <v>1-0043-(2/2)和泰&gt;寄&gt;附發票&gt;附回郵</v>
          </cell>
          <cell r="AM214" t="str">
            <v>1-0043</v>
          </cell>
        </row>
        <row r="215">
          <cell r="B215" t="str">
            <v>1-0210</v>
          </cell>
          <cell r="C215" t="str">
            <v>101-05-01</v>
          </cell>
          <cell r="D215" t="str">
            <v>1-0210-葉水發&gt;志松&gt;寄平信&gt;自結</v>
          </cell>
          <cell r="E215" t="str">
            <v>葉水發＞靠行:志松汽車貨運股份有限公司,負:方錦珍</v>
          </cell>
          <cell r="F215" t="str">
            <v>葉水發(210)</v>
          </cell>
          <cell r="G215" t="str">
            <v>未稅</v>
          </cell>
          <cell r="H215" t="str">
            <v>寄平信＞自結＞</v>
          </cell>
          <cell r="I215" t="str">
            <v>未稅</v>
          </cell>
          <cell r="J215">
            <v>30</v>
          </cell>
          <cell r="K215" t="str">
            <v>4972＞6472＞未稅</v>
          </cell>
          <cell r="L215" t="str">
            <v>0919-844634</v>
          </cell>
          <cell r="M215" t="str">
            <v>2-0114</v>
          </cell>
          <cell r="R215" t="b">
            <v>0</v>
          </cell>
          <cell r="S215" t="str"/>
          <cell r="T215" t="b">
            <v>0</v>
          </cell>
          <cell r="W215">
            <v>351</v>
          </cell>
          <cell r="X215" t="str">
            <v>苗栗縣頭份鎮大勇街11巷15號＞登:苗栗縣頭份鎮蟠桃里3鄰中央路268號3樓。</v>
          </cell>
          <cell r="Y215" t="str">
            <v>苗栗縣頭份鎮</v>
          </cell>
          <cell r="Z215" t="str">
            <v>苗栗縣頭份鎮大勇街11巷15號.</v>
          </cell>
          <cell r="AA215" t="str">
            <v>351苗栗縣頭份鎮大勇街11巷15號＞登:苗栗縣頭份鎮蟠桃里3鄰中央路268號3樓。</v>
          </cell>
          <cell r="AK215" t="str">
            <v>LAH-106</v>
          </cell>
          <cell r="AL215" t="str">
            <v>1-0043-(2/2)和泰&gt;寄&gt;附發票&gt;附回郵</v>
          </cell>
          <cell r="AM215" t="str">
            <v>1-0043</v>
          </cell>
        </row>
        <row r="216">
          <cell r="B216" t="str">
            <v>1-0211</v>
          </cell>
          <cell r="C216" t="str">
            <v>101-05-01</v>
          </cell>
          <cell r="D216" t="str">
            <v>1-0211-嘉勤紙業&gt;寄&gt;附發票&gt;附回郵</v>
          </cell>
          <cell r="E216" t="str">
            <v>嘉勤紙業股份有限公司＞負:方溪生</v>
          </cell>
          <cell r="F216" t="str">
            <v>嘉勤紙業股份有限公司(211)</v>
          </cell>
          <cell r="G216" t="str">
            <v>稅外</v>
          </cell>
          <cell r="H216" t="str">
            <v>寄＞附發票＞附回郵</v>
          </cell>
          <cell r="I216" t="str">
            <v>2248＞1158＞稅外</v>
          </cell>
          <cell r="J216">
            <v>30</v>
          </cell>
          <cell r="L216" t="str">
            <v>037-432803＞傳真037-432703</v>
          </cell>
          <cell r="M216" t="str">
            <v>2-0116</v>
          </cell>
          <cell r="R216" t="b">
            <v>0</v>
          </cell>
          <cell r="S216" t="str"/>
          <cell r="T216" t="b">
            <v>0</v>
          </cell>
          <cell r="W216">
            <v>356</v>
          </cell>
          <cell r="X216" t="str">
            <v>苗栗縣後龍鎮海寶里3鄰渡船頭27-1號。</v>
          </cell>
          <cell r="Y216" t="str">
            <v>苗栗縣後龍鎮</v>
          </cell>
          <cell r="Z216" t="str">
            <v>苗栗縣後龍鎮海寶里3鄰渡船頭27之1號.</v>
          </cell>
          <cell r="AA216" t="str">
            <v>356苗栗縣後龍鎮海寶里3鄰渡船頭27-1號。</v>
          </cell>
          <cell r="AK216" t="str">
            <v>LAH-109</v>
          </cell>
          <cell r="AL216" t="str">
            <v>1-0043-(2/2)和泰&gt;寄&gt;附發票&gt;附回郵</v>
          </cell>
          <cell r="AM216" t="str">
            <v>1-0043</v>
          </cell>
        </row>
        <row r="217">
          <cell r="B217" t="str">
            <v>1-0212</v>
          </cell>
          <cell r="C217" t="str">
            <v>101-05-01</v>
          </cell>
          <cell r="D217" t="str">
            <v>1-0212-信豐碳酸&gt;寄&gt;附發票&gt;附回郵</v>
          </cell>
          <cell r="E217" t="str">
            <v>信豐碳酸股份有限公司＞負:蘇宗仁</v>
          </cell>
          <cell r="F217" t="str">
            <v>信豐碳酸股份有限公司(212)</v>
          </cell>
          <cell r="G217" t="str">
            <v>含稅</v>
          </cell>
          <cell r="H217" t="str">
            <v>寄＞附發票＞附回郵＞</v>
          </cell>
          <cell r="I217" t="str">
            <v>2388＞4453＞含稅</v>
          </cell>
          <cell r="J217">
            <v>30</v>
          </cell>
          <cell r="L217" t="str">
            <v>037-635886＞037-622301＞0910-814565郭哲廷＞傳真037-621039</v>
          </cell>
          <cell r="M217">
            <v>0</v>
          </cell>
          <cell r="R217" t="b">
            <v>0</v>
          </cell>
          <cell r="S217" t="str"/>
          <cell r="T217" t="b">
            <v>0</v>
          </cell>
          <cell r="W217">
            <v>351</v>
          </cell>
          <cell r="X217" t="str">
            <v>苗栗縣頭份鎮蘆竹里16鄰249號之1。</v>
          </cell>
          <cell r="Y217" t="str">
            <v>苗栗縣頭份鎮</v>
          </cell>
          <cell r="Z217" t="str">
            <v>苗栗縣頭份鎮蘆竹里16鄰249號之1.</v>
          </cell>
          <cell r="AA217" t="str">
            <v>351苗栗縣頭份鎮蘆竹里16鄰249號之1。</v>
          </cell>
          <cell r="AK217" t="str">
            <v>351-ZD</v>
          </cell>
          <cell r="AL217" t="str">
            <v>1-0043-(2/2)和泰&gt;寄&gt;附發票&gt;附回郵</v>
          </cell>
          <cell r="AM217" t="str">
            <v>1-0043</v>
          </cell>
        </row>
        <row r="218">
          <cell r="B218" t="str">
            <v>1-0213</v>
          </cell>
          <cell r="C218" t="str">
            <v>101-05-01</v>
          </cell>
          <cell r="D218" t="str">
            <v>1-0213-劉奕福&gt;員志&gt;寄&gt;附回郵</v>
          </cell>
          <cell r="E218" t="str">
            <v>員志＞劉奕福</v>
          </cell>
          <cell r="F218" t="str">
            <v>劉奕福(213)</v>
          </cell>
          <cell r="G218" t="str">
            <v>未稅</v>
          </cell>
          <cell r="H218" t="str">
            <v>寄＞附回郵＞</v>
          </cell>
          <cell r="I218" t="str">
            <v>未稅</v>
          </cell>
          <cell r="J218">
            <v>30</v>
          </cell>
          <cell r="L218" t="str">
            <v>0913-597187</v>
          </cell>
          <cell r="M218">
            <v>0</v>
          </cell>
          <cell r="O218">
            <v>65</v>
          </cell>
          <cell r="P218">
            <v>5</v>
          </cell>
          <cell r="Q218">
            <v>4</v>
          </cell>
          <cell r="R218">
            <v>45</v>
          </cell>
          <cell r="S218">
            <v>76</v>
          </cell>
          <cell r="T218">
            <v>27884</v>
          </cell>
          <cell r="U218" t="str">
            <v>J121592146</v>
          </cell>
          <cell r="V218" t="str">
            <v>劉奕福</v>
          </cell>
          <cell r="W218">
            <v>350</v>
          </cell>
          <cell r="X218" t="str">
            <v>苗栗縣竹南鎮龍昇街110號。</v>
          </cell>
          <cell r="Y218" t="str">
            <v>苗栗縣竹南鎮</v>
          </cell>
          <cell r="Z218" t="str">
            <v>苗栗縣竹南鎮龍昇街110號.</v>
          </cell>
          <cell r="AA218" t="str">
            <v>350苗栗縣竹南鎮龍昇街110號。</v>
          </cell>
          <cell r="AK218" t="str">
            <v>331-ZV</v>
          </cell>
          <cell r="AL218" t="str">
            <v>1-0043-(2/2)和泰&gt;寄&gt;附發票&gt;附回郵</v>
          </cell>
          <cell r="AM218" t="str">
            <v>1-0043</v>
          </cell>
        </row>
        <row r="219">
          <cell r="B219" t="str">
            <v>1-0214</v>
          </cell>
          <cell r="C219" t="str">
            <v>101-05-01</v>
          </cell>
          <cell r="D219" t="str">
            <v>1-0214-嘉德技術&gt;寄&gt;附發票&gt;附回郵</v>
          </cell>
          <cell r="E219" t="str">
            <v>嘉德技術開發股份有限公司＞負:何長慶</v>
          </cell>
          <cell r="F219" t="str">
            <v>嘉德技術開發股份有限公司(214)</v>
          </cell>
          <cell r="G219" t="str">
            <v>稅外</v>
          </cell>
          <cell r="H219" t="str">
            <v>寄＞附發票＞附回郵＞</v>
          </cell>
          <cell r="I219" t="str">
            <v>2266＞3404＞稅外</v>
          </cell>
          <cell r="J219">
            <v>30</v>
          </cell>
          <cell r="L219" t="str">
            <v>037-612716＞0928-935965彭先生＞傳真037-614603</v>
          </cell>
          <cell r="M219">
            <v>0</v>
          </cell>
          <cell r="R219" t="b">
            <v>0</v>
          </cell>
          <cell r="S219" t="str"/>
          <cell r="T219" t="b">
            <v>0</v>
          </cell>
          <cell r="W219">
            <v>351</v>
          </cell>
          <cell r="X219" t="str">
            <v>登:苗栗縣頭份市東桃路77-1號</v>
          </cell>
          <cell r="Y219" t="str">
            <v>苗栗縣頭份市</v>
          </cell>
          <cell r="Z219" t="str">
            <v>苗栗縣頭份市東桃路77-1號</v>
          </cell>
          <cell r="AA219" t="str">
            <v>351登:苗栗縣頭份市東桃路77-1號</v>
          </cell>
          <cell r="AK219" t="str">
            <v>101-ZV</v>
          </cell>
          <cell r="AL219" t="str">
            <v>1-0043-(2/2)和泰&gt;寄&gt;附發票&gt;附回郵</v>
          </cell>
          <cell r="AM219" t="str">
            <v>1-0043</v>
          </cell>
        </row>
        <row r="220">
          <cell r="B220" t="str">
            <v>1-0215</v>
          </cell>
          <cell r="C220" t="str">
            <v>101-05-01</v>
          </cell>
          <cell r="D220" t="str">
            <v>1-0215-慶豐金紙&gt;盈順&gt;寄&gt;附回郵</v>
          </cell>
          <cell r="E220" t="str">
            <v>慶豐金紙行＞盈順&gt;負:謝芬</v>
          </cell>
          <cell r="F220" t="str">
            <v>慶豐金紙行(215)</v>
          </cell>
          <cell r="G220" t="str">
            <v>未稅</v>
          </cell>
          <cell r="H220" t="str">
            <v>寄＞附回郵＞</v>
          </cell>
          <cell r="I220" t="str">
            <v>未稅</v>
          </cell>
          <cell r="J220">
            <v>30</v>
          </cell>
          <cell r="K220" t="str">
            <v>5051＞4362＞未稅</v>
          </cell>
          <cell r="L220" t="str">
            <v>037-432463＞0932-526220洪文景＞傳真037-433734</v>
          </cell>
          <cell r="M220" t="str">
            <v>2-0193</v>
          </cell>
          <cell r="R220" t="b">
            <v>0</v>
          </cell>
          <cell r="S220" t="str"/>
          <cell r="T220" t="b">
            <v>0</v>
          </cell>
          <cell r="W220">
            <v>356</v>
          </cell>
          <cell r="X220" t="str">
            <v>苗栗縣後龍鎮海埔里3鄰42-23號。</v>
          </cell>
          <cell r="Y220" t="str">
            <v>苗栗縣後龍鎮</v>
          </cell>
          <cell r="Z220" t="str">
            <v>苗栗縣後龍鎮海埔里3鄰42之23號.</v>
          </cell>
          <cell r="AA220" t="str">
            <v>356苗栗縣後龍鎮海埔里3鄰42-23號。</v>
          </cell>
          <cell r="AK220" t="str">
            <v>370-ZC</v>
          </cell>
          <cell r="AL220" t="str">
            <v>1-0043-(2/2)和泰&gt;寄&gt;附發票&gt;附回郵</v>
          </cell>
          <cell r="AM220" t="str">
            <v>1-0043</v>
          </cell>
        </row>
        <row r="221">
          <cell r="B221" t="str">
            <v>1-0216</v>
          </cell>
          <cell r="C221" t="str">
            <v>106-04-20</v>
          </cell>
          <cell r="D221" t="str">
            <v>1-0216-昌鋊輪胎行&gt;寄&gt;附回郵</v>
          </cell>
          <cell r="E221" t="str">
            <v>昌鋊輪胎行&gt;涂喅勛</v>
          </cell>
          <cell r="F221" t="str">
            <v>昌鋊輪胎行(216)</v>
          </cell>
          <cell r="G221" t="str">
            <v>未稅</v>
          </cell>
          <cell r="H221" t="str">
            <v>寄＞附回郵＞</v>
          </cell>
          <cell r="I221" t="str">
            <v>未稅</v>
          </cell>
          <cell r="J221">
            <v>30</v>
          </cell>
          <cell r="L221" t="str">
            <v>04-25892393&gt;0936-286712&gt;涂喅勛</v>
          </cell>
          <cell r="M221">
            <v>0</v>
          </cell>
          <cell r="R221" t="b">
            <v>0</v>
          </cell>
          <cell r="S221" t="str"/>
          <cell r="T221" t="b">
            <v>0</v>
          </cell>
          <cell r="W221">
            <v>369</v>
          </cell>
          <cell r="X221" t="str">
            <v>苗栗縣卓蘭鎮中正路23號。</v>
          </cell>
          <cell r="Y221" t="str">
            <v>苗栗縣卓蘭鎮</v>
          </cell>
          <cell r="Z221" t="str">
            <v>苗栗縣卓蘭鎮中正路23號.</v>
          </cell>
          <cell r="AA221" t="str">
            <v>369苗栗縣卓蘭鎮中正路23號。</v>
          </cell>
          <cell r="AK221" t="str">
            <v>393-X5</v>
          </cell>
          <cell r="AL221" t="str">
            <v>1-0043-(2/2)和泰&gt;寄&gt;附發票&gt;附回郵</v>
          </cell>
          <cell r="AM221" t="str">
            <v>1-0043</v>
          </cell>
        </row>
        <row r="222">
          <cell r="B222" t="str">
            <v>1-0217</v>
          </cell>
          <cell r="C222" t="str">
            <v>101-05-01</v>
          </cell>
          <cell r="D222" t="str">
            <v>1-0217-劉見利&gt;昌盛&gt;寄平信&gt;自結</v>
          </cell>
          <cell r="E222" t="str">
            <v>劉見利＞靠行:昌盛交通企業有限公司,負:林勳彰</v>
          </cell>
          <cell r="F222" t="str">
            <v>劉見利(217)</v>
          </cell>
          <cell r="G222" t="str">
            <v>未稅</v>
          </cell>
          <cell r="H222" t="str">
            <v>寄平信＞自結＞</v>
          </cell>
          <cell r="I222" t="str">
            <v>未稅</v>
          </cell>
          <cell r="J222">
            <v>30</v>
          </cell>
          <cell r="K222" t="str">
            <v>4499＞4505＞未稅</v>
          </cell>
          <cell r="L222" t="str">
            <v>0922-371251劉見利</v>
          </cell>
          <cell r="M222">
            <v>0</v>
          </cell>
          <cell r="O222">
            <v>46</v>
          </cell>
          <cell r="P222">
            <v>10</v>
          </cell>
          <cell r="Q222">
            <v>25</v>
          </cell>
          <cell r="R222">
            <v>64</v>
          </cell>
          <cell r="S222">
            <v>57</v>
          </cell>
          <cell r="T222">
            <v>21118</v>
          </cell>
          <cell r="U222" t="str">
            <v>N122312010</v>
          </cell>
          <cell r="V222" t="str">
            <v>劉見利</v>
          </cell>
          <cell r="W222">
            <v>242</v>
          </cell>
          <cell r="X222" t="str">
            <v>新北市新莊區中泰街62巷7號3樓＞登:桃園縣桃園市南埔里21鄰溫州街52巷10號2樓之2。</v>
          </cell>
          <cell r="Y222" t="str">
            <v>新北市新莊區</v>
          </cell>
          <cell r="Z222" t="str">
            <v>新北市新莊區中泰街62巷7號3樓.</v>
          </cell>
          <cell r="AA222" t="str">
            <v>242新北市新莊區中泰街62巷7號3樓＞登:桃園縣桃園市南埔里21鄰溫州街52巷10號2樓之2。</v>
          </cell>
          <cell r="AK222" t="str">
            <v>LAG-107</v>
          </cell>
          <cell r="AL222" t="str">
            <v>1-0043-(2/2)和泰&gt;寄&gt;附發票&gt;附回郵</v>
          </cell>
          <cell r="AM222" t="str">
            <v>1-0043</v>
          </cell>
        </row>
        <row r="223">
          <cell r="B223" t="str">
            <v>1-0218</v>
          </cell>
          <cell r="C223" t="str">
            <v>101-05-01</v>
          </cell>
          <cell r="D223" t="str">
            <v>1-0218-羅時隆&gt;欣成&gt;寄&gt;自結</v>
          </cell>
          <cell r="E223" t="str">
            <v>羅時隆＞靠行:欣成貨運股份有限公司,負:魏建竹</v>
          </cell>
          <cell r="F223" t="str">
            <v>羅時隆(218)</v>
          </cell>
          <cell r="G223" t="str">
            <v>未稅</v>
          </cell>
          <cell r="H223" t="str">
            <v>寄＞自結＞</v>
          </cell>
          <cell r="I223" t="str">
            <v>未稅</v>
          </cell>
          <cell r="J223">
            <v>30</v>
          </cell>
          <cell r="K223" t="str">
            <v>4967＞9317＞未稅</v>
          </cell>
          <cell r="L223" t="str">
            <v>037-663870＞0916-975508</v>
          </cell>
          <cell r="M223">
            <v>0</v>
          </cell>
          <cell r="O223">
            <v>63</v>
          </cell>
          <cell r="P223">
            <v>9</v>
          </cell>
          <cell r="Q223">
            <v>14</v>
          </cell>
          <cell r="R223">
            <v>47</v>
          </cell>
          <cell r="S223">
            <v>74</v>
          </cell>
          <cell r="T223">
            <v>27286</v>
          </cell>
          <cell r="V223" t="str">
            <v>羅時隆</v>
          </cell>
          <cell r="W223">
            <v>351</v>
          </cell>
          <cell r="X223" t="str">
            <v>苗栗縣頭份鎮忠孝里8鄰成功路20號。</v>
          </cell>
          <cell r="Y223" t="str">
            <v>苗栗縣頭份鎮</v>
          </cell>
          <cell r="Z223" t="str">
            <v>苗栗縣頭份鎮忠孝里8鄰成功路20號.</v>
          </cell>
          <cell r="AA223" t="str">
            <v>351苗栗縣頭份鎮忠孝里8鄰成功路20號。</v>
          </cell>
          <cell r="AK223" t="str">
            <v>251-ZD</v>
          </cell>
          <cell r="AL223" t="str">
            <v>1-0043-(2/2)和泰&gt;寄&gt;附發票&gt;附回郵</v>
          </cell>
          <cell r="AM223" t="str">
            <v>1-0043</v>
          </cell>
        </row>
        <row r="224">
          <cell r="B224" t="str">
            <v>1-0219</v>
          </cell>
          <cell r="C224" t="str">
            <v>101-05-01</v>
          </cell>
          <cell r="D224" t="str">
            <v>1-0219-陳溪泉&gt;龍勳&gt;寄&gt;自結</v>
          </cell>
          <cell r="E224" t="str">
            <v>龍勳交通有限公司＞負:劉人豪＞陳溪泉</v>
          </cell>
          <cell r="F224" t="str">
            <v>龍勳交通有限公司(219)</v>
          </cell>
          <cell r="G224" t="str">
            <v>未稅</v>
          </cell>
          <cell r="H224" t="str">
            <v>寄＞自結＞</v>
          </cell>
          <cell r="I224" t="str">
            <v>未稅</v>
          </cell>
          <cell r="J224">
            <v>30</v>
          </cell>
          <cell r="K224" t="str">
            <v>1655＞3490＞未稅</v>
          </cell>
          <cell r="L224" t="str">
            <v>06-2835398＞0927-313297</v>
          </cell>
          <cell r="M224">
            <v>0</v>
          </cell>
          <cell r="R224" t="b">
            <v>0</v>
          </cell>
          <cell r="S224" t="str"/>
          <cell r="T224" t="b">
            <v>0</v>
          </cell>
          <cell r="W224" t="e">
            <v>#N/A</v>
          </cell>
          <cell r="X224" t="str">
            <v>台南巿育成路149巷2弄36號＞登:高雄市三民區鼎力里民族一路882號9樓。</v>
          </cell>
          <cell r="Y224" t="str">
            <v>台南巿育成路</v>
          </cell>
          <cell r="Z224" t="str">
            <v>台南巿育成路149巷2弄36號.</v>
          </cell>
          <cell r="AA224" t="e">
            <v>#N/A</v>
          </cell>
          <cell r="AK224" t="str">
            <v>100-ZV</v>
          </cell>
          <cell r="AL224" t="str">
            <v>1-0043-(2/2)和泰&gt;寄&gt;附發票&gt;附回郵</v>
          </cell>
          <cell r="AM224" t="str">
            <v>1-0043</v>
          </cell>
        </row>
        <row r="225">
          <cell r="B225" t="str">
            <v>1-0220</v>
          </cell>
          <cell r="C225" t="str">
            <v>101-05-01</v>
          </cell>
          <cell r="D225" t="str">
            <v>1-0220-陳權&gt;陶揚烤鴨&gt;寄&gt;自結</v>
          </cell>
          <cell r="E225" t="str">
            <v>陶揚行動烤鴨＞陳權</v>
          </cell>
          <cell r="F225" t="str">
            <v>陶揚行動烤鴨(220)</v>
          </cell>
          <cell r="G225" t="str">
            <v>未稅</v>
          </cell>
          <cell r="H225" t="str">
            <v>寄＞自結＞</v>
          </cell>
          <cell r="I225" t="str">
            <v>未稅</v>
          </cell>
          <cell r="J225">
            <v>30</v>
          </cell>
          <cell r="K225" t="str">
            <v>6696＞4238＞未稅</v>
          </cell>
          <cell r="L225" t="str">
            <v>0938-189779</v>
          </cell>
          <cell r="M225">
            <v>0</v>
          </cell>
          <cell r="R225" t="b">
            <v>0</v>
          </cell>
          <cell r="S225" t="str"/>
          <cell r="T225" t="b">
            <v>0</v>
          </cell>
          <cell r="W225">
            <v>350</v>
          </cell>
          <cell r="X225" t="str">
            <v>苗栗縣竹南鎮大厝里獅山170-18號。</v>
          </cell>
          <cell r="Y225" t="str">
            <v>苗栗縣竹南鎮</v>
          </cell>
          <cell r="Z225" t="str">
            <v>苗栗縣竹南鎮大厝里獅山170之18號.</v>
          </cell>
          <cell r="AA225" t="str">
            <v>350苗栗縣竹南鎮大厝里獅山170-18號。</v>
          </cell>
          <cell r="AK225" t="str">
            <v>013-T2</v>
          </cell>
          <cell r="AL225" t="str">
            <v>1-0046-(1/4)鴻阜&gt;寄&gt;附發票&gt;附回郵</v>
          </cell>
          <cell r="AM225" t="str">
            <v>1-0046</v>
          </cell>
        </row>
        <row r="226">
          <cell r="B226" t="str">
            <v>1-0221</v>
          </cell>
          <cell r="C226" t="str">
            <v>101-05-01</v>
          </cell>
          <cell r="D226" t="str">
            <v>1-0221-林建仲&gt;寄&gt;附回郵</v>
          </cell>
          <cell r="E226" t="str">
            <v>林建仲</v>
          </cell>
          <cell r="F226" t="str">
            <v>林建仲(221)</v>
          </cell>
          <cell r="G226" t="str">
            <v>未稅</v>
          </cell>
          <cell r="H226" t="str">
            <v>寄＞附回郵＞</v>
          </cell>
          <cell r="I226" t="str">
            <v>未稅</v>
          </cell>
          <cell r="J226">
            <v>30</v>
          </cell>
          <cell r="L226" t="str">
            <v>0926-388945</v>
          </cell>
          <cell r="M226">
            <v>0</v>
          </cell>
          <cell r="O226">
            <v>66</v>
          </cell>
          <cell r="P226">
            <v>8</v>
          </cell>
          <cell r="Q226">
            <v>27</v>
          </cell>
          <cell r="R226">
            <v>44</v>
          </cell>
          <cell r="S226">
            <v>77</v>
          </cell>
          <cell r="T226">
            <v>28364</v>
          </cell>
          <cell r="V226" t="str">
            <v>林建仲</v>
          </cell>
          <cell r="W226">
            <v>502</v>
          </cell>
          <cell r="X226" t="str">
            <v>彰化縣芬園鄉嘉中街320號。</v>
          </cell>
          <cell r="Y226" t="str">
            <v>彰化縣芬園鄉</v>
          </cell>
          <cell r="Z226" t="str">
            <v>彰化縣芬園鄉嘉中街320號.</v>
          </cell>
          <cell r="AA226" t="str">
            <v>502彰化縣芬園鄉嘉中街320號。</v>
          </cell>
          <cell r="AK226" t="str">
            <v>015-T2</v>
          </cell>
          <cell r="AL226" t="str">
            <v>1-0046-(1/4)鴻阜&gt;寄&gt;附發票&gt;附回郵</v>
          </cell>
          <cell r="AM226" t="str">
            <v>1-0046</v>
          </cell>
        </row>
        <row r="227">
          <cell r="B227" t="str">
            <v>1-0222</v>
          </cell>
          <cell r="C227" t="str">
            <v>101-05-01</v>
          </cell>
          <cell r="D227" t="str">
            <v>1-0222-春榮福&gt;寄&gt;附發票&gt;附回郵</v>
          </cell>
          <cell r="E227" t="str">
            <v>春榮福企業有限公司＞負:曾郅倢＞曾塏銘</v>
          </cell>
          <cell r="F227" t="str">
            <v>春榮福企業有限公司(222)</v>
          </cell>
          <cell r="G227" t="str">
            <v>含稅</v>
          </cell>
          <cell r="H227" t="str">
            <v>寄＞附發票＞附回郵＞</v>
          </cell>
          <cell r="I227" t="str">
            <v>8607＞2306＞含稅</v>
          </cell>
          <cell r="J227">
            <v>30</v>
          </cell>
          <cell r="L227" t="str">
            <v>03-5387800＞0939-850741＞傳真03-5387834</v>
          </cell>
          <cell r="M227">
            <v>0</v>
          </cell>
          <cell r="R227" t="b">
            <v>0</v>
          </cell>
          <cell r="S227" t="str"/>
          <cell r="T227" t="b">
            <v>0</v>
          </cell>
          <cell r="W227">
            <v>300</v>
          </cell>
          <cell r="X227" t="str">
            <v>新竹巿海埔路210巷115號＞登:新竹市東區中華路四段482巷4號。</v>
          </cell>
          <cell r="Y227" t="str">
            <v>新竹巿海埔路</v>
          </cell>
          <cell r="Z227" t="str">
            <v>新竹巿海埔路210巷115號.</v>
          </cell>
          <cell r="AA227" t="str">
            <v>300新竹巿海埔路210巷115號＞登:新竹市東區中華路四段482巷4號。</v>
          </cell>
          <cell r="AK227" t="str">
            <v>066-T2</v>
          </cell>
          <cell r="AL227" t="str">
            <v>1-0046-(1/4)鴻阜&gt;寄&gt;附發票&gt;附回郵</v>
          </cell>
          <cell r="AM227" t="str">
            <v>1-0046</v>
          </cell>
        </row>
        <row r="228">
          <cell r="B228" t="str">
            <v>1-0223</v>
          </cell>
          <cell r="C228" t="str">
            <v>101-05-01</v>
          </cell>
          <cell r="D228" t="str">
            <v>1-0223-禎祥&gt;寄&gt;附發票&gt;附回郵</v>
          </cell>
          <cell r="E228" t="str">
            <v>禎祥科技有限公司＞負:鍾禎祥</v>
          </cell>
          <cell r="F228" t="str">
            <v>禎祥科技有限公司(223)</v>
          </cell>
          <cell r="G228" t="str">
            <v>稅外</v>
          </cell>
          <cell r="H228" t="str">
            <v>寄＞附發票＞附回郵＞</v>
          </cell>
          <cell r="I228" t="str">
            <v>2503＞1260＞稅外＞25號月結</v>
          </cell>
          <cell r="J228">
            <v>25</v>
          </cell>
          <cell r="L228" t="str">
            <v>037-481399＞傳真037-461041</v>
          </cell>
          <cell r="M228" t="str">
            <v>2-0188</v>
          </cell>
          <cell r="R228" t="b">
            <v>0</v>
          </cell>
          <cell r="S228" t="str"/>
          <cell r="T228" t="b">
            <v>0</v>
          </cell>
          <cell r="W228">
            <v>350</v>
          </cell>
          <cell r="X228" t="str">
            <v>苗栗縣竹南鎮保安林16鄰195-1號＞登:苗栗縣竹南鎮中華里15鄰萬壽街41號。</v>
          </cell>
          <cell r="Y228" t="str">
            <v>苗栗縣竹南鎮</v>
          </cell>
          <cell r="Z228" t="str">
            <v>苗栗縣竹南鎮保安林16鄰195之1號.</v>
          </cell>
          <cell r="AA228" t="str">
            <v>350苗栗縣竹南鎮保安林16鄰195-1號＞登:苗栗縣竹南鎮中華里15鄰萬壽街41號。</v>
          </cell>
          <cell r="AK228" t="str">
            <v>181-T2</v>
          </cell>
          <cell r="AL228" t="str">
            <v>1-0046-(1/4)鴻阜&gt;寄&gt;附發票&gt;附回郵</v>
          </cell>
          <cell r="AM228" t="str">
            <v>1-0046</v>
          </cell>
        </row>
        <row r="229">
          <cell r="B229" t="str">
            <v>1-0224</v>
          </cell>
          <cell r="C229" t="str">
            <v>101-05-01</v>
          </cell>
          <cell r="D229" t="str">
            <v>1-0224-柯建榮&gt;嘉彬&gt;寄&gt;附回郵</v>
          </cell>
          <cell r="E229" t="str">
            <v>嘉彬汽車貨運股份有限公司＞負:李許秀卿＞柯建榮</v>
          </cell>
          <cell r="F229" t="str">
            <v>嘉彬汽車貨運股份有限公司(224)</v>
          </cell>
          <cell r="G229" t="str">
            <v>未稅</v>
          </cell>
          <cell r="H229" t="str">
            <v>寄＞附回郵＞</v>
          </cell>
          <cell r="I229" t="str">
            <v>未稅</v>
          </cell>
          <cell r="J229">
            <v>30</v>
          </cell>
          <cell r="K229" t="str">
            <v>2091＞2716＞未稅</v>
          </cell>
          <cell r="L229" t="str">
            <v>04-26812035＞0910-599169</v>
          </cell>
          <cell r="M229">
            <v>0</v>
          </cell>
          <cell r="O229">
            <v>57</v>
          </cell>
          <cell r="P229">
            <v>1</v>
          </cell>
          <cell r="Q229">
            <v>12</v>
          </cell>
          <cell r="R229">
            <v>54</v>
          </cell>
          <cell r="S229">
            <v>68</v>
          </cell>
          <cell r="T229">
            <v>24849</v>
          </cell>
          <cell r="U229" t="str">
            <v>L120494802</v>
          </cell>
          <cell r="V229" t="str">
            <v>柯建榮</v>
          </cell>
          <cell r="W229">
            <v>437</v>
          </cell>
          <cell r="X229" t="str">
            <v>台中縣大甲區西岐里如意路50號＞登:臺中市大甲區西岐里順帆路97號。</v>
          </cell>
          <cell r="Y229" t="str">
            <v>台中縣大甲區</v>
          </cell>
          <cell r="Z229" t="str">
            <v>台中縣大甲區西岐里如意路50號.</v>
          </cell>
          <cell r="AA229" t="str">
            <v>437台中縣大甲區西岐里如意路50號＞登:臺中市大甲區西岐里順帆路97號。</v>
          </cell>
          <cell r="AK229" t="str">
            <v>073-ZY</v>
          </cell>
          <cell r="AL229" t="str">
            <v>1-0578-(1/2)捷盛&gt;寄&gt;附發票&gt;3個月匯款</v>
          </cell>
          <cell r="AM229" t="str">
            <v>1-0578</v>
          </cell>
        </row>
        <row r="230">
          <cell r="B230" t="str">
            <v>1-0225</v>
          </cell>
          <cell r="C230" t="str">
            <v>101-05-01</v>
          </cell>
          <cell r="D230" t="str">
            <v>1-0225-驊瑞&gt;陳錦昌&gt;寄&gt;自結</v>
          </cell>
          <cell r="E230" t="str">
            <v>驊瑞＞陳錦昌</v>
          </cell>
          <cell r="F230" t="str">
            <v>陳錦昌(225)</v>
          </cell>
          <cell r="G230" t="str">
            <v>未稅</v>
          </cell>
          <cell r="H230" t="str">
            <v>寄＞自結＞</v>
          </cell>
          <cell r="I230" t="str">
            <v>未稅</v>
          </cell>
          <cell r="J230">
            <v>30</v>
          </cell>
          <cell r="L230" t="str">
            <v>0932-955648</v>
          </cell>
          <cell r="M230">
            <v>0</v>
          </cell>
          <cell r="O230">
            <v>55</v>
          </cell>
          <cell r="P230">
            <v>11</v>
          </cell>
          <cell r="Q230">
            <v>30</v>
          </cell>
          <cell r="R230">
            <v>55</v>
          </cell>
          <cell r="S230">
            <v>66</v>
          </cell>
          <cell r="T230">
            <v>24441</v>
          </cell>
          <cell r="V230" t="str">
            <v>陳錦昌</v>
          </cell>
          <cell r="W230">
            <v>350</v>
          </cell>
          <cell r="X230" t="str">
            <v>苗栗縣竹南鎮大厝里10鄰38號。</v>
          </cell>
          <cell r="Y230" t="str">
            <v>苗栗縣竹南鎮</v>
          </cell>
          <cell r="Z230" t="str">
            <v>苗栗縣竹南鎮大厝里10鄰38號.</v>
          </cell>
          <cell r="AA230" t="str">
            <v>350苗栗縣竹南鎮大厝里10鄰38號。</v>
          </cell>
          <cell r="AK230" t="str">
            <v>3F-1295</v>
          </cell>
          <cell r="AL230" t="str">
            <v>1-0053-力璽&gt;寄&gt;匯款</v>
          </cell>
          <cell r="AM230" t="str">
            <v>1-0053</v>
          </cell>
        </row>
        <row r="231">
          <cell r="B231" t="str">
            <v>1-0226</v>
          </cell>
          <cell r="C231" t="str">
            <v>101-05-01</v>
          </cell>
          <cell r="D231" t="str">
            <v>1-0226-昶宏&gt;寄&gt;附回郵</v>
          </cell>
          <cell r="E231" t="str">
            <v>昶宏輪胎行＞負:陳益泰</v>
          </cell>
          <cell r="F231" t="str">
            <v>昶宏輪胎行(226)</v>
          </cell>
          <cell r="G231" t="str">
            <v>未稅</v>
          </cell>
          <cell r="H231" t="str">
            <v>寄＞附回郵＞</v>
          </cell>
          <cell r="I231" t="str">
            <v>未稅</v>
          </cell>
          <cell r="J231">
            <v>30</v>
          </cell>
          <cell r="K231" t="str">
            <v>1780＞2449＞未稅</v>
          </cell>
          <cell r="L231" t="str">
            <v>04-26811588＞0928-917515陳益泰</v>
          </cell>
          <cell r="M231" t="str">
            <v>2-0155</v>
          </cell>
          <cell r="R231" t="b">
            <v>0</v>
          </cell>
          <cell r="S231" t="str"/>
          <cell r="T231" t="b">
            <v>0</v>
          </cell>
          <cell r="W231">
            <v>437</v>
          </cell>
          <cell r="X231" t="str">
            <v>台中巿大甲區中山路二段847號＞登:苗栗縣苑裡鎮中正里15鄰中正133-6號1樓。</v>
          </cell>
          <cell r="Y231" t="str">
            <v>台中巿大甲區</v>
          </cell>
          <cell r="Z231" t="str">
            <v>台中巿大甲區中山路二段847號.</v>
          </cell>
          <cell r="AA231" t="str">
            <v>437台中巿大甲區中山路二段847號＞登:苗栗縣苑裡鎮中正里15鄰中正133-6號1樓。</v>
          </cell>
          <cell r="AK231" t="str">
            <v>4103-ZB</v>
          </cell>
          <cell r="AL231" t="str">
            <v>1-0053-力璽&gt;寄&gt;匯款</v>
          </cell>
          <cell r="AM231" t="str">
            <v>1-0053</v>
          </cell>
        </row>
        <row r="232">
          <cell r="B232" t="str">
            <v>1-0227</v>
          </cell>
          <cell r="C232" t="str">
            <v>100-04-01</v>
          </cell>
          <cell r="D232" t="str">
            <v>1-0227-福通&gt;現結</v>
          </cell>
          <cell r="E232" t="str">
            <v>福通</v>
          </cell>
          <cell r="F232" t="str">
            <v>福通(227)</v>
          </cell>
          <cell r="G232" t="str">
            <v>未稅</v>
          </cell>
          <cell r="H232" t="str">
            <v>現結</v>
          </cell>
          <cell r="I232" t="str">
            <v>未稅</v>
          </cell>
          <cell r="J232">
            <v>30</v>
          </cell>
          <cell r="L232" t="str">
            <v>0935-549681</v>
          </cell>
          <cell r="M232">
            <v>0</v>
          </cell>
          <cell r="R232" t="b">
            <v>0</v>
          </cell>
          <cell r="S232" t="str"/>
          <cell r="T232" t="b">
            <v>0</v>
          </cell>
          <cell r="Y232" t="str"/>
          <cell r="AA232" t="str"/>
          <cell r="AK232" t="str">
            <v>3799-DV</v>
          </cell>
          <cell r="AL232" t="str">
            <v>1-0053-力璽&gt;寄&gt;匯款</v>
          </cell>
          <cell r="AM232" t="str">
            <v>1-0053</v>
          </cell>
        </row>
        <row r="233">
          <cell r="B233" t="str">
            <v>1-0228</v>
          </cell>
          <cell r="C233" t="str">
            <v>101-05-01</v>
          </cell>
          <cell r="D233" t="str">
            <v>1-0228-陳國樑&gt;寄&gt;自結</v>
          </cell>
          <cell r="E233" t="str">
            <v>陳國樑</v>
          </cell>
          <cell r="F233" t="str">
            <v>陳國樑(228)</v>
          </cell>
          <cell r="G233" t="str">
            <v>未稅</v>
          </cell>
          <cell r="H233" t="str">
            <v>寄＞自結＞</v>
          </cell>
          <cell r="I233" t="str">
            <v>未稅</v>
          </cell>
          <cell r="J233">
            <v>30</v>
          </cell>
          <cell r="L233" t="str">
            <v>0933-546386</v>
          </cell>
          <cell r="M233">
            <v>0</v>
          </cell>
          <cell r="R233" t="b">
            <v>0</v>
          </cell>
          <cell r="S233" t="str"/>
          <cell r="T233" t="b">
            <v>0</v>
          </cell>
          <cell r="W233">
            <v>351</v>
          </cell>
          <cell r="X233" t="str">
            <v>苗栗縣頭份鎮蘆竹里11鄰134號。</v>
          </cell>
          <cell r="Y233" t="str">
            <v>苗栗縣頭份鎮</v>
          </cell>
          <cell r="Z233" t="str">
            <v>苗栗縣頭份鎮蘆竹里11鄰134號.</v>
          </cell>
          <cell r="AA233" t="str">
            <v>351苗栗縣頭份鎮蘆竹里11鄰134號。</v>
          </cell>
          <cell r="AK233" t="str">
            <v>LT-3553</v>
          </cell>
          <cell r="AL233" t="str">
            <v>1-0053-力璽&gt;寄&gt;匯款</v>
          </cell>
          <cell r="AM233" t="str">
            <v>1-0053</v>
          </cell>
        </row>
        <row r="234">
          <cell r="B234" t="str">
            <v>1-0229</v>
          </cell>
          <cell r="C234" t="str">
            <v>101-05-01</v>
          </cell>
          <cell r="D234" t="str">
            <v>1-0229-木瓜旅遊&gt;寄&gt;附回郵</v>
          </cell>
          <cell r="E234" t="str">
            <v>木瓜旅遊＞鄭香介</v>
          </cell>
          <cell r="F234" t="str">
            <v>木瓜旅遊(2259)</v>
          </cell>
          <cell r="G234" t="str">
            <v>未稅</v>
          </cell>
          <cell r="H234" t="str">
            <v>寄＞附回郵＞</v>
          </cell>
          <cell r="I234" t="str">
            <v>未稅</v>
          </cell>
          <cell r="J234">
            <v>30</v>
          </cell>
          <cell r="L234" t="str">
            <v>03-5926231＞0910-170377＞0936-337703</v>
          </cell>
          <cell r="M234">
            <v>0</v>
          </cell>
          <cell r="R234" t="b">
            <v>0</v>
          </cell>
          <cell r="S234" t="str"/>
          <cell r="T234" t="b">
            <v>0</v>
          </cell>
          <cell r="W234">
            <v>307</v>
          </cell>
          <cell r="X234" t="str">
            <v>新竹縣芎林鄉文山路663巷8號。</v>
          </cell>
          <cell r="Y234" t="str">
            <v>新竹縣芎林鄉</v>
          </cell>
          <cell r="Z234" t="str">
            <v>新竹縣芎林鄉文山路663巷8號.</v>
          </cell>
          <cell r="AA234" t="str">
            <v>307新竹縣芎林鄉文山路663巷8號。</v>
          </cell>
          <cell r="AK234" t="str">
            <v>553-TZ</v>
          </cell>
          <cell r="AL234" t="str">
            <v>1-0811-(2/2)宜群企業&gt;寄&gt;附發票&gt;附回郵</v>
          </cell>
          <cell r="AM234" t="str">
            <v>1-0811</v>
          </cell>
        </row>
        <row r="235">
          <cell r="B235" t="str">
            <v>1-0230</v>
          </cell>
          <cell r="C235" t="str">
            <v>101-05-01</v>
          </cell>
          <cell r="D235" t="str">
            <v>1-0230-大東&gt;寄&gt;附回郵</v>
          </cell>
          <cell r="E235" t="str">
            <v>薛士良＞靠行:大東汽車貨運股份有限公司,負:賴淑娟</v>
          </cell>
          <cell r="F235" t="str">
            <v>薛士良(230)</v>
          </cell>
          <cell r="G235" t="str">
            <v>未稅</v>
          </cell>
          <cell r="H235" t="str">
            <v>寄＞附回郵＞</v>
          </cell>
          <cell r="I235" t="str">
            <v>未稅</v>
          </cell>
          <cell r="J235">
            <v>30</v>
          </cell>
          <cell r="K235" t="str">
            <v>4152＞4207＞未稅</v>
          </cell>
          <cell r="L235" t="str">
            <v>039-507480＞0910-058452</v>
          </cell>
          <cell r="M235">
            <v>0</v>
          </cell>
          <cell r="O235">
            <v>45</v>
          </cell>
          <cell r="P235">
            <v>2</v>
          </cell>
          <cell r="Q235">
            <v>26</v>
          </cell>
          <cell r="R235">
            <v>66</v>
          </cell>
          <cell r="S235">
            <v>56</v>
          </cell>
          <cell r="T235">
            <v>20511</v>
          </cell>
          <cell r="U235" t="str">
            <v>G120601233</v>
          </cell>
          <cell r="V235" t="str">
            <v>薛士良</v>
          </cell>
          <cell r="W235">
            <v>268</v>
          </cell>
          <cell r="X235" t="str">
            <v>宜蘭縣五結鄉日新街2號＞登:宜蘭縣羅東鎮東安里黎明街28號1樓。</v>
          </cell>
          <cell r="Y235" t="str">
            <v>宜蘭縣五結鄉</v>
          </cell>
          <cell r="Z235" t="str">
            <v>宜蘭縣五結鄉日新街2號.</v>
          </cell>
          <cell r="AA235" t="str">
            <v>268宜蘭縣五結鄉日新街2號＞登:宜蘭縣羅東鎮東安里黎明街28號1樓。</v>
          </cell>
          <cell r="AK235" t="str">
            <v>192-VB</v>
          </cell>
          <cell r="AL235" t="str">
            <v>1-0054-(1/2)美聖&gt;寄&gt;附發票&gt;附回郵</v>
          </cell>
          <cell r="AM235" t="str">
            <v>1-0054</v>
          </cell>
        </row>
        <row r="236">
          <cell r="B236" t="str">
            <v>1-0231</v>
          </cell>
          <cell r="C236" t="str">
            <v>101-05-01</v>
          </cell>
          <cell r="D236" t="str">
            <v>1-0231-建龍&gt;寄&gt;附發票&gt;附回郵</v>
          </cell>
          <cell r="E236" t="str">
            <v>建龍商行＞負:賴建彬＞廢輪胎回收</v>
          </cell>
          <cell r="F236" t="str">
            <v>建龍商行(231)</v>
          </cell>
          <cell r="G236" t="str">
            <v>稅外</v>
          </cell>
          <cell r="H236" t="str">
            <v>寄＞附發票＞附回郵＞</v>
          </cell>
          <cell r="I236" t="str">
            <v>4563＞4155＞稅外</v>
          </cell>
          <cell r="J236">
            <v>30</v>
          </cell>
          <cell r="L236" t="str">
            <v>0910-923323</v>
          </cell>
          <cell r="M236">
            <v>0</v>
          </cell>
          <cell r="R236" t="b">
            <v>0</v>
          </cell>
          <cell r="S236" t="str"/>
          <cell r="T236" t="b">
            <v>0</v>
          </cell>
          <cell r="W236">
            <v>368</v>
          </cell>
          <cell r="X236" t="str">
            <v>苗栗縣西湖鄉湖東村9鄰埔頂10-21號。</v>
          </cell>
          <cell r="Y236" t="str">
            <v>苗栗縣西湖鄉</v>
          </cell>
          <cell r="Z236" t="str">
            <v>苗栗縣西湖鄉湖東村9鄰埔頂10之21號.</v>
          </cell>
          <cell r="AA236" t="str">
            <v>368苗栗縣西湖鄉湖東村9鄰埔頂10-21號。</v>
          </cell>
          <cell r="AK236" t="str">
            <v>132-Q2</v>
          </cell>
          <cell r="AL236" t="str">
            <v>1-0054-(1/2)美聖&gt;寄&gt;附發票&gt;附回郵</v>
          </cell>
          <cell r="AM236" t="str">
            <v>1-0054</v>
          </cell>
        </row>
        <row r="237">
          <cell r="B237" t="str">
            <v>1-0232</v>
          </cell>
          <cell r="C237" t="str">
            <v>109-02-17</v>
          </cell>
          <cell r="D237" t="str">
            <v>1-0232-鴻鑫&gt;寄&gt;附回郵</v>
          </cell>
          <cell r="E237" t="str">
            <v>鴻鑫輪胎有限公司</v>
          </cell>
          <cell r="F237" t="str">
            <v>鴻鑫輪胎有限公司(232)</v>
          </cell>
          <cell r="G237" t="str">
            <v>未稅</v>
          </cell>
          <cell r="H237" t="str">
            <v>寄＞附回郵＞</v>
          </cell>
          <cell r="I237" t="str">
            <v>未稅</v>
          </cell>
          <cell r="J237">
            <v>30</v>
          </cell>
          <cell r="L237" t="str">
            <v>02-29017980&gt;傳真:02-29018870</v>
          </cell>
          <cell r="M237">
            <v>0</v>
          </cell>
          <cell r="R237" t="b">
            <v>0</v>
          </cell>
          <cell r="S237" t="str"/>
          <cell r="T237" t="b">
            <v>0</v>
          </cell>
          <cell r="W237">
            <v>242</v>
          </cell>
          <cell r="X237" t="str">
            <v>新北市新莊區中正路508巷35弄75號</v>
          </cell>
          <cell r="Y237" t="str">
            <v>新北市新莊區</v>
          </cell>
          <cell r="Z237" t="str">
            <v>新北市新莊區中正路508巷35弄75號</v>
          </cell>
          <cell r="AA237" t="str">
            <v>242新北市新莊區中正路508巷35弄75號</v>
          </cell>
          <cell r="AK237" t="str">
            <v>223-VB</v>
          </cell>
          <cell r="AL237" t="str">
            <v>1-0054-(1/2)美聖&gt;寄&gt;附發票&gt;附回郵</v>
          </cell>
          <cell r="AM237" t="str">
            <v>1-0054</v>
          </cell>
        </row>
        <row r="238">
          <cell r="B238" t="str">
            <v>1-0233</v>
          </cell>
          <cell r="C238" t="str">
            <v>101-05-01</v>
          </cell>
          <cell r="D238" t="str">
            <v>1-0233-鉅鋒&gt;寄&gt;附發票&gt;附回郵</v>
          </cell>
          <cell r="E238" t="str">
            <v>鉅鋒汽車貨運有限公司＞負:彭泉河</v>
          </cell>
          <cell r="F238" t="str">
            <v>鉅鋒汽車貨運有限公司(233)</v>
          </cell>
          <cell r="G238" t="str">
            <v>稅外</v>
          </cell>
          <cell r="H238" t="str">
            <v>寄＞附發票＞附回郵＞</v>
          </cell>
          <cell r="I238" t="str">
            <v>8990＞1833＞稅外</v>
          </cell>
          <cell r="J238">
            <v>30</v>
          </cell>
          <cell r="L238" t="str">
            <v>03-5903570＞0936-396570</v>
          </cell>
          <cell r="M238">
            <v>0</v>
          </cell>
          <cell r="R238" t="b">
            <v>0</v>
          </cell>
          <cell r="S238" t="str"/>
          <cell r="T238" t="b">
            <v>0</v>
          </cell>
          <cell r="W238">
            <v>303</v>
          </cell>
          <cell r="X238" t="str">
            <v>新竹縣湖口鄉中山路三段227號＞登:新竹縣湖口鄉中正村中正路2段355號1樓。</v>
          </cell>
          <cell r="Y238" t="str">
            <v>新竹縣湖口鄉</v>
          </cell>
          <cell r="Z238" t="str">
            <v>新竹縣湖口鄉中山路三段227號.</v>
          </cell>
          <cell r="AA238" t="str">
            <v>303新竹縣湖口鄉中山路三段227號＞登:新竹縣湖口鄉中正村中正路2段355號1樓。</v>
          </cell>
          <cell r="AK238" t="str">
            <v>797-VN</v>
          </cell>
          <cell r="AL238" t="str">
            <v>1-0054-(1/2)美聖&gt;寄&gt;附發票&gt;附回郵</v>
          </cell>
          <cell r="AM238" t="str">
            <v>1-0054</v>
          </cell>
        </row>
        <row r="239">
          <cell r="B239" t="str">
            <v>1-0234</v>
          </cell>
          <cell r="C239" t="str">
            <v>101-05-01</v>
          </cell>
          <cell r="D239" t="str">
            <v>1-0234-小龍女&gt;楊鎮銨&gt;電&gt;自結</v>
          </cell>
          <cell r="E239" t="str">
            <v>小龍女＞楊鎮銨</v>
          </cell>
          <cell r="F239" t="str">
            <v>小龍女(234)</v>
          </cell>
          <cell r="G239" t="str">
            <v>未稅</v>
          </cell>
          <cell r="H239" t="str">
            <v>電＞自結＞</v>
          </cell>
          <cell r="I239" t="str">
            <v>未稅</v>
          </cell>
          <cell r="J239">
            <v>30</v>
          </cell>
          <cell r="L239" t="str">
            <v>037-</v>
          </cell>
          <cell r="M239">
            <v>0</v>
          </cell>
          <cell r="R239" t="b">
            <v>0</v>
          </cell>
          <cell r="S239" t="str"/>
          <cell r="T239" t="b">
            <v>0</v>
          </cell>
          <cell r="Y239" t="str"/>
          <cell r="AA239" t="str"/>
          <cell r="AK239" t="str">
            <v>1157-B8</v>
          </cell>
          <cell r="AL239" t="str">
            <v>1-0054-(1/2)美聖&gt;寄&gt;附發票&gt;附回郵</v>
          </cell>
          <cell r="AM239" t="str">
            <v>1-0054</v>
          </cell>
        </row>
        <row r="240">
          <cell r="B240" t="str">
            <v>1-0235</v>
          </cell>
          <cell r="C240" t="str">
            <v>101-05-01</v>
          </cell>
          <cell r="D240" t="str">
            <v>1-0235-冬瓜車隊&gt;寄&gt;附回郵</v>
          </cell>
          <cell r="E240" t="str">
            <v>陳世傑＞冬瓜聯隊＞靠行:源昌</v>
          </cell>
          <cell r="F240" t="str">
            <v>陳世傑(235)</v>
          </cell>
          <cell r="G240" t="str">
            <v>未稅</v>
          </cell>
          <cell r="H240" t="str">
            <v>寄＞附回郵＞</v>
          </cell>
          <cell r="I240" t="str">
            <v>未稅</v>
          </cell>
          <cell r="J240">
            <v>30</v>
          </cell>
          <cell r="L240" t="str">
            <v>02-29673569＞0913-301222</v>
          </cell>
          <cell r="M240">
            <v>0</v>
          </cell>
          <cell r="O240">
            <v>65</v>
          </cell>
          <cell r="P240">
            <v>1</v>
          </cell>
          <cell r="Q240">
            <v>6</v>
          </cell>
          <cell r="R240">
            <v>46</v>
          </cell>
          <cell r="S240">
            <v>76</v>
          </cell>
          <cell r="T240">
            <v>27765</v>
          </cell>
          <cell r="U240" t="str">
            <v>S122335311</v>
          </cell>
          <cell r="V240" t="str">
            <v>陳世傑</v>
          </cell>
          <cell r="W240">
            <v>220</v>
          </cell>
          <cell r="X240" t="str">
            <v>新北巿板橋區大仁街60巷6號3樓。</v>
          </cell>
          <cell r="Y240" t="str">
            <v>新北巿板橋區</v>
          </cell>
          <cell r="Z240" t="str">
            <v>新北巿板橋區大仁街60巷6號3樓.</v>
          </cell>
          <cell r="AA240" t="str">
            <v>220新北巿板橋區大仁街60巷6號3樓。</v>
          </cell>
          <cell r="AK240" t="str">
            <v>GO-558</v>
          </cell>
          <cell r="AL240" t="str">
            <v>1-0056-寬輾&gt;寄&gt;附回郵(1/3)</v>
          </cell>
          <cell r="AM240" t="str">
            <v>1-0056</v>
          </cell>
        </row>
        <row r="241">
          <cell r="B241" t="str">
            <v>1-0236</v>
          </cell>
          <cell r="C241" t="str">
            <v>101-05-01</v>
          </cell>
          <cell r="D241" t="str">
            <v>1-0236-聯旭&gt;寄&gt;附發票&gt;附回郵</v>
          </cell>
          <cell r="E241" t="str">
            <v>聯旭通運有限公司＞聯昱興&gt;負:吳宗益</v>
          </cell>
          <cell r="F241" t="str">
            <v>聯旭通運有限公司(236)</v>
          </cell>
          <cell r="G241" t="str">
            <v>含稅</v>
          </cell>
          <cell r="H241" t="str">
            <v>寄＞附發票＞附回郵.匯款張棟樑＞</v>
          </cell>
          <cell r="I241" t="str">
            <v>3449＞2763＞5386&gt;7234崴晟&gt;含稅</v>
          </cell>
          <cell r="J241">
            <v>30</v>
          </cell>
          <cell r="L241" t="str">
            <v>04-26886710＞0913-466578＞傳真04-26888327</v>
          </cell>
          <cell r="M241">
            <v>0</v>
          </cell>
          <cell r="R241" t="b">
            <v>0</v>
          </cell>
          <cell r="S241" t="str"/>
          <cell r="T241" t="b">
            <v>0</v>
          </cell>
          <cell r="W241">
            <v>437</v>
          </cell>
          <cell r="X241" t="str">
            <v>台中縣大甲鎮文曲路560-1號＞登:臺中市大甲區中山里9鄰甲后路55-37號。</v>
          </cell>
          <cell r="Y241" t="str">
            <v>台中縣大甲鎮</v>
          </cell>
          <cell r="Z241" t="str">
            <v>台中縣大甲鎮文曲路560之1號.</v>
          </cell>
          <cell r="AA241" t="str">
            <v>437台中縣大甲鎮文曲路560-1號＞登:臺中市大甲區中山里9鄰甲后路55-37號。</v>
          </cell>
          <cell r="AK241" t="str">
            <v>ABG-9723</v>
          </cell>
          <cell r="AL241" t="str">
            <v>1-0058-鑫能&gt;寄&gt;匯款</v>
          </cell>
          <cell r="AM241" t="str">
            <v>1-0058</v>
          </cell>
        </row>
        <row r="242">
          <cell r="B242" t="str">
            <v>1-0237</v>
          </cell>
          <cell r="C242" t="str">
            <v>101-05-01</v>
          </cell>
          <cell r="D242" t="str">
            <v>1-0237-陳阿田&gt;陸上運輸&gt;寄&gt;自結</v>
          </cell>
          <cell r="E242" t="str">
            <v>陸上運輸＞陳阿田</v>
          </cell>
          <cell r="F242" t="str">
            <v>陳阿田(237)</v>
          </cell>
          <cell r="G242" t="str">
            <v>未稅</v>
          </cell>
          <cell r="H242" t="str">
            <v>寄＞自結＞</v>
          </cell>
          <cell r="I242" t="str">
            <v>未稅</v>
          </cell>
          <cell r="J242">
            <v>30</v>
          </cell>
          <cell r="L242" t="str">
            <v>037-611924＞0910-026402</v>
          </cell>
          <cell r="M242">
            <v>0</v>
          </cell>
          <cell r="R242" t="b">
            <v>0</v>
          </cell>
          <cell r="S242" t="str"/>
          <cell r="T242" t="b">
            <v>0</v>
          </cell>
          <cell r="W242">
            <v>350</v>
          </cell>
          <cell r="X242" t="str">
            <v>苗栗縣竹南鎮公館里7鄰1-16號。</v>
          </cell>
          <cell r="Y242" t="str">
            <v>苗栗縣竹南鎮</v>
          </cell>
          <cell r="Z242" t="str">
            <v>苗栗縣竹南鎮公館里7鄰1之16號.</v>
          </cell>
          <cell r="AA242" t="str">
            <v>350苗栗縣竹南鎮公館里7鄰1-16號。</v>
          </cell>
          <cell r="AK242" t="str">
            <v>236-TU</v>
          </cell>
          <cell r="AL242" t="str">
            <v>1-0058-鑫能&gt;寄&gt;匯款</v>
          </cell>
          <cell r="AM242" t="str">
            <v>1-0058</v>
          </cell>
        </row>
        <row r="243">
          <cell r="B243" t="str">
            <v>1-0238</v>
          </cell>
          <cell r="C243" t="str">
            <v>101-05-01</v>
          </cell>
          <cell r="D243" t="str">
            <v>1-0238-泉奕&gt;寄&gt;附回郵</v>
          </cell>
          <cell r="E243" t="str">
            <v>泉奕國際貿易行＞負:黃茂泉</v>
          </cell>
          <cell r="F243" t="str">
            <v>泉奕國際貿易行(238)</v>
          </cell>
          <cell r="G243" t="str">
            <v>未稅</v>
          </cell>
          <cell r="H243" t="str">
            <v>寄＞附回郵＞</v>
          </cell>
          <cell r="I243" t="str">
            <v>未稅</v>
          </cell>
          <cell r="J243">
            <v>30</v>
          </cell>
          <cell r="K243" t="str">
            <v>0915＞6762＞未稅</v>
          </cell>
          <cell r="L243" t="str">
            <v>0932-527147</v>
          </cell>
          <cell r="M243">
            <v>0</v>
          </cell>
          <cell r="R243" t="b">
            <v>0</v>
          </cell>
          <cell r="S243" t="str"/>
          <cell r="T243" t="b">
            <v>0</v>
          </cell>
          <cell r="W243">
            <v>351</v>
          </cell>
          <cell r="X243" t="str">
            <v>苗栗縣頭份鎮後庄里文化街55號。</v>
          </cell>
          <cell r="Y243" t="str">
            <v>苗栗縣頭份鎮</v>
          </cell>
          <cell r="Z243" t="str">
            <v>苗栗縣頭份鎮後庄里文化街55號.</v>
          </cell>
          <cell r="AA243" t="str">
            <v>351苗栗縣頭份鎮後庄里文化街55號。</v>
          </cell>
          <cell r="AK243" t="str">
            <v>053-TD</v>
          </cell>
          <cell r="AL243" t="str">
            <v>1-0058-鑫能&gt;寄&gt;匯款</v>
          </cell>
          <cell r="AM243" t="str">
            <v>1-0058</v>
          </cell>
        </row>
        <row r="244">
          <cell r="B244" t="str">
            <v>1-0239</v>
          </cell>
          <cell r="C244" t="str">
            <v>101-05-01</v>
          </cell>
          <cell r="D244" t="str">
            <v>1-0239-鍾建文&gt;寄&gt;自結</v>
          </cell>
          <cell r="E244" t="str">
            <v>鍾建文＞靠行:豪瀚通運有限公司＞負:林文仁</v>
          </cell>
          <cell r="F244" t="str">
            <v>鍾建文(239)</v>
          </cell>
          <cell r="G244" t="str">
            <v>未稅</v>
          </cell>
          <cell r="H244" t="str">
            <v>寄＞自結＞</v>
          </cell>
          <cell r="I244" t="str">
            <v>未稅</v>
          </cell>
          <cell r="J244">
            <v>30</v>
          </cell>
          <cell r="K244" t="str">
            <v>7062＞7266＞未稅</v>
          </cell>
          <cell r="L244" t="str">
            <v>0492-896050＞0928-834994</v>
          </cell>
          <cell r="M244">
            <v>0</v>
          </cell>
          <cell r="O244">
            <v>68</v>
          </cell>
          <cell r="P244">
            <v>5</v>
          </cell>
          <cell r="Q244">
            <v>15</v>
          </cell>
          <cell r="R244">
            <v>42</v>
          </cell>
          <cell r="S244">
            <v>79</v>
          </cell>
          <cell r="T244">
            <v>28990</v>
          </cell>
          <cell r="U244" t="str">
            <v>M121432156</v>
          </cell>
          <cell r="V244" t="str">
            <v>鍾建文</v>
          </cell>
          <cell r="W244">
            <v>555</v>
          </cell>
          <cell r="X244" t="str">
            <v>南投縣魚池鄉東池村文武巷15-5號＞登:宜蘭縣宜蘭市復興里復興路1段81號1樓。</v>
          </cell>
          <cell r="Y244" t="str">
            <v>南投縣魚池鄉</v>
          </cell>
          <cell r="Z244" t="str">
            <v>南投縣魚池鄉東池村文武巷15之5號.</v>
          </cell>
          <cell r="AA244" t="str">
            <v>555南投縣魚池鄉東池村文武巷15-5號＞登:宜蘭縣宜蘭市復興里復興路1段81號1樓。</v>
          </cell>
          <cell r="AK244" t="str">
            <v>211-RW</v>
          </cell>
          <cell r="AL244" t="str">
            <v>1-0058-鑫能&gt;寄&gt;匯款</v>
          </cell>
          <cell r="AM244" t="str">
            <v>1-0058</v>
          </cell>
        </row>
        <row r="245">
          <cell r="B245" t="str">
            <v>1-0240</v>
          </cell>
          <cell r="C245" t="str">
            <v>101-05-01</v>
          </cell>
          <cell r="D245" t="str">
            <v>1-0240-聯盛&gt;寄&gt;附發票&gt;附回郵</v>
          </cell>
          <cell r="E245" t="str">
            <v>聯盛氣體工業股份有限公司＞負:古魁楨</v>
          </cell>
          <cell r="F245" t="str">
            <v>聯盛氣體工業股份有限公司(240)</v>
          </cell>
          <cell r="G245" t="str">
            <v>稅外</v>
          </cell>
          <cell r="H245" t="str">
            <v>寄＞附發票＞附回郵＞</v>
          </cell>
          <cell r="I245" t="str">
            <v>2779＞6071＞稅外</v>
          </cell>
          <cell r="J245">
            <v>30</v>
          </cell>
          <cell r="L245" t="str">
            <v>03-5380332＞傳真03-5388724</v>
          </cell>
          <cell r="M245">
            <v>0</v>
          </cell>
          <cell r="R245" t="b">
            <v>0</v>
          </cell>
          <cell r="S245" t="str"/>
          <cell r="T245" t="b">
            <v>0</v>
          </cell>
          <cell r="W245">
            <v>300</v>
          </cell>
          <cell r="X245" t="str">
            <v>新竹巿牛埔里牛埔南路219號。</v>
          </cell>
          <cell r="Y245" t="str">
            <v>新竹巿牛埔里</v>
          </cell>
          <cell r="Z245" t="str">
            <v>新竹巿牛埔里牛埔南路219號.</v>
          </cell>
          <cell r="AA245" t="str">
            <v>300新竹巿牛埔里牛埔南路219號。</v>
          </cell>
          <cell r="AK245" t="str">
            <v>035-TD</v>
          </cell>
          <cell r="AL245" t="str">
            <v>1-0058-鑫能&gt;寄&gt;匯款</v>
          </cell>
          <cell r="AM245" t="str">
            <v>1-0058</v>
          </cell>
        </row>
        <row r="246">
          <cell r="B246" t="str">
            <v>1-0241</v>
          </cell>
          <cell r="C246" t="str">
            <v>101-05-01</v>
          </cell>
          <cell r="D246" t="str">
            <v>1-0241-新安&gt;寄&gt;附發票&gt;附回郵</v>
          </cell>
          <cell r="E246" t="str">
            <v>新安起重有限公司＞新安起重行＞負:程富美</v>
          </cell>
          <cell r="F246" t="str">
            <v>新安起重有限公司(241)</v>
          </cell>
          <cell r="G246" t="str">
            <v>稅外</v>
          </cell>
          <cell r="H246" t="str">
            <v>寄＞附發票＞附回郵＞</v>
          </cell>
          <cell r="I246" t="str">
            <v>8014＞4388新安起重有限公司＞1732＞2259新安起重行＞稅外</v>
          </cell>
          <cell r="J246">
            <v>30</v>
          </cell>
          <cell r="L246" t="str">
            <v>03-4863000＞0919-350120陳立錡</v>
          </cell>
          <cell r="M246">
            <v>0</v>
          </cell>
          <cell r="R246" t="b">
            <v>0</v>
          </cell>
          <cell r="S246" t="str"/>
          <cell r="T246" t="b">
            <v>0</v>
          </cell>
          <cell r="W246">
            <v>327</v>
          </cell>
          <cell r="X246" t="str">
            <v>桃園縣新屋鄉永興村1鄰大牛欄142-3號＞登:新竹縣湖口鄉東興村7鄰長威新城50號1樓。</v>
          </cell>
          <cell r="Y246" t="str">
            <v>桃園縣新屋鄉</v>
          </cell>
          <cell r="Z246" t="str">
            <v>桃園縣新屋鄉永興村1鄰大牛欄142之3號.</v>
          </cell>
          <cell r="AA246" t="str">
            <v>327桃園縣新屋鄉永興村1鄰大牛欄142-3號＞登:新竹縣湖口鄉東興村7鄰長威新城50號1樓。</v>
          </cell>
          <cell r="AK246" t="str">
            <v>PJ-005</v>
          </cell>
          <cell r="AL246" t="str">
            <v>1-0058-鑫能&gt;寄&gt;匯款</v>
          </cell>
          <cell r="AM246" t="str">
            <v>1-0058</v>
          </cell>
        </row>
        <row r="247">
          <cell r="B247" t="str">
            <v>1-0242</v>
          </cell>
          <cell r="C247" t="str">
            <v>101-05-01</v>
          </cell>
          <cell r="D247" t="str">
            <v>1-0242-奕達&gt;寄&gt;附發票&gt;附回郵</v>
          </cell>
          <cell r="E247" t="str">
            <v>奕達企業社＞負:陳治愷</v>
          </cell>
          <cell r="F247" t="str">
            <v>奕達企業社(242)</v>
          </cell>
          <cell r="G247" t="str">
            <v>稅外</v>
          </cell>
          <cell r="H247" t="str">
            <v>寄＞附發票＞附回郵＞</v>
          </cell>
          <cell r="I247" t="str">
            <v>4572＞6730＞稅外</v>
          </cell>
          <cell r="J247">
            <v>30</v>
          </cell>
          <cell r="L247" t="str">
            <v>037-467368＞0982-523679＞0910-024779＞0982-523679</v>
          </cell>
          <cell r="M247">
            <v>0</v>
          </cell>
          <cell r="O247">
            <v>45</v>
          </cell>
          <cell r="P247">
            <v>1</v>
          </cell>
          <cell r="Q247">
            <v>15</v>
          </cell>
          <cell r="R247">
            <v>66</v>
          </cell>
          <cell r="S247">
            <v>56</v>
          </cell>
          <cell r="T247">
            <v>20469</v>
          </cell>
          <cell r="U247" t="str">
            <v>J121190311</v>
          </cell>
          <cell r="V247" t="str">
            <v>陳治愷</v>
          </cell>
          <cell r="W247">
            <v>350</v>
          </cell>
          <cell r="X247" t="str">
            <v>苗栗縣竹南鎮大厝里24鄰國昌街199號。</v>
          </cell>
          <cell r="Y247" t="str">
            <v>苗栗縣竹南鎮</v>
          </cell>
          <cell r="Z247" t="str">
            <v>苗栗縣竹南鎮大厝里24鄰國昌街199號.</v>
          </cell>
          <cell r="AA247" t="str">
            <v>350苗栗縣竹南鎮大厝里24鄰國昌街199號。</v>
          </cell>
          <cell r="AK247" t="str">
            <v>048-QP</v>
          </cell>
          <cell r="AL247" t="str">
            <v>1-0058-鑫能&gt;寄&gt;匯款</v>
          </cell>
          <cell r="AM247" t="str">
            <v>1-0058</v>
          </cell>
        </row>
        <row r="248">
          <cell r="B248" t="str">
            <v>1-0243</v>
          </cell>
          <cell r="C248" t="str">
            <v>101-05-01</v>
          </cell>
          <cell r="D248" t="str">
            <v>1-0243-春泰&gt;寄&gt;附發票&gt;2個月後匯款</v>
          </cell>
          <cell r="E248" t="str">
            <v>春泰清潔有限公司＞負:鍾秀英</v>
          </cell>
          <cell r="F248" t="str">
            <v>春泰清潔有限公司(243)</v>
          </cell>
          <cell r="G248" t="str">
            <v>含稅</v>
          </cell>
          <cell r="H248" t="str">
            <v>寄＞附發票＞匯款2028936＞</v>
          </cell>
          <cell r="I248" t="str">
            <v>2320＞4998＞含稅＞中華全佑</v>
          </cell>
          <cell r="J248">
            <v>30</v>
          </cell>
          <cell r="L248" t="str">
            <v>037-633744＞0932-527394鍾秀英＞傳真037-623911</v>
          </cell>
          <cell r="M248">
            <v>0</v>
          </cell>
          <cell r="R248" t="b">
            <v>0</v>
          </cell>
          <cell r="S248" t="str"/>
          <cell r="T248" t="b">
            <v>0</v>
          </cell>
          <cell r="W248">
            <v>350</v>
          </cell>
          <cell r="X248" t="str">
            <v>苗栗縣竹南鎮山佳里17鄰四維街64號。</v>
          </cell>
          <cell r="Y248" t="str">
            <v>苗栗縣竹南鎮</v>
          </cell>
          <cell r="Z248" t="str">
            <v>苗栗縣竹南鎮山佳里17鄰四維街64號.</v>
          </cell>
          <cell r="AA248" t="str">
            <v>350苗栗縣竹南鎮山佳里17鄰四維街64號。</v>
          </cell>
          <cell r="AK248" t="str">
            <v>927-W8</v>
          </cell>
          <cell r="AL248" t="str">
            <v>1-0058-鑫能&gt;寄&gt;匯款</v>
          </cell>
          <cell r="AM248" t="str">
            <v>1-0058</v>
          </cell>
        </row>
        <row r="249">
          <cell r="B249" t="str">
            <v>1-0244</v>
          </cell>
          <cell r="C249" t="str">
            <v>101-05-01</v>
          </cell>
          <cell r="D249" t="str">
            <v>1-0244-瑾旺&gt;寄&gt;附發票</v>
          </cell>
          <cell r="E249" t="str">
            <v>瑾旺遊覽公司＞負:劉邦奕＞戴德才</v>
          </cell>
          <cell r="F249" t="str">
            <v>瑾旺遊覽公司(244)</v>
          </cell>
          <cell r="G249" t="str">
            <v>未稅</v>
          </cell>
          <cell r="H249" t="str">
            <v>寄＞附回郵＞</v>
          </cell>
          <cell r="I249" t="str">
            <v>未稅</v>
          </cell>
          <cell r="J249">
            <v>30</v>
          </cell>
          <cell r="K249" t="str">
            <v>9692＞1150＞未稅</v>
          </cell>
          <cell r="L249" t="str">
            <v>03-5868150＞0911-257255＞傳真03-5860787</v>
          </cell>
          <cell r="M249">
            <v>0</v>
          </cell>
          <cell r="R249" t="b">
            <v>0</v>
          </cell>
          <cell r="S249" t="str"/>
          <cell r="T249" t="b">
            <v>0</v>
          </cell>
          <cell r="W249">
            <v>306</v>
          </cell>
          <cell r="X249" t="str">
            <v>新竹縣關西鎮南和里下南片130巷22號＞登:新竹縣竹東鎮東寧里惠安街5號1樓。</v>
          </cell>
          <cell r="Y249" t="str">
            <v>新竹縣關西鎮</v>
          </cell>
          <cell r="Z249" t="str">
            <v>新竹縣關西鎮南和里下南片130巷22號.</v>
          </cell>
          <cell r="AA249" t="str">
            <v>306新竹縣關西鎮南和里下南片130巷22號＞登:新竹縣竹東鎮東寧里惠安街5號1樓。</v>
          </cell>
          <cell r="AK249" t="str">
            <v>8389-NA</v>
          </cell>
          <cell r="AL249" t="str">
            <v>1-0065-台澄&gt;郭董&gt;寄&gt;老闆親收</v>
          </cell>
          <cell r="AM249" t="str">
            <v>1-0065</v>
          </cell>
        </row>
        <row r="250">
          <cell r="B250" t="str">
            <v>1-0245</v>
          </cell>
          <cell r="C250" t="str">
            <v>101-05-01</v>
          </cell>
          <cell r="D250" t="str">
            <v>1-0245-佳家&gt;寄&gt;親收</v>
          </cell>
          <cell r="E250" t="str">
            <v>佳家汽車護車中心＞負:吳文和</v>
          </cell>
          <cell r="F250" t="str">
            <v>佳家汽車護車中心(245)</v>
          </cell>
          <cell r="G250" t="str">
            <v>未稅</v>
          </cell>
          <cell r="H250" t="str">
            <v>寄＞親收＞</v>
          </cell>
          <cell r="I250" t="str">
            <v>未稅</v>
          </cell>
          <cell r="J250">
            <v>30</v>
          </cell>
          <cell r="K250" t="str">
            <v>1421＞9289＞未稅</v>
          </cell>
          <cell r="L250" t="str">
            <v>037-460321＞0936-793546</v>
          </cell>
          <cell r="M250">
            <v>0</v>
          </cell>
          <cell r="R250" t="b">
            <v>0</v>
          </cell>
          <cell r="S250" t="str"/>
          <cell r="T250" t="b">
            <v>0</v>
          </cell>
          <cell r="W250">
            <v>350</v>
          </cell>
          <cell r="X250" t="str">
            <v>苗栗縣竹南鎮港墘里12鄰塭內38號＞登:苗栗縣竹南鎮海口里19鄰保安林15-13號。</v>
          </cell>
          <cell r="Y250" t="str">
            <v>苗栗縣竹南鎮</v>
          </cell>
          <cell r="Z250" t="str">
            <v>苗栗縣竹南鎮港墘里12鄰塭內38號.</v>
          </cell>
          <cell r="AA250" t="str">
            <v>350苗栗縣竹南鎮港墘里12鄰塭內38號＞登:苗栗縣竹南鎮海口里19鄰保安林15-13號。</v>
          </cell>
          <cell r="AK250" t="str">
            <v>965-Q2</v>
          </cell>
          <cell r="AL250" t="str">
            <v>1-0065-台澄&gt;郭董&gt;寄&gt;老闆親收</v>
          </cell>
          <cell r="AM250" t="str">
            <v>1-0065</v>
          </cell>
        </row>
        <row r="251">
          <cell r="B251" t="str">
            <v>1-0246</v>
          </cell>
          <cell r="C251" t="str">
            <v>101-05-01</v>
          </cell>
          <cell r="D251" t="str">
            <v>1-0246-緯榮&gt;寄&gt;附發票&gt;附回郵</v>
          </cell>
          <cell r="E251" t="str">
            <v>緯榮交通有限公司＞負:林大欽＞陳清揚</v>
          </cell>
          <cell r="F251" t="str">
            <v>緯榮交通有限公司(246)</v>
          </cell>
          <cell r="G251" t="str">
            <v>稅外</v>
          </cell>
          <cell r="H251" t="str">
            <v>寄＞附發票＞附回郵＞</v>
          </cell>
          <cell r="I251" t="str">
            <v>3751＞2355＞稅外</v>
          </cell>
          <cell r="J251">
            <v>30</v>
          </cell>
          <cell r="L251" t="str">
            <v>03-5555105＞03-5511606＞傳真03-5516323</v>
          </cell>
          <cell r="M251">
            <v>0</v>
          </cell>
          <cell r="R251" t="b">
            <v>0</v>
          </cell>
          <cell r="S251" t="str"/>
          <cell r="T251" t="b">
            <v>0</v>
          </cell>
          <cell r="W251">
            <v>302</v>
          </cell>
          <cell r="X251" t="str">
            <v>新竹縣竹北市大眉里4鄰中華路1225號。</v>
          </cell>
          <cell r="Y251" t="str">
            <v>新竹縣竹北市</v>
          </cell>
          <cell r="Z251" t="str">
            <v>新竹縣竹北市大眉里4鄰中華路1225號.</v>
          </cell>
          <cell r="AA251" t="str">
            <v>302新竹縣竹北市大眉里4鄰中華路1225號。</v>
          </cell>
          <cell r="AK251" t="str">
            <v>LAG-962</v>
          </cell>
          <cell r="AL251" t="str">
            <v>1-0546-慈揚&gt;賴進烈&gt;寄&gt;1個月15號匯款</v>
          </cell>
          <cell r="AM251" t="str">
            <v>1-0546</v>
          </cell>
        </row>
        <row r="252">
          <cell r="B252" t="str">
            <v>1-0247</v>
          </cell>
          <cell r="C252" t="str">
            <v>101-05-01</v>
          </cell>
          <cell r="D252" t="str">
            <v>1-0247-傅金喜&gt;寄&gt;附回郵</v>
          </cell>
          <cell r="E252" t="str">
            <v>傅金喜</v>
          </cell>
          <cell r="F252" t="str">
            <v>傅金喜(247)</v>
          </cell>
          <cell r="G252" t="str">
            <v>未稅</v>
          </cell>
          <cell r="H252" t="str">
            <v>寄＞附回郵＞</v>
          </cell>
          <cell r="I252" t="str">
            <v>未稅</v>
          </cell>
          <cell r="J252">
            <v>30</v>
          </cell>
          <cell r="L252" t="str">
            <v>037-634005＞0910-451892</v>
          </cell>
          <cell r="M252">
            <v>0</v>
          </cell>
          <cell r="O252">
            <v>52</v>
          </cell>
          <cell r="P252">
            <v>11</v>
          </cell>
          <cell r="Q252">
            <v>30</v>
          </cell>
          <cell r="R252">
            <v>58</v>
          </cell>
          <cell r="S252">
            <v>63</v>
          </cell>
          <cell r="T252">
            <v>23345</v>
          </cell>
          <cell r="U252" t="str">
            <v>K120942401</v>
          </cell>
          <cell r="V252" t="str">
            <v>傅金喜</v>
          </cell>
          <cell r="W252">
            <v>351</v>
          </cell>
          <cell r="X252" t="str">
            <v>苗栗縣頭份鎮後庄里14鄰復興街135號。</v>
          </cell>
          <cell r="Y252" t="str">
            <v>苗栗縣頭份鎮</v>
          </cell>
          <cell r="Z252" t="str">
            <v>苗栗縣頭份鎮後庄里14鄰復興街135號.</v>
          </cell>
          <cell r="AA252" t="str">
            <v>351苗栗縣頭份鎮後庄里14鄰復興街135號。</v>
          </cell>
          <cell r="AK252" t="str">
            <v>065-HY</v>
          </cell>
          <cell r="AL252" t="str">
            <v>1-0069-卓文湧&gt;天頂&gt;寄&gt;自結</v>
          </cell>
          <cell r="AM252" t="str">
            <v>1-0069</v>
          </cell>
        </row>
        <row r="253">
          <cell r="B253" t="str">
            <v>1-0248</v>
          </cell>
          <cell r="C253" t="str">
            <v>101-05-01</v>
          </cell>
          <cell r="D253" t="str">
            <v>1-0248-咏進&gt;寄&gt;附發票&gt;附回郵</v>
          </cell>
          <cell r="E253" t="str">
            <v>咏進水泥製品有限公司＞負:張春進</v>
          </cell>
          <cell r="F253" t="str">
            <v>咏進水泥製品有限公司(248)</v>
          </cell>
          <cell r="G253" t="str">
            <v>稅外</v>
          </cell>
          <cell r="H253" t="str">
            <v>寄＞附發票＞附回郵＞</v>
          </cell>
          <cell r="I253" t="str">
            <v>8661＞8778＞稅外</v>
          </cell>
          <cell r="J253">
            <v>30</v>
          </cell>
          <cell r="L253" t="str">
            <v>037-583977＞0918-555552＞0937-224595張春進＞傳真037-582667</v>
          </cell>
          <cell r="M253">
            <v>0</v>
          </cell>
          <cell r="R253" t="b">
            <v>0</v>
          </cell>
          <cell r="S253" t="str"/>
          <cell r="T253" t="b">
            <v>0</v>
          </cell>
          <cell r="W253">
            <v>350</v>
          </cell>
          <cell r="X253" t="str">
            <v>苗栗縣竹南鎮工業區仁愛路1445號＞登:苗栗縣竹南鎮營盤里建國路61號。</v>
          </cell>
          <cell r="Y253" t="str">
            <v>苗栗縣竹南鎮</v>
          </cell>
          <cell r="Z253" t="str">
            <v>苗栗縣竹南鎮工業區仁愛路1445號.</v>
          </cell>
          <cell r="AA253" t="str">
            <v>350苗栗縣竹南鎮工業區仁愛路1445號＞登:苗栗縣竹南鎮營盤里建國路61號。</v>
          </cell>
          <cell r="AK253" t="str">
            <v>837-V6</v>
          </cell>
          <cell r="AL253" t="str">
            <v>1-0118-金昌&gt;寄&gt;附發票&gt;附回郵</v>
          </cell>
          <cell r="AM253" t="str">
            <v>1-0118</v>
          </cell>
        </row>
        <row r="254">
          <cell r="B254" t="str">
            <v>1-0249</v>
          </cell>
          <cell r="C254" t="str">
            <v>101-05-01</v>
          </cell>
          <cell r="D254" t="str">
            <v>1-0249-陳正天&gt;寄&gt;自結</v>
          </cell>
          <cell r="E254" t="str">
            <v>陳正天＞靠行:藝豐通運有限公司,負:蕭崇吉</v>
          </cell>
          <cell r="F254" t="str">
            <v>陳正天(249)</v>
          </cell>
          <cell r="G254" t="str">
            <v>未稅</v>
          </cell>
          <cell r="H254" t="str">
            <v>寄＞自結＞</v>
          </cell>
          <cell r="I254" t="str">
            <v>未稅</v>
          </cell>
          <cell r="J254">
            <v>30</v>
          </cell>
          <cell r="K254" t="str">
            <v>1694＞8059＞未稅</v>
          </cell>
          <cell r="L254" t="str">
            <v>037-460732＞0913-939989</v>
          </cell>
          <cell r="M254">
            <v>0</v>
          </cell>
          <cell r="O254">
            <v>56</v>
          </cell>
          <cell r="P254">
            <v>2</v>
          </cell>
          <cell r="Q254">
            <v>20</v>
          </cell>
          <cell r="R254">
            <v>55</v>
          </cell>
          <cell r="S254">
            <v>67</v>
          </cell>
          <cell r="T254">
            <v>24523</v>
          </cell>
          <cell r="U254" t="str">
            <v>K120823250</v>
          </cell>
          <cell r="V254" t="str">
            <v>陳正天</v>
          </cell>
          <cell r="W254">
            <v>351</v>
          </cell>
          <cell r="X254" t="str">
            <v>苗栗縣頭份鎮銀河路194巷6號＞登:苗栗縣竹南鎮龍鳳里15鄰龍江街33巷33號1樓。</v>
          </cell>
          <cell r="Y254" t="str">
            <v>苗栗縣頭份鎮</v>
          </cell>
          <cell r="Z254" t="str">
            <v>苗栗縣頭份鎮銀河路194巷6號.</v>
          </cell>
          <cell r="AA254" t="str">
            <v>351苗栗縣頭份鎮銀河路194巷6號＞登:苗栗縣竹南鎮龍鳳里15鄰龍江街33巷33號1樓。</v>
          </cell>
          <cell r="AK254" t="str">
            <v>板06</v>
          </cell>
          <cell r="AL254" t="str">
            <v>1-0152-藝豐&gt;寄&gt;附發票</v>
          </cell>
          <cell r="AM254" t="str">
            <v>1-0152</v>
          </cell>
        </row>
        <row r="255">
          <cell r="B255" t="str">
            <v>1-0250</v>
          </cell>
          <cell r="C255" t="str">
            <v>101-05-01</v>
          </cell>
          <cell r="D255" t="str">
            <v>1-0250-捷民&gt;寄&gt;附回郵</v>
          </cell>
          <cell r="E255" t="str">
            <v>捷民交通有限公司＞負:簡順盛</v>
          </cell>
          <cell r="F255" t="str">
            <v>捷民交通有限公司(250)</v>
          </cell>
          <cell r="G255" t="str">
            <v>未稅</v>
          </cell>
          <cell r="H255" t="str">
            <v>寄＞附回郵＞</v>
          </cell>
          <cell r="I255" t="str">
            <v>未稅</v>
          </cell>
          <cell r="J255">
            <v>30</v>
          </cell>
          <cell r="K255" t="str">
            <v>7068＞4060＞未稅</v>
          </cell>
          <cell r="L255" t="str">
            <v>03-3072525＞0927-039517＞0910-960899＞傳真03-3072526</v>
          </cell>
          <cell r="M255">
            <v>0</v>
          </cell>
          <cell r="R255" t="b">
            <v>0</v>
          </cell>
          <cell r="S255" t="str"/>
          <cell r="T255" t="b">
            <v>0</v>
          </cell>
          <cell r="W255">
            <v>335</v>
          </cell>
          <cell r="X255" t="str">
            <v>桃園縣大溪鎮南興里15鄰20-6號＞登:桃園縣大溪鎮一德里4鄰康莊路247號7樓。</v>
          </cell>
          <cell r="Y255" t="str">
            <v>桃園縣大溪鎮</v>
          </cell>
          <cell r="Z255" t="str">
            <v>桃園縣大溪鎮南興里15鄰20之6號.</v>
          </cell>
          <cell r="AA255" t="str">
            <v>335桃園縣大溪鎮南興里15鄰20-6號＞登:桃園縣大溪鎮一德里4鄰康莊路247號7樓。</v>
          </cell>
          <cell r="AK255" t="str">
            <v>280-W2</v>
          </cell>
          <cell r="AL255" t="str">
            <v>1-0381-越穩(越大)輪胎&gt;寄&gt;匯款</v>
          </cell>
          <cell r="AM255" t="str">
            <v>1-0381</v>
          </cell>
        </row>
        <row r="256">
          <cell r="B256" t="str">
            <v>1-0251</v>
          </cell>
          <cell r="C256" t="str">
            <v>101-05-01</v>
          </cell>
          <cell r="D256" t="str">
            <v>1-0251-笙泰&gt;寄&gt;附回郵</v>
          </cell>
          <cell r="E256" t="str">
            <v>笙泰企業社＞負:賴進發</v>
          </cell>
          <cell r="F256" t="str">
            <v>笙泰企業社(251)</v>
          </cell>
          <cell r="G256" t="str">
            <v>未稅</v>
          </cell>
          <cell r="H256" t="str">
            <v>寄＞附回郵＞</v>
          </cell>
          <cell r="I256" t="str">
            <v>未稅</v>
          </cell>
          <cell r="J256">
            <v>30</v>
          </cell>
          <cell r="K256" t="str">
            <v>4553＞9933＞未稅</v>
          </cell>
          <cell r="L256" t="str">
            <v>037-473418＞0928-331597＞傳真037-479617</v>
          </cell>
          <cell r="M256">
            <v>0</v>
          </cell>
          <cell r="R256" t="b">
            <v>0</v>
          </cell>
          <cell r="S256" t="str"/>
          <cell r="T256" t="b">
            <v>0</v>
          </cell>
          <cell r="W256">
            <v>350</v>
          </cell>
          <cell r="X256" t="str">
            <v>苗栗縣竹南鎮建國路12巷16號＞登:苗栗縣竹南鎮竹興里4鄰勤興街11巷16弄16號1樓。</v>
          </cell>
          <cell r="Y256" t="str">
            <v>苗栗縣竹南鎮</v>
          </cell>
          <cell r="Z256" t="str">
            <v>苗栗縣竹南鎮建國路12巷16號.</v>
          </cell>
          <cell r="AA256" t="str">
            <v>350苗栗縣竹南鎮建國路12巷16號＞登:苗栗縣竹南鎮竹興里4鄰勤興街11巷16弄16號1樓。</v>
          </cell>
          <cell r="AK256" t="str">
            <v>785-UW</v>
          </cell>
          <cell r="AL256" t="str">
            <v>1-0490-炘發&gt;寄&gt;附發票&gt;附回郵</v>
          </cell>
          <cell r="AM256" t="str">
            <v>1-0490</v>
          </cell>
        </row>
        <row r="257">
          <cell r="B257" t="str">
            <v>1-0252</v>
          </cell>
          <cell r="C257" t="str">
            <v>101-05-01</v>
          </cell>
          <cell r="D257" t="str">
            <v>1-0252-吉邦&gt;寄&gt;附發票&gt;附回郵</v>
          </cell>
          <cell r="E257" t="str">
            <v>吉邦通運股份有限公司＞負:彭水河</v>
          </cell>
          <cell r="F257" t="str">
            <v>吉邦通運股份有限公司(252)</v>
          </cell>
          <cell r="G257" t="str">
            <v>含稅</v>
          </cell>
          <cell r="H257" t="str">
            <v>寄＞附發票＞附回郵＞</v>
          </cell>
          <cell r="I257" t="str">
            <v>1653＞3615＞含稅</v>
          </cell>
          <cell r="J257">
            <v>30</v>
          </cell>
          <cell r="L257" t="str">
            <v>04-26565497＞傳真04-26560741</v>
          </cell>
          <cell r="M257">
            <v>0</v>
          </cell>
          <cell r="R257" t="b">
            <v>0</v>
          </cell>
          <cell r="S257" t="str"/>
          <cell r="T257" t="b">
            <v>0</v>
          </cell>
          <cell r="W257" t="e">
            <v>#N/A</v>
          </cell>
          <cell r="X257" t="str">
            <v>台中港郵政320號信箱＞登:臺中市梧棲區頂寮里臨港路3段662巷6號。</v>
          </cell>
          <cell r="Y257" t="str">
            <v>台中港郵政3</v>
          </cell>
          <cell r="Z257" t="str">
            <v>台中港郵政320號信箱.</v>
          </cell>
          <cell r="AA257" t="e">
            <v>#N/A</v>
          </cell>
          <cell r="AK257" t="str">
            <v>037-Q8</v>
          </cell>
          <cell r="AL257" t="str">
            <v>1-0658-順同&gt;尚泰行.弘舜&gt;寄&gt;附發票&gt;附回郵</v>
          </cell>
          <cell r="AM257" t="str">
            <v>1-0658</v>
          </cell>
        </row>
        <row r="258">
          <cell r="B258" t="str">
            <v>1-0253</v>
          </cell>
          <cell r="C258" t="str">
            <v>100-01-02</v>
          </cell>
          <cell r="D258" t="str">
            <v>1-0253-松發&gt;寄&gt;附發票&gt;附回郵</v>
          </cell>
          <cell r="E258" t="str">
            <v>松發企業社＞負:陳松年</v>
          </cell>
          <cell r="F258" t="str">
            <v>松發企業社(253)</v>
          </cell>
          <cell r="G258" t="str">
            <v>稅外</v>
          </cell>
          <cell r="H258" t="str">
            <v>寄＞附發票＞附回郵＞</v>
          </cell>
          <cell r="I258" t="str">
            <v>8075＞1427＞稅外</v>
          </cell>
          <cell r="J258">
            <v>30</v>
          </cell>
          <cell r="L258" t="str">
            <v>03-5875556＞0937-135102＞傳真03-5171922</v>
          </cell>
          <cell r="M258">
            <v>0</v>
          </cell>
          <cell r="O258">
            <v>63</v>
          </cell>
          <cell r="P258">
            <v>12</v>
          </cell>
          <cell r="Q258">
            <v>8</v>
          </cell>
          <cell r="R258">
            <v>47</v>
          </cell>
          <cell r="S258">
            <v>74</v>
          </cell>
          <cell r="T258">
            <v>27371</v>
          </cell>
          <cell r="U258" t="str">
            <v>J1220766615</v>
          </cell>
          <cell r="V258" t="str">
            <v>陳松年</v>
          </cell>
          <cell r="W258">
            <v>325</v>
          </cell>
          <cell r="X258" t="str">
            <v>新竹縣關西鎮東光里2鄰35-2號＞登:桃園縣龍潭鄉高原村6鄰福源路122號。</v>
          </cell>
          <cell r="Y258" t="str">
            <v>新竹縣關西鎮</v>
          </cell>
          <cell r="Z258" t="str">
            <v>新竹縣關西鎮東光里2鄰35-2號.</v>
          </cell>
          <cell r="AA258" t="str">
            <v>325新竹縣關西鎮東光里2鄰35-2號＞登:桃園縣龍潭鄉高原村6鄰福源路122號。</v>
          </cell>
          <cell r="AK258" t="str">
            <v>NT-58</v>
          </cell>
          <cell r="AL258" t="str">
            <v>1-0663-劉博塏.國鑫&gt;寄&gt;附發票&gt;匯款4392886.</v>
          </cell>
          <cell r="AM258" t="str">
            <v>1-0663</v>
          </cell>
        </row>
        <row r="259">
          <cell r="B259" t="str">
            <v>1-0254</v>
          </cell>
          <cell r="C259" t="str">
            <v>100-01-02</v>
          </cell>
          <cell r="D259" t="str">
            <v>1-0254-神將&gt;付現</v>
          </cell>
          <cell r="E259" t="str">
            <v>神將股份有限公司＞負:盧增興＞盧文忠</v>
          </cell>
          <cell r="F259" t="str">
            <v>神將股份有限公司(254)</v>
          </cell>
          <cell r="G259" t="str">
            <v>稅外</v>
          </cell>
          <cell r="H259" t="str">
            <v>付現</v>
          </cell>
          <cell r="I259" t="str">
            <v>8071＞3304＞稅外</v>
          </cell>
          <cell r="J259">
            <v>30</v>
          </cell>
          <cell r="L259" t="str">
            <v>037-726616＞0936-866812＞傳真037-722905</v>
          </cell>
          <cell r="M259">
            <v>0</v>
          </cell>
          <cell r="R259" t="b">
            <v>0</v>
          </cell>
          <cell r="S259" t="str"/>
          <cell r="T259" t="b">
            <v>0</v>
          </cell>
          <cell r="W259">
            <v>356</v>
          </cell>
          <cell r="X259" t="str">
            <v>苗栗縣後龍鎮南龍里19鄰勝利街247-13號。</v>
          </cell>
          <cell r="Y259" t="str">
            <v>苗栗縣後龍鎮</v>
          </cell>
          <cell r="Z259" t="str">
            <v>苗栗縣後龍鎮南龍里19鄰勝利街247之13號.</v>
          </cell>
          <cell r="AA259" t="str">
            <v>356苗栗縣後龍鎮南龍里19鄰勝利街247-13號。</v>
          </cell>
          <cell r="AK259" t="str">
            <v>823-W8</v>
          </cell>
          <cell r="AL259" t="str">
            <v>1-0056-寬輾&gt;寄&gt;附回郵(1/3)</v>
          </cell>
          <cell r="AM259" t="str">
            <v>1-0056</v>
          </cell>
        </row>
        <row r="260">
          <cell r="B260" t="str">
            <v>1-0255</v>
          </cell>
          <cell r="C260" t="str">
            <v>100-01-02</v>
          </cell>
          <cell r="D260" t="str">
            <v>1-0255-優泥&gt;寄&gt;附發票&gt;附回郵</v>
          </cell>
          <cell r="E260" t="str">
            <v>優泥企業有限公司＞負:張美媛</v>
          </cell>
          <cell r="F260" t="str">
            <v>優泥企業有限公司(255)</v>
          </cell>
          <cell r="G260" t="str">
            <v>稅外</v>
          </cell>
          <cell r="H260" t="str">
            <v>寄＞附發票＞附回郵＞</v>
          </cell>
          <cell r="I260" t="str">
            <v>7998＞9417＞稅外</v>
          </cell>
          <cell r="J260">
            <v>30</v>
          </cell>
          <cell r="L260" t="str">
            <v>037-923406＞0912-699818＞傳真037-923410</v>
          </cell>
          <cell r="M260">
            <v>0</v>
          </cell>
          <cell r="R260" t="b">
            <v>0</v>
          </cell>
          <cell r="S260" t="str"/>
          <cell r="T260" t="b">
            <v>0</v>
          </cell>
          <cell r="W260">
            <v>368</v>
          </cell>
          <cell r="X260" t="str">
            <v>苗栗縣西湖鄉二湖村8鄰斧頭坑12-5號。</v>
          </cell>
          <cell r="Y260" t="str">
            <v>苗栗縣西湖鄉</v>
          </cell>
          <cell r="Z260" t="str">
            <v>苗栗縣西湖鄉二湖村8鄰斧頭坑12之5號.</v>
          </cell>
          <cell r="AA260" t="str">
            <v>368苗栗縣西湖鄉二湖村8鄰斧頭坑12-5號。</v>
          </cell>
          <cell r="AK260" t="str">
            <v>L12-09-11</v>
          </cell>
          <cell r="AL260" t="str">
            <v>1-0162-鎰利&gt;鎰金&gt;鎰加&gt;寄&gt;附發票&gt;2個月匯款</v>
          </cell>
          <cell r="AM260" t="str">
            <v>1-0162</v>
          </cell>
        </row>
        <row r="261">
          <cell r="B261" t="str">
            <v>1-0256</v>
          </cell>
          <cell r="C261" t="str">
            <v>100-01-02</v>
          </cell>
          <cell r="D261" t="str">
            <v>1-0256-駿華&gt;寄&gt;自結</v>
          </cell>
          <cell r="E261" t="str">
            <v>駿華交通股份有限公司＞負:鍾秀琪＞朱明傳</v>
          </cell>
          <cell r="F261" t="str">
            <v>駿華交通股份有限公司(256)</v>
          </cell>
          <cell r="G261" t="str">
            <v>未稅</v>
          </cell>
          <cell r="H261" t="str">
            <v>寄＞自結＞</v>
          </cell>
          <cell r="I261" t="str">
            <v>未稅</v>
          </cell>
          <cell r="J261">
            <v>30</v>
          </cell>
          <cell r="K261" t="str">
            <v>4978＞6576＞未稅</v>
          </cell>
          <cell r="L261" t="str">
            <v>037-471572＞0928-911282老闆＞0928-911468老闆娘＞傳真037-471573</v>
          </cell>
          <cell r="M261">
            <v>0</v>
          </cell>
          <cell r="R261" t="b">
            <v>0</v>
          </cell>
          <cell r="S261" t="str"/>
          <cell r="T261" t="b">
            <v>0</v>
          </cell>
          <cell r="W261">
            <v>350</v>
          </cell>
          <cell r="X261" t="str">
            <v>苗栗縣竹南鎮大厝里真如路698號＞戶:苗栗縣後龍鎮中華路1013巷12號＞登:苗栗縣竹南鎮大厝里11鄰大營路147-1號。</v>
          </cell>
          <cell r="Y261" t="str">
            <v>苗栗縣竹南鎮</v>
          </cell>
          <cell r="Z261" t="str">
            <v>苗栗縣竹南鎮大厝里真如路698號.</v>
          </cell>
          <cell r="AA261" t="str">
            <v>350苗栗縣竹南鎮大厝里真如路698號＞戶:苗栗縣後龍鎮中華路1013巷12號＞登:苗栗縣竹南鎮大厝里11鄰大營路147-1號。</v>
          </cell>
          <cell r="AK261" t="str">
            <v>L12-09-2</v>
          </cell>
          <cell r="AL261" t="str">
            <v>1-0162-鎰利&gt;鎰金&gt;鎰加&gt;寄&gt;附發票&gt;2個月匯款</v>
          </cell>
          <cell r="AM261" t="str">
            <v>1-0162</v>
          </cell>
        </row>
        <row r="262">
          <cell r="B262" t="str">
            <v>1-0257</v>
          </cell>
          <cell r="C262" t="str">
            <v>100-01-02</v>
          </cell>
          <cell r="D262" t="str">
            <v>1-0257-古肇魁＞阿奎伯&gt;利汯&gt;電&gt;自結</v>
          </cell>
          <cell r="E262" t="str">
            <v>利汯商行＞負:古肇魁＞阿奎伯</v>
          </cell>
          <cell r="F262" t="str">
            <v>利汯商行(257)</v>
          </cell>
          <cell r="G262" t="str">
            <v>未稅</v>
          </cell>
          <cell r="H262" t="str">
            <v>電＞自結＞</v>
          </cell>
          <cell r="I262" t="str">
            <v>未稅</v>
          </cell>
          <cell r="J262">
            <v>30</v>
          </cell>
          <cell r="K262" t="str">
            <v>4540＞3485＞未稅</v>
          </cell>
          <cell r="L262" t="str">
            <v>0910-450837</v>
          </cell>
          <cell r="M262">
            <v>0</v>
          </cell>
          <cell r="R262" t="b">
            <v>0</v>
          </cell>
          <cell r="S262" t="str"/>
          <cell r="T262" t="b">
            <v>0</v>
          </cell>
          <cell r="W262">
            <v>356</v>
          </cell>
          <cell r="X262" t="str">
            <v>苗栗縣後龍鎮埔頂里17鄰厝勝路205-3號1樓。</v>
          </cell>
          <cell r="Y262" t="str">
            <v>苗栗縣後龍鎮</v>
          </cell>
          <cell r="Z262" t="str">
            <v>苗栗縣後龍鎮埔頂里17鄰厝勝路205之3號1樓.</v>
          </cell>
          <cell r="AA262" t="str">
            <v>356苗栗縣後龍鎮埔頂里17鄰厝勝路205-3號1樓。</v>
          </cell>
          <cell r="AK262" t="str">
            <v>236-Q6</v>
          </cell>
          <cell r="AL262" t="str">
            <v>1-0182-福海&gt;寄&gt;附回郵</v>
          </cell>
          <cell r="AM262" t="str">
            <v>1-0182</v>
          </cell>
        </row>
        <row r="263">
          <cell r="B263" t="str">
            <v>1-0258</v>
          </cell>
          <cell r="C263" t="str">
            <v>100-01-02</v>
          </cell>
          <cell r="D263" t="str">
            <v>1-0258-卓文進&gt;駿驊&gt;寄&gt;自結</v>
          </cell>
          <cell r="E263" t="str">
            <v>卓合進＞靠行:駿驊交通有限公司,負:黃國男</v>
          </cell>
          <cell r="F263" t="str">
            <v>卓合進(258)</v>
          </cell>
          <cell r="G263" t="str">
            <v>未稅</v>
          </cell>
          <cell r="H263" t="str">
            <v>寄＞自結＞</v>
          </cell>
          <cell r="I263" t="str">
            <v>未稅</v>
          </cell>
          <cell r="J263">
            <v>30</v>
          </cell>
          <cell r="K263" t="str">
            <v>8980＞6985＞未稅</v>
          </cell>
          <cell r="L263" t="str">
            <v>07010009695＞0981-396815＞0973-181086＞0973-181085</v>
          </cell>
          <cell r="M263">
            <v>0</v>
          </cell>
          <cell r="O263">
            <v>47</v>
          </cell>
          <cell r="P263">
            <v>8</v>
          </cell>
          <cell r="Q263">
            <v>29</v>
          </cell>
          <cell r="R263">
            <v>63</v>
          </cell>
          <cell r="S263">
            <v>58</v>
          </cell>
          <cell r="T263">
            <v>21426</v>
          </cell>
          <cell r="U263" t="str">
            <v>S121681270</v>
          </cell>
          <cell r="V263" t="str">
            <v>卓合進</v>
          </cell>
          <cell r="W263">
            <v>350</v>
          </cell>
          <cell r="X263" t="str">
            <v>苗栗縣竹南鎮龍山路332巷16號＞登:臺中市梧棲區南簡里18鄰大智路1段698號3樓。</v>
          </cell>
          <cell r="Y263" t="str">
            <v>苗栗縣竹南鎮</v>
          </cell>
          <cell r="Z263" t="str">
            <v>苗栗縣竹南鎮龍山路332巷16號.</v>
          </cell>
          <cell r="AA263" t="str">
            <v>350苗栗縣竹南鎮龍山路332巷16號＞登:臺中市梧棲區南簡里18鄰大智路1段698號3樓。</v>
          </cell>
          <cell r="AK263" t="str">
            <v>390-GF</v>
          </cell>
          <cell r="AL263" t="str">
            <v>1-0210-葉水發&gt;志松&gt;寄平信&gt;自結</v>
          </cell>
          <cell r="AM263" t="str">
            <v>1-0210</v>
          </cell>
        </row>
        <row r="264">
          <cell r="B264" t="str">
            <v>1-0259</v>
          </cell>
          <cell r="C264" t="str">
            <v>100-02-04</v>
          </cell>
          <cell r="D264" t="str">
            <v>1-0259-高東隆&gt;現&gt;電&gt;自結</v>
          </cell>
          <cell r="E264" t="str">
            <v>高東隆＞靠行:春池玻璃實業有限公司</v>
          </cell>
          <cell r="F264" t="str">
            <v>高東隆(259)</v>
          </cell>
          <cell r="G264" t="str">
            <v>稅外</v>
          </cell>
          <cell r="H264" t="str">
            <v>電＞自結＞</v>
          </cell>
          <cell r="I264" t="str">
            <v>4724＞4061＞稅外</v>
          </cell>
          <cell r="J264">
            <v>30</v>
          </cell>
          <cell r="L264" t="str">
            <v>0910-257359</v>
          </cell>
          <cell r="M264">
            <v>0</v>
          </cell>
          <cell r="O264">
            <v>47</v>
          </cell>
          <cell r="P264">
            <v>6</v>
          </cell>
          <cell r="Q264">
            <v>15</v>
          </cell>
          <cell r="R264">
            <v>63</v>
          </cell>
          <cell r="S264">
            <v>58</v>
          </cell>
          <cell r="T264">
            <v>21351</v>
          </cell>
          <cell r="U264" t="str">
            <v>J120252269</v>
          </cell>
          <cell r="V264" t="str">
            <v>高東隆</v>
          </cell>
          <cell r="W264">
            <v>300</v>
          </cell>
          <cell r="X264" t="str">
            <v>新竹巿竹蓮街166號。</v>
          </cell>
          <cell r="Y264" t="str">
            <v>新竹巿竹蓮街</v>
          </cell>
          <cell r="Z264" t="str">
            <v>新竹巿竹蓮街166號.</v>
          </cell>
          <cell r="AA264" t="str">
            <v>300新竹巿竹蓮街166號。</v>
          </cell>
          <cell r="AK264" t="str">
            <v>RAL-8012</v>
          </cell>
          <cell r="AL264" t="str">
            <v>1-0223-禎祥&gt;寄&gt;附發票&gt;附回郵</v>
          </cell>
          <cell r="AM264" t="str">
            <v>1-0223</v>
          </cell>
        </row>
        <row r="265">
          <cell r="B265" t="str">
            <v>1-0260</v>
          </cell>
          <cell r="C265" t="str">
            <v>100-02-04</v>
          </cell>
          <cell r="D265" t="str">
            <v>1-0260-曾士豪(兩斤)&gt;正欣&gt;寄&gt;匯款</v>
          </cell>
          <cell r="E265" t="str">
            <v>曾士豪＞兩斤＞靠行:正欣貨運</v>
          </cell>
          <cell r="F265" t="str">
            <v>曾士豪(260)</v>
          </cell>
          <cell r="G265" t="str">
            <v>未稅</v>
          </cell>
          <cell r="H265" t="str">
            <v>寄＞匯款5292084＞</v>
          </cell>
          <cell r="I265" t="str">
            <v>未稅</v>
          </cell>
          <cell r="J265">
            <v>30</v>
          </cell>
          <cell r="K265" t="str">
            <v>1921＞3313＞未稅</v>
          </cell>
          <cell r="L265" t="str">
            <v>037-752574＞0939-669521</v>
          </cell>
          <cell r="M265" t="str">
            <v>2-0156</v>
          </cell>
          <cell r="O265">
            <v>67</v>
          </cell>
          <cell r="P265">
            <v>11</v>
          </cell>
          <cell r="Q265">
            <v>3</v>
          </cell>
          <cell r="R265">
            <v>43</v>
          </cell>
          <cell r="S265">
            <v>78</v>
          </cell>
          <cell r="T265">
            <v>28797</v>
          </cell>
          <cell r="U265" t="str">
            <v>K121831630</v>
          </cell>
          <cell r="V265" t="str">
            <v>曾士豪</v>
          </cell>
          <cell r="W265">
            <v>357</v>
          </cell>
          <cell r="X265" t="str">
            <v>苗栗縣通霄鎮烏梅里4鄰56號＞苗栗縣通霄鎮平元里平新二路39號＞登:苗栗縣苗栗市恭敬里14鄰中正路1212號1樓。</v>
          </cell>
          <cell r="Y265" t="str">
            <v>苗栗縣通霄鎮</v>
          </cell>
          <cell r="Z265" t="str">
            <v>苗栗縣通霄鎮烏梅里4鄰56號.</v>
          </cell>
          <cell r="AA265" t="str">
            <v>357苗栗縣通霄鎮烏梅里4鄰56號＞苗栗縣通霄鎮平元里平新二路39號＞登:苗栗縣苗栗市恭敬里14鄰中正路1212號1樓。</v>
          </cell>
          <cell r="AK265" t="str">
            <v>113-V6</v>
          </cell>
          <cell r="AL265" t="str">
            <v>1-0370-驊泰&gt;寄&gt;附發票&gt;附回郵</v>
          </cell>
          <cell r="AM265" t="str">
            <v>1-0370</v>
          </cell>
        </row>
        <row r="266">
          <cell r="B266" t="str">
            <v>1-0261</v>
          </cell>
          <cell r="C266" t="str">
            <v>100-02-04</v>
          </cell>
          <cell r="D266" t="str">
            <v>1-0261-戴聰明&gt;寄&gt;自結</v>
          </cell>
          <cell r="E266" t="str">
            <v>戴聰明</v>
          </cell>
          <cell r="F266" t="str">
            <v>戴聰明(261)</v>
          </cell>
          <cell r="G266" t="str">
            <v>未稅</v>
          </cell>
          <cell r="H266" t="str">
            <v>寄＞自結＞</v>
          </cell>
          <cell r="I266" t="str">
            <v>未稅</v>
          </cell>
          <cell r="J266">
            <v>30</v>
          </cell>
          <cell r="L266" t="str">
            <v>0985-236199</v>
          </cell>
          <cell r="M266">
            <v>0</v>
          </cell>
          <cell r="O266">
            <v>41</v>
          </cell>
          <cell r="P266">
            <v>10</v>
          </cell>
          <cell r="Q266">
            <v>5</v>
          </cell>
          <cell r="R266">
            <v>69</v>
          </cell>
          <cell r="S266">
            <v>52</v>
          </cell>
          <cell r="T266">
            <v>19272</v>
          </cell>
          <cell r="U266" t="str">
            <v>D101279361</v>
          </cell>
          <cell r="V266" t="str">
            <v>戴聰明</v>
          </cell>
          <cell r="W266">
            <v>709</v>
          </cell>
          <cell r="X266" t="str">
            <v>台南巿安南區海環街554號。</v>
          </cell>
          <cell r="Y266" t="str">
            <v>台南巿安南區</v>
          </cell>
          <cell r="Z266" t="str">
            <v>台南巿安南區海環街554號.</v>
          </cell>
          <cell r="AA266" t="str">
            <v>709台南巿安南區海環街554號。</v>
          </cell>
          <cell r="AK266" t="str">
            <v>4389-NA</v>
          </cell>
          <cell r="AL266" t="str">
            <v>1-0386-唯辰行&gt;佳佳商行&gt;寄&gt;自結</v>
          </cell>
          <cell r="AM266" t="str">
            <v>1-0386</v>
          </cell>
        </row>
        <row r="267">
          <cell r="B267" t="str">
            <v>1-0262</v>
          </cell>
          <cell r="C267" t="str">
            <v>100-03-02</v>
          </cell>
          <cell r="D267" t="str">
            <v>1-0262-鄭志成&gt;寄&gt;自結</v>
          </cell>
          <cell r="E267" t="str">
            <v>鄭志成</v>
          </cell>
          <cell r="F267" t="str">
            <v>鄭志成(262)</v>
          </cell>
          <cell r="G267" t="str">
            <v>未稅</v>
          </cell>
          <cell r="H267" t="str">
            <v>寄＞自結＞</v>
          </cell>
          <cell r="I267" t="str">
            <v>未稅</v>
          </cell>
          <cell r="J267">
            <v>30</v>
          </cell>
          <cell r="L267" t="str">
            <v>0915-058738</v>
          </cell>
          <cell r="M267">
            <v>0</v>
          </cell>
          <cell r="O267">
            <v>44</v>
          </cell>
          <cell r="P267">
            <v>3</v>
          </cell>
          <cell r="Q267">
            <v>25</v>
          </cell>
          <cell r="R267">
            <v>67</v>
          </cell>
          <cell r="S267">
            <v>55</v>
          </cell>
          <cell r="T267">
            <v>20173</v>
          </cell>
          <cell r="U267" t="str">
            <v>K101653747</v>
          </cell>
          <cell r="V267" t="str">
            <v>鄭志成</v>
          </cell>
          <cell r="W267">
            <v>356</v>
          </cell>
          <cell r="X267" t="str">
            <v>苗栗縣後龍鎮大庄里庄南街16巷1號。</v>
          </cell>
          <cell r="Y267" t="str">
            <v>苗栗縣後龍鎮</v>
          </cell>
          <cell r="Z267" t="str">
            <v>苗栗縣後龍鎮大庄里庄南街16巷1號.</v>
          </cell>
          <cell r="AA267" t="str">
            <v>356苗栗縣後龍鎮大庄里庄南街16巷1號。</v>
          </cell>
          <cell r="AK267" t="str">
            <v>868-ZC</v>
          </cell>
          <cell r="AL267" t="str">
            <v>1-0422-大道輪胎&gt;寄&gt;附回郵</v>
          </cell>
          <cell r="AM267" t="str">
            <v>1-0422</v>
          </cell>
        </row>
        <row r="268">
          <cell r="B268" t="str">
            <v>1-0263</v>
          </cell>
          <cell r="C268" t="str">
            <v>100-03-02</v>
          </cell>
          <cell r="D268" t="str">
            <v>1-0263-玄泰&gt;寄&gt;附發票&gt;3個月後匯款</v>
          </cell>
          <cell r="E268" t="str">
            <v>玄泰汽車貨運行＞負:廖蔡玉霞＞新竹</v>
          </cell>
          <cell r="F268" t="str">
            <v>玄泰汽車-新竹(263)</v>
          </cell>
          <cell r="G268" t="str">
            <v>含稅</v>
          </cell>
          <cell r="H268" t="str">
            <v>寄＞附發票＞匯款＞</v>
          </cell>
          <cell r="I268" t="str">
            <v>4977＞7942＞含稅＞中華全佑</v>
          </cell>
          <cell r="J268">
            <v>30</v>
          </cell>
          <cell r="L268" t="str">
            <v>03-5828637＞0988-340685廖玉娟</v>
          </cell>
          <cell r="M268">
            <v>0</v>
          </cell>
          <cell r="R268" t="b">
            <v>0</v>
          </cell>
          <cell r="S268" t="str"/>
          <cell r="T268" t="b">
            <v>0</v>
          </cell>
          <cell r="W268">
            <v>300</v>
          </cell>
          <cell r="X268" t="str">
            <v>新竹巿竹東鎮光明路665之1號</v>
          </cell>
          <cell r="Y268" t="str">
            <v>新竹巿竹東鎮</v>
          </cell>
          <cell r="Z268" t="str">
            <v>新竹巿竹東鎮光明路665之1號.</v>
          </cell>
          <cell r="AA268" t="str">
            <v>300新竹巿竹東鎮光明路665之1號</v>
          </cell>
          <cell r="AK268" t="str">
            <v>982-JD</v>
          </cell>
          <cell r="AL268" t="str">
            <v>1-0563-鳴倫&gt;寄&gt;附發票&gt;附回郵</v>
          </cell>
          <cell r="AM268" t="str">
            <v>1-0563</v>
          </cell>
        </row>
        <row r="269">
          <cell r="B269" t="str">
            <v>1-0264</v>
          </cell>
          <cell r="C269" t="str">
            <v>100-03-02</v>
          </cell>
          <cell r="D269" t="str">
            <v>1-0264-琮義&gt;寄&gt;附發票&gt;附回郵</v>
          </cell>
          <cell r="E269" t="str">
            <v>琮義企業有限公司＞負:黃琮圭＞黃正瑋</v>
          </cell>
          <cell r="F269" t="str">
            <v>琮義企業有限公司(264)</v>
          </cell>
          <cell r="G269" t="str">
            <v>稅外</v>
          </cell>
          <cell r="H269" t="str">
            <v>寄＞附發票＞附回郵＞</v>
          </cell>
          <cell r="I269" t="str">
            <v>4701＞5449＞稅外</v>
          </cell>
          <cell r="J269">
            <v>30</v>
          </cell>
          <cell r="L269" t="str">
            <v>03-5216111＞0937-138216＞傳真03-5223642</v>
          </cell>
          <cell r="M269">
            <v>0</v>
          </cell>
          <cell r="O269">
            <v>65</v>
          </cell>
          <cell r="P269">
            <v>4</v>
          </cell>
          <cell r="Q269">
            <v>30</v>
          </cell>
          <cell r="R269">
            <v>45</v>
          </cell>
          <cell r="S269">
            <v>76</v>
          </cell>
          <cell r="T269">
            <v>27880</v>
          </cell>
          <cell r="U269" t="str">
            <v>J121517901</v>
          </cell>
          <cell r="W269">
            <v>300</v>
          </cell>
          <cell r="X269" t="str">
            <v>新竹巿東區民富街155號。</v>
          </cell>
          <cell r="Y269" t="str">
            <v>新竹巿東區民</v>
          </cell>
          <cell r="Z269" t="str">
            <v>新竹巿東區民富街155號.</v>
          </cell>
          <cell r="AA269" t="str">
            <v>300新竹巿東區民富街155號。</v>
          </cell>
          <cell r="AK269" t="str">
            <v>630-ZW</v>
          </cell>
          <cell r="AL269" t="str">
            <v>1-0663-劉博塏.國鑫&gt;寄&gt;附發票&gt;匯款4392886.</v>
          </cell>
          <cell r="AM269" t="str">
            <v>1-0663</v>
          </cell>
        </row>
        <row r="270">
          <cell r="B270" t="str">
            <v>1-0265</v>
          </cell>
          <cell r="C270" t="str">
            <v>100-03-02</v>
          </cell>
          <cell r="D270" t="str">
            <v>1-0265-鴻鈞&gt;寄&gt;附發票&gt;2個月匯款</v>
          </cell>
          <cell r="E270" t="str">
            <v>鴻鈞機電工程股份有限公司＞負:葉慶隆</v>
          </cell>
          <cell r="F270" t="str">
            <v>鴻鈞機電工程股份有限公司(265)</v>
          </cell>
          <cell r="G270" t="str">
            <v>含稅</v>
          </cell>
          <cell r="H270" t="str">
            <v>寄＞附發票＞匯款＞</v>
          </cell>
          <cell r="I270" t="str">
            <v>5051＞4807＞含稅＞中華全佑</v>
          </cell>
          <cell r="J270">
            <v>30</v>
          </cell>
          <cell r="L270" t="str">
            <v>037-465540＞0937-729892葉慶裕＞0911-636738葉慶安廠長＞傳真037-465543&gt;0911-207062羅錦輝廠長</v>
          </cell>
          <cell r="M270">
            <v>0</v>
          </cell>
          <cell r="R270" t="b">
            <v>0</v>
          </cell>
          <cell r="S270" t="str"/>
          <cell r="T270" t="b">
            <v>0</v>
          </cell>
          <cell r="W270">
            <v>350</v>
          </cell>
          <cell r="X270" t="str">
            <v>苗栗縣竹南鎮港墘里10鄰2-13號。</v>
          </cell>
          <cell r="Y270" t="str">
            <v>苗栗縣竹南鎮</v>
          </cell>
          <cell r="Z270" t="str">
            <v>苗栗縣竹南鎮港墘里10鄰2之13號.</v>
          </cell>
          <cell r="AA270" t="str">
            <v>350苗栗縣竹南鎮港墘里10鄰2-13號。</v>
          </cell>
          <cell r="AK270" t="str">
            <v>716-W8</v>
          </cell>
          <cell r="AL270" t="str">
            <v>1-0006-(3/3)長呈&gt;寄&gt;附發票&gt;附回郵</v>
          </cell>
          <cell r="AM270" t="str">
            <v>1-0006</v>
          </cell>
        </row>
        <row r="271">
          <cell r="B271" t="str">
            <v>1-0266</v>
          </cell>
          <cell r="C271" t="str">
            <v>100-03-02</v>
          </cell>
          <cell r="D271" t="str">
            <v>1-0266-陳德欽&gt;寄&gt;自結</v>
          </cell>
          <cell r="E271" t="str">
            <v>陳德欽＞靠行:裕翔通運公司</v>
          </cell>
          <cell r="F271" t="str">
            <v>陳德欽(266)</v>
          </cell>
          <cell r="G271" t="str">
            <v>稅外</v>
          </cell>
          <cell r="H271" t="str">
            <v>寄＞自結＞</v>
          </cell>
          <cell r="I271" t="str">
            <v>8943＞3923＞稅外</v>
          </cell>
          <cell r="J271">
            <v>30</v>
          </cell>
          <cell r="L271" t="str">
            <v>037-482171＞0988-549578＞傳真037-461115</v>
          </cell>
          <cell r="M271">
            <v>0</v>
          </cell>
          <cell r="O271">
            <v>53</v>
          </cell>
          <cell r="P271">
            <v>11</v>
          </cell>
          <cell r="Q271">
            <v>18</v>
          </cell>
          <cell r="R271">
            <v>57</v>
          </cell>
          <cell r="S271">
            <v>64</v>
          </cell>
          <cell r="T271">
            <v>23699</v>
          </cell>
          <cell r="U271" t="str">
            <v>K120802528</v>
          </cell>
          <cell r="V271" t="str">
            <v>陳德欽</v>
          </cell>
          <cell r="W271">
            <v>350</v>
          </cell>
          <cell r="X271" t="str">
            <v>苗栗縣竹南鎮中英西門196-51號＞登:新竹縣芎林鄉芎林村１５鄰文仁街５號。</v>
          </cell>
          <cell r="Y271" t="str">
            <v>苗栗縣竹南鎮</v>
          </cell>
          <cell r="Z271" t="str">
            <v>苗栗縣竹南鎮中英西門196之51號.</v>
          </cell>
          <cell r="AA271" t="str">
            <v>350苗栗縣竹南鎮中英西門196-51號＞登:新竹縣芎林鄉芎林村１５鄰文仁街５號。</v>
          </cell>
          <cell r="AK271" t="str">
            <v>566-SZ</v>
          </cell>
          <cell r="AL271" t="str">
            <v>1-0023-楊育茹&gt;拓隆&gt;廣丞&gt;寄&gt;附發票&gt;附回郵</v>
          </cell>
          <cell r="AM271" t="str">
            <v>1-0023</v>
          </cell>
        </row>
        <row r="272">
          <cell r="B272" t="str">
            <v>1-0267</v>
          </cell>
          <cell r="C272" t="str">
            <v>100-03-02</v>
          </cell>
          <cell r="D272" t="str">
            <v>1-0267-李博文&gt;寄&gt;自結</v>
          </cell>
          <cell r="E272" t="str">
            <v>李博文＞靠行:龍聖交通股份有限公司,負:黃添福</v>
          </cell>
          <cell r="F272" t="str">
            <v>李博文(267)</v>
          </cell>
          <cell r="G272" t="str">
            <v>未稅</v>
          </cell>
          <cell r="H272" t="str">
            <v>寄＞自結＞</v>
          </cell>
          <cell r="I272" t="str">
            <v>未稅</v>
          </cell>
          <cell r="J272">
            <v>30</v>
          </cell>
          <cell r="K272" t="str">
            <v>5227＞8358＞未稅</v>
          </cell>
          <cell r="L272" t="str">
            <v>037-350782＞0932-525958</v>
          </cell>
          <cell r="M272">
            <v>0</v>
          </cell>
          <cell r="O272">
            <v>50</v>
          </cell>
          <cell r="P272">
            <v>11</v>
          </cell>
          <cell r="Q272">
            <v>27</v>
          </cell>
          <cell r="R272">
            <v>60</v>
          </cell>
          <cell r="S272">
            <v>61</v>
          </cell>
          <cell r="T272">
            <v>22612</v>
          </cell>
          <cell r="U272" t="str">
            <v>K120156512</v>
          </cell>
          <cell r="V272" t="str">
            <v>李博文</v>
          </cell>
          <cell r="W272">
            <v>360</v>
          </cell>
          <cell r="X272" t="str">
            <v>苗栗縣苗栗巿福麗里22鄰電台75號＞登:苗栗縣後龍鎮龍坑里15鄰十班坑169-7號2樓。</v>
          </cell>
          <cell r="Y272" t="str">
            <v>苗栗縣苗栗巿</v>
          </cell>
          <cell r="Z272" t="str">
            <v>苗栗縣苗栗巿福麗里22鄰電台75號.</v>
          </cell>
          <cell r="AA272" t="str">
            <v>360苗栗縣苗栗巿福麗里22鄰電台75號＞登:苗栗縣後龍鎮龍坑里15鄰十班坑169-7號2樓。</v>
          </cell>
          <cell r="AK272" t="str">
            <v>338-M8</v>
          </cell>
          <cell r="AL272" t="str">
            <v>1-0062-至懋&gt;寄&gt;附發票&gt;附回郵</v>
          </cell>
          <cell r="AM272" t="str">
            <v>1-0062</v>
          </cell>
        </row>
        <row r="273">
          <cell r="B273" t="str">
            <v>1-0268</v>
          </cell>
          <cell r="C273" t="str">
            <v>100-03-02</v>
          </cell>
          <cell r="D273" t="str">
            <v>1-0268-劉柏江&gt;寄&gt;附發票&gt;自結</v>
          </cell>
          <cell r="E273" t="str">
            <v>雄揚企業社＞負:劉柏江＞天頂＞小白兎</v>
          </cell>
          <cell r="F273" t="str">
            <v>雄揚企業社(268)</v>
          </cell>
          <cell r="G273" t="str">
            <v>稅外</v>
          </cell>
          <cell r="H273" t="str">
            <v>寄＞附發票＞自結＞</v>
          </cell>
          <cell r="I273" t="str">
            <v>8881＞5825＞稅外</v>
          </cell>
          <cell r="J273">
            <v>30</v>
          </cell>
          <cell r="L273" t="str">
            <v>037-469197＞0952-878966</v>
          </cell>
          <cell r="M273">
            <v>0</v>
          </cell>
          <cell r="O273">
            <v>54</v>
          </cell>
          <cell r="P273">
            <v>1</v>
          </cell>
          <cell r="Q273">
            <v>21</v>
          </cell>
          <cell r="R273">
            <v>57</v>
          </cell>
          <cell r="S273">
            <v>65</v>
          </cell>
          <cell r="T273">
            <v>23763</v>
          </cell>
          <cell r="U273" t="str">
            <v>K120738390</v>
          </cell>
          <cell r="V273" t="str">
            <v>劉柏江</v>
          </cell>
          <cell r="W273">
            <v>350</v>
          </cell>
          <cell r="X273" t="str">
            <v>苗栗縣竹南鎮中英里16鄰保安林178號。</v>
          </cell>
          <cell r="Y273" t="str">
            <v>苗栗縣竹南鎮</v>
          </cell>
          <cell r="Z273" t="str">
            <v>苗栗縣竹南鎮中英里16鄰保安林178號.</v>
          </cell>
          <cell r="AA273" t="str">
            <v>350苗栗縣竹南鎮中英里16鄰保安林178號。</v>
          </cell>
          <cell r="AK273" t="str">
            <v>板405</v>
          </cell>
          <cell r="AL273" t="str">
            <v>1-0162-鎰利&gt;鎰金&gt;鎰加&gt;寄&gt;附發票&gt;2個月匯款</v>
          </cell>
          <cell r="AM273" t="str">
            <v>1-0162</v>
          </cell>
        </row>
        <row r="274">
          <cell r="B274" t="str">
            <v>1-0269</v>
          </cell>
          <cell r="C274" t="str">
            <v>100-03-02</v>
          </cell>
          <cell r="D274" t="str">
            <v>1-0269-台佳&gt;寄&gt;附發票</v>
          </cell>
          <cell r="E274" t="str">
            <v>台佳通運有限公司＞負:黃鉛騰</v>
          </cell>
          <cell r="F274" t="str">
            <v>台佳通運有限公司(269)</v>
          </cell>
          <cell r="G274" t="str">
            <v>稅外</v>
          </cell>
          <cell r="H274" t="str">
            <v>寄＞附發票＞匯款2168671＞</v>
          </cell>
          <cell r="I274" t="str">
            <v>9730＞0427＞稅外＞中華全佑</v>
          </cell>
          <cell r="J274">
            <v>30</v>
          </cell>
          <cell r="L274" t="str">
            <v>03-5398579＞0925-655611＞傳真:03-5398279</v>
          </cell>
          <cell r="M274">
            <v>0</v>
          </cell>
          <cell r="R274" t="b">
            <v>0</v>
          </cell>
          <cell r="S274" t="str"/>
          <cell r="T274" t="b">
            <v>0</v>
          </cell>
          <cell r="W274">
            <v>300</v>
          </cell>
          <cell r="X274" t="str">
            <v>帳:新竹巿海埔路181巷191號＞登:苗栗縣頭份鎮忠孝里27鄰忠孝一路207號1樓。</v>
          </cell>
          <cell r="Y274" t="str">
            <v>新竹巿海埔路</v>
          </cell>
          <cell r="Z274" t="str">
            <v>新竹巿海埔路181巷191號.</v>
          </cell>
          <cell r="AA274" t="str">
            <v>300帳:新竹巿海埔路181巷191號＞登:苗栗縣頭份鎮忠孝里27鄰忠孝一路207號1樓。</v>
          </cell>
          <cell r="AK274" t="str">
            <v>108-HA</v>
          </cell>
          <cell r="AL274" t="str">
            <v>1-0354-志祥通運.普惠&gt;寄&gt;附發票&gt;附回郵</v>
          </cell>
          <cell r="AM274" t="str">
            <v>1-0354</v>
          </cell>
        </row>
        <row r="275">
          <cell r="B275" t="str">
            <v>1-0270</v>
          </cell>
          <cell r="C275" t="str">
            <v>100-03-02</v>
          </cell>
          <cell r="D275" t="str">
            <v>1-0270-大城&gt;立城&gt;寄&gt;附發票&gt;附回郵</v>
          </cell>
          <cell r="E275" t="str">
            <v>立城輪胎股份有限公司＞負:彭志弘</v>
          </cell>
          <cell r="F275" t="str">
            <v>立城輪胎股份有限公司(270)</v>
          </cell>
          <cell r="G275" t="str">
            <v>含稅</v>
          </cell>
          <cell r="H275" t="str">
            <v>寄＞附回郵＞</v>
          </cell>
          <cell r="I275" t="str">
            <v>5316＞7470＞立城＞4712＞2503大城＞含稅</v>
          </cell>
          <cell r="J275">
            <v>30</v>
          </cell>
          <cell r="L275" t="str">
            <v>03-5983211＞傳真03-5983215</v>
          </cell>
          <cell r="M275">
            <v>0</v>
          </cell>
          <cell r="R275" t="b">
            <v>0</v>
          </cell>
          <cell r="S275" t="str"/>
          <cell r="T275" t="b">
            <v>0</v>
          </cell>
          <cell r="W275">
            <v>407</v>
          </cell>
          <cell r="X275" t="str">
            <v>新竹縣湖口鄉鳳山村實踐路33號</v>
          </cell>
          <cell r="Y275" t="str">
            <v>新竹縣湖口鄉</v>
          </cell>
          <cell r="Z275" t="str">
            <v>新竹縣湖口鄉鳳山村實踐路33號.</v>
          </cell>
          <cell r="AA275" t="str">
            <v>407新竹縣湖口鄉鳳山村實踐路33號</v>
          </cell>
          <cell r="AK275" t="str">
            <v>863-Y7</v>
          </cell>
          <cell r="AL275" t="str">
            <v>1-0549-華品&gt;佳上&gt;冠仁&gt;寄&gt;附發票&gt;附回郵</v>
          </cell>
          <cell r="AM275" t="str">
            <v>1-0549</v>
          </cell>
        </row>
        <row r="276">
          <cell r="B276" t="str">
            <v>1-0271</v>
          </cell>
          <cell r="C276" t="str">
            <v>100-03-02</v>
          </cell>
          <cell r="D276" t="str">
            <v>1-0271-飛皓達&gt;寄&gt;附發票&gt;附回郵</v>
          </cell>
          <cell r="E276" t="str">
            <v>飛皓達交通有限公司＞負:陳冠霖</v>
          </cell>
          <cell r="F276" t="str">
            <v>飛皓達交通有限公司(271)</v>
          </cell>
          <cell r="G276" t="str">
            <v>含稅</v>
          </cell>
          <cell r="H276" t="str">
            <v>寄＞附發票＞附回郵＞</v>
          </cell>
          <cell r="I276" t="str">
            <v>8949＞8994＞含稅</v>
          </cell>
          <cell r="J276">
            <v>30</v>
          </cell>
          <cell r="L276" t="str">
            <v>03-5530772＞傳真03-5530911</v>
          </cell>
          <cell r="M276">
            <v>0</v>
          </cell>
          <cell r="R276" t="b">
            <v>0</v>
          </cell>
          <cell r="S276" t="str"/>
          <cell r="T276" t="b">
            <v>0</v>
          </cell>
          <cell r="W276">
            <v>302</v>
          </cell>
          <cell r="X276" t="str">
            <v>新竹縣竹北市新崙里縣政二十路52號1樓。</v>
          </cell>
          <cell r="Y276" t="str">
            <v>新竹縣竹北市</v>
          </cell>
          <cell r="Z276" t="str">
            <v>新竹縣竹北市新崙里縣政二十路52號1樓.</v>
          </cell>
          <cell r="AA276" t="str">
            <v>302新竹縣竹北市新崙里縣政二十路52號1樓。</v>
          </cell>
          <cell r="AK276" t="str">
            <v>AUE-6938</v>
          </cell>
          <cell r="AL276" t="str">
            <v>1-0624-聖麒工程&gt;閎元&gt;永金&gt;寄&gt;附回郵&gt;現金價</v>
          </cell>
          <cell r="AM276" t="str">
            <v>1-0624</v>
          </cell>
        </row>
        <row r="277">
          <cell r="B277" t="str">
            <v>1-0272</v>
          </cell>
          <cell r="C277" t="str">
            <v>100-03-02</v>
          </cell>
          <cell r="D277" t="str">
            <v>1-0272-金門陳鈞民&gt;寄&gt;匯款</v>
          </cell>
          <cell r="E277" t="str">
            <v>金門＞陳鈞民</v>
          </cell>
          <cell r="F277" t="str">
            <v>陳鈞民(272)</v>
          </cell>
          <cell r="G277" t="str">
            <v>未稅</v>
          </cell>
          <cell r="H277" t="str">
            <v>寄＞匯款周寶玉＞常榮汽車</v>
          </cell>
          <cell r="I277" t="str">
            <v>未稅</v>
          </cell>
          <cell r="J277">
            <v>30</v>
          </cell>
          <cell r="L277" t="str">
            <v>0937-393366陳鈞民＞船運04-26572503＞傳真08-2353873＞08-2373623</v>
          </cell>
          <cell r="M277" t="str">
            <v>2-0115</v>
          </cell>
          <cell r="R277" t="b">
            <v>0</v>
          </cell>
          <cell r="S277" t="str"/>
          <cell r="T277" t="b">
            <v>0</v>
          </cell>
          <cell r="W277">
            <v>890</v>
          </cell>
          <cell r="X277" t="str">
            <v>帳:金門縣金城鎮金門城170號＞船運收貨:金門縣金沙鎮斗門15號。</v>
          </cell>
          <cell r="Y277" t="str">
            <v>金門縣金城鎮</v>
          </cell>
          <cell r="Z277" t="str">
            <v>金門縣金城鎮金門城170號.</v>
          </cell>
          <cell r="AA277" t="str">
            <v>890帳:金門縣金城鎮金門城170號＞船運收貨:金門縣金沙鎮斗門15號。</v>
          </cell>
          <cell r="AK277" t="str">
            <v>400T吊車</v>
          </cell>
          <cell r="AL277" t="str">
            <v>1-0039-來大&gt;景森&gt;寄&gt;附發票&gt;附回郵</v>
          </cell>
          <cell r="AM277" t="str">
            <v>1-0039</v>
          </cell>
        </row>
        <row r="278">
          <cell r="B278" t="str">
            <v>1-0273</v>
          </cell>
          <cell r="C278" t="str">
            <v>100-03-02</v>
          </cell>
          <cell r="D278" t="str">
            <v>1-0273-宜宗&gt;寄&gt;附發票&gt;附回郵</v>
          </cell>
          <cell r="E278" t="str">
            <v>宜宗重機械有限公司＞負:陳周美珍＞陳宏江</v>
          </cell>
          <cell r="F278" t="str">
            <v>宜宗重機械有限公司(273)</v>
          </cell>
          <cell r="G278" t="str">
            <v>含稅</v>
          </cell>
          <cell r="H278" t="str">
            <v>寄＞附發票＞附回郵＞</v>
          </cell>
          <cell r="I278" t="str">
            <v>2384＞0218＞含稅</v>
          </cell>
          <cell r="J278">
            <v>30</v>
          </cell>
          <cell r="L278" t="str">
            <v>04-25562579＞0933-411217＞傳真04-25563181</v>
          </cell>
          <cell r="M278">
            <v>0</v>
          </cell>
          <cell r="R278" t="b">
            <v>0</v>
          </cell>
          <cell r="S278" t="str"/>
          <cell r="T278" t="b">
            <v>0</v>
          </cell>
          <cell r="W278">
            <v>421</v>
          </cell>
          <cell r="X278" t="str">
            <v>台中縣后里三線路7-1號＞登:臺中市豐原區豐原里中正路62號。</v>
          </cell>
          <cell r="Y278" t="str">
            <v>台中縣后里三</v>
          </cell>
          <cell r="Z278" t="str">
            <v>台中縣后里三線路7-1號.</v>
          </cell>
          <cell r="AA278" t="str">
            <v>421台中縣后里三線路7-1號＞登:臺中市豐原區豐原里中正路62號。</v>
          </cell>
          <cell r="AK278" t="str">
            <v>846-W9</v>
          </cell>
          <cell r="AL278" t="str">
            <v>1-0046-(1/4)鴻阜&gt;寄&gt;附發票&gt;附回郵</v>
          </cell>
          <cell r="AM278" t="str">
            <v>1-0046</v>
          </cell>
        </row>
        <row r="279">
          <cell r="B279" t="str">
            <v>1-0274</v>
          </cell>
          <cell r="C279" t="str">
            <v>100-03-08</v>
          </cell>
          <cell r="D279" t="str">
            <v>1-0274-弘昇&gt;電&gt;自結</v>
          </cell>
          <cell r="E279" t="str">
            <v>弘昇企業公司＞王富美</v>
          </cell>
          <cell r="F279" t="str">
            <v>弘昇企業公司(274)</v>
          </cell>
          <cell r="G279" t="str">
            <v>未稅</v>
          </cell>
          <cell r="H279" t="str">
            <v>電＞自結＞</v>
          </cell>
          <cell r="I279" t="str">
            <v>未稅</v>
          </cell>
          <cell r="J279">
            <v>30</v>
          </cell>
          <cell r="L279" t="str">
            <v>0935-388926＞0928-331599</v>
          </cell>
          <cell r="M279">
            <v>0</v>
          </cell>
          <cell r="R279" t="b">
            <v>0</v>
          </cell>
          <cell r="S279" t="str"/>
          <cell r="T279" t="b">
            <v>0</v>
          </cell>
          <cell r="Y279" t="str"/>
          <cell r="AA279" t="str"/>
          <cell r="AK279" t="str">
            <v>W5-0561</v>
          </cell>
          <cell r="AL279" t="str">
            <v>1-0509-陳龍泉&gt;苗豐交通&gt;寄&gt;電聯</v>
          </cell>
          <cell r="AM279" t="str">
            <v>1-0509</v>
          </cell>
        </row>
        <row r="280">
          <cell r="B280" t="str">
            <v>1-0275</v>
          </cell>
          <cell r="C280" t="str">
            <v>100-03-08</v>
          </cell>
          <cell r="D280" t="str">
            <v>1-0275-馬場&gt;電&gt;自結</v>
          </cell>
          <cell r="E280" t="str">
            <v>黃聖瑋</v>
          </cell>
          <cell r="F280" t="str">
            <v>黃聖瑋(275)</v>
          </cell>
          <cell r="G280" t="str">
            <v>未稅</v>
          </cell>
          <cell r="H280" t="str">
            <v>電＞自結＞</v>
          </cell>
          <cell r="I280" t="str">
            <v>未稅</v>
          </cell>
          <cell r="J280">
            <v>30</v>
          </cell>
          <cell r="L280" t="str">
            <v>037-</v>
          </cell>
          <cell r="M280">
            <v>0</v>
          </cell>
          <cell r="R280" t="b">
            <v>0</v>
          </cell>
          <cell r="S280" t="str"/>
          <cell r="T280" t="b">
            <v>0</v>
          </cell>
          <cell r="Y280" t="str"/>
          <cell r="AA280" t="str"/>
          <cell r="AK280" t="str">
            <v>KLB-1882</v>
          </cell>
          <cell r="AL280" t="str">
            <v>1-0603-邱志銘&gt;寄平信&gt;自結</v>
          </cell>
          <cell r="AM280" t="str">
            <v>1-0603</v>
          </cell>
        </row>
        <row r="281">
          <cell r="B281" t="str">
            <v>1-0276</v>
          </cell>
          <cell r="C281" t="str">
            <v>100-03-08</v>
          </cell>
          <cell r="D281" t="str">
            <v>1-0276-民景&gt;寄&gt;附發票&gt;附回郵</v>
          </cell>
          <cell r="E281" t="str">
            <v>民景企業股份有限公司＞負:康瑞昆</v>
          </cell>
          <cell r="F281" t="str">
            <v>民景企業股份有限公司(276)</v>
          </cell>
          <cell r="G281" t="str">
            <v>含稅</v>
          </cell>
          <cell r="H281" t="str">
            <v>寄＞附發票＞附回郵＞</v>
          </cell>
          <cell r="I281" t="str">
            <v>5055＞0367＞含稅</v>
          </cell>
          <cell r="J281">
            <v>30</v>
          </cell>
          <cell r="L281" t="str">
            <v>037-613618(公館廠)#373會計＞0935-279898康孟達&gt;傳真037-627755(山佳廠)&gt;0905-322069廖課長(公館廠)&gt;037-623518(山佳廠)&gt;傳真:037-626155(公館廠)</v>
          </cell>
          <cell r="M281" t="str">
            <v>2-0056</v>
          </cell>
          <cell r="R281" t="b">
            <v>0</v>
          </cell>
          <cell r="S281" t="str"/>
          <cell r="T281" t="b">
            <v>0</v>
          </cell>
          <cell r="W281">
            <v>350</v>
          </cell>
          <cell r="X281" t="str">
            <v>苗栗縣竹南鎮公義路230巷6號＞登:臺北市松山區東勢里15鄰南京東路4段133巷4弄23號1樓。</v>
          </cell>
          <cell r="Y281" t="str">
            <v>苗栗縣竹南鎮</v>
          </cell>
          <cell r="Z281" t="str">
            <v>苗栗縣竹南鎮公館里1鄰公館仔100號</v>
          </cell>
          <cell r="AA281" t="str">
            <v>350苗栗縣竹南鎮公義路230巷6號＞登:臺北市松山區東勢里15鄰南京東路4段133巷4弄23號1樓。</v>
          </cell>
          <cell r="AK281" t="str">
            <v>610-KB</v>
          </cell>
          <cell r="AL281" t="str">
            <v>1-0399-銘旺&gt;寄&gt;附發票&gt;附回郵</v>
          </cell>
          <cell r="AM281" t="str">
            <v>1-0399</v>
          </cell>
        </row>
        <row r="282">
          <cell r="B282" t="str">
            <v>1-0277</v>
          </cell>
          <cell r="C282" t="str">
            <v>100-03-08</v>
          </cell>
          <cell r="D282" t="str">
            <v>1-0277-何源寶&gt;必捷&gt;寄&gt;附發票&gt;附回郵</v>
          </cell>
          <cell r="E282" t="str">
            <v>必捷吊車有限公司＞負:何源慶＞何源寶</v>
          </cell>
          <cell r="F282" t="str">
            <v>必捷吊車有限公司(277)</v>
          </cell>
          <cell r="G282" t="str">
            <v>稅外</v>
          </cell>
          <cell r="H282" t="str">
            <v>寄＞附發票＞附回郵＞</v>
          </cell>
          <cell r="I282" t="str">
            <v>8675＞6173＞稅外</v>
          </cell>
          <cell r="J282">
            <v>30</v>
          </cell>
          <cell r="L282" t="str">
            <v>04-23812625＞0930-195195＞傳真04-23831876</v>
          </cell>
          <cell r="M282">
            <v>0</v>
          </cell>
          <cell r="R282" t="b">
            <v>0</v>
          </cell>
          <cell r="S282" t="str"/>
          <cell r="T282" t="b">
            <v>0</v>
          </cell>
          <cell r="W282">
            <v>408</v>
          </cell>
          <cell r="X282" t="str">
            <v>台中巿南屯區嶺東路193號＞登:臺中市南屯區大同里大墩七街39號1樓。</v>
          </cell>
          <cell r="Y282" t="str">
            <v>台中巿南屯區</v>
          </cell>
          <cell r="Z282" t="str">
            <v>台中巿南屯區嶺東路193號.</v>
          </cell>
          <cell r="AA282" t="str">
            <v>408台中巿南屯區嶺東路193號＞登:臺中市南屯區大同里大墩七街39號1樓。</v>
          </cell>
          <cell r="AK282" t="str">
            <v>板50-3G</v>
          </cell>
          <cell r="AL282" t="str">
            <v>1-0705-(1/3)福瑞&gt;寄&gt;附發票&gt;附回郵</v>
          </cell>
          <cell r="AM282" t="str">
            <v>1-0705</v>
          </cell>
        </row>
        <row r="283">
          <cell r="B283" t="str">
            <v>1-0278</v>
          </cell>
          <cell r="C283" t="str">
            <v>100-03-10</v>
          </cell>
          <cell r="D283" t="str">
            <v>1-0278-余哲誌&gt;峰慶&gt;寄&gt;自結</v>
          </cell>
          <cell r="E283" t="str">
            <v>峰慶汽車貨運有限公司＞負:張春梅＞余哲誌</v>
          </cell>
          <cell r="F283" t="str">
            <v>峰慶汽車貨運有限公司(278)</v>
          </cell>
          <cell r="G283" t="str">
            <v>未稅</v>
          </cell>
          <cell r="H283" t="str">
            <v>寄＞自結＞</v>
          </cell>
          <cell r="I283" t="str">
            <v>未稅</v>
          </cell>
          <cell r="J283">
            <v>30</v>
          </cell>
          <cell r="K283" t="str">
            <v>7069＞3032＞未稅</v>
          </cell>
          <cell r="L283" t="str">
            <v>037-726150＞0937-206006＞0980-681211</v>
          </cell>
          <cell r="M283">
            <v>0</v>
          </cell>
          <cell r="O283">
            <v>66</v>
          </cell>
          <cell r="P283">
            <v>11</v>
          </cell>
          <cell r="Q283">
            <v>17</v>
          </cell>
          <cell r="R283">
            <v>44</v>
          </cell>
          <cell r="S283">
            <v>77</v>
          </cell>
          <cell r="T283">
            <v>28446</v>
          </cell>
          <cell r="U283" t="str">
            <v>K121563164</v>
          </cell>
          <cell r="V283" t="str">
            <v>余哲誌</v>
          </cell>
          <cell r="W283">
            <v>356</v>
          </cell>
          <cell r="X283" t="str">
            <v>苗栗縣後龍鎮大庄里5鄰8-30號＞登:雲林縣斗南鎮西岐里同安街24號1樓。</v>
          </cell>
          <cell r="Y283" t="str">
            <v>苗栗縣後龍鎮</v>
          </cell>
          <cell r="Z283" t="str">
            <v>苗栗縣後龍鎮大庄里5鄰8之30號.</v>
          </cell>
          <cell r="AA283" t="str">
            <v>356苗栗縣後龍鎮大庄里5鄰8-30號＞登:雲林縣斗南鎮西岐里同安街24號1樓。</v>
          </cell>
          <cell r="AK283" t="str">
            <v>KEC-2166</v>
          </cell>
          <cell r="AL283" t="str">
            <v>1-0660-竹新.頂烽&gt;寄&gt;附發票&gt;匯款</v>
          </cell>
          <cell r="AM283" t="str">
            <v>1-0660</v>
          </cell>
        </row>
        <row r="284">
          <cell r="B284" t="str">
            <v>1-0279</v>
          </cell>
          <cell r="C284" t="str">
            <v>100-03-10</v>
          </cell>
          <cell r="D284" t="str">
            <v>1-0279-耀捷&gt;寄&gt;回郵</v>
          </cell>
          <cell r="E284" t="str">
            <v>耀捷車業＞負:劉文閔</v>
          </cell>
          <cell r="F284" t="str">
            <v>耀捷車業(279)</v>
          </cell>
          <cell r="G284" t="str">
            <v>未稅</v>
          </cell>
          <cell r="H284" t="str">
            <v>寄＞附回郵＞</v>
          </cell>
          <cell r="I284" t="str">
            <v>未稅</v>
          </cell>
          <cell r="J284">
            <v>30</v>
          </cell>
          <cell r="K284" t="str">
            <v>2521＞5041＞未稅</v>
          </cell>
          <cell r="L284" t="str">
            <v>037-681881＞037-660212＞0915-119397</v>
          </cell>
          <cell r="M284">
            <v>0</v>
          </cell>
          <cell r="O284">
            <v>63</v>
          </cell>
          <cell r="P284">
            <v>7</v>
          </cell>
          <cell r="Q284">
            <v>20</v>
          </cell>
          <cell r="R284">
            <v>47</v>
          </cell>
          <cell r="S284">
            <v>74</v>
          </cell>
          <cell r="T284">
            <v>27230</v>
          </cell>
          <cell r="U284" t="str">
            <v>K121490264</v>
          </cell>
          <cell r="V284" t="str">
            <v>劉文閔</v>
          </cell>
          <cell r="W284">
            <v>351</v>
          </cell>
          <cell r="X284" t="str">
            <v>苗栗縣頭份鎮上埔里興隆路483號＞登:苗栗縣頭份鎮民權里2鄰中華路815號1樓。</v>
          </cell>
          <cell r="Y284" t="str">
            <v>苗栗縣頭份鎮</v>
          </cell>
          <cell r="Z284" t="str">
            <v>苗栗縣頭份鎮上埔里興隆路483號.</v>
          </cell>
          <cell r="AA284" t="str">
            <v>351苗栗縣頭份鎮上埔里興隆路483號＞登:苗栗縣頭份鎮民權里2鄰中華路815號1樓。</v>
          </cell>
          <cell r="AK284" t="str">
            <v>KAB-5662</v>
          </cell>
          <cell r="AL284" t="str">
            <v>1-0745-華宮&gt;現結&gt;附發票</v>
          </cell>
          <cell r="AM284" t="str">
            <v>1-0745</v>
          </cell>
        </row>
        <row r="285">
          <cell r="B285" t="str">
            <v>1-0280</v>
          </cell>
          <cell r="C285" t="str">
            <v>109-02-22</v>
          </cell>
          <cell r="D285" t="str">
            <v>1-0280-呂世維(阿魯米)&gt;寄&gt;附回郵</v>
          </cell>
          <cell r="E285" t="str">
            <v>呂世維&gt;靠行:冠德交通股份有限公司</v>
          </cell>
          <cell r="F285" t="str">
            <v>呂世維(280)</v>
          </cell>
          <cell r="G285" t="str">
            <v>未稅</v>
          </cell>
          <cell r="H285" t="str">
            <v>寄&gt;附回郵&gt;匯款81421</v>
          </cell>
          <cell r="I285" t="str">
            <v>未稅</v>
          </cell>
          <cell r="J285">
            <v>30</v>
          </cell>
          <cell r="K285" t="str">
            <v>8497&gt;8474&gt;未稅</v>
          </cell>
          <cell r="L285" t="str">
            <v>0968-246667呂世維</v>
          </cell>
          <cell r="M285">
            <v>0</v>
          </cell>
          <cell r="O285">
            <v>65</v>
          </cell>
          <cell r="P285">
            <v>11</v>
          </cell>
          <cell r="Q285">
            <v>29</v>
          </cell>
          <cell r="R285">
            <v>45</v>
          </cell>
          <cell r="S285">
            <v>76</v>
          </cell>
          <cell r="T285">
            <v>28093</v>
          </cell>
          <cell r="U285" t="str">
            <v>K121608462</v>
          </cell>
          <cell r="V285" t="str">
            <v>呂世維</v>
          </cell>
          <cell r="W285">
            <v>356</v>
          </cell>
          <cell r="X285" t="str">
            <v>苗栗縣後龍鎮東明里2鄰頂浮尾64之3號</v>
          </cell>
          <cell r="Y285" t="str">
            <v>苗栗縣竹南鎮</v>
          </cell>
          <cell r="Z285" t="str">
            <v>苗栗縣竹南鎮和平街78號A棟8樓之1</v>
          </cell>
          <cell r="AA285" t="str">
            <v>356苗栗縣後龍鎮東明里2鄰頂浮尾64之3號</v>
          </cell>
          <cell r="AK285" t="str">
            <v>HB-788</v>
          </cell>
          <cell r="AL285" t="str">
            <v>1-0075-鄧順生&gt;佳金&gt;寄&gt;自結</v>
          </cell>
          <cell r="AM285" t="str">
            <v>1-0075</v>
          </cell>
        </row>
        <row r="286">
          <cell r="B286" t="str">
            <v>1-0281</v>
          </cell>
          <cell r="C286" t="str">
            <v>100-03-18</v>
          </cell>
          <cell r="D286" t="str">
            <v>1-0281-地寶&gt;寄&gt;附發票&gt;附回郵</v>
          </cell>
          <cell r="E286" t="str">
            <v>地寶股份有限公司＞負:江鑫貴＞冠軍桃園廠</v>
          </cell>
          <cell r="F286" t="str">
            <v>地寶股份有限公司(281)</v>
          </cell>
          <cell r="G286" t="str">
            <v>含稅</v>
          </cell>
          <cell r="H286" t="str">
            <v>寄＞附發票＞附回郵＞</v>
          </cell>
          <cell r="I286" t="str">
            <v>2438＞5595＞含稅</v>
          </cell>
          <cell r="J286">
            <v>30</v>
          </cell>
          <cell r="L286" t="str">
            <v>03-4015100＞傳真03-4015110</v>
          </cell>
          <cell r="M286">
            <v>0</v>
          </cell>
          <cell r="R286" t="b">
            <v>0</v>
          </cell>
          <cell r="S286" t="str"/>
          <cell r="T286" t="b">
            <v>0</v>
          </cell>
          <cell r="W286">
            <v>324</v>
          </cell>
          <cell r="X286" t="str">
            <v>桃園縣平鎮巿長安路11-5號＞登:桃園縣桃園市寶慶里寶慶路140號1樓。</v>
          </cell>
          <cell r="Y286" t="str">
            <v>桃園縣平鎮巿</v>
          </cell>
          <cell r="Z286" t="str">
            <v>桃園縣平鎮巿長安路11之5號.</v>
          </cell>
          <cell r="AA286" t="str">
            <v>324桃園縣平鎮巿長安路11-5號＞登:桃園縣桃園市寶慶里寶慶路140號1樓。</v>
          </cell>
          <cell r="AK286" t="str">
            <v>8188-HM</v>
          </cell>
          <cell r="AL286" t="str">
            <v>1-0077-德龍紙業&gt;寄&gt;附發票＞親收</v>
          </cell>
          <cell r="AM286" t="str">
            <v>1-0077</v>
          </cell>
        </row>
        <row r="287">
          <cell r="B287" t="str">
            <v>1-0282</v>
          </cell>
          <cell r="C287" t="str">
            <v>100-03-24</v>
          </cell>
          <cell r="D287" t="str">
            <v>1-0282-永豐&gt;寄&gt;附發票&gt;附回郵</v>
          </cell>
          <cell r="E287" t="str">
            <v>永豐電機廠＞負:游金泉＞游志明</v>
          </cell>
          <cell r="F287" t="str">
            <v>永豐電機廠(282)</v>
          </cell>
          <cell r="G287" t="str">
            <v>含稅</v>
          </cell>
          <cell r="H287" t="str">
            <v>寄＞附發票＞附回郵＞</v>
          </cell>
          <cell r="I287" t="str">
            <v>6687＞3309＞含稅</v>
          </cell>
          <cell r="J287">
            <v>30</v>
          </cell>
          <cell r="L287" t="str">
            <v>03-5347784＞0910-293106＞傳真03-5830869</v>
          </cell>
          <cell r="M287">
            <v>0</v>
          </cell>
          <cell r="R287" t="b">
            <v>0</v>
          </cell>
          <cell r="S287" t="str"/>
          <cell r="T287" t="b">
            <v>0</v>
          </cell>
          <cell r="W287">
            <v>310</v>
          </cell>
          <cell r="X287" t="str">
            <v>新竹縣竹東鎮中興路四段651巷20號＞登:新竹市東區城北街137巷11弄2號。</v>
          </cell>
          <cell r="Y287" t="str">
            <v>新竹縣竹東鎮</v>
          </cell>
          <cell r="Z287" t="str">
            <v>新竹縣竹東鎮中興路四段651巷20號.</v>
          </cell>
          <cell r="AA287" t="str">
            <v>310新竹縣竹東鎮中興路四段651巷20號＞登:新竹市東區城北街137巷11弄2號。</v>
          </cell>
          <cell r="AK287" t="str">
            <v>8508-N5</v>
          </cell>
          <cell r="AL287" t="str">
            <v>1-0077-德龍紙業&gt;寄&gt;附發票＞親收</v>
          </cell>
          <cell r="AM287" t="str">
            <v>1-0077</v>
          </cell>
        </row>
        <row r="288">
          <cell r="B288" t="str">
            <v>1-0283</v>
          </cell>
          <cell r="C288" t="str">
            <v>100-03-24</v>
          </cell>
          <cell r="D288" t="str">
            <v>1-0283-全瑩&gt;寄&gt;附發票&gt;附回郵</v>
          </cell>
          <cell r="E288" t="str">
            <v>全瑩企業社＞負:吳芊甄＞弘揚＞雙榮＞亞泰＞黃弘鑫</v>
          </cell>
          <cell r="F288" t="str">
            <v>全瑩企業社(283)</v>
          </cell>
          <cell r="G288" t="str">
            <v>稅外</v>
          </cell>
          <cell r="H288" t="str">
            <v>寄＞附發票＞附回郵＞亞泰136-GF＞</v>
          </cell>
          <cell r="I288" t="str">
            <v>3987＞0440＞稅外＞月結現金價*0.95</v>
          </cell>
          <cell r="J288">
            <v>30</v>
          </cell>
          <cell r="L288" t="str">
            <v>037-672992＞0910-519882黃弘鑫</v>
          </cell>
          <cell r="M288">
            <v>0</v>
          </cell>
          <cell r="R288" t="b">
            <v>0</v>
          </cell>
          <cell r="S288" t="str"/>
          <cell r="T288" t="b">
            <v>0</v>
          </cell>
          <cell r="W288">
            <v>351</v>
          </cell>
          <cell r="X288" t="str">
            <v>苗栗縣頭份鎮文化里16鄰八德二路237號1樓。</v>
          </cell>
          <cell r="Y288" t="str">
            <v>苗栗縣頭份鎮</v>
          </cell>
          <cell r="Z288" t="str">
            <v>苗栗縣頭份鎮文化里16鄰八德二路237號1樓.</v>
          </cell>
          <cell r="AA288" t="str">
            <v>351苗栗縣頭份鎮文化里16鄰八德二路237號1樓。</v>
          </cell>
          <cell r="AK288" t="str">
            <v>0618-VS</v>
          </cell>
          <cell r="AL288" t="str">
            <v>1-0077-德龍紙業&gt;寄&gt;附發票＞親收</v>
          </cell>
          <cell r="AM288" t="str">
            <v>1-0077</v>
          </cell>
        </row>
        <row r="289">
          <cell r="B289" t="str">
            <v>1-0284</v>
          </cell>
          <cell r="C289" t="str">
            <v>100-03-26</v>
          </cell>
          <cell r="D289" t="str">
            <v>1-0284-王榮貴&gt;元慶&gt;寄&gt;附回郵</v>
          </cell>
          <cell r="E289" t="str">
            <v>王榮貴＞靠行:元慶誠旅運有限公司,負:陳翊菱</v>
          </cell>
          <cell r="F289" t="str">
            <v>王榮貴(284)</v>
          </cell>
          <cell r="G289" t="str">
            <v>未稅</v>
          </cell>
          <cell r="H289" t="str">
            <v>寄＞附回郵＞</v>
          </cell>
          <cell r="I289" t="str">
            <v>未稅</v>
          </cell>
          <cell r="J289">
            <v>30</v>
          </cell>
          <cell r="K289" t="str">
            <v>1635＞8623＞未稅</v>
          </cell>
          <cell r="L289" t="str">
            <v>0932-114227</v>
          </cell>
          <cell r="M289">
            <v>0</v>
          </cell>
          <cell r="O289">
            <v>47</v>
          </cell>
          <cell r="P289">
            <v>10</v>
          </cell>
          <cell r="Q289">
            <v>20</v>
          </cell>
          <cell r="R289">
            <v>63</v>
          </cell>
          <cell r="S289">
            <v>58</v>
          </cell>
          <cell r="T289">
            <v>21478</v>
          </cell>
          <cell r="U289" t="str">
            <v>J121151645</v>
          </cell>
          <cell r="V289" t="str">
            <v>王榮貴</v>
          </cell>
          <cell r="W289">
            <v>300</v>
          </cell>
          <cell r="X289" t="str">
            <v>新竹巿內湖里中華路6段202號＞登:新竹市北區金華里田美三街31號9樓。</v>
          </cell>
          <cell r="Y289" t="str">
            <v>新竹巿內湖里</v>
          </cell>
          <cell r="Z289" t="str">
            <v>新竹巿內湖里中華路6段202號.</v>
          </cell>
          <cell r="AA289" t="str">
            <v>300新竹巿內湖里中華路6段202號＞登:新竹市北區金華里田美三街31號9樓。</v>
          </cell>
          <cell r="AK289" t="str">
            <v>9F-918</v>
          </cell>
          <cell r="AL289" t="str">
            <v>1-0077-德龍紙業&gt;寄&gt;附發票＞親收</v>
          </cell>
          <cell r="AM289" t="str">
            <v>1-0077</v>
          </cell>
        </row>
        <row r="290">
          <cell r="B290" t="str">
            <v>1-0285</v>
          </cell>
          <cell r="C290" t="str">
            <v>109-04-24/鍾依岑</v>
          </cell>
          <cell r="D290" t="str">
            <v>1-0285-友商&gt;友勝&gt;電&gt;親收&gt;帶客戶請款聯</v>
          </cell>
          <cell r="E290" t="str">
            <v>友商資源回收業＞負:陳玟憲&gt;友勝工程</v>
          </cell>
          <cell r="F290" t="str">
            <v>友商資源回收業(285)</v>
          </cell>
          <cell r="G290" t="str">
            <v>未稅</v>
          </cell>
          <cell r="H290" t="str">
            <v>電＞親收&gt;帶客戶請款聯</v>
          </cell>
          <cell r="I290" t="str">
            <v>未稅</v>
          </cell>
          <cell r="J290">
            <v>30</v>
          </cell>
          <cell r="K290" t="str">
            <v>4549＞6580＞未稅</v>
          </cell>
          <cell r="L290" t="str">
            <v>037-551459＞037-484938＞0931-493583</v>
          </cell>
          <cell r="M290" t="str">
            <v>2-0082</v>
          </cell>
          <cell r="R290" t="b">
            <v>0</v>
          </cell>
          <cell r="S290" t="str"/>
          <cell r="T290" t="b">
            <v>0</v>
          </cell>
          <cell r="W290">
            <v>350</v>
          </cell>
          <cell r="X290" t="str">
            <v>北上西濱91.2公里旁＞登:苗栗縣竹南鎮中港里12鄰中正路421號2樓。</v>
          </cell>
          <cell r="Y290" t="str"/>
          <cell r="AA290" t="str">
            <v>350北上西濱91.2公里旁＞登:苗栗縣竹南鎮中港里12鄰中正路421號2樓。</v>
          </cell>
          <cell r="AK290" t="str">
            <v>058-SW</v>
          </cell>
          <cell r="AL290" t="str">
            <v>1-0077-德龍紙業&gt;寄&gt;附發票＞親收</v>
          </cell>
          <cell r="AM290" t="str">
            <v>1-0077</v>
          </cell>
        </row>
        <row r="291">
          <cell r="B291" t="str">
            <v>1-0286</v>
          </cell>
          <cell r="C291" t="str">
            <v>100-04-15</v>
          </cell>
          <cell r="D291" t="str">
            <v>1-0286-洪鍵忠＞小香港&gt;寄&gt;附回郵</v>
          </cell>
          <cell r="E291" t="str">
            <v>洪鍵忠＞小香港＞靠行:松生交通股份有限公司,負:陳漢琮</v>
          </cell>
          <cell r="F291" t="str">
            <v>洪鍵忠(286)</v>
          </cell>
          <cell r="G291" t="str">
            <v>未稅</v>
          </cell>
          <cell r="H291" t="str">
            <v>寄＞匯款＞</v>
          </cell>
          <cell r="I291" t="str">
            <v>未稅</v>
          </cell>
          <cell r="J291">
            <v>30</v>
          </cell>
          <cell r="K291" t="str">
            <v>9722＞4771＞未稅</v>
          </cell>
          <cell r="L291" t="str">
            <v>0968&gt;298070</v>
          </cell>
          <cell r="M291">
            <v>0</v>
          </cell>
          <cell r="O291">
            <v>70</v>
          </cell>
          <cell r="P291">
            <v>6</v>
          </cell>
          <cell r="Q291">
            <v>3</v>
          </cell>
          <cell r="R291">
            <v>40</v>
          </cell>
          <cell r="S291">
            <v>81</v>
          </cell>
          <cell r="T291">
            <v>29740</v>
          </cell>
          <cell r="U291" t="str">
            <v>K121906105</v>
          </cell>
          <cell r="V291" t="str">
            <v>洪鍵忠</v>
          </cell>
          <cell r="W291">
            <v>350</v>
          </cell>
          <cell r="X291" t="str">
            <v>苗栗縣竹南鎮天文里14鄰龍昇街91號＞登:苗栗縣後龍鎮龍坑里15鄰169之7號。</v>
          </cell>
          <cell r="Y291" t="str">
            <v>苗栗縣竹南鎮</v>
          </cell>
          <cell r="Z291" t="str">
            <v>苗栗縣竹南鎮天文里14鄰龍昇街91號.</v>
          </cell>
          <cell r="AA291" t="str">
            <v>350苗栗縣竹南鎮天文里14鄰龍昇街91號＞登:苗栗縣後龍鎮龍坑里15鄰169之7號。</v>
          </cell>
          <cell r="AK291" t="str">
            <v>3368-B6</v>
          </cell>
          <cell r="AL291" t="str">
            <v>1-0077-德龍紙業&gt;寄&gt;附發票＞親收</v>
          </cell>
          <cell r="AM291" t="str">
            <v>1-0077</v>
          </cell>
        </row>
        <row r="292">
          <cell r="B292" t="str">
            <v>1-0287</v>
          </cell>
          <cell r="C292" t="str">
            <v>100-04-05</v>
          </cell>
          <cell r="D292" t="str">
            <v>1-0287-蘇定芳＞十二少&gt;寄平信&gt;附回郵</v>
          </cell>
          <cell r="E292" t="str">
            <v>蘇定芳＞十二少</v>
          </cell>
          <cell r="F292" t="str">
            <v>蘇定芳(287)</v>
          </cell>
          <cell r="G292" t="str">
            <v>未稅</v>
          </cell>
          <cell r="H292" t="str">
            <v>寄平信＞附回郵＞</v>
          </cell>
          <cell r="I292" t="str">
            <v>未稅</v>
          </cell>
          <cell r="J292">
            <v>30</v>
          </cell>
          <cell r="L292" t="str">
            <v>0938-903133</v>
          </cell>
          <cell r="M292">
            <v>0</v>
          </cell>
          <cell r="R292" t="b">
            <v>0</v>
          </cell>
          <cell r="S292" t="str"/>
          <cell r="T292" t="b">
            <v>0</v>
          </cell>
          <cell r="W292">
            <v>350</v>
          </cell>
          <cell r="X292" t="str">
            <v>苗栗縣竹南鎮開元路明勝路18號</v>
          </cell>
          <cell r="Y292" t="str">
            <v>苗栗縣竹南鎮</v>
          </cell>
          <cell r="Z292" t="str">
            <v>苗栗縣竹南鎮開元路明勝路18號.</v>
          </cell>
          <cell r="AA292" t="str">
            <v>350苗栗縣竹南鎮開元路明勝路18號</v>
          </cell>
          <cell r="AK292" t="str">
            <v>MI-6000</v>
          </cell>
          <cell r="AL292" t="str">
            <v>1-0079-旭中&gt;寄&gt;附發票&gt;附回郵</v>
          </cell>
          <cell r="AM292" t="str">
            <v>1-0079</v>
          </cell>
        </row>
        <row r="293">
          <cell r="B293" t="str">
            <v>1-0288</v>
          </cell>
          <cell r="C293" t="str">
            <v>100-04-15</v>
          </cell>
          <cell r="D293" t="str">
            <v>1-0288-台中VOLVO&gt;寄＞附發票＞匯款＞三個月匯款</v>
          </cell>
          <cell r="E293" t="str">
            <v>香港商太古商用汽車有限公司台灣分公司＞負:佟德望＞台中VOLVO</v>
          </cell>
          <cell r="F293" t="str">
            <v>香港商太古商用汽車-台中廠(288)</v>
          </cell>
          <cell r="G293" t="str">
            <v>含稅</v>
          </cell>
          <cell r="H293" t="str">
            <v>寄＞附發票＞3個月匯款＞附定位數據＞</v>
          </cell>
          <cell r="I293" t="str">
            <v>2723＞2159＞含稅＞中華全佑＞1張簽單1張發票＞25號月結</v>
          </cell>
          <cell r="J293">
            <v>25</v>
          </cell>
          <cell r="L293" t="str">
            <v>04-23505568＞吳領班0933-172010＞傳真04-23500869</v>
          </cell>
          <cell r="M293">
            <v>0</v>
          </cell>
          <cell r="R293" t="b">
            <v>0</v>
          </cell>
          <cell r="S293" t="str"/>
          <cell r="T293" t="b">
            <v>0</v>
          </cell>
          <cell r="W293">
            <v>408</v>
          </cell>
          <cell r="X293" t="str">
            <v>台中巿西屯區工業40路1號＞登:臺北市信義區西村里信義路5段7號39樓。</v>
          </cell>
          <cell r="Y293" t="str">
            <v>台中巿西屯區</v>
          </cell>
          <cell r="Z293" t="str">
            <v>台中巿西屯區工業40路1號.</v>
          </cell>
          <cell r="AA293" t="str">
            <v>408台中巿西屯區工業40路1號＞登:臺北市信義區西村里信義路5段7號39樓。</v>
          </cell>
          <cell r="AK293" t="str">
            <v>7U-6821</v>
          </cell>
          <cell r="AL293" t="str">
            <v>1-0079-旭中&gt;寄&gt;附發票&gt;附回郵</v>
          </cell>
          <cell r="AM293" t="str">
            <v>1-0079</v>
          </cell>
        </row>
        <row r="294">
          <cell r="B294" t="str">
            <v>1-0289</v>
          </cell>
          <cell r="C294" t="str">
            <v>100-04-16</v>
          </cell>
          <cell r="D294" t="str">
            <v>1-0289-賀祥&gt;鴻祥&gt;寄&gt;附發票&gt;附回郵</v>
          </cell>
          <cell r="E294" t="str">
            <v>鴻祥交通股份有限公司＞賀祥通運有限公司＞負:陳嫆欣</v>
          </cell>
          <cell r="F294" t="str">
            <v>鴻祥交通股份有限公司(289)</v>
          </cell>
          <cell r="G294" t="str">
            <v>含稅</v>
          </cell>
          <cell r="H294" t="str">
            <v>寄＞附發票＞附回郵＞</v>
          </cell>
          <cell r="I294" t="str">
            <v>2250＞4357鴻祥＞5623＞5211賀祥＞含稅</v>
          </cell>
          <cell r="J294">
            <v>30</v>
          </cell>
          <cell r="L294" t="str">
            <v>049-2760116＞0919-736052＞傳真049-2763000</v>
          </cell>
          <cell r="M294">
            <v>0</v>
          </cell>
          <cell r="R294" t="b">
            <v>0</v>
          </cell>
          <cell r="S294" t="str"/>
          <cell r="T294" t="b">
            <v>0</v>
          </cell>
          <cell r="W294">
            <v>552</v>
          </cell>
          <cell r="X294" t="str">
            <v>南投縣集集鎮民權路392號＞登:南投縣集集鎮八張里1鄰民權路298號。</v>
          </cell>
          <cell r="Y294" t="str">
            <v>南投縣集集鎮</v>
          </cell>
          <cell r="Z294" t="str">
            <v>南投縣集集鎮民權路298號.</v>
          </cell>
          <cell r="AA294" t="str">
            <v>552南投縣集集鎮民權路392號＞登:南投縣集集鎮八張里1鄰民權路298號。</v>
          </cell>
          <cell r="AK294" t="str">
            <v>2466-FN</v>
          </cell>
          <cell r="AL294" t="str">
            <v>1-0079-旭中&gt;寄&gt;附發票&gt;附回郵</v>
          </cell>
          <cell r="AM294" t="str">
            <v>1-0079</v>
          </cell>
        </row>
        <row r="295">
          <cell r="B295" t="str">
            <v>1-0290</v>
          </cell>
          <cell r="C295" t="str">
            <v>100-04-17</v>
          </cell>
          <cell r="D295" t="str">
            <v>1-0290-西湖鄉公所&gt;寄&gt;附發票&gt;附回郵</v>
          </cell>
          <cell r="E295" t="str">
            <v>西湖鄉公所</v>
          </cell>
          <cell r="F295" t="str">
            <v>西湖鄉公所(290)</v>
          </cell>
          <cell r="G295" t="str">
            <v>含稅</v>
          </cell>
          <cell r="H295" t="str">
            <v>寄＞附發票＞附回郵＞</v>
          </cell>
          <cell r="I295" t="str">
            <v>4950＞2304＞含稅</v>
          </cell>
          <cell r="J295">
            <v>30</v>
          </cell>
          <cell r="L295" t="str">
            <v>037-921515</v>
          </cell>
          <cell r="M295">
            <v>0</v>
          </cell>
          <cell r="R295" t="b">
            <v>0</v>
          </cell>
          <cell r="S295" t="str"/>
          <cell r="T295" t="b">
            <v>0</v>
          </cell>
          <cell r="W295">
            <v>368</v>
          </cell>
          <cell r="X295" t="str">
            <v>苗栗縣西湖鄉龍洞村1鄰5號。</v>
          </cell>
          <cell r="Y295" t="str">
            <v>苗栗縣西湖鄉</v>
          </cell>
          <cell r="Z295" t="str">
            <v>苗栗縣西湖鄉龍洞村1鄰5號.</v>
          </cell>
          <cell r="AA295" t="str">
            <v>368苗栗縣西湖鄉龍洞村1鄰5號。</v>
          </cell>
          <cell r="AK295" t="str">
            <v>2F-0395</v>
          </cell>
          <cell r="AL295" t="str">
            <v>1-0079-旭中&gt;寄&gt;附發票&gt;附回郵</v>
          </cell>
          <cell r="AM295" t="str">
            <v>1-0079</v>
          </cell>
        </row>
        <row r="296">
          <cell r="B296" t="str">
            <v>1-0291</v>
          </cell>
          <cell r="C296" t="str">
            <v>100-04-17</v>
          </cell>
          <cell r="D296" t="str">
            <v>1-0291-日正&gt;寄&gt;附回郵</v>
          </cell>
          <cell r="E296" t="str">
            <v>日正</v>
          </cell>
          <cell r="F296" t="str">
            <v>日正(291)</v>
          </cell>
          <cell r="G296" t="str">
            <v>未稅</v>
          </cell>
          <cell r="H296" t="str">
            <v>寄＞附回郵＞</v>
          </cell>
          <cell r="I296" t="str">
            <v>未稅</v>
          </cell>
          <cell r="J296">
            <v>30</v>
          </cell>
          <cell r="L296" t="str">
            <v>0932-659761</v>
          </cell>
          <cell r="M296">
            <v>0</v>
          </cell>
          <cell r="R296" t="b">
            <v>0</v>
          </cell>
          <cell r="S296" t="str"/>
          <cell r="T296" t="b">
            <v>0</v>
          </cell>
          <cell r="Y296" t="str"/>
          <cell r="AA296" t="str"/>
          <cell r="AK296" t="str">
            <v>5J-5661</v>
          </cell>
          <cell r="AL296" t="str">
            <v>1-0079-旭中&gt;寄&gt;附發票&gt;附回郵</v>
          </cell>
          <cell r="AM296" t="str">
            <v>1-0079</v>
          </cell>
        </row>
        <row r="297">
          <cell r="B297" t="str">
            <v>1-0292</v>
          </cell>
          <cell r="C297" t="str">
            <v>100-04-18</v>
          </cell>
          <cell r="D297" t="str">
            <v>1-0292-掄揚&gt;寄&gt;附發票&gt;附回郵</v>
          </cell>
          <cell r="E297" t="str">
            <v>掄揚科技股份有限公司＞負:陳其祥</v>
          </cell>
          <cell r="F297" t="str">
            <v>掄揚科技股份有限公司(292)</v>
          </cell>
          <cell r="G297" t="str">
            <v>稅外</v>
          </cell>
          <cell r="H297" t="str">
            <v>寄＞附發票＞附回郵＞</v>
          </cell>
          <cell r="I297" t="str">
            <v>8057＞1678＞稅外</v>
          </cell>
          <cell r="J297">
            <v>30</v>
          </cell>
          <cell r="L297" t="str">
            <v>037-451678＞傳真037-451677</v>
          </cell>
          <cell r="M297">
            <v>0</v>
          </cell>
          <cell r="R297" t="b">
            <v>0</v>
          </cell>
          <cell r="S297" t="str"/>
          <cell r="T297" t="b">
            <v>0</v>
          </cell>
          <cell r="W297">
            <v>356</v>
          </cell>
          <cell r="X297" t="str">
            <v>苗栗縣後龍鎮福寧里頭湖26-7號。</v>
          </cell>
          <cell r="Y297" t="str">
            <v>苗栗縣後龍鎮</v>
          </cell>
          <cell r="Z297" t="str">
            <v>苗栗縣後龍鎮福寧里頭湖26之7號.</v>
          </cell>
          <cell r="AA297" t="str">
            <v>356苗栗縣後龍鎮福寧里頭湖26-7號。</v>
          </cell>
          <cell r="AK297" t="str">
            <v>OM-7592</v>
          </cell>
          <cell r="AL297" t="str">
            <v>1-0079-旭中&gt;寄&gt;附發票&gt;附回郵</v>
          </cell>
          <cell r="AM297" t="str">
            <v>1-0079</v>
          </cell>
        </row>
        <row r="298">
          <cell r="B298" t="str">
            <v>1-0293</v>
          </cell>
          <cell r="C298" t="str">
            <v>100-04-19</v>
          </cell>
          <cell r="D298" t="str">
            <v>1-0293-英吉利&gt;電&gt;自結</v>
          </cell>
          <cell r="E298" t="str">
            <v>英吉利活海鮮＞負:吳文雯＞鄭啟民</v>
          </cell>
          <cell r="F298" t="str">
            <v>英吉利活海鮮(293)</v>
          </cell>
          <cell r="G298" t="str">
            <v>未稅</v>
          </cell>
          <cell r="H298" t="str">
            <v>電＞自結＞</v>
          </cell>
          <cell r="I298" t="str">
            <v>未稅</v>
          </cell>
          <cell r="J298">
            <v>30</v>
          </cell>
          <cell r="K298" t="str">
            <v>5410＞7704＞未稅</v>
          </cell>
          <cell r="L298" t="str">
            <v>037-479041＞037-461202＞0935-790567＞傳真037-468808</v>
          </cell>
          <cell r="M298">
            <v>0</v>
          </cell>
          <cell r="R298" t="b">
            <v>0</v>
          </cell>
          <cell r="S298" t="str"/>
          <cell r="T298" t="b">
            <v>0</v>
          </cell>
          <cell r="W298">
            <v>350</v>
          </cell>
          <cell r="X298" t="str">
            <v>苗栗縣竹南鎮龍鳳里21鄰龍江街213號＞登:苗栗縣竹南鎮龍鳳里13鄰大坵園121之8號1樓。</v>
          </cell>
          <cell r="Y298" t="str">
            <v>苗栗縣竹南鎮</v>
          </cell>
          <cell r="Z298" t="str">
            <v>苗栗縣竹南鎮龍鳳里21鄰龍江街213號.</v>
          </cell>
          <cell r="AA298" t="str">
            <v>350苗栗縣竹南鎮龍鳳里21鄰龍江街213號＞登:苗栗縣竹南鎮龍鳳里13鄰大坵園121之8號1樓。</v>
          </cell>
          <cell r="AK298" t="str">
            <v>1110-YV</v>
          </cell>
          <cell r="AL298" t="str">
            <v>1-0079-旭中&gt;寄&gt;附發票&gt;附回郵</v>
          </cell>
          <cell r="AM298" t="str">
            <v>1-0079</v>
          </cell>
        </row>
        <row r="299">
          <cell r="B299" t="str">
            <v>1-0294</v>
          </cell>
          <cell r="C299" t="str">
            <v>100-04-20</v>
          </cell>
          <cell r="D299" t="str">
            <v>1-0294-國照屏東里港&gt;親收</v>
          </cell>
          <cell r="E299" t="str">
            <v>國照屏東里港＞曾錦田</v>
          </cell>
          <cell r="F299" t="str">
            <v>國照屏東里港(294)</v>
          </cell>
          <cell r="G299" t="str">
            <v>未稅</v>
          </cell>
          <cell r="H299" t="str">
            <v>親收＞</v>
          </cell>
          <cell r="I299" t="str">
            <v>未稅</v>
          </cell>
          <cell r="J299">
            <v>30</v>
          </cell>
          <cell r="L299" t="str">
            <v>0928-331599</v>
          </cell>
          <cell r="M299">
            <v>0</v>
          </cell>
          <cell r="R299" t="b">
            <v>0</v>
          </cell>
          <cell r="S299" t="str"/>
          <cell r="T299" t="b">
            <v>0</v>
          </cell>
          <cell r="Y299" t="str"/>
          <cell r="AA299" t="str"/>
          <cell r="AK299" t="str">
            <v>5P-2350</v>
          </cell>
          <cell r="AL299" t="str">
            <v>1-0079-旭中&gt;寄&gt;附發票&gt;附回郵</v>
          </cell>
          <cell r="AM299" t="str">
            <v>1-0079</v>
          </cell>
        </row>
        <row r="300">
          <cell r="B300" t="str">
            <v>1-0295</v>
          </cell>
          <cell r="C300" t="str">
            <v>100-04-21</v>
          </cell>
          <cell r="D300" t="str">
            <v>1-0295-光復中學&gt;寄&gt;附發票&gt;附回郵</v>
          </cell>
          <cell r="E300" t="str">
            <v>新竹巿私立光復高級中學</v>
          </cell>
          <cell r="F300" t="str">
            <v>新竹巿私立光復高級中學(295)</v>
          </cell>
          <cell r="G300" t="str">
            <v>含稅</v>
          </cell>
          <cell r="H300" t="str">
            <v>寄＞附發票＞附回郵＞</v>
          </cell>
          <cell r="I300" t="str">
            <v>4680＞2405＞含稅</v>
          </cell>
          <cell r="J300">
            <v>30</v>
          </cell>
          <cell r="L300" t="str">
            <v>03-5753516＞0932-667545張奕棋＞傳真03-5753514</v>
          </cell>
          <cell r="M300">
            <v>0</v>
          </cell>
          <cell r="R300" t="b">
            <v>0</v>
          </cell>
          <cell r="S300" t="str"/>
          <cell r="T300" t="b">
            <v>0</v>
          </cell>
          <cell r="W300">
            <v>300</v>
          </cell>
          <cell r="X300" t="str">
            <v>新竹巿光復路153號。</v>
          </cell>
          <cell r="Y300" t="str">
            <v>新竹巿光復路</v>
          </cell>
          <cell r="Z300" t="str">
            <v>新竹巿光復路153號.</v>
          </cell>
          <cell r="AA300" t="str">
            <v>300新竹巿光復路153號。</v>
          </cell>
          <cell r="AK300" t="str">
            <v>518-UW</v>
          </cell>
          <cell r="AL300" t="str">
            <v>1-0080-百巢&gt;寄&gt;附發票&gt;附回郵</v>
          </cell>
          <cell r="AM300" t="str">
            <v>1-0080</v>
          </cell>
        </row>
        <row r="301">
          <cell r="B301" t="str">
            <v>1-0296</v>
          </cell>
          <cell r="C301" t="str">
            <v>100-04-22</v>
          </cell>
          <cell r="D301" t="str">
            <v>1-0296-黃正男&gt;阿呆&gt;寄&gt;自結</v>
          </cell>
          <cell r="E301" t="str">
            <v>黃正男＞阿呆</v>
          </cell>
          <cell r="F301" t="str">
            <v>黃正男(296)</v>
          </cell>
          <cell r="G301" t="str">
            <v>未稅</v>
          </cell>
          <cell r="H301" t="str">
            <v>寄＞自結</v>
          </cell>
          <cell r="I301" t="str">
            <v>未稅</v>
          </cell>
          <cell r="J301">
            <v>30</v>
          </cell>
          <cell r="K301" t="str">
            <v>4938＞9534＞未稅</v>
          </cell>
          <cell r="L301" t="str">
            <v>0936-386363</v>
          </cell>
          <cell r="M301">
            <v>0</v>
          </cell>
          <cell r="R301" t="b">
            <v>0</v>
          </cell>
          <cell r="S301" t="str"/>
          <cell r="T301" t="b">
            <v>0</v>
          </cell>
          <cell r="W301">
            <v>356</v>
          </cell>
          <cell r="X301" t="str">
            <v>苗栗縣後龍鎮東明里13鄰26-11號＞登:苗栗縣後龍鎮龍坑里15鄰十班坑169之5號。&gt;寄:苗栗縣後龍鎮復興里建興路138號.</v>
          </cell>
          <cell r="Y301" t="str">
            <v>苗栗縣後龍鎮</v>
          </cell>
          <cell r="Z301" t="str">
            <v>苗栗縣後龍鎮東明里13鄰26-11號</v>
          </cell>
          <cell r="AA301" t="str">
            <v>356苗栗縣後龍鎮東明里13鄰26-11號＞登:苗栗縣後龍鎮龍坑里15鄰十班坑169之5號。&gt;寄:苗栗縣後龍鎮復興里建興路138號.</v>
          </cell>
          <cell r="AK301" t="str">
            <v>9F-948</v>
          </cell>
          <cell r="AL301" t="str">
            <v>1-0080-百巢&gt;寄&gt;附發票&gt;附回郵</v>
          </cell>
          <cell r="AM301" t="str">
            <v>1-0080</v>
          </cell>
        </row>
        <row r="302">
          <cell r="B302" t="str">
            <v>1-0297</v>
          </cell>
          <cell r="C302" t="str">
            <v>100-04-23</v>
          </cell>
          <cell r="D302" t="str">
            <v>1-0297-富程&gt;寄&gt;附回郵</v>
          </cell>
          <cell r="E302" t="str">
            <v>富程汽車商行＞負:趙俊良</v>
          </cell>
          <cell r="F302" t="str">
            <v>富程汽車商行(297)</v>
          </cell>
          <cell r="G302" t="str">
            <v>未稅</v>
          </cell>
          <cell r="H302" t="str">
            <v>寄＞附回郵＞</v>
          </cell>
          <cell r="I302" t="str">
            <v>未稅</v>
          </cell>
          <cell r="J302">
            <v>30</v>
          </cell>
          <cell r="K302" t="str">
            <v>8881＞4706＞未稅</v>
          </cell>
          <cell r="L302" t="str">
            <v>037-722903＞0958-371255</v>
          </cell>
          <cell r="M302">
            <v>0</v>
          </cell>
          <cell r="R302" t="b">
            <v>0</v>
          </cell>
          <cell r="S302" t="str"/>
          <cell r="T302" t="b">
            <v>0</v>
          </cell>
          <cell r="W302">
            <v>356</v>
          </cell>
          <cell r="X302" t="str">
            <v>苗栗縣後龍鎮龍坑里十班坑16鄰156-69號＞登:苗栗縣後龍鎮大庄里3鄰民族路24號。</v>
          </cell>
          <cell r="Y302" t="str">
            <v>苗栗縣後龍鎮</v>
          </cell>
          <cell r="Z302" t="str">
            <v>苗栗縣後龍鎮龍坑里十班坑16鄰156之69號.</v>
          </cell>
          <cell r="AA302" t="str">
            <v>356苗栗縣後龍鎮龍坑里十班坑16鄰156-69號＞登:苗栗縣後龍鎮大庄里3鄰民族路24號。</v>
          </cell>
          <cell r="AK302" t="str">
            <v>8035-MY</v>
          </cell>
          <cell r="AL302" t="str">
            <v>1-0080-百巢&gt;寄&gt;附發票&gt;附回郵</v>
          </cell>
          <cell r="AM302" t="str">
            <v>1-0080</v>
          </cell>
        </row>
        <row r="303">
          <cell r="B303" t="str">
            <v>1-0298</v>
          </cell>
          <cell r="C303" t="str">
            <v>100-04-24</v>
          </cell>
          <cell r="D303" t="str">
            <v>1-0298-動力特區&gt;寄&gt;匯款</v>
          </cell>
          <cell r="E303" t="str">
            <v>動力特區企業社＞負:陳石海</v>
          </cell>
          <cell r="F303" t="str">
            <v>動力特區企業社(298)</v>
          </cell>
          <cell r="G303" t="str">
            <v>未稅</v>
          </cell>
          <cell r="H303" t="str">
            <v>寄＞匯款＞台灣企銀匯款帳號:34062670136戶名:陳石海</v>
          </cell>
          <cell r="I303" t="str">
            <v>未稅</v>
          </cell>
          <cell r="J303">
            <v>30</v>
          </cell>
          <cell r="K303" t="str">
            <v>1481＞4007＞未稅</v>
          </cell>
          <cell r="L303" t="str">
            <v>03-5925868＞0935-500947＞傳真03-5921082</v>
          </cell>
          <cell r="M303" t="str">
            <v>2-0194</v>
          </cell>
          <cell r="R303" t="b">
            <v>0</v>
          </cell>
          <cell r="S303" t="str"/>
          <cell r="T303" t="b">
            <v>0</v>
          </cell>
          <cell r="W303">
            <v>307</v>
          </cell>
          <cell r="X303" t="str">
            <v>新竹縣芎林鄉文林村12鄰富林路二段693之1號。</v>
          </cell>
          <cell r="Y303" t="str">
            <v>新竹縣芎林鄉</v>
          </cell>
          <cell r="Z303" t="str">
            <v>新竹縣芎林鄉文林村12鄰富林路二段693之1號.</v>
          </cell>
          <cell r="AA303" t="str">
            <v>307新竹縣芎林鄉文林村12鄰富林路二段693之1號。</v>
          </cell>
          <cell r="AK303" t="str">
            <v>3398-F9</v>
          </cell>
          <cell r="AL303" t="str">
            <v>1-0080-百巢&gt;寄&gt;附發票&gt;附回郵</v>
          </cell>
          <cell r="AM303" t="str">
            <v>1-0080</v>
          </cell>
        </row>
        <row r="304">
          <cell r="B304" t="str">
            <v>1-0299</v>
          </cell>
          <cell r="C304" t="str">
            <v>100-04-25</v>
          </cell>
          <cell r="D304" t="str">
            <v>1-0299-大億&gt;寄&gt;附發票&gt;附回郵</v>
          </cell>
          <cell r="E304" t="str">
            <v>大億企業社＞負:魏志明＞東益企業社＞負:張瑞芬</v>
          </cell>
          <cell r="F304" t="str">
            <v>大億企業社(299)</v>
          </cell>
          <cell r="G304" t="str">
            <v>稅外</v>
          </cell>
          <cell r="H304" t="str">
            <v>寄＞附發票＞附回郵＞</v>
          </cell>
          <cell r="I304" t="str">
            <v>6689＞5134大億＞1821＞7754東益＞稅外</v>
          </cell>
          <cell r="J304">
            <v>30</v>
          </cell>
          <cell r="L304" t="str">
            <v>03-5397130＞0912-232301＞傳真03-5396773</v>
          </cell>
          <cell r="M304">
            <v>0</v>
          </cell>
          <cell r="R304" t="b">
            <v>0</v>
          </cell>
          <cell r="S304" t="str"/>
          <cell r="T304" t="b">
            <v>0</v>
          </cell>
          <cell r="W304">
            <v>300</v>
          </cell>
          <cell r="X304" t="str">
            <v>新竹巿中山路654號1樓。</v>
          </cell>
          <cell r="Y304" t="str">
            <v>新竹巿中山路</v>
          </cell>
          <cell r="Z304" t="str">
            <v>新竹巿中山路654號1樓.</v>
          </cell>
          <cell r="AA304" t="str">
            <v>300新竹巿中山路654號1樓。</v>
          </cell>
          <cell r="AK304" t="str">
            <v>RV-908</v>
          </cell>
          <cell r="AL304" t="str">
            <v>1-0080-百巢&gt;寄&gt;附發票&gt;附回郵</v>
          </cell>
          <cell r="AM304" t="str">
            <v>1-0080</v>
          </cell>
        </row>
        <row r="305">
          <cell r="B305" t="str">
            <v>1-0300</v>
          </cell>
          <cell r="C305" t="str">
            <v>100-04-26</v>
          </cell>
          <cell r="D305" t="str">
            <v>1-0300-陳永能&gt;寄&gt;自結</v>
          </cell>
          <cell r="E305" t="str">
            <v>陳永能＞靠行:鴻揚通運有限公司,負:陳富進</v>
          </cell>
          <cell r="F305" t="str">
            <v>陳永能(300)</v>
          </cell>
          <cell r="G305" t="str">
            <v>未稅</v>
          </cell>
          <cell r="H305" t="str">
            <v>寄＞自結＞</v>
          </cell>
          <cell r="I305" t="str">
            <v>未稅</v>
          </cell>
          <cell r="J305">
            <v>30</v>
          </cell>
          <cell r="K305" t="str">
            <v>1601＞5958＞未稅</v>
          </cell>
          <cell r="L305" t="str">
            <v>037-544889＞0932-378383＞0938-778383</v>
          </cell>
          <cell r="M305">
            <v>0</v>
          </cell>
          <cell r="O305">
            <v>61</v>
          </cell>
          <cell r="P305">
            <v>12</v>
          </cell>
          <cell r="Q305">
            <v>1</v>
          </cell>
          <cell r="R305">
            <v>49</v>
          </cell>
          <cell r="S305">
            <v>72</v>
          </cell>
          <cell r="T305">
            <v>26634</v>
          </cell>
          <cell r="U305" t="str">
            <v>K120973960</v>
          </cell>
          <cell r="V305" t="str">
            <v>陳永能</v>
          </cell>
          <cell r="W305">
            <v>361</v>
          </cell>
          <cell r="X305" t="str">
            <v>苗栗縣造橋鄉大西村龍門街100巷21號＞登:苗栗縣苗栗市勝利里36鄰榮興1-2號1樓。</v>
          </cell>
          <cell r="Y305" t="str">
            <v>苗栗縣造橋鄉</v>
          </cell>
          <cell r="Z305" t="str">
            <v>苗栗縣造橋鄉大西村龍門街100巷21號.</v>
          </cell>
          <cell r="AA305" t="str">
            <v>361苗栗縣造橋鄉大西村龍門街100巷21號＞登:苗栗縣苗栗市勝利里36鄰榮興1-2號1樓。</v>
          </cell>
          <cell r="AK305" t="str">
            <v>6317-F7</v>
          </cell>
          <cell r="AL305" t="str">
            <v>1-0080-百巢&gt;寄&gt;附發票&gt;附回郵</v>
          </cell>
          <cell r="AM305" t="str">
            <v>1-0080</v>
          </cell>
        </row>
        <row r="306">
          <cell r="B306" t="str">
            <v>1-0301</v>
          </cell>
          <cell r="C306" t="str">
            <v>100-04-27</v>
          </cell>
          <cell r="D306" t="str">
            <v>1-0301-榮揚行&gt;寄&gt;附回郵</v>
          </cell>
          <cell r="E306" t="str">
            <v>榮揚行＞負:鄧森文</v>
          </cell>
          <cell r="F306" t="str">
            <v>榮揚行(301)</v>
          </cell>
          <cell r="G306" t="str">
            <v>未稅</v>
          </cell>
          <cell r="H306" t="str">
            <v>寄＞附回郵＞</v>
          </cell>
          <cell r="I306" t="str">
            <v>未稅</v>
          </cell>
          <cell r="J306">
            <v>30</v>
          </cell>
          <cell r="K306" t="str">
            <v>9493＞1549＞未稅</v>
          </cell>
          <cell r="L306" t="str">
            <v>037-585965＞0932-527821</v>
          </cell>
          <cell r="M306">
            <v>0</v>
          </cell>
          <cell r="O306">
            <v>56</v>
          </cell>
          <cell r="P306">
            <v>8</v>
          </cell>
          <cell r="Q306">
            <v>17</v>
          </cell>
          <cell r="R306">
            <v>54</v>
          </cell>
          <cell r="S306">
            <v>67</v>
          </cell>
          <cell r="T306">
            <v>24701</v>
          </cell>
          <cell r="U306" t="str">
            <v>K121122798</v>
          </cell>
          <cell r="V306" t="str">
            <v>鄧森文</v>
          </cell>
          <cell r="W306">
            <v>350</v>
          </cell>
          <cell r="X306" t="str">
            <v>苗栗縣竹南鎮大埔里和興路33號＞登:苗栗縣頭份鎮成功里11鄰建國路190號1樓。</v>
          </cell>
          <cell r="Y306" t="str">
            <v>苗栗縣竹南鎮</v>
          </cell>
          <cell r="Z306" t="str">
            <v>苗栗縣竹南鎮大埔里和興路33號.</v>
          </cell>
          <cell r="AA306" t="str">
            <v>350苗栗縣竹南鎮大埔里和興路33號＞登:苗栗縣頭份鎮成功里11鄰建國路190號1樓。</v>
          </cell>
          <cell r="AK306" t="str">
            <v>6488-U2</v>
          </cell>
          <cell r="AL306" t="str">
            <v>1-0080-百巢&gt;寄&gt;附發票&gt;附回郵</v>
          </cell>
          <cell r="AM306" t="str">
            <v>1-0080</v>
          </cell>
        </row>
        <row r="307">
          <cell r="B307" t="str">
            <v>1-0302</v>
          </cell>
          <cell r="C307" t="str">
            <v>100-04-28</v>
          </cell>
          <cell r="D307" t="str">
            <v>1-0302-豐正輪胎&gt;寄&gt;匯款</v>
          </cell>
          <cell r="E307" t="str">
            <v>豐正輪胎股份有限公司＞負:鄭春恭</v>
          </cell>
          <cell r="F307" t="str">
            <v>豐正輪胎股份有限公司(302)</v>
          </cell>
          <cell r="G307" t="str">
            <v>未稅</v>
          </cell>
          <cell r="H307" t="str">
            <v>寄＞匯款&gt;</v>
          </cell>
          <cell r="I307" t="str">
            <v>未稅</v>
          </cell>
          <cell r="J307">
            <v>30</v>
          </cell>
          <cell r="L307" t="str">
            <v>02-86781122#204葉's＞0800-000395＞傳真02-26706677</v>
          </cell>
          <cell r="M307">
            <v>0</v>
          </cell>
          <cell r="R307" t="b">
            <v>0</v>
          </cell>
          <cell r="S307" t="str"/>
          <cell r="T307" t="b">
            <v>0</v>
          </cell>
          <cell r="W307">
            <v>239</v>
          </cell>
          <cell r="X307" t="str">
            <v>新北巿鶯歌區中山路173號＞登:新北巿鶯歌區建國里中山路173號。</v>
          </cell>
          <cell r="Y307" t="str">
            <v>新北巿鶯歌區</v>
          </cell>
          <cell r="Z307" t="str">
            <v>新北巿鶯歌區中山路173號.</v>
          </cell>
          <cell r="AA307" t="str">
            <v>239新北巿鶯歌區中山路173號＞登:新北巿鶯歌區建國里中山路173號。</v>
          </cell>
          <cell r="AK307" t="str">
            <v>RB-053</v>
          </cell>
          <cell r="AL307" t="str">
            <v>1-0085-宏昇起重&gt;寄&gt;附發票&gt;附回郵</v>
          </cell>
          <cell r="AM307" t="str">
            <v>1-0085</v>
          </cell>
        </row>
        <row r="308">
          <cell r="B308" t="str">
            <v>1-0303</v>
          </cell>
          <cell r="C308" t="str">
            <v>100-04-29</v>
          </cell>
          <cell r="D308" t="str">
            <v>1-0303-江正榮＞阿妙-永慶&gt;寄&gt;自結</v>
          </cell>
          <cell r="E308" t="str">
            <v>江正榮＞阿妙＞靠行:天大&gt;永慶貨運股份有限公司,負:陳漢琮</v>
          </cell>
          <cell r="F308" t="str">
            <v>江正榮(303)</v>
          </cell>
          <cell r="G308" t="str">
            <v>稅外</v>
          </cell>
          <cell r="H308" t="str">
            <v>寄＞&gt;附發票&gt;自結＞</v>
          </cell>
          <cell r="I308" t="str">
            <v>5709&gt;2802&gt;稅外&gt;110.03月起</v>
          </cell>
          <cell r="J308">
            <v>30</v>
          </cell>
          <cell r="L308" t="str">
            <v>0933-190412</v>
          </cell>
          <cell r="M308" t="str">
            <v>2-0157</v>
          </cell>
          <cell r="O308">
            <v>70</v>
          </cell>
          <cell r="P308">
            <v>6</v>
          </cell>
          <cell r="Q308">
            <v>29</v>
          </cell>
          <cell r="R308">
            <v>40</v>
          </cell>
          <cell r="S308">
            <v>81</v>
          </cell>
          <cell r="T308">
            <v>29766</v>
          </cell>
          <cell r="U308" t="str">
            <v>G121581954</v>
          </cell>
          <cell r="V308" t="str">
            <v>江正榮</v>
          </cell>
          <cell r="W308">
            <v>350</v>
          </cell>
          <cell r="X308" t="str">
            <v>苗栗縣竹南鎮山佳里萬富新村24鄰9號＞戶:苗栗縣頭份鎮中華路953巷10號10樓＞登:苗栗縣頭份鎮蟠桃里3鄰中央路268號。</v>
          </cell>
          <cell r="Y308" t="str">
            <v>苗栗縣竹南鎮</v>
          </cell>
          <cell r="Z308" t="str">
            <v>苗栗縣竹南鎮山佳里萬富新村24鄰9號.</v>
          </cell>
          <cell r="AA308" t="str">
            <v>350苗栗縣竹南鎮山佳里萬富新村24鄰9號＞戶:苗栗縣頭份鎮中華路953巷10號10樓＞登:苗栗縣頭份鎮蟠桃里3鄰中央路268號。</v>
          </cell>
          <cell r="AK308" t="str">
            <v>517-Q7</v>
          </cell>
          <cell r="AL308" t="str">
            <v>1-0086-陳根旺&gt;寄&gt;附發票&gt;附回郵</v>
          </cell>
          <cell r="AM308" t="str">
            <v>1-0086</v>
          </cell>
        </row>
        <row r="309">
          <cell r="B309" t="str">
            <v>1-0304</v>
          </cell>
          <cell r="C309" t="str">
            <v>100-05-05</v>
          </cell>
          <cell r="D309" t="str">
            <v>1-0304-益興&gt;寄&gt;附回郵</v>
          </cell>
          <cell r="E309" t="str">
            <v>益興企業社＞負:許忠明</v>
          </cell>
          <cell r="F309" t="str">
            <v>益興企業社(304)</v>
          </cell>
          <cell r="G309" t="str">
            <v>未稅</v>
          </cell>
          <cell r="H309" t="str">
            <v>寄＞附回郵＞</v>
          </cell>
          <cell r="I309" t="str">
            <v>未稅</v>
          </cell>
          <cell r="J309">
            <v>30</v>
          </cell>
          <cell r="K309" t="str">
            <v>4563＞3607＞未稅</v>
          </cell>
          <cell r="L309" t="str">
            <v>037-477435＞037-469210＞0910-519600</v>
          </cell>
          <cell r="M309">
            <v>0</v>
          </cell>
          <cell r="R309" t="b">
            <v>0</v>
          </cell>
          <cell r="S309" t="str"/>
          <cell r="T309" t="b">
            <v>0</v>
          </cell>
          <cell r="W309">
            <v>350</v>
          </cell>
          <cell r="X309" t="str">
            <v>苗栗縣竹南鎮竹興里復興路426巷11號。</v>
          </cell>
          <cell r="Y309" t="str">
            <v>苗栗縣竹南鎮</v>
          </cell>
          <cell r="Z309" t="str">
            <v>苗栗縣竹南鎮竹興里復興路426巷11號.</v>
          </cell>
          <cell r="AA309" t="str">
            <v>350苗栗縣竹南鎮竹興里復興路426巷11號。</v>
          </cell>
          <cell r="AK309" t="str">
            <v>507-Q7</v>
          </cell>
          <cell r="AL309" t="str">
            <v>1-0086-陳根旺&gt;寄&gt;附發票&gt;附回郵</v>
          </cell>
          <cell r="AM309" t="str">
            <v>1-0086</v>
          </cell>
        </row>
        <row r="310">
          <cell r="B310" t="str">
            <v>1-0305</v>
          </cell>
          <cell r="C310" t="str">
            <v>100-05-28</v>
          </cell>
          <cell r="D310" t="str">
            <v>1-0305-萬峰&gt;寄&gt;自結</v>
          </cell>
          <cell r="E310" t="str">
            <v>黃木富＞靠行:萬峰交通企業有限公司,負:黃清堂</v>
          </cell>
          <cell r="F310" t="str">
            <v>黃木富(305)</v>
          </cell>
          <cell r="G310" t="str">
            <v>未稅</v>
          </cell>
          <cell r="H310" t="str">
            <v>寄＞自結＞</v>
          </cell>
          <cell r="I310" t="str">
            <v>未稅</v>
          </cell>
          <cell r="J310">
            <v>30</v>
          </cell>
          <cell r="K310" t="str">
            <v>3134＞3332＞未稅</v>
          </cell>
          <cell r="L310" t="str">
            <v>037-723027＞0925-772267</v>
          </cell>
          <cell r="M310">
            <v>0</v>
          </cell>
          <cell r="O310">
            <v>42</v>
          </cell>
          <cell r="P310">
            <v>4</v>
          </cell>
          <cell r="Q310">
            <v>1</v>
          </cell>
          <cell r="R310">
            <v>69</v>
          </cell>
          <cell r="S310">
            <v>53</v>
          </cell>
          <cell r="T310">
            <v>19450</v>
          </cell>
          <cell r="U310" t="str">
            <v>K101632319</v>
          </cell>
          <cell r="V310" t="str">
            <v>黃木富</v>
          </cell>
          <cell r="W310">
            <v>356</v>
          </cell>
          <cell r="X310" t="str">
            <v>苗栗縣後龍鎮東明里13鄰26-9號＞登:苗栗縣後龍鎮龍坑里16鄰十班坑161-20號。</v>
          </cell>
          <cell r="Y310" t="str">
            <v>苗栗縣後龍鎮</v>
          </cell>
          <cell r="Z310" t="str">
            <v>苗栗縣後龍鎮東明里13鄰26之9號.</v>
          </cell>
          <cell r="AA310" t="str">
            <v>356苗栗縣後龍鎮東明里13鄰26-9號＞登:苗栗縣後龍鎮龍坑里16鄰十班坑161-20號。</v>
          </cell>
          <cell r="AK310" t="str">
            <v>NM-862</v>
          </cell>
          <cell r="AL310" t="str">
            <v>1-0090-洪福氣&gt;寄&gt;自結</v>
          </cell>
          <cell r="AM310" t="str">
            <v>1-0090</v>
          </cell>
        </row>
        <row r="311">
          <cell r="B311" t="str">
            <v>1-0306</v>
          </cell>
          <cell r="C311" t="str">
            <v>100-06-03</v>
          </cell>
          <cell r="D311" t="str">
            <v>1-0306-力龍&gt;寄&gt;自結</v>
          </cell>
          <cell r="E311" t="str">
            <v>力龍企業社＞負:楊秋燐＞神轎車</v>
          </cell>
          <cell r="F311" t="str">
            <v>力龍企業社(306)</v>
          </cell>
          <cell r="G311" t="str">
            <v>未稅</v>
          </cell>
          <cell r="H311" t="str">
            <v>寄＞自結＞</v>
          </cell>
          <cell r="I311" t="str">
            <v>未稅</v>
          </cell>
          <cell r="J311">
            <v>30</v>
          </cell>
          <cell r="K311" t="str">
            <v>0294＞1892＞未稅</v>
          </cell>
          <cell r="L311" t="str">
            <v>037-465793＞0921-320835</v>
          </cell>
          <cell r="M311" t="str">
            <v>2-0184</v>
          </cell>
          <cell r="R311" t="b">
            <v>0</v>
          </cell>
          <cell r="S311" t="str"/>
          <cell r="T311" t="b">
            <v>0</v>
          </cell>
          <cell r="W311">
            <v>350</v>
          </cell>
          <cell r="X311" t="str">
            <v>苗栗縣竹南鎮聖福里18鄰龍天路119號1樓。</v>
          </cell>
          <cell r="Y311" t="str">
            <v>苗栗縣竹南鎮</v>
          </cell>
          <cell r="Z311" t="str">
            <v>苗栗縣竹南鎮聖福里18鄰龍天路119號1樓.</v>
          </cell>
          <cell r="AA311" t="str">
            <v>350苗栗縣竹南鎮聖福里18鄰龍天路119號1樓。</v>
          </cell>
          <cell r="AK311" t="str">
            <v>602-GF</v>
          </cell>
          <cell r="AL311" t="str">
            <v>1-0091-捷瑞駿&gt;寄&gt;附發票&gt;附回郵</v>
          </cell>
          <cell r="AM311" t="str">
            <v>1-0091</v>
          </cell>
        </row>
        <row r="312">
          <cell r="B312" t="str">
            <v>1-0307</v>
          </cell>
          <cell r="C312" t="str">
            <v>100-06-10</v>
          </cell>
          <cell r="D312" t="str">
            <v>1-0307-謝文昌&gt;冠德&gt;寄&gt;自結</v>
          </cell>
          <cell r="E312" t="str">
            <v>謝文昌＞靠行:冠德交通股份有限公司,負:溫駿軒</v>
          </cell>
          <cell r="F312" t="str">
            <v>謝文昌(307)</v>
          </cell>
          <cell r="G312" t="str">
            <v>未稅</v>
          </cell>
          <cell r="H312" t="str">
            <v>寄＞自結＞</v>
          </cell>
          <cell r="I312" t="str">
            <v>未稅</v>
          </cell>
          <cell r="J312">
            <v>30</v>
          </cell>
          <cell r="K312" t="str">
            <v>8497＞8474＞未稅</v>
          </cell>
          <cell r="L312" t="str">
            <v>037-563068＞0981-877347</v>
          </cell>
          <cell r="M312">
            <v>0</v>
          </cell>
          <cell r="O312">
            <v>58</v>
          </cell>
          <cell r="P312">
            <v>5</v>
          </cell>
          <cell r="Q312">
            <v>16</v>
          </cell>
          <cell r="R312">
            <v>52</v>
          </cell>
          <cell r="S312">
            <v>69</v>
          </cell>
          <cell r="T312">
            <v>25339</v>
          </cell>
          <cell r="U312" t="str">
            <v>K120945242</v>
          </cell>
          <cell r="V312" t="str">
            <v>謝文昌</v>
          </cell>
          <cell r="W312">
            <v>361</v>
          </cell>
          <cell r="X312" t="str">
            <v>苗栗縣造橋鄉朝陽村頭家城路仁愛巷40號＞登:苗栗縣頭份鎮忠孝里22鄰五福街25號。</v>
          </cell>
          <cell r="Y312" t="str">
            <v>苗栗縣造橋鄉</v>
          </cell>
          <cell r="Z312" t="str">
            <v>苗栗縣造橋鄉朝陽村頭家城路仁愛巷40號.</v>
          </cell>
          <cell r="AA312" t="str">
            <v>361苗栗縣造橋鄉朝陽村頭家城路仁愛巷40號＞登:苗栗縣頭份鎮忠孝里22鄰五福街25號。</v>
          </cell>
          <cell r="AK312" t="str">
            <v>QM-778</v>
          </cell>
          <cell r="AL312" t="str">
            <v>1-0091-捷瑞駿&gt;寄&gt;附發票&gt;附回郵</v>
          </cell>
          <cell r="AM312" t="str">
            <v>1-0091</v>
          </cell>
        </row>
        <row r="313">
          <cell r="B313" t="str">
            <v>1-0308</v>
          </cell>
          <cell r="C313" t="str">
            <v>100-06-11</v>
          </cell>
          <cell r="D313" t="str">
            <v>1-0308-林旺駿&gt;金聖&gt;附發票&gt;附回郵</v>
          </cell>
          <cell r="E313" t="str">
            <v>金聖企業社＞負:杜金燕＞林旺駿</v>
          </cell>
          <cell r="F313" t="str">
            <v>金聖企業社(308)</v>
          </cell>
          <cell r="G313" t="str">
            <v>含稅</v>
          </cell>
          <cell r="H313" t="str">
            <v>寄＞附發票＞附回郵＞</v>
          </cell>
          <cell r="I313" t="str">
            <v>1421＞9788＞含稅</v>
          </cell>
          <cell r="J313">
            <v>30</v>
          </cell>
          <cell r="L313" t="str">
            <v>037-680595＞0919-073358</v>
          </cell>
          <cell r="M313">
            <v>0</v>
          </cell>
          <cell r="R313" t="b">
            <v>0</v>
          </cell>
          <cell r="S313" t="str"/>
          <cell r="T313" t="b">
            <v>0</v>
          </cell>
          <cell r="W313">
            <v>352</v>
          </cell>
          <cell r="X313" t="str">
            <v>苗栗縣三灣鄉民富街19號＞登:苗栗縣三灣鄉三灣村6鄰民富街19號1樓。</v>
          </cell>
          <cell r="Y313" t="str">
            <v>苗栗縣三灣鄉</v>
          </cell>
          <cell r="Z313" t="str">
            <v>苗栗縣三灣鄉民富街19號.</v>
          </cell>
          <cell r="AA313" t="str">
            <v>352苗栗縣三灣鄉民富街19號＞登:苗栗縣三灣鄉三灣村6鄰民富街19號1樓。</v>
          </cell>
          <cell r="AK313" t="str">
            <v>QN-150</v>
          </cell>
          <cell r="AL313" t="str">
            <v>1-0194-傅文芳&gt;大砲&gt;一路發拖吊&gt;電&gt;自結</v>
          </cell>
          <cell r="AM313" t="str">
            <v>1-0194</v>
          </cell>
        </row>
        <row r="314">
          <cell r="B314" t="str">
            <v>1-0309</v>
          </cell>
          <cell r="C314" t="str">
            <v>100-06-17</v>
          </cell>
          <cell r="D314" t="str">
            <v>1-0309-龍聖&gt;嘉盛&gt;寄&gt;自結</v>
          </cell>
          <cell r="E314" t="str">
            <v>吳清華＞黑皮＞嘉盛&gt;靠行:龍聖交通股份有限公司,負:黃添福</v>
          </cell>
          <cell r="F314" t="str">
            <v>吳清華(309)</v>
          </cell>
          <cell r="G314" t="str">
            <v>未稅</v>
          </cell>
          <cell r="H314" t="str">
            <v>寄平信＞自結＞</v>
          </cell>
          <cell r="I314" t="str">
            <v>未稅</v>
          </cell>
          <cell r="J314">
            <v>30</v>
          </cell>
          <cell r="K314" t="str">
            <v>5227＞8358＞未稅</v>
          </cell>
          <cell r="L314" t="str">
            <v>037-432688＞0937-222276帳務問題</v>
          </cell>
          <cell r="M314" t="str">
            <v>2-0167</v>
          </cell>
          <cell r="R314" t="b">
            <v>0</v>
          </cell>
          <cell r="S314" t="str"/>
          <cell r="T314" t="b">
            <v>0</v>
          </cell>
          <cell r="W314">
            <v>356</v>
          </cell>
          <cell r="X314" t="str">
            <v>苗栗縣後龍鎮灣寶里下灣寶庄七鄰114-6號＞登:苗栗縣後龍鎮龍坑里15鄰169之７號。</v>
          </cell>
          <cell r="Y314" t="str">
            <v>苗栗縣後龍鎮</v>
          </cell>
          <cell r="Z314" t="str">
            <v>苗栗縣後龍鎮灣寶里下灣寶庄七鄰114之6號.</v>
          </cell>
          <cell r="AA314" t="str">
            <v>356苗栗縣後龍鎮灣寶里下灣寶庄七鄰114-6號＞登:苗栗縣後龍鎮龍坑里15鄰169之７號。</v>
          </cell>
          <cell r="AK314" t="str">
            <v>539-VA</v>
          </cell>
          <cell r="AL314" t="str">
            <v>1-0194-傅文芳&gt;大砲&gt;一路發拖吊&gt;電&gt;自結</v>
          </cell>
          <cell r="AM314" t="str">
            <v>1-0194</v>
          </cell>
        </row>
        <row r="315">
          <cell r="B315" t="str">
            <v>1-0310</v>
          </cell>
          <cell r="C315" t="str">
            <v>101-08-16</v>
          </cell>
          <cell r="D315" t="str">
            <v>1-0310-龍晟&gt;寄&gt;附回郵</v>
          </cell>
          <cell r="E315" t="str">
            <v>龍晟交通公司＞彭耀芳</v>
          </cell>
          <cell r="F315" t="str">
            <v>龍晟交通公司(310)</v>
          </cell>
          <cell r="G315" t="str">
            <v>未稅</v>
          </cell>
          <cell r="H315" t="str">
            <v>寄＞附回郵＞</v>
          </cell>
          <cell r="I315" t="str">
            <v>未稅</v>
          </cell>
          <cell r="J315">
            <v>30</v>
          </cell>
          <cell r="L315" t="str">
            <v>0935-333393</v>
          </cell>
          <cell r="M315">
            <v>0</v>
          </cell>
          <cell r="R315" t="b">
            <v>0</v>
          </cell>
          <cell r="S315" t="str"/>
          <cell r="T315" t="b">
            <v>0</v>
          </cell>
          <cell r="U315" t="str">
            <v>K120655181</v>
          </cell>
          <cell r="V315" t="str">
            <v>彭耀芳</v>
          </cell>
          <cell r="W315">
            <v>360</v>
          </cell>
          <cell r="X315" t="str">
            <v>苗栗縣苗栗巿喜新里16鄰福樂1號。</v>
          </cell>
          <cell r="Y315" t="str">
            <v>苗栗縣苗栗巿</v>
          </cell>
          <cell r="Z315" t="str">
            <v>苗栗縣苗栗巿喜新里16鄰福樂1號.</v>
          </cell>
          <cell r="AA315" t="str">
            <v>360苗栗縣苗栗巿喜新里16鄰福樂1號。</v>
          </cell>
          <cell r="AK315" t="str">
            <v>8G-8228</v>
          </cell>
          <cell r="AL315" t="str">
            <v>1-0101-西河&gt;寄&gt;附發票&gt;附回郵</v>
          </cell>
          <cell r="AM315" t="str">
            <v>1-0101</v>
          </cell>
        </row>
        <row r="316">
          <cell r="B316" t="str">
            <v>1-0311</v>
          </cell>
          <cell r="C316" t="str">
            <v>101-08-17</v>
          </cell>
          <cell r="D316" t="str">
            <v>1-0311-麻豆吊車&gt;寄&gt;附發票&gt;附回郵</v>
          </cell>
          <cell r="E316" t="str">
            <v>麻豆起重工程有限公司＞,負:吳木央</v>
          </cell>
          <cell r="F316" t="str">
            <v>麻豆起重工程有限公司(311)</v>
          </cell>
          <cell r="G316" t="str">
            <v>稅外</v>
          </cell>
          <cell r="H316" t="str">
            <v>寄＞附發票＞附回郵＞</v>
          </cell>
          <cell r="I316" t="str">
            <v>7998＞0078＞稅外</v>
          </cell>
          <cell r="J316">
            <v>30</v>
          </cell>
          <cell r="L316" t="str">
            <v>03-5723639＞0928-773045吳憲宗＞傳真:06-5720138</v>
          </cell>
          <cell r="M316">
            <v>0</v>
          </cell>
          <cell r="R316" t="b">
            <v>0</v>
          </cell>
          <cell r="S316" t="str"/>
          <cell r="T316" t="b">
            <v>0</v>
          </cell>
          <cell r="W316">
            <v>721</v>
          </cell>
          <cell r="X316" t="str">
            <v>台南巿麻豆區庄井里139之4號＞登:台南巿麻豆區興農里2鄰中興街279號1樓。</v>
          </cell>
          <cell r="Y316" t="str">
            <v>台南巿麻豆區</v>
          </cell>
          <cell r="Z316" t="str">
            <v>台南巿麻豆區庄井里139之4號.</v>
          </cell>
          <cell r="AA316" t="str">
            <v>721台南巿麻豆區庄井里139之4號＞登:台南巿麻豆區興農里2鄰中興街279號1樓。</v>
          </cell>
          <cell r="AK316" t="str">
            <v>806-JD</v>
          </cell>
          <cell r="AL316" t="str">
            <v>1-0105-胡清陽&gt;苗連.花旗&gt;寄&gt;附發票&gt;附回郵</v>
          </cell>
          <cell r="AM316" t="str">
            <v>1-0105</v>
          </cell>
        </row>
        <row r="317">
          <cell r="B317" t="str">
            <v>1-0312</v>
          </cell>
          <cell r="C317" t="str">
            <v>101-08-18</v>
          </cell>
          <cell r="D317" t="str">
            <v>1-0312-昇光偉&gt;寄&gt;附發票&gt;附回郵</v>
          </cell>
          <cell r="E317" t="str">
            <v>昇光偉開發有限公司</v>
          </cell>
          <cell r="F317" t="str">
            <v>昇光偉開發有限公司(312)</v>
          </cell>
          <cell r="G317" t="str">
            <v>含稅</v>
          </cell>
          <cell r="H317" t="str">
            <v>寄＞附發票＞附回郵＞</v>
          </cell>
          <cell r="I317" t="str">
            <v>2507＞2542＞含稅</v>
          </cell>
          <cell r="J317">
            <v>30</v>
          </cell>
          <cell r="L317" t="str">
            <v>04-24073935＞04-24060973</v>
          </cell>
          <cell r="M317">
            <v>0</v>
          </cell>
          <cell r="R317" t="b">
            <v>0</v>
          </cell>
          <cell r="S317" t="str"/>
          <cell r="T317" t="b">
            <v>0</v>
          </cell>
          <cell r="W317">
            <v>412</v>
          </cell>
          <cell r="X317" t="str">
            <v>台中縣大里巿元堤路二段122號。</v>
          </cell>
          <cell r="Y317" t="str">
            <v>台中縣大里巿</v>
          </cell>
          <cell r="Z317" t="str">
            <v>台中縣大里巿元堤路二段122號.</v>
          </cell>
          <cell r="AA317" t="str">
            <v>412台中縣大里巿元堤路二段122號。</v>
          </cell>
          <cell r="AK317" t="str">
            <v>ET-1122</v>
          </cell>
          <cell r="AL317" t="str">
            <v>1-0105-胡清陽&gt;苗連.花旗&gt;寄&gt;附發票&gt;附回郵</v>
          </cell>
          <cell r="AM317" t="str">
            <v>1-0105</v>
          </cell>
        </row>
        <row r="318">
          <cell r="B318" t="str">
            <v>1-0313</v>
          </cell>
          <cell r="C318" t="str">
            <v>101-08-19</v>
          </cell>
          <cell r="D318" t="str">
            <v>1-0313-蘇煥淇&gt;冠德&gt;寄&gt;附發票&gt;匯款</v>
          </cell>
          <cell r="E318" t="str">
            <v>蘇煥淇＞靠行:冠德交通股份有限公司,負:溫駿軒</v>
          </cell>
          <cell r="F318" t="str">
            <v>蘇煥淇(313)</v>
          </cell>
          <cell r="G318" t="str">
            <v>未稅</v>
          </cell>
          <cell r="H318" t="str">
            <v>寄＞附發票＞匯款＞</v>
          </cell>
          <cell r="I318" t="str">
            <v>8497＞8474＞稅外＞中華全佑</v>
          </cell>
          <cell r="J318">
            <v>30</v>
          </cell>
          <cell r="L318" t="str">
            <v>037-541473＞0932-565923＞0928-331481老婆</v>
          </cell>
          <cell r="M318">
            <v>0</v>
          </cell>
          <cell r="O318">
            <v>58</v>
          </cell>
          <cell r="P318">
            <v>2</v>
          </cell>
          <cell r="Q318">
            <v>20</v>
          </cell>
          <cell r="R318">
            <v>53</v>
          </cell>
          <cell r="S318">
            <v>69</v>
          </cell>
          <cell r="T318">
            <v>25254</v>
          </cell>
          <cell r="U318" t="str">
            <v>K121127319</v>
          </cell>
          <cell r="V318" t="str">
            <v>蘇煥淇</v>
          </cell>
          <cell r="W318">
            <v>361</v>
          </cell>
          <cell r="X318" t="str">
            <v>苗栗縣造橋鄉大西村14鄰大西二街163巷70號＞登:苗栗縣頭份鎮忠孝里22鄰五福街25號。</v>
          </cell>
          <cell r="Y318" t="str">
            <v>苗栗縣造橋鄉</v>
          </cell>
          <cell r="Z318" t="str">
            <v>苗栗縣造橋鄉大西村14鄰大西二街163巷70號.</v>
          </cell>
          <cell r="AA318" t="str">
            <v>361苗栗縣造橋鄉大西村14鄰大西二街163巷70號＞登:苗栗縣頭份鎮忠孝里22鄰五福街25號。</v>
          </cell>
          <cell r="AK318" t="str">
            <v>QU-041</v>
          </cell>
          <cell r="AL318" t="str">
            <v>1-0105-胡清陽&gt;苗連.花旗&gt;寄&gt;附發票&gt;附回郵</v>
          </cell>
          <cell r="AM318" t="str">
            <v>1-0105</v>
          </cell>
        </row>
        <row r="319">
          <cell r="B319" t="str">
            <v>1-0314</v>
          </cell>
          <cell r="C319" t="str">
            <v>101-08-20</v>
          </cell>
          <cell r="D319" t="str">
            <v>1-0314-百木達&gt;連順&gt;寄&gt;附發票&gt;附回郵</v>
          </cell>
          <cell r="E319" t="str">
            <v>連順園藝造景＞負:邱榮進＞百木達景觀休閒花巿</v>
          </cell>
          <cell r="F319" t="str">
            <v>百木達景觀休閒花巿(314)</v>
          </cell>
          <cell r="G319" t="str">
            <v>含稅</v>
          </cell>
          <cell r="H319" t="str">
            <v>寄＞附發票＞附回郵＞</v>
          </cell>
          <cell r="I319" t="str">
            <v>1920＞1323＞含稅</v>
          </cell>
          <cell r="J319">
            <v>30</v>
          </cell>
          <cell r="L319" t="str">
            <v>03-5891122＞0910-080107＞傳真03-5892005</v>
          </cell>
          <cell r="M319">
            <v>0</v>
          </cell>
          <cell r="R319" t="b">
            <v>0</v>
          </cell>
          <cell r="S319" t="str"/>
          <cell r="T319" t="b">
            <v>0</v>
          </cell>
          <cell r="W319">
            <v>305</v>
          </cell>
          <cell r="X319" t="str">
            <v>新竹縣新埔鎮下寮里褒忠路448-2號＞登:苗栗縣苑裡鎮苑北里中山路263巷2號。</v>
          </cell>
          <cell r="Y319" t="str">
            <v>新竹縣新埔鎮</v>
          </cell>
          <cell r="Z319" t="str">
            <v>新竹縣新埔鎮下寮里褒忠路448之2號.</v>
          </cell>
          <cell r="AA319" t="str">
            <v>305新竹縣新埔鎮下寮里褒忠路448-2號＞登:苗栗縣苑裡鎮苑北里中山路263巷2號。</v>
          </cell>
          <cell r="AK319" t="str">
            <v>950-TD</v>
          </cell>
          <cell r="AL319" t="str">
            <v>1-0106-宏技&gt;寄&gt;附發票&gt;附回郵</v>
          </cell>
          <cell r="AM319" t="str">
            <v>1-0106</v>
          </cell>
        </row>
        <row r="320">
          <cell r="B320" t="str">
            <v>1-0315</v>
          </cell>
          <cell r="C320" t="str">
            <v>101-08-21</v>
          </cell>
          <cell r="D320" t="str">
            <v>1-0315-簡錦郎&gt;松生&gt;寄&gt;附回郵</v>
          </cell>
          <cell r="E320" t="str">
            <v>簡錦郎＞靠行:松生交通股份有限公司,負:陳漢琮＞天新＞天富＞海帆&gt;志松</v>
          </cell>
          <cell r="F320" t="str">
            <v>簡錦郎(315)</v>
          </cell>
          <cell r="G320" t="str">
            <v>未稅</v>
          </cell>
          <cell r="H320" t="str">
            <v>寄＞附回郵＞</v>
          </cell>
          <cell r="I320" t="str">
            <v>未稅</v>
          </cell>
          <cell r="J320">
            <v>30</v>
          </cell>
          <cell r="K320" t="str">
            <v>9722＞4771＞未稅</v>
          </cell>
          <cell r="L320" t="str">
            <v>03-5563731＞0910-171434</v>
          </cell>
          <cell r="M320" t="str">
            <v>2-0185</v>
          </cell>
          <cell r="O320">
            <v>52</v>
          </cell>
          <cell r="P320">
            <v>2</v>
          </cell>
          <cell r="Q320">
            <v>15</v>
          </cell>
          <cell r="R320">
            <v>59</v>
          </cell>
          <cell r="S320">
            <v>63</v>
          </cell>
          <cell r="T320">
            <v>23057</v>
          </cell>
          <cell r="U320" t="str">
            <v>J120979390</v>
          </cell>
          <cell r="V320" t="str">
            <v>簡錦郎</v>
          </cell>
          <cell r="W320">
            <v>302</v>
          </cell>
          <cell r="X320" t="str">
            <v>新竹縣竹北巿溪州里6鄰中正西路1106號＞登:苗栗縣頭份鎮蟠桃里3鄰中央路268號。</v>
          </cell>
          <cell r="Y320" t="str">
            <v>新竹縣竹北巿</v>
          </cell>
          <cell r="Z320" t="str">
            <v>新竹縣竹北巿溪州里6鄰中正西路1106號.</v>
          </cell>
          <cell r="AA320" t="str">
            <v>302新竹縣竹北巿溪州里6鄰中正西路1106號＞登:苗栗縣頭份鎮蟠桃里3鄰中央路268號。</v>
          </cell>
          <cell r="AK320" t="str">
            <v>672-RX</v>
          </cell>
          <cell r="AL320" t="str">
            <v>1-0106-宏技&gt;寄&gt;附發票&gt;附回郵</v>
          </cell>
          <cell r="AM320" t="str">
            <v>1-0106</v>
          </cell>
        </row>
        <row r="321">
          <cell r="B321" t="str">
            <v>1-0316</v>
          </cell>
          <cell r="C321" t="str">
            <v>101-08-22</v>
          </cell>
          <cell r="D321" t="str">
            <v>1-0316-聯群&gt;寄&gt;自結</v>
          </cell>
          <cell r="E321" t="str">
            <v>李威志＞靠行:聯群交通股份有限公司,負:洪秀妃</v>
          </cell>
          <cell r="F321" t="str">
            <v>李威志(316)</v>
          </cell>
          <cell r="G321" t="str">
            <v>未稅</v>
          </cell>
          <cell r="H321" t="str">
            <v>寄＞自結＞</v>
          </cell>
          <cell r="I321" t="str">
            <v>未稅</v>
          </cell>
          <cell r="J321">
            <v>30</v>
          </cell>
          <cell r="K321" t="str">
            <v>8471＞0188＞未稅</v>
          </cell>
          <cell r="L321" t="str">
            <v>04-22993913＞0983-069288</v>
          </cell>
          <cell r="M321">
            <v>0</v>
          </cell>
          <cell r="O321">
            <v>58</v>
          </cell>
          <cell r="P321">
            <v>8</v>
          </cell>
          <cell r="Q321">
            <v>19</v>
          </cell>
          <cell r="R321">
            <v>52</v>
          </cell>
          <cell r="S321">
            <v>69</v>
          </cell>
          <cell r="T321">
            <v>25434</v>
          </cell>
          <cell r="U321" t="str">
            <v>J121403680</v>
          </cell>
          <cell r="V321" t="str">
            <v>李威志</v>
          </cell>
          <cell r="W321">
            <v>302</v>
          </cell>
          <cell r="X321" t="str">
            <v>新竹縣竹北巿威功八路181號2樓之3＞登:彰化縣二林鎮北平里1鄰明德街232巷2號1樓。</v>
          </cell>
          <cell r="Y321" t="str">
            <v>新竹縣竹北巿</v>
          </cell>
          <cell r="Z321" t="str">
            <v>新竹縣竹北巿威功八路181號2樓之3.</v>
          </cell>
          <cell r="AA321" t="str">
            <v>302新竹縣竹北巿威功八路181號2樓之3＞登:彰化縣二林鎮北平里1鄰明德街232巷2號1樓。</v>
          </cell>
          <cell r="AK321" t="str">
            <v>RAC-9055</v>
          </cell>
          <cell r="AL321" t="str">
            <v>1-0106-宏技&gt;寄&gt;附發票&gt;附回郵</v>
          </cell>
          <cell r="AM321" t="str">
            <v>1-0106</v>
          </cell>
        </row>
        <row r="322">
          <cell r="B322" t="str">
            <v>1-0317</v>
          </cell>
          <cell r="C322" t="str">
            <v>101-08-23</v>
          </cell>
          <cell r="D322" t="str">
            <v>1-0317-張哲彰&gt;豪新&gt;寄&gt;附回郵</v>
          </cell>
          <cell r="E322" t="str">
            <v>張哲彰＞靠行:豪新貨運有限公司,負:林寬禮</v>
          </cell>
          <cell r="F322" t="str">
            <v>張哲彰(317)</v>
          </cell>
          <cell r="G322" t="str">
            <v>未稅</v>
          </cell>
          <cell r="H322" t="str">
            <v>寄＞附回郵＞</v>
          </cell>
          <cell r="I322" t="str">
            <v>未稅</v>
          </cell>
          <cell r="J322">
            <v>30</v>
          </cell>
          <cell r="K322" t="str">
            <v>8444＞2509＞未稅</v>
          </cell>
          <cell r="L322" t="str">
            <v>03-5423819＞0958-514870</v>
          </cell>
          <cell r="M322">
            <v>0</v>
          </cell>
          <cell r="O322">
            <v>50</v>
          </cell>
          <cell r="P322">
            <v>4</v>
          </cell>
          <cell r="Q322">
            <v>3</v>
          </cell>
          <cell r="R322">
            <v>60</v>
          </cell>
          <cell r="S322">
            <v>61</v>
          </cell>
          <cell r="T322">
            <v>22374</v>
          </cell>
          <cell r="U322" t="str">
            <v>J120429064</v>
          </cell>
          <cell r="V322" t="str">
            <v>張哲彰</v>
          </cell>
          <cell r="W322">
            <v>300</v>
          </cell>
          <cell r="X322" t="str">
            <v>新竹巿和平路224巷4號＞新竹巿北區長和里5鄰長和街52號＞登:新竹市東區西大路878號。</v>
          </cell>
          <cell r="Y322" t="str">
            <v>新竹巿和平路</v>
          </cell>
          <cell r="Z322" t="str">
            <v>新竹巿和平路224巷4號.</v>
          </cell>
          <cell r="AA322" t="str">
            <v>300新竹巿和平路224巷4號＞新竹巿北區長和里5鄰長和街52號＞登:新竹市東區西大路878號。</v>
          </cell>
          <cell r="AK322" t="str">
            <v>9153-KP</v>
          </cell>
          <cell r="AL322" t="str">
            <v>1-0111-泳壯&gt;寄&gt;附發票&gt;附回郵</v>
          </cell>
          <cell r="AM322" t="str">
            <v>1-0111</v>
          </cell>
        </row>
        <row r="323">
          <cell r="B323" t="str">
            <v>1-0318</v>
          </cell>
          <cell r="C323" t="str">
            <v>101-08-24</v>
          </cell>
          <cell r="D323" t="str">
            <v>1-0318-京元電子&gt;寄&gt;附發票&gt;附回郵</v>
          </cell>
          <cell r="E323" t="str">
            <v>京元電子股份有限公司竹南分公司＞負:李金恭</v>
          </cell>
          <cell r="F323" t="str">
            <v>京元電子股份有限公司竹南分公司(318)</v>
          </cell>
          <cell r="G323" t="str">
            <v>含稅</v>
          </cell>
          <cell r="H323" t="str">
            <v>寄＞附發票＞附回郵＞</v>
          </cell>
          <cell r="I323" t="str">
            <v>7081＞2945＞含稅＞中華全佑</v>
          </cell>
          <cell r="J323">
            <v>30</v>
          </cell>
          <cell r="L323" t="str">
            <v>037-595666＞傳真037-594996</v>
          </cell>
          <cell r="M323">
            <v>0</v>
          </cell>
          <cell r="R323" t="b">
            <v>0</v>
          </cell>
          <cell r="S323" t="str"/>
          <cell r="T323" t="b">
            <v>0</v>
          </cell>
          <cell r="W323">
            <v>350</v>
          </cell>
          <cell r="X323" t="str">
            <v>苗栗縣竹南鎮中華路118號。</v>
          </cell>
          <cell r="Y323" t="str">
            <v>苗栗縣竹南鎮</v>
          </cell>
          <cell r="Z323" t="str">
            <v>苗栗縣竹南鎮中華路118號.</v>
          </cell>
          <cell r="AA323" t="str">
            <v>350苗栗縣竹南鎮中華路118號。</v>
          </cell>
          <cell r="AK323" t="str">
            <v>1800-YT</v>
          </cell>
          <cell r="AL323" t="str">
            <v>1-0111-泳壯&gt;寄&gt;附發票&gt;附回郵</v>
          </cell>
          <cell r="AM323" t="str">
            <v>1-0111</v>
          </cell>
        </row>
        <row r="324">
          <cell r="B324" t="str">
            <v>1-0319</v>
          </cell>
          <cell r="C324" t="str">
            <v>101-08-25</v>
          </cell>
          <cell r="D324" t="str">
            <v>1-0319-彭坤盛&gt;龍祥&gt;寄&gt;附發票&gt;匯款</v>
          </cell>
          <cell r="E324" t="str">
            <v>龍祥汽車貨運行＞負: 胡金塘＞彭坤盛</v>
          </cell>
          <cell r="F324" t="str">
            <v>龍祥汽車貨運行(319)</v>
          </cell>
          <cell r="G324" t="str">
            <v>含稅</v>
          </cell>
          <cell r="H324" t="str">
            <v>寄＞附發票＞匯款＞</v>
          </cell>
          <cell r="I324" t="str">
            <v>6215＞6002＞含稅＞中華全佑</v>
          </cell>
          <cell r="J324">
            <v>30</v>
          </cell>
          <cell r="L324" t="str">
            <v>公0303-5688690＞個03-4727560＞0911-296296＞0913-100111彭坤盛＞0937-990398胡金塘</v>
          </cell>
          <cell r="M324">
            <v>0</v>
          </cell>
          <cell r="O324">
            <v>54</v>
          </cell>
          <cell r="P324">
            <v>9</v>
          </cell>
          <cell r="Q324">
            <v>10</v>
          </cell>
          <cell r="R324">
            <v>56</v>
          </cell>
          <cell r="S324">
            <v>65</v>
          </cell>
          <cell r="T324">
            <v>23995</v>
          </cell>
          <cell r="U324" t="str">
            <v>J121076192</v>
          </cell>
          <cell r="W324">
            <v>304</v>
          </cell>
          <cell r="X324" t="str">
            <v>新竹縣新豐鄉後湖村6鄰111之3號1樓＞登:新竹縣湖口鄉和興村德興路271號1樓＞戶:楊梅區民安路510號。</v>
          </cell>
          <cell r="Y324" t="str">
            <v>新竹縣新豐鄉</v>
          </cell>
          <cell r="Z324" t="str">
            <v>新竹縣新豐鄉後湖村6鄰111之3號1樓.</v>
          </cell>
          <cell r="AA324" t="str">
            <v>304新竹縣新豐鄉後湖村6鄰111之3號1樓＞登:新竹縣湖口鄉和興村德興路271號1樓＞戶:楊梅區民安路510號。</v>
          </cell>
          <cell r="AK324" t="str">
            <v>4600-ZW</v>
          </cell>
          <cell r="AL324" t="str">
            <v>1-0111-泳壯&gt;寄&gt;附發票&gt;附回郵</v>
          </cell>
          <cell r="AM324" t="str">
            <v>1-0111</v>
          </cell>
        </row>
        <row r="325">
          <cell r="B325" t="str">
            <v>1-0320</v>
          </cell>
          <cell r="C325" t="str">
            <v>101-08-26</v>
          </cell>
          <cell r="D325" t="str">
            <v>1-0320-陳俊華&gt;寄&gt;自結</v>
          </cell>
          <cell r="E325" t="str">
            <v>陳俊華＞俊傑運輸有限公司</v>
          </cell>
          <cell r="F325" t="str">
            <v>陳俊華(320)</v>
          </cell>
          <cell r="G325" t="str">
            <v>未稅</v>
          </cell>
          <cell r="H325" t="str">
            <v>寄＞自結＞</v>
          </cell>
          <cell r="I325" t="str">
            <v>未稅</v>
          </cell>
          <cell r="J325">
            <v>30</v>
          </cell>
          <cell r="K325" t="str">
            <v>3898＞3121＞未稅</v>
          </cell>
          <cell r="L325" t="str">
            <v>037-723284&gt;0933-430866陳俊華＞0928-331483鄧清中＞0925-266525彭維廷</v>
          </cell>
          <cell r="M325">
            <v>0</v>
          </cell>
          <cell r="R325" t="b">
            <v>0</v>
          </cell>
          <cell r="S325" t="str"/>
          <cell r="T325" t="b">
            <v>0</v>
          </cell>
          <cell r="W325">
            <v>361</v>
          </cell>
          <cell r="X325" t="str">
            <v>華住:苗栗縣造橋鄉豐湖村4鄰萬富26號＞鄧住:苗栗縣造橋鄉豐湖村11鄰阿義埤10號＞登:苗栗縣公館鄉五谷村13鄰92-6號。</v>
          </cell>
          <cell r="Y325" t="str">
            <v>苗栗縣造橋鄉</v>
          </cell>
          <cell r="Z325" t="str">
            <v>苗栗縣造橋鄉豐湖村4鄰萬富26號.</v>
          </cell>
          <cell r="AA325" t="str">
            <v>361華住:苗栗縣造橋鄉豐湖村4鄰萬富26號＞鄧住:苗栗縣造橋鄉豐湖村11鄰阿義埤10號＞登:苗栗縣公館鄉五谷村13鄰92-6號。</v>
          </cell>
          <cell r="AK325" t="str">
            <v>4336-KX</v>
          </cell>
          <cell r="AL325" t="str">
            <v>1-0111-泳壯&gt;寄&gt;附發票&gt;附回郵</v>
          </cell>
          <cell r="AM325" t="str">
            <v>1-0111</v>
          </cell>
        </row>
        <row r="326">
          <cell r="B326" t="str">
            <v>1-0321</v>
          </cell>
          <cell r="C326" t="str">
            <v>101-08-27</v>
          </cell>
          <cell r="D326" t="str">
            <v>1-0321-統群電機&gt;寄&gt;自結</v>
          </cell>
          <cell r="E326" t="str">
            <v>統群企業社＞負:呂朝全＞尖山</v>
          </cell>
          <cell r="F326" t="str">
            <v>統群企業社(321)</v>
          </cell>
          <cell r="G326" t="str">
            <v>未稅</v>
          </cell>
          <cell r="H326" t="str">
            <v>寄＞自結＞</v>
          </cell>
          <cell r="I326" t="str">
            <v>未稅</v>
          </cell>
          <cell r="J326">
            <v>30</v>
          </cell>
          <cell r="K326" t="str">
            <v>7692＞6683＞未稅</v>
          </cell>
          <cell r="L326" t="str">
            <v>037-622251＞037-613973＞0922-622251</v>
          </cell>
          <cell r="M326">
            <v>0</v>
          </cell>
          <cell r="R326" t="b">
            <v>0</v>
          </cell>
          <cell r="S326" t="str"/>
          <cell r="T326" t="b">
            <v>0</v>
          </cell>
          <cell r="W326">
            <v>350</v>
          </cell>
          <cell r="X326" t="str">
            <v>苗栗縣竹南鎮公館里7鄰大埔頂5-3號。</v>
          </cell>
          <cell r="Y326" t="str">
            <v>苗栗縣竹南鎮</v>
          </cell>
          <cell r="Z326" t="str">
            <v>苗栗縣竹南鎮公館里7鄰大埔頂5之3號.</v>
          </cell>
          <cell r="AA326" t="str">
            <v>350苗栗縣竹南鎮公館里7鄰大埔頂5-3號。</v>
          </cell>
          <cell r="AK326" t="str">
            <v>5897-F9</v>
          </cell>
          <cell r="AL326" t="str">
            <v>1-0111-泳壯&gt;寄&gt;附發票&gt;附回郵</v>
          </cell>
          <cell r="AM326" t="str">
            <v>1-0111</v>
          </cell>
        </row>
        <row r="327">
          <cell r="B327" t="str">
            <v>1-0322</v>
          </cell>
          <cell r="C327" t="str">
            <v>101-08-28</v>
          </cell>
          <cell r="D327" t="str">
            <v>1-0322-許瑞銘&gt;寄&gt;自結</v>
          </cell>
          <cell r="E327" t="str">
            <v>許瑞銘＞靠行:宏駿</v>
          </cell>
          <cell r="F327" t="str">
            <v>許瑞銘(322)</v>
          </cell>
          <cell r="G327" t="str">
            <v>未稅</v>
          </cell>
          <cell r="H327" t="str">
            <v>寄＞自結＞</v>
          </cell>
          <cell r="I327" t="str">
            <v>未稅</v>
          </cell>
          <cell r="J327">
            <v>30</v>
          </cell>
          <cell r="L327" t="str">
            <v>0916-504380＞0976-200779</v>
          </cell>
          <cell r="M327">
            <v>0</v>
          </cell>
          <cell r="R327" t="b">
            <v>0</v>
          </cell>
          <cell r="S327" t="str"/>
          <cell r="T327" t="b">
            <v>0</v>
          </cell>
          <cell r="W327">
            <v>300</v>
          </cell>
          <cell r="X327" t="str">
            <v>新竹巿天府路一段498號。</v>
          </cell>
          <cell r="Y327" t="str">
            <v>新竹巿天府路</v>
          </cell>
          <cell r="Z327" t="str">
            <v>新竹巿天府路一段498號.</v>
          </cell>
          <cell r="AA327" t="str">
            <v>300新竹巿天府路一段498號。</v>
          </cell>
          <cell r="AK327" t="str">
            <v>1696-KX</v>
          </cell>
          <cell r="AL327" t="str">
            <v>1-0111-泳壯&gt;寄&gt;附發票&gt;附回郵</v>
          </cell>
          <cell r="AM327" t="str">
            <v>1-0111</v>
          </cell>
        </row>
        <row r="328">
          <cell r="B328" t="str">
            <v>1-0323</v>
          </cell>
          <cell r="C328" t="str">
            <v>101-08-29</v>
          </cell>
          <cell r="D328" t="str">
            <v>1-0323-邱尚宏&gt;寄&gt;自結</v>
          </cell>
          <cell r="E328" t="str">
            <v>邱尚宏＞靠行:宏駿</v>
          </cell>
          <cell r="F328" t="str">
            <v>邱尚宏(323)</v>
          </cell>
          <cell r="G328" t="str">
            <v>未稅</v>
          </cell>
          <cell r="H328" t="str">
            <v>寄＞自結＞</v>
          </cell>
          <cell r="I328" t="str">
            <v>未稅</v>
          </cell>
          <cell r="J328">
            <v>30</v>
          </cell>
          <cell r="L328" t="str">
            <v>0986-609573</v>
          </cell>
          <cell r="M328">
            <v>0</v>
          </cell>
          <cell r="R328" t="b">
            <v>0</v>
          </cell>
          <cell r="S328" t="str"/>
          <cell r="T328" t="b">
            <v>0</v>
          </cell>
          <cell r="W328" t="e">
            <v>#N/A</v>
          </cell>
          <cell r="Y328" t="str"/>
          <cell r="AA328" t="e">
            <v>#N/A</v>
          </cell>
          <cell r="AK328" t="str">
            <v>9370-RZ</v>
          </cell>
          <cell r="AL328" t="str">
            <v>1-0111-泳壯&gt;寄&gt;附發票&gt;附回郵</v>
          </cell>
          <cell r="AM328" t="str">
            <v>1-0111</v>
          </cell>
        </row>
        <row r="329">
          <cell r="B329" t="str">
            <v>1-0324</v>
          </cell>
          <cell r="C329" t="str">
            <v>101-08-30</v>
          </cell>
          <cell r="D329" t="str">
            <v>1-0324-陳清輝&gt;生建&gt;寄&gt;附回郵</v>
          </cell>
          <cell r="E329" t="str">
            <v>生建有限公司＞負:胡麗雲＞陳清輝</v>
          </cell>
          <cell r="F329" t="str">
            <v>生建有限公司(324)</v>
          </cell>
          <cell r="G329" t="str">
            <v>未稅</v>
          </cell>
          <cell r="H329" t="str">
            <v>寄＞附回郵＞</v>
          </cell>
          <cell r="I329" t="str">
            <v>未稅</v>
          </cell>
          <cell r="J329">
            <v>30</v>
          </cell>
          <cell r="K329" t="str">
            <v>8458＞0214＞未稅</v>
          </cell>
          <cell r="L329" t="str">
            <v>03-5373933＞0932-113501＞傳真03-5370269</v>
          </cell>
          <cell r="M329">
            <v>0</v>
          </cell>
          <cell r="R329" t="b">
            <v>0</v>
          </cell>
          <cell r="S329" t="str"/>
          <cell r="T329" t="b">
            <v>0</v>
          </cell>
          <cell r="W329">
            <v>300</v>
          </cell>
          <cell r="X329" t="str">
            <v>新竹巿內湖里中華路六段337巷1號＞登:新竹市東區中華路6段677巷21號。</v>
          </cell>
          <cell r="Y329" t="str">
            <v>新竹巿內湖里</v>
          </cell>
          <cell r="Z329" t="str">
            <v>新竹巿內湖里中華路六段337巷1號.</v>
          </cell>
          <cell r="AA329" t="str">
            <v>300新竹巿內湖里中華路六段337巷1號＞登:新竹市東區中華路6段677巷21號。</v>
          </cell>
          <cell r="AK329" t="str">
            <v>960-KL</v>
          </cell>
          <cell r="AL329" t="str">
            <v>1-0113-陳文雄&gt;寄&gt;自結</v>
          </cell>
          <cell r="AM329" t="str">
            <v>1-0113</v>
          </cell>
        </row>
        <row r="330">
          <cell r="B330" t="str">
            <v>1-0325</v>
          </cell>
          <cell r="C330" t="str">
            <v>101-09-01</v>
          </cell>
          <cell r="D330" t="str">
            <v>1-0325-聯發銅業&gt;寄&gt;附發票&gt;匯款</v>
          </cell>
          <cell r="E330" t="str">
            <v>聯發銅業股份有限公司＞負:陳愷妍</v>
          </cell>
          <cell r="F330" t="str">
            <v>聯發銅業股份有限公司(325)</v>
          </cell>
          <cell r="G330" t="str">
            <v>稅外</v>
          </cell>
          <cell r="H330" t="str">
            <v>寄＞附發票＞匯款＞</v>
          </cell>
          <cell r="I330" t="str">
            <v>2447＞7671＞稅外＞中華全佑＞1張簽單1張發票＞25號月結</v>
          </cell>
          <cell r="J330">
            <v>25</v>
          </cell>
          <cell r="L330" t="str">
            <v>037-627521＞傳真037-627594</v>
          </cell>
          <cell r="M330">
            <v>0</v>
          </cell>
          <cell r="R330" t="b">
            <v>0</v>
          </cell>
          <cell r="S330" t="str"/>
          <cell r="T330" t="b">
            <v>0</v>
          </cell>
          <cell r="W330">
            <v>351</v>
          </cell>
          <cell r="X330" t="str">
            <v>苗栗縣頭份鎮自強路二段160號＞登:臺北市大同區建明里市民大道一段209號10樓。</v>
          </cell>
          <cell r="Y330" t="str">
            <v>苗栗縣頭份鎮</v>
          </cell>
          <cell r="Z330" t="str">
            <v>苗栗縣頭份鎮自強路二段160號.</v>
          </cell>
          <cell r="AA330" t="str">
            <v>351苗栗縣頭份鎮自強路二段160號＞登:臺北市大同區建明里市民大道一段209號10樓。</v>
          </cell>
          <cell r="AK330" t="str">
            <v>AHD-7175</v>
          </cell>
          <cell r="AL330" t="str">
            <v>1-0116-漢騏&gt;寄&gt;附發票&gt;匯款</v>
          </cell>
          <cell r="AM330" t="str">
            <v>1-0116</v>
          </cell>
        </row>
        <row r="331">
          <cell r="B331" t="str">
            <v>1-0326</v>
          </cell>
          <cell r="C331" t="str">
            <v>101-09-02</v>
          </cell>
          <cell r="D331" t="str">
            <v>1-0326-國際水電&gt;寄&gt;自結</v>
          </cell>
          <cell r="E331" t="str">
            <v>國際水電冷氣工程行</v>
          </cell>
          <cell r="F331" t="str">
            <v>國際水電冷氣工程行(326)</v>
          </cell>
          <cell r="G331" t="str">
            <v>未稅</v>
          </cell>
          <cell r="H331" t="str">
            <v>寄＞自結＞</v>
          </cell>
          <cell r="I331" t="str">
            <v>未稅</v>
          </cell>
          <cell r="J331">
            <v>30</v>
          </cell>
          <cell r="L331" t="str">
            <v>0963-348888</v>
          </cell>
          <cell r="M331">
            <v>0</v>
          </cell>
          <cell r="R331" t="b">
            <v>0</v>
          </cell>
          <cell r="S331" t="str"/>
          <cell r="T331" t="b">
            <v>0</v>
          </cell>
          <cell r="W331">
            <v>360</v>
          </cell>
          <cell r="X331" t="str">
            <v>苗栗縣中正路中正京華8-8號。</v>
          </cell>
          <cell r="Y331" t="str">
            <v>苗栗縣中正路</v>
          </cell>
          <cell r="Z331" t="str">
            <v>苗栗縣中正路中正京華8-8號.</v>
          </cell>
          <cell r="AA331" t="str">
            <v>360苗栗縣中正路中正京華8-8號。</v>
          </cell>
          <cell r="AK331" t="str">
            <v>3583-WJ</v>
          </cell>
          <cell r="AL331" t="str">
            <v>1-0116-漢騏&gt;寄&gt;附發票&gt;匯款</v>
          </cell>
          <cell r="AM331" t="str">
            <v>1-0116</v>
          </cell>
        </row>
        <row r="332">
          <cell r="B332" t="str">
            <v>1-0327</v>
          </cell>
          <cell r="C332" t="str">
            <v>101-09-03</v>
          </cell>
          <cell r="D332" t="str">
            <v>1-0327-勁耘電&gt;寄&gt;附發票&gt;匯款</v>
          </cell>
          <cell r="E332" t="str">
            <v>勁耘科技股份有限公司＞負:邱蓮春</v>
          </cell>
          <cell r="F332" t="str">
            <v>勁耘科技股份有限公司(327)</v>
          </cell>
          <cell r="G332" t="str">
            <v>稅外</v>
          </cell>
          <cell r="H332" t="str">
            <v>寄＞附發票＞匯款＞</v>
          </cell>
          <cell r="I332" t="str">
            <v>2912＞5211＞稅外＞中華全佑</v>
          </cell>
          <cell r="J332">
            <v>30</v>
          </cell>
          <cell r="L332" t="str">
            <v>06-6535539</v>
          </cell>
          <cell r="M332">
            <v>0</v>
          </cell>
          <cell r="R332" t="b">
            <v>0</v>
          </cell>
          <cell r="S332" t="str"/>
          <cell r="T332" t="b">
            <v>0</v>
          </cell>
          <cell r="W332">
            <v>330</v>
          </cell>
          <cell r="X332" t="str">
            <v>桃園縣桃園巿中德里9鄰桃德路29巷9號＞登:臺南市新營區嘉芳里四維路22號。</v>
          </cell>
          <cell r="Y332" t="str">
            <v>桃園縣桃園巿</v>
          </cell>
          <cell r="Z332" t="str">
            <v>桃園縣桃園巿中德里9鄰桃德路29巷9號.</v>
          </cell>
          <cell r="AA332" t="str">
            <v>330桃園縣桃園巿中德里9鄰桃德路29巷9號＞登:臺南市新營區嘉芳里四維路22號。</v>
          </cell>
          <cell r="AK332" t="str">
            <v>LU-0186</v>
          </cell>
          <cell r="AL332" t="str">
            <v>1-0116-漢騏&gt;寄&gt;附發票&gt;匯款</v>
          </cell>
          <cell r="AM332" t="str">
            <v>1-0116</v>
          </cell>
        </row>
        <row r="333">
          <cell r="B333" t="str">
            <v>1-0328</v>
          </cell>
          <cell r="C333" t="str">
            <v>101-09-04</v>
          </cell>
          <cell r="D333" t="str">
            <v>1-0328-平順&gt;寄&gt;附發票&gt;附回郵</v>
          </cell>
          <cell r="E333" t="str">
            <v>平順混凝土股份有限公司＞負:陳明通</v>
          </cell>
          <cell r="F333" t="str">
            <v>平順混凝土股份有限公司(328)</v>
          </cell>
          <cell r="G333" t="str">
            <v>含稅</v>
          </cell>
          <cell r="H333" t="str">
            <v>寄＞附發票＞附回郵＞</v>
          </cell>
          <cell r="I333" t="str">
            <v>8425＞3817＞含稅＞中華全佑</v>
          </cell>
          <cell r="J333">
            <v>30</v>
          </cell>
          <cell r="L333" t="str">
            <v>037-651757＞傳真037-651760</v>
          </cell>
          <cell r="M333" t="str">
            <v>2-0190</v>
          </cell>
          <cell r="R333" t="b">
            <v>0</v>
          </cell>
          <cell r="S333" t="str"/>
          <cell r="T333" t="b">
            <v>0</v>
          </cell>
          <cell r="W333">
            <v>361</v>
          </cell>
          <cell r="X333" t="str">
            <v>苗栗縣造橋鄉龍昇村4鄰九車籠47-1號。</v>
          </cell>
          <cell r="Y333" t="str">
            <v>苗栗縣造橋鄉</v>
          </cell>
          <cell r="Z333" t="str">
            <v>苗栗縣造橋鄉龍昇村4鄰九車籠47之1號.</v>
          </cell>
          <cell r="AA333" t="str">
            <v>361苗栗縣造橋鄉龍昇村4鄰九車籠47-1號。</v>
          </cell>
          <cell r="AK333" t="str">
            <v>W2-3179</v>
          </cell>
          <cell r="AL333" t="str">
            <v>1-0116-漢騏&gt;寄&gt;附發票&gt;匯款</v>
          </cell>
          <cell r="AM333" t="str">
            <v>1-0116</v>
          </cell>
        </row>
        <row r="334">
          <cell r="B334" t="str">
            <v>1-0329</v>
          </cell>
          <cell r="C334" t="str">
            <v>101-09-05</v>
          </cell>
          <cell r="D334" t="str">
            <v>1-0329-新萬俊&gt;寄&gt;匯款</v>
          </cell>
          <cell r="E334" t="str">
            <v>新萬俊交通有限公司＞登:陳淑珍＞楊金連</v>
          </cell>
          <cell r="F334" t="str">
            <v>新萬俊交通有限公司(329)</v>
          </cell>
          <cell r="G334" t="str">
            <v>含稅</v>
          </cell>
          <cell r="H334" t="str">
            <v>寄＞匯款:0340363＞</v>
          </cell>
          <cell r="I334" t="str">
            <v>2320＞9121＞含稅</v>
          </cell>
          <cell r="J334">
            <v>30</v>
          </cell>
          <cell r="L334" t="str">
            <v>0912-328619</v>
          </cell>
          <cell r="M334">
            <v>0</v>
          </cell>
          <cell r="R334" t="b">
            <v>0</v>
          </cell>
          <cell r="S334" t="str"/>
          <cell r="T334" t="b">
            <v>0</v>
          </cell>
          <cell r="W334">
            <v>350</v>
          </cell>
          <cell r="X334" t="str">
            <v>苗栗縣竹南鎮仁愛路760號＞登:彰化縣花壇鄉文德村宏宅街10號。</v>
          </cell>
          <cell r="Y334" t="str">
            <v>苗栗縣竹南鎮</v>
          </cell>
          <cell r="Z334" t="str">
            <v>苗栗縣竹南鎮仁愛路760號.</v>
          </cell>
          <cell r="AA334" t="str">
            <v>350苗栗縣竹南鎮仁愛路760號＞登:彰化縣花壇鄉文德村宏宅街10號。</v>
          </cell>
          <cell r="AK334" t="str">
            <v>708-WW</v>
          </cell>
          <cell r="AL334" t="str">
            <v>1-0118-金昌&gt;寄&gt;附發票&gt;附回郵</v>
          </cell>
          <cell r="AM334" t="str">
            <v>1-0118</v>
          </cell>
        </row>
        <row r="335">
          <cell r="B335" t="str">
            <v>1-0330</v>
          </cell>
          <cell r="C335" t="str">
            <v>101-09-06</v>
          </cell>
          <cell r="D335" t="str">
            <v>1-0330-豪大&gt;寄&gt;附發票&gt;附回郵</v>
          </cell>
          <cell r="E335" t="str">
            <v>豪大營造股份有限公司＞負:劉樹枝</v>
          </cell>
          <cell r="F335" t="str">
            <v>豪大營造股份有限公司(330)</v>
          </cell>
          <cell r="G335" t="str">
            <v>稅外</v>
          </cell>
          <cell r="H335" t="str">
            <v>寄＞附發票＞附回郵＞</v>
          </cell>
          <cell r="I335" t="str">
            <v>7052＞0314＞稅外</v>
          </cell>
          <cell r="J335">
            <v>30</v>
          </cell>
          <cell r="L335" t="str">
            <v>0915-105989＞0910-469660</v>
          </cell>
          <cell r="M335">
            <v>0</v>
          </cell>
          <cell r="R335" t="b">
            <v>0</v>
          </cell>
          <cell r="S335" t="str"/>
          <cell r="T335" t="b">
            <v>0</v>
          </cell>
          <cell r="W335">
            <v>350</v>
          </cell>
          <cell r="X335" t="str">
            <v>苗栗縣竹南鎮龍山路二段60巷16號＞登:苗栗縣竹南鎮天文里龍山路二段32巷18弄16號1樓。</v>
          </cell>
          <cell r="Y335" t="str">
            <v>苗栗縣竹南鎮</v>
          </cell>
          <cell r="Z335" t="str">
            <v>苗栗縣竹南鎮龍山路二段60巷16號.</v>
          </cell>
          <cell r="AA335" t="str">
            <v>350苗栗縣竹南鎮龍山路二段60巷16號＞登:苗栗縣竹南鎮天文里龍山路二段32巷18弄16號1樓。</v>
          </cell>
          <cell r="AK335" t="str">
            <v>0221-VS</v>
          </cell>
          <cell r="AL335" t="str">
            <v>1-0605-大信玻璃&gt;寄&gt;附回郵</v>
          </cell>
          <cell r="AM335" t="str">
            <v>1-0605</v>
          </cell>
        </row>
        <row r="336">
          <cell r="B336" t="str">
            <v>1-0331</v>
          </cell>
          <cell r="C336" t="str">
            <v>101-09-07</v>
          </cell>
          <cell r="D336" t="str">
            <v>1-0331-上元&gt;寄&gt;附發票&gt;附回郵</v>
          </cell>
          <cell r="E336" t="str">
            <v>上元化學工業有限公司＞負:陳妙華</v>
          </cell>
          <cell r="F336" t="str">
            <v>上元化學工業有限公司(331)</v>
          </cell>
          <cell r="G336" t="str">
            <v>含稅</v>
          </cell>
          <cell r="H336" t="str">
            <v>寄＞附發票＞附回郵＞</v>
          </cell>
          <cell r="I336" t="str">
            <v>4668＞8903＞含稅</v>
          </cell>
          <cell r="J336">
            <v>30</v>
          </cell>
          <cell r="L336" t="str">
            <v>03-5322177＞037-585151＞傳真037-582298</v>
          </cell>
          <cell r="M336">
            <v>0</v>
          </cell>
          <cell r="R336" t="b">
            <v>0</v>
          </cell>
          <cell r="S336" t="str"/>
          <cell r="T336" t="b">
            <v>0</v>
          </cell>
          <cell r="W336">
            <v>330</v>
          </cell>
          <cell r="X336" t="str">
            <v>新竹巿中華路一段384巷6號＞苗栗縣竹南鎮仁愛路1359號＞登:新竹市東區親仁里中央路149號。</v>
          </cell>
          <cell r="Y336" t="str">
            <v>新竹巿中華路</v>
          </cell>
          <cell r="Z336" t="str">
            <v>新竹巿中華路一段384巷6號.</v>
          </cell>
          <cell r="AA336" t="str">
            <v>330新竹巿中華路一段384巷6號＞苗栗縣竹南鎮仁愛路1359號＞登:新竹市東區親仁里中央路149號。</v>
          </cell>
          <cell r="AK336" t="str">
            <v>815-V6</v>
          </cell>
          <cell r="AL336" t="str">
            <v>1-0118-金昌&gt;寄&gt;附發票&gt;附回郵</v>
          </cell>
          <cell r="AM336" t="str">
            <v>1-0118</v>
          </cell>
        </row>
        <row r="337">
          <cell r="B337" t="str">
            <v>1-0332</v>
          </cell>
          <cell r="C337" t="str">
            <v>101-09-08</v>
          </cell>
          <cell r="D337" t="str">
            <v>1-0332-裕益苗栗&gt;寄＞附發票＞3個月後匯款＞附定位數據</v>
          </cell>
          <cell r="E337" t="str">
            <v>裕益汽車股份有限公司＞負:游浩乙＞苗栗廠</v>
          </cell>
          <cell r="F337" t="str">
            <v>裕益汽車股份有限公司&gt;苗栗廠(332)</v>
          </cell>
          <cell r="G337" t="str">
            <v>稅外</v>
          </cell>
          <cell r="H337" t="str">
            <v>寄＞附發票＞匯款38601＞附定位數據＞發票開定位</v>
          </cell>
          <cell r="I337" t="str">
            <v>3546＞6307＞稅外＞中華全佑＞1張簽單1張發票打輪胎定位＞25號月結</v>
          </cell>
          <cell r="J337">
            <v>25</v>
          </cell>
          <cell r="L337" t="str">
            <v>037-332066＞0932-288847&gt;傳真037-333308</v>
          </cell>
          <cell r="M337">
            <v>0</v>
          </cell>
          <cell r="R337" t="b">
            <v>0</v>
          </cell>
          <cell r="S337" t="str"/>
          <cell r="T337" t="b">
            <v>0</v>
          </cell>
          <cell r="W337">
            <v>360</v>
          </cell>
          <cell r="X337" t="str">
            <v>苗栗縣苗栗巿國華路637號＞登:新北市泰山區明志路三段523號。</v>
          </cell>
          <cell r="Y337" t="str">
            <v>苗栗縣苗栗巿</v>
          </cell>
          <cell r="Z337" t="str">
            <v>苗栗縣苗栗巿國華路637號.</v>
          </cell>
          <cell r="AA337" t="str">
            <v>360苗栗縣苗栗巿國華路637號＞登:新北市泰山區明志路三段523號。</v>
          </cell>
          <cell r="AK337" t="str">
            <v>4920-JJ</v>
          </cell>
          <cell r="AL337" t="str">
            <v>1-0118-金昌&gt;寄&gt;附發票&gt;附回郵</v>
          </cell>
          <cell r="AM337" t="str">
            <v>1-0118</v>
          </cell>
        </row>
        <row r="338">
          <cell r="B338" t="str">
            <v>1-0333</v>
          </cell>
          <cell r="C338" t="str">
            <v>101-09-09</v>
          </cell>
          <cell r="D338" t="str">
            <v>1-0333-東科&gt;寄&gt;附發票&gt;附回郵</v>
          </cell>
          <cell r="E338" t="str">
            <v>東科建材有限公司＞負:梁玉雪＞新裕承國際有限公司＞負:朱正義</v>
          </cell>
          <cell r="F338" t="str">
            <v>東科建材有限公司(333)</v>
          </cell>
          <cell r="G338" t="str">
            <v>稅外</v>
          </cell>
          <cell r="H338" t="str">
            <v>寄＞附發票＞附回郵＞</v>
          </cell>
          <cell r="I338" t="str">
            <v>2741＞8824東科＞2872＞6258新裕承＞稅外</v>
          </cell>
          <cell r="J338">
            <v>30</v>
          </cell>
          <cell r="L338" t="str">
            <v>037-552736＞0927-060055＞傳真037-552396</v>
          </cell>
          <cell r="M338">
            <v>0</v>
          </cell>
          <cell r="R338" t="b">
            <v>0</v>
          </cell>
          <cell r="S338" t="str"/>
          <cell r="T338" t="b">
            <v>0</v>
          </cell>
          <cell r="W338">
            <v>350</v>
          </cell>
          <cell r="X338" t="str">
            <v>苗栗縣竹南鎮海口尾18鄰43號＞東登:臺中市北區明新里太原七街11-1號2樓＞新登:臺中市沙鹿區六路里12鄰六路十四街104號1樓。</v>
          </cell>
          <cell r="Y338" t="str">
            <v>苗栗縣竹南鎮</v>
          </cell>
          <cell r="Z338" t="str">
            <v>苗栗縣竹南鎮海口尾18鄰43號.</v>
          </cell>
          <cell r="AA338" t="str">
            <v>350苗栗縣竹南鎮海口尾18鄰43號＞東登:臺中市北區明新里太原七街11-1號2樓＞新登:臺中市沙鹿區六路里12鄰六路十四街104號1樓。</v>
          </cell>
          <cell r="AK338" t="str">
            <v>6119-YV</v>
          </cell>
          <cell r="AL338" t="str">
            <v>1-0118-金昌&gt;寄&gt;附發票&gt;附回郵</v>
          </cell>
          <cell r="AM338" t="str">
            <v>1-0118</v>
          </cell>
        </row>
        <row r="339">
          <cell r="B339" t="str">
            <v>1-0334</v>
          </cell>
          <cell r="C339" t="str">
            <v>101-09-10</v>
          </cell>
          <cell r="D339" t="str">
            <v>1-0334-廣寶&gt;環亞&gt;正大&gt;寄&gt;附回郵&gt;1個月後匯款</v>
          </cell>
          <cell r="E339" t="str">
            <v>廣寶環保科技實業有限公司＞負:游舒晴＞環亞通運有限公司＞負:曹素真＞原泓&gt;陳惠娟&gt;廣裕開發</v>
          </cell>
          <cell r="F339" t="str">
            <v>廣寶環保科技實業有限公司(334)</v>
          </cell>
          <cell r="G339" t="str">
            <v>未稅</v>
          </cell>
          <cell r="H339" t="str">
            <v>寄＞附回郵＞匯款&gt;廣裕開發.89000</v>
          </cell>
          <cell r="I339" t="str">
            <v>未稅</v>
          </cell>
          <cell r="J339">
            <v>30</v>
          </cell>
          <cell r="K339" t="str">
            <v>2801＞3435廣寶＞3465＞6174環亞＞未稅</v>
          </cell>
          <cell r="L339" t="str">
            <v>02-26740950＞0932-017786＞0938-274468老闆娘(帳務)＞0989-683000伯朗＞傳真02-86742108</v>
          </cell>
          <cell r="M339">
            <v>0</v>
          </cell>
          <cell r="R339" t="b">
            <v>0</v>
          </cell>
          <cell r="S339" t="str"/>
          <cell r="T339" t="b">
            <v>0</v>
          </cell>
          <cell r="U339" t="str">
            <v>G220723807</v>
          </cell>
          <cell r="V339" t="str">
            <v>陳惠娟</v>
          </cell>
          <cell r="W339">
            <v>237</v>
          </cell>
          <cell r="X339" t="str">
            <v>台北縣三峽鎮國慶路1號＞廣登:新北市三峽區鳶山里中山路106巷2-1號12樓＞環登:宜蘭縣冬山鄉順安村17鄰鹿安路517巷64號1樓。</v>
          </cell>
          <cell r="Y339" t="str">
            <v>台北縣三峽鎮</v>
          </cell>
          <cell r="Z339" t="str">
            <v>台北縣三峽鎮國慶路1號.</v>
          </cell>
          <cell r="AA339" t="str">
            <v>237台北縣三峽鎮國慶路1號＞廣登:新北市三峽區鳶山里中山路106巷2-1號12樓＞環登:宜蘭縣冬山鄉順安村17鄰鹿安路517巷64號1樓。</v>
          </cell>
          <cell r="AK339" t="str">
            <v>127-NN</v>
          </cell>
          <cell r="AL339" t="str">
            <v>1-0118-金昌&gt;寄&gt;附發票&gt;附回郵</v>
          </cell>
          <cell r="AM339" t="str">
            <v>1-0118</v>
          </cell>
        </row>
        <row r="340">
          <cell r="B340" t="str">
            <v>1-0335</v>
          </cell>
          <cell r="C340" t="str">
            <v>101-09-11</v>
          </cell>
          <cell r="D340" t="str">
            <v>1-0335-統賀&gt;寄&gt;自結</v>
          </cell>
          <cell r="E340" t="str">
            <v>統賀＞黃一真</v>
          </cell>
          <cell r="F340" t="str">
            <v>統賀(335)</v>
          </cell>
          <cell r="G340" t="str">
            <v>未稅</v>
          </cell>
          <cell r="H340" t="str">
            <v>寄＞自結＞</v>
          </cell>
          <cell r="I340" t="str">
            <v>未稅</v>
          </cell>
          <cell r="J340">
            <v>30</v>
          </cell>
          <cell r="L340" t="str">
            <v>0975-388536＞0989-786367</v>
          </cell>
          <cell r="M340">
            <v>0</v>
          </cell>
          <cell r="R340" t="b">
            <v>0</v>
          </cell>
          <cell r="S340" t="str"/>
          <cell r="T340" t="b">
            <v>0</v>
          </cell>
          <cell r="W340">
            <v>652</v>
          </cell>
          <cell r="X340" t="str">
            <v>雲林縣水林鄉西井村西井31號。</v>
          </cell>
          <cell r="Y340" t="str">
            <v>雲林縣水林鄉</v>
          </cell>
          <cell r="Z340" t="str">
            <v>雲林縣水林鄉西井村西井31號.</v>
          </cell>
          <cell r="AA340" t="str">
            <v>652雲林縣水林鄉西井村西井31號。</v>
          </cell>
          <cell r="AK340" t="str">
            <v>260-SS</v>
          </cell>
          <cell r="AL340" t="str">
            <v>1-0118-金昌&gt;寄&gt;附發票&gt;附回郵</v>
          </cell>
          <cell r="AM340" t="str">
            <v>1-0118</v>
          </cell>
        </row>
        <row r="341">
          <cell r="B341" t="str">
            <v>1-0336</v>
          </cell>
          <cell r="C341" t="str">
            <v>101-09-12</v>
          </cell>
          <cell r="D341" t="str">
            <v>1-0336-長鼎&gt;寄&gt;附發票&gt;附回郵</v>
          </cell>
          <cell r="E341" t="str">
            <v>長鼎實業股份有限公司＞負:吳宗漢</v>
          </cell>
          <cell r="F341" t="str">
            <v>長鼎實業股份有限公司(336)</v>
          </cell>
          <cell r="G341" t="str">
            <v>含稅</v>
          </cell>
          <cell r="H341" t="str">
            <v>寄＞附發票＞附回郵＞</v>
          </cell>
          <cell r="I341" t="str">
            <v>9699＞4792＞含稅</v>
          </cell>
          <cell r="J341">
            <v>30</v>
          </cell>
          <cell r="L341" t="str">
            <v>04-7910037＞傳真04-7910036</v>
          </cell>
          <cell r="M341">
            <v>0</v>
          </cell>
          <cell r="R341" t="b">
            <v>0</v>
          </cell>
          <cell r="S341" t="str"/>
          <cell r="T341" t="b">
            <v>0</v>
          </cell>
          <cell r="W341">
            <v>509</v>
          </cell>
          <cell r="X341" t="str">
            <v>彰化縣伸港鄉彰濱工業區線工北一路20號。</v>
          </cell>
          <cell r="Y341" t="str">
            <v>彰化縣伸港鄉</v>
          </cell>
          <cell r="Z341" t="str">
            <v>彰化縣伸港鄉彰濱工業區線工北一路20號.</v>
          </cell>
          <cell r="AA341" t="str">
            <v>509彰化縣伸港鄉彰濱工業區線工北一路20號。</v>
          </cell>
          <cell r="AK341" t="str">
            <v>756-WW</v>
          </cell>
          <cell r="AL341" t="str">
            <v>1-0118-金昌&gt;寄&gt;附發票&gt;附回郵</v>
          </cell>
          <cell r="AM341" t="str">
            <v>1-0118</v>
          </cell>
        </row>
        <row r="342">
          <cell r="B342" t="str">
            <v>1-0337</v>
          </cell>
          <cell r="C342" t="str">
            <v>101-09-13</v>
          </cell>
          <cell r="D342" t="str">
            <v>1-0337-仟郁&gt;寄&gt;附發票&gt;附回郵</v>
          </cell>
          <cell r="E342" t="str">
            <v>仟郁交通有限公司＞負:許福金</v>
          </cell>
          <cell r="F342" t="str">
            <v>仟郁交通有限公司(337)</v>
          </cell>
          <cell r="G342" t="str">
            <v>含稅</v>
          </cell>
          <cell r="H342" t="str">
            <v>寄＞附發票＞附回郵＞</v>
          </cell>
          <cell r="I342" t="str">
            <v>1274＞3479＞含稅</v>
          </cell>
          <cell r="J342">
            <v>30</v>
          </cell>
          <cell r="L342" t="str">
            <v>04-25881552＞0910-596478張國通＞傳真04-25881550</v>
          </cell>
          <cell r="M342">
            <v>0</v>
          </cell>
          <cell r="R342" t="b">
            <v>0</v>
          </cell>
          <cell r="S342" t="str"/>
          <cell r="T342" t="b">
            <v>0</v>
          </cell>
          <cell r="W342">
            <v>423</v>
          </cell>
          <cell r="X342" t="str">
            <v>台中巿東勢區下新里東蘭路78-13號＞登:臺中市東勢區泰昌里東崎街文昌新村43之3號1樓。</v>
          </cell>
          <cell r="Y342" t="str">
            <v>台中巿東勢區</v>
          </cell>
          <cell r="Z342" t="str">
            <v>台中巿東勢區下新里東蘭路78-13號.</v>
          </cell>
          <cell r="AA342" t="str">
            <v>423台中巿東勢區下新里東蘭路78-13號＞登:臺中市東勢區泰昌里東崎街文昌新村43之3號1樓。</v>
          </cell>
          <cell r="AK342" t="str">
            <v>3306-N5</v>
          </cell>
          <cell r="AL342" t="str">
            <v>1-0118-金昌&gt;寄&gt;附發票&gt;附回郵</v>
          </cell>
          <cell r="AM342" t="str">
            <v>1-0118</v>
          </cell>
        </row>
        <row r="343">
          <cell r="B343" t="str">
            <v>1-0338</v>
          </cell>
          <cell r="C343" t="str">
            <v>101-09-14</v>
          </cell>
          <cell r="D343" t="str">
            <v>1-0338-東馴&gt;寄&gt;附發票&gt;附回郵</v>
          </cell>
          <cell r="E343" t="str">
            <v>東馴工程有限公司＞負:曾永忠</v>
          </cell>
          <cell r="F343" t="str">
            <v>東馴工程有限公司(338)</v>
          </cell>
          <cell r="G343" t="str">
            <v>稅外</v>
          </cell>
          <cell r="H343" t="str">
            <v>寄＞附發票＞附回郵＞</v>
          </cell>
          <cell r="I343" t="str">
            <v>2744＞0190＞稅外</v>
          </cell>
          <cell r="J343">
            <v>30</v>
          </cell>
          <cell r="L343" t="str">
            <v>037-550288＞0910-156945曾永忠＞0972-775669曾永俊＞傳真037-480167</v>
          </cell>
          <cell r="M343">
            <v>0</v>
          </cell>
          <cell r="R343" t="b">
            <v>0</v>
          </cell>
          <cell r="S343" t="str"/>
          <cell r="T343" t="b">
            <v>0</v>
          </cell>
          <cell r="W343">
            <v>361</v>
          </cell>
          <cell r="X343" t="str">
            <v>苗栗縣造橋鄉造橋村8鄰長安新村156號。</v>
          </cell>
          <cell r="Y343" t="str">
            <v>苗栗縣造橋鄉</v>
          </cell>
          <cell r="Z343" t="str">
            <v>苗栗縣造橋鄉造橋村8鄰長安新村156號.</v>
          </cell>
          <cell r="AA343" t="str">
            <v>361苗栗縣造橋鄉造橋村8鄰長安新村156號。</v>
          </cell>
          <cell r="AK343" t="str">
            <v>646-BB</v>
          </cell>
          <cell r="AL343" t="str">
            <v>1-0118-金昌&gt;寄&gt;附發票&gt;附回郵</v>
          </cell>
          <cell r="AM343" t="str">
            <v>1-0118</v>
          </cell>
        </row>
        <row r="344">
          <cell r="B344" t="str">
            <v>1-0339</v>
          </cell>
          <cell r="C344" t="str">
            <v>101-09-15</v>
          </cell>
          <cell r="D344" t="str">
            <v>1-0339-龍俐&gt;寄&gt;附發票&gt;附回郵</v>
          </cell>
          <cell r="E344" t="str">
            <v>龍俐企業社＞負:陳德盛</v>
          </cell>
          <cell r="F344" t="str">
            <v>龍俐企業社(339)</v>
          </cell>
          <cell r="G344" t="str">
            <v>稅外</v>
          </cell>
          <cell r="H344" t="str">
            <v>寄＞附發票＞附回郵＞</v>
          </cell>
          <cell r="I344" t="str">
            <v>7692＞3481＞稅外</v>
          </cell>
          <cell r="J344">
            <v>30</v>
          </cell>
          <cell r="L344" t="str">
            <v>037-477542＞0928-809018陳德盛＞傳真037-476651</v>
          </cell>
          <cell r="M344" t="str">
            <v>2-0162</v>
          </cell>
          <cell r="R344" t="b">
            <v>0</v>
          </cell>
          <cell r="S344" t="str"/>
          <cell r="T344" t="b">
            <v>0</v>
          </cell>
          <cell r="W344">
            <v>350</v>
          </cell>
          <cell r="X344" t="str">
            <v>苗栗縣竹南鎮聖福里2鄰照南路198號＞工廠:苗栗縣竹南鎮中美里10鄰保安林52-19號。</v>
          </cell>
          <cell r="Y344" t="str">
            <v>苗栗縣竹南鎮</v>
          </cell>
          <cell r="Z344" t="str">
            <v>苗栗縣竹南鎮聖福里2鄰照南路198號.</v>
          </cell>
          <cell r="AA344" t="str">
            <v>350苗栗縣竹南鎮聖福里2鄰照南路198號＞工廠:苗栗縣竹南鎮中美里10鄰保安林52-19號。</v>
          </cell>
          <cell r="AK344" t="str">
            <v>028-NN</v>
          </cell>
          <cell r="AL344" t="str">
            <v>1-0118-金昌&gt;寄&gt;附發票&gt;附回郵</v>
          </cell>
          <cell r="AM344" t="str">
            <v>1-0118</v>
          </cell>
        </row>
        <row r="345">
          <cell r="B345" t="str">
            <v>1-0340</v>
          </cell>
          <cell r="C345" t="str">
            <v>101-09-16</v>
          </cell>
          <cell r="D345" t="str">
            <v>1-0340-均升&gt;寄&gt;附發票&gt;附回郵</v>
          </cell>
          <cell r="E345" t="str">
            <v>均升實業有限公司＞負:張芝強</v>
          </cell>
          <cell r="F345" t="str">
            <v>均升實業有限公司(340)</v>
          </cell>
          <cell r="G345" t="str">
            <v>稅外</v>
          </cell>
          <cell r="H345" t="str">
            <v>寄＞附發票＞附回郵＞</v>
          </cell>
          <cell r="I345" t="str">
            <v>7050＞8819＞稅外</v>
          </cell>
          <cell r="J345">
            <v>30</v>
          </cell>
          <cell r="L345" t="str">
            <v>037-477979＞0932-668572＞傳真037-479007</v>
          </cell>
          <cell r="M345">
            <v>0</v>
          </cell>
          <cell r="R345" t="b">
            <v>0</v>
          </cell>
          <cell r="S345" t="str"/>
          <cell r="T345" t="b">
            <v>0</v>
          </cell>
          <cell r="W345">
            <v>350</v>
          </cell>
          <cell r="X345" t="str">
            <v>苗栗縣竹南鎮海口里19鄰保安林15-15號。</v>
          </cell>
          <cell r="Y345" t="str">
            <v>苗栗縣竹南鎮</v>
          </cell>
          <cell r="Z345" t="str">
            <v>苗栗縣竹南鎮海口里19鄰保安林15之15號.</v>
          </cell>
          <cell r="AA345" t="str">
            <v>350苗栗縣竹南鎮海口里19鄰保安林15-15號。</v>
          </cell>
          <cell r="AK345" t="str">
            <v>RAE-9377</v>
          </cell>
          <cell r="AL345" t="str">
            <v>1-0118-金昌&gt;寄&gt;附發票&gt;附回郵</v>
          </cell>
          <cell r="AM345" t="str">
            <v>1-0118</v>
          </cell>
        </row>
        <row r="346">
          <cell r="B346" t="str">
            <v>1-0341</v>
          </cell>
          <cell r="C346" t="str">
            <v>101-09-17</v>
          </cell>
          <cell r="D346" t="str">
            <v>1-0341-唐福&gt;寄&gt;附發票&gt;附回郵</v>
          </cell>
          <cell r="E346" t="str">
            <v>唐福工程有限公司＞負:趙春景＞偉業工程有限公司＞負:邱文忠</v>
          </cell>
          <cell r="F346" t="str">
            <v>唐福工程有限公司(341)</v>
          </cell>
          <cell r="G346" t="str">
            <v>稅外</v>
          </cell>
          <cell r="H346" t="str">
            <v>寄＞附發票＞附回郵＞</v>
          </cell>
          <cell r="I346" t="str">
            <v>2242＞9533唐福＞2759＞2288偉業＞稅外</v>
          </cell>
          <cell r="J346">
            <v>30</v>
          </cell>
          <cell r="L346" t="str">
            <v>02-22693668＞0910-357578兒子＞0910-132842老闆＞0981-055069組長陳俊宏＞傳真02-22693069</v>
          </cell>
          <cell r="M346">
            <v>0</v>
          </cell>
          <cell r="R346" t="b">
            <v>0</v>
          </cell>
          <cell r="S346" t="str"/>
          <cell r="T346" t="b">
            <v>0</v>
          </cell>
          <cell r="W346">
            <v>220</v>
          </cell>
          <cell r="X346" t="str">
            <v>新北巿土城區永平街3號＞唐登:新北市板橋區長江路一段105巷3弄1-4號5樓＞偉登:新北市板橋區吉翠里長江路一段105巷3弄1-4號5樓。</v>
          </cell>
          <cell r="Y346" t="str">
            <v>新北巿土城區</v>
          </cell>
          <cell r="Z346" t="str">
            <v>新北巿土城區永平街3號.</v>
          </cell>
          <cell r="AA346" t="str">
            <v>220新北巿土城區永平街3號＞唐登:新北市板橋區長江路一段105巷3弄1-4號5樓＞偉登:新北市板橋區吉翠里長江路一段105巷3弄1-4號5樓。</v>
          </cell>
          <cell r="AK346" t="str">
            <v>827-V6</v>
          </cell>
          <cell r="AL346" t="str">
            <v>1-0118-金昌&gt;寄&gt;附發票&gt;附回郵</v>
          </cell>
          <cell r="AM346" t="str">
            <v>1-0118</v>
          </cell>
        </row>
        <row r="347">
          <cell r="B347" t="str">
            <v>1-0342</v>
          </cell>
          <cell r="C347" t="str">
            <v>101-09-18</v>
          </cell>
          <cell r="D347" t="str">
            <v>1-0342-春南&gt;寄&gt;附發票&gt;附回郵</v>
          </cell>
          <cell r="E347" t="str">
            <v>春南交通股份有限公司＞負:林淑慧＞陳成吉</v>
          </cell>
          <cell r="F347" t="str">
            <v>春南交通股份有限公司(342)</v>
          </cell>
          <cell r="G347" t="str">
            <v>稅外</v>
          </cell>
          <cell r="H347" t="str">
            <v>寄＞附發票＞附回郵＞</v>
          </cell>
          <cell r="I347" t="str">
            <v>4972＞7789＞稅外</v>
          </cell>
          <cell r="J347">
            <v>30</v>
          </cell>
          <cell r="L347" t="str">
            <v>037-611395＞0937-280089陳成吉</v>
          </cell>
          <cell r="M347">
            <v>0</v>
          </cell>
          <cell r="R347" t="b">
            <v>0</v>
          </cell>
          <cell r="S347" t="str"/>
          <cell r="T347" t="b">
            <v>0</v>
          </cell>
          <cell r="W347">
            <v>350</v>
          </cell>
          <cell r="X347" t="str">
            <v>苗栗縣竹南鎮新南里東平路17號。</v>
          </cell>
          <cell r="Y347" t="str">
            <v>苗栗縣竹南鎮</v>
          </cell>
          <cell r="Z347" t="str">
            <v>苗栗縣竹南鎮新南里東平路17號.</v>
          </cell>
          <cell r="AA347" t="str">
            <v>350苗栗縣竹南鎮新南里東平路17號。</v>
          </cell>
          <cell r="AK347" t="str">
            <v>RAE-9206</v>
          </cell>
          <cell r="AL347" t="str">
            <v>1-0118-金昌&gt;寄&gt;附發票&gt;附回郵</v>
          </cell>
          <cell r="AM347" t="str">
            <v>1-0118</v>
          </cell>
        </row>
        <row r="348">
          <cell r="B348" t="str">
            <v>1-0343</v>
          </cell>
          <cell r="C348" t="str">
            <v>101-09-19</v>
          </cell>
          <cell r="D348" t="str">
            <v>1-0343-基藍緣&gt;寄&gt;自結</v>
          </cell>
          <cell r="E348" t="str">
            <v>基藍緣企業社＞負:吳盛德</v>
          </cell>
          <cell r="F348" t="str">
            <v>基藍緣企業社(343)</v>
          </cell>
          <cell r="G348" t="str">
            <v>未稅</v>
          </cell>
          <cell r="H348" t="str">
            <v>寄＞自結＞</v>
          </cell>
          <cell r="I348" t="str">
            <v>未稅</v>
          </cell>
          <cell r="J348">
            <v>30</v>
          </cell>
          <cell r="K348" t="str">
            <v>2521＞5387＞未稅</v>
          </cell>
          <cell r="L348" t="str">
            <v>037-332455＞0958-725787＞0988-781448＞0956-725787＞傳真037-332776</v>
          </cell>
          <cell r="M348">
            <v>0</v>
          </cell>
          <cell r="O348">
            <v>58</v>
          </cell>
          <cell r="P348">
            <v>6</v>
          </cell>
          <cell r="Q348">
            <v>21</v>
          </cell>
          <cell r="R348">
            <v>52</v>
          </cell>
          <cell r="S348">
            <v>69</v>
          </cell>
          <cell r="T348">
            <v>25375</v>
          </cell>
          <cell r="U348" t="str">
            <v>K121236895</v>
          </cell>
          <cell r="V348" t="str">
            <v>吳盛德</v>
          </cell>
          <cell r="W348">
            <v>356</v>
          </cell>
          <cell r="X348" t="str">
            <v>苗栗縣後龍鎮龍坑里16鄰156-66號＞登:苗栗縣苗栗巿福麗里20鄰北安街46號4樓。</v>
          </cell>
          <cell r="Y348" t="str">
            <v>苗栗縣後龍鎮</v>
          </cell>
          <cell r="Z348" t="str">
            <v>苗栗縣後龍鎮龍坑里16鄰156之66號.</v>
          </cell>
          <cell r="AA348" t="str">
            <v>356苗栗縣後龍鎮龍坑里16鄰156-66號＞登:苗栗縣苗栗巿福麗里20鄰北安街46號4樓。</v>
          </cell>
          <cell r="AK348" t="str">
            <v>725-ZC</v>
          </cell>
          <cell r="AL348" t="str">
            <v>1-0136-順華&gt;寄&gt;附發票&gt;三個月匯款</v>
          </cell>
          <cell r="AM348" t="str">
            <v>1-0136</v>
          </cell>
        </row>
        <row r="349">
          <cell r="B349" t="str">
            <v>1-0344</v>
          </cell>
          <cell r="C349" t="str">
            <v>101-09-20</v>
          </cell>
          <cell r="D349" t="str">
            <v>1-0344-全力&gt;寄&gt;附發票&gt;附回郵</v>
          </cell>
          <cell r="E349" t="str">
            <v>全力企業社＞負:林素惠＞大熊行＞負:熊修宏</v>
          </cell>
          <cell r="F349" t="str">
            <v>全力企業社(344)</v>
          </cell>
          <cell r="G349" t="str">
            <v>含稅</v>
          </cell>
          <cell r="H349" t="str">
            <v>寄＞附發票＞附回郵＞</v>
          </cell>
          <cell r="I349" t="str">
            <v>4998＞8720全力＞3013＞2936大熊行＞BS新胎大胎含稅</v>
          </cell>
          <cell r="J349">
            <v>30</v>
          </cell>
          <cell r="L349" t="str">
            <v>03-3676800＞0938-590020＞0910-665117傳真03-3684404</v>
          </cell>
          <cell r="M349">
            <v>0</v>
          </cell>
          <cell r="R349" t="b">
            <v>0</v>
          </cell>
          <cell r="S349" t="str"/>
          <cell r="T349" t="b">
            <v>0</v>
          </cell>
          <cell r="W349">
            <v>334</v>
          </cell>
          <cell r="X349" t="str">
            <v>桃園縣八德市廣德里大勤街100巷18弄6號。</v>
          </cell>
          <cell r="Y349" t="str">
            <v>桃園縣八德市</v>
          </cell>
          <cell r="Z349" t="str">
            <v>桃園縣八德市廣德里大勤街100巷18弄6號.</v>
          </cell>
          <cell r="AA349" t="str">
            <v>334桃園縣八德市廣德里大勤街100巷18弄6號。</v>
          </cell>
          <cell r="AK349" t="str">
            <v>500-GF</v>
          </cell>
          <cell r="AL349" t="str">
            <v>1-0136-順華&gt;寄&gt;附發票&gt;三個月匯款</v>
          </cell>
          <cell r="AM349" t="str">
            <v>1-0136</v>
          </cell>
        </row>
        <row r="350">
          <cell r="B350" t="str">
            <v>1-0345</v>
          </cell>
          <cell r="C350" t="str">
            <v>101-09-21</v>
          </cell>
          <cell r="D350" t="str">
            <v>1-0345-江清國&gt;寄&gt;附發票&gt;附回郵</v>
          </cell>
          <cell r="E350" t="str">
            <v>江清國＞靠行:沅陽交通股份有限公司,負:黃乙靖</v>
          </cell>
          <cell r="F350" t="str">
            <v>江清國(345)</v>
          </cell>
          <cell r="G350" t="str">
            <v>含稅</v>
          </cell>
          <cell r="H350" t="str">
            <v>寄＞附發票＞附回郵＞</v>
          </cell>
          <cell r="I350" t="str">
            <v>8471＞0482＞含稅</v>
          </cell>
          <cell r="J350">
            <v>30</v>
          </cell>
          <cell r="L350" t="str">
            <v>037-638298＞0989-912898江清國</v>
          </cell>
          <cell r="M350">
            <v>0</v>
          </cell>
          <cell r="O350">
            <v>66</v>
          </cell>
          <cell r="P350">
            <v>9</v>
          </cell>
          <cell r="Q350">
            <v>1</v>
          </cell>
          <cell r="R350">
            <v>44</v>
          </cell>
          <cell r="S350">
            <v>77</v>
          </cell>
          <cell r="T350">
            <v>28369</v>
          </cell>
          <cell r="U350" t="str">
            <v>J121726419</v>
          </cell>
          <cell r="V350" t="str">
            <v>江清國</v>
          </cell>
          <cell r="W350">
            <v>220</v>
          </cell>
          <cell r="X350" t="str">
            <v>苗栗縣竹南鎮正義街115巷12弄6號＞登:桃園縣平鎮市高雙路209號1樓。</v>
          </cell>
          <cell r="Y350" t="str">
            <v>苗栗縣竹南鎮</v>
          </cell>
          <cell r="Z350" t="str">
            <v>苗栗縣竹南鎮正義街115巷12弄6號.</v>
          </cell>
          <cell r="AA350" t="str">
            <v>220苗栗縣竹南鎮正義街115巷12弄6號＞登:桃園縣平鎮市高雙路209號1樓。</v>
          </cell>
          <cell r="AK350" t="str">
            <v>741-ZC</v>
          </cell>
          <cell r="AL350" t="str">
            <v>1-0136-順華&gt;寄&gt;附發票&gt;三個月匯款</v>
          </cell>
          <cell r="AM350" t="str">
            <v>1-0136</v>
          </cell>
        </row>
        <row r="351">
          <cell r="B351" t="str">
            <v>1-0346</v>
          </cell>
          <cell r="C351" t="str">
            <v>101-09-22</v>
          </cell>
          <cell r="D351" t="str">
            <v>1-0346-進發&gt;寄&gt;附發票&gt;附回郵</v>
          </cell>
          <cell r="E351" t="str">
            <v>進發機電廠有限公司＞負:韓乾榮＞韓乾財</v>
          </cell>
          <cell r="F351" t="str">
            <v>進發機電廠有限公司(346)</v>
          </cell>
          <cell r="G351" t="str">
            <v>稅外</v>
          </cell>
          <cell r="H351" t="str">
            <v>寄＞附發票＞附回郵＞</v>
          </cell>
          <cell r="I351" t="str">
            <v>8459＞2485＞稅外</v>
          </cell>
          <cell r="J351">
            <v>30</v>
          </cell>
          <cell r="L351" t="str">
            <v>037-540752＞0932-949920韓乾隆＞0932-114204韓乾財＞傳真037-542756</v>
          </cell>
          <cell r="M351" t="str">
            <v>2-0090</v>
          </cell>
          <cell r="R351" t="b">
            <v>0</v>
          </cell>
          <cell r="S351" t="str"/>
          <cell r="T351" t="b">
            <v>0</v>
          </cell>
          <cell r="W351">
            <v>361</v>
          </cell>
          <cell r="X351" t="str">
            <v>苗栗縣造橋鄉造橋村東興9號＞登:新竹市東區香村路121巷35號。</v>
          </cell>
          <cell r="Y351" t="str">
            <v>苗栗縣造橋鄉</v>
          </cell>
          <cell r="Z351" t="str">
            <v>苗栗縣造橋鄉造橋村東興9號.</v>
          </cell>
          <cell r="AA351" t="str">
            <v>361苗栗縣造橋鄉造橋村東興9號＞登:新竹市東區香村路121巷35號。</v>
          </cell>
          <cell r="AK351" t="str">
            <v>967-ZC</v>
          </cell>
          <cell r="AL351" t="str">
            <v>1-0136-順華&gt;寄&gt;附發票&gt;三個月匯款</v>
          </cell>
          <cell r="AM351" t="str">
            <v>1-0136</v>
          </cell>
        </row>
        <row r="352">
          <cell r="B352" t="str">
            <v>1-0347</v>
          </cell>
          <cell r="C352" t="str">
            <v>101-09-23</v>
          </cell>
          <cell r="D352" t="str">
            <v>1-0347-仁德&gt;寄&gt;附發票&gt;附回郵</v>
          </cell>
          <cell r="E352" t="str">
            <v>仁德通運股份有限公司＞負:謝清田＞彭維郁</v>
          </cell>
          <cell r="F352" t="str">
            <v>仁德通運股份有限公司(347)</v>
          </cell>
          <cell r="G352" t="str">
            <v>稅外</v>
          </cell>
          <cell r="H352" t="str">
            <v>寄＞附回郵＞附發票</v>
          </cell>
          <cell r="I352" t="str">
            <v>4713＞0927&gt;稅外＞25號月結</v>
          </cell>
          <cell r="J352">
            <v>25</v>
          </cell>
          <cell r="L352" t="str">
            <v>037-724939＞0932-524391主任＞傳真037-724795</v>
          </cell>
          <cell r="M352" t="str">
            <v>2-0138</v>
          </cell>
          <cell r="R352" t="b">
            <v>0</v>
          </cell>
          <cell r="S352" t="str"/>
          <cell r="T352" t="b">
            <v>0</v>
          </cell>
          <cell r="W352">
            <v>356</v>
          </cell>
          <cell r="X352" t="str">
            <v>苗栗縣後龍鎮南龍里9鄰中華路181號1樓。</v>
          </cell>
          <cell r="Y352" t="str">
            <v>苗栗縣後龍鎮</v>
          </cell>
          <cell r="Z352" t="str">
            <v>苗栗縣後龍鎮南龍里9鄰中華路181號1樓.</v>
          </cell>
          <cell r="AA352" t="str">
            <v>356苗栗縣後龍鎮南龍里9鄰中華路181號1樓。</v>
          </cell>
          <cell r="AK352" t="str">
            <v>642-GF</v>
          </cell>
          <cell r="AL352" t="str">
            <v>1-0136-順華&gt;寄&gt;附發票&gt;三個月匯款</v>
          </cell>
          <cell r="AM352" t="str">
            <v>1-0136</v>
          </cell>
        </row>
        <row r="353">
          <cell r="B353" t="str">
            <v>1-0348</v>
          </cell>
          <cell r="C353" t="str">
            <v>101-09-24</v>
          </cell>
          <cell r="D353" t="str">
            <v>1-0348-榮新&gt;寄&gt;附發票&gt;附回郵</v>
          </cell>
          <cell r="E353" t="str">
            <v>榮新工程行＞負:林淑美＞詹朝明</v>
          </cell>
          <cell r="F353" t="str">
            <v>榮新工程行(348)</v>
          </cell>
          <cell r="G353" t="str">
            <v>含稅</v>
          </cell>
          <cell r="H353" t="str">
            <v>寄＞附發票＞附回郵＞</v>
          </cell>
          <cell r="I353" t="str">
            <v>3643＞7999＞含稅</v>
          </cell>
          <cell r="J353">
            <v>30</v>
          </cell>
          <cell r="L353" t="str">
            <v>03-3233780＞03-3237769＞0933-780835</v>
          </cell>
          <cell r="M353">
            <v>0</v>
          </cell>
          <cell r="R353" t="b">
            <v>0</v>
          </cell>
          <cell r="S353" t="str"/>
          <cell r="T353" t="b">
            <v>0</v>
          </cell>
          <cell r="W353">
            <v>338</v>
          </cell>
          <cell r="X353" t="str">
            <v>桃園縣蘆竹鄉中福村龍安街二段1394號。</v>
          </cell>
          <cell r="Y353" t="str">
            <v>桃園縣蘆竹鄉</v>
          </cell>
          <cell r="Z353" t="str">
            <v>桃園縣蘆竹鄉中福村龍安街二段1394號.</v>
          </cell>
          <cell r="AA353" t="str">
            <v>338桃園縣蘆竹鄉中福村龍安街二段1394號。</v>
          </cell>
          <cell r="AK353" t="str">
            <v>545-HF</v>
          </cell>
          <cell r="AL353" t="str">
            <v>1-0136-順華&gt;寄&gt;附發票&gt;三個月匯款</v>
          </cell>
          <cell r="AM353" t="str">
            <v>1-0136</v>
          </cell>
        </row>
        <row r="354">
          <cell r="B354" t="str">
            <v>1-0349</v>
          </cell>
          <cell r="C354" t="str">
            <v>101-09-25</v>
          </cell>
          <cell r="D354" t="str">
            <v>1-0349-太洋新技&gt;寄&gt;附發票&gt;匯款</v>
          </cell>
          <cell r="E354" t="str">
            <v>太洋新技股份有限公司＞負:江藤俊郎</v>
          </cell>
          <cell r="F354" t="str">
            <v>太洋新技股份有限公司(349)</v>
          </cell>
          <cell r="G354" t="str">
            <v>含稅</v>
          </cell>
          <cell r="H354" t="str">
            <v>寄＞附發票＞匯款＞</v>
          </cell>
          <cell r="I354" t="str">
            <v>9697＞2431＞含稅＞中華全佑＞25號月結</v>
          </cell>
          <cell r="J354">
            <v>25</v>
          </cell>
          <cell r="L354" t="str">
            <v>03-5985987＞0938-252657姜仁添＞傳真03-5985939</v>
          </cell>
          <cell r="M354">
            <v>0</v>
          </cell>
          <cell r="R354" t="b">
            <v>0</v>
          </cell>
          <cell r="S354" t="str"/>
          <cell r="T354" t="b">
            <v>0</v>
          </cell>
          <cell r="W354">
            <v>303</v>
          </cell>
          <cell r="X354" t="str">
            <v>新竹縣湖口鄉鳳凰村光復路62號。</v>
          </cell>
          <cell r="Y354" t="str">
            <v>新竹縣湖口鄉</v>
          </cell>
          <cell r="Z354" t="str">
            <v>新竹縣湖口鄉鳳凰村光復路62號.</v>
          </cell>
          <cell r="AA354" t="str">
            <v>303新竹縣湖口鄉鳳凰村光復路62號。</v>
          </cell>
          <cell r="AK354" t="str">
            <v>168-FF</v>
          </cell>
          <cell r="AL354" t="str">
            <v>1-0122-嘉偉&gt;元美&gt;寄&gt;附發票&gt;附回郵</v>
          </cell>
          <cell r="AM354" t="str">
            <v>1-0122</v>
          </cell>
        </row>
        <row r="355">
          <cell r="B355" t="str">
            <v>1-0350</v>
          </cell>
          <cell r="C355" t="str">
            <v>101-09-26</v>
          </cell>
          <cell r="D355" t="str">
            <v>1-0350-賀義鈞&gt;寄&gt;匯款</v>
          </cell>
          <cell r="E355" t="str">
            <v>賀義鈞＞靠行:松生交通股份有限公司,負:陳漢琮</v>
          </cell>
          <cell r="F355" t="str">
            <v>賀義鈞(350)</v>
          </cell>
          <cell r="G355" t="str">
            <v>含稅</v>
          </cell>
          <cell r="H355" t="str">
            <v>寄＞匯款＞</v>
          </cell>
          <cell r="I355" t="str">
            <v>5008＞5480＞含稅＞中華全佑</v>
          </cell>
          <cell r="J355">
            <v>30</v>
          </cell>
          <cell r="L355" t="str">
            <v>037-596934＞0976-150525</v>
          </cell>
          <cell r="M355">
            <v>0</v>
          </cell>
          <cell r="O355">
            <v>60</v>
          </cell>
          <cell r="P355">
            <v>3</v>
          </cell>
          <cell r="Q355">
            <v>9</v>
          </cell>
          <cell r="R355">
            <v>51</v>
          </cell>
          <cell r="S355">
            <v>71</v>
          </cell>
          <cell r="T355">
            <v>26001</v>
          </cell>
          <cell r="U355" t="str">
            <v>H121357860</v>
          </cell>
          <cell r="V355" t="str">
            <v>賀義鈞</v>
          </cell>
          <cell r="W355">
            <v>351</v>
          </cell>
          <cell r="X355" t="str">
            <v>苗栗縣頭份鎮信義路445號5樓＞登:苗栗縣頭份鎮蟠桃里3鄰中央路268號。</v>
          </cell>
          <cell r="Y355" t="str">
            <v>苗栗縣頭份鎮</v>
          </cell>
          <cell r="Z355" t="str">
            <v>苗栗縣頭份鎮信義路445號5樓.</v>
          </cell>
          <cell r="AA355" t="str">
            <v>351苗栗縣頭份鎮信義路445號5樓＞登:苗栗縣頭份鎮蟠桃里3鄰中央路268號。</v>
          </cell>
          <cell r="AK355" t="str">
            <v>925-LL</v>
          </cell>
          <cell r="AL355" t="str">
            <v>1-0122-嘉偉&gt;元美&gt;寄&gt;附發票&gt;附回郵</v>
          </cell>
          <cell r="AM355" t="str">
            <v>1-0122</v>
          </cell>
        </row>
        <row r="356">
          <cell r="B356" t="str">
            <v>1-0351</v>
          </cell>
          <cell r="C356" t="str">
            <v>101-09-27</v>
          </cell>
          <cell r="D356" t="str">
            <v>1-0351-臻翔&gt;寄&gt;附發票&gt;附回郵</v>
          </cell>
          <cell r="E356" t="str">
            <v>臻翔工程行＞負:賈宗寧</v>
          </cell>
          <cell r="F356" t="str">
            <v>臻翔工程行(351)</v>
          </cell>
          <cell r="G356" t="str">
            <v>稅外</v>
          </cell>
          <cell r="H356" t="str">
            <v>寄＞附發票＞附回郵＞</v>
          </cell>
          <cell r="I356" t="str">
            <v>0982＞2528＞稅外</v>
          </cell>
          <cell r="J356">
            <v>30</v>
          </cell>
          <cell r="L356" t="str">
            <v>07010285560＞0916-369896張主任</v>
          </cell>
          <cell r="M356">
            <v>0</v>
          </cell>
          <cell r="R356" t="b">
            <v>0</v>
          </cell>
          <cell r="S356" t="str"/>
          <cell r="T356" t="b">
            <v>0</v>
          </cell>
          <cell r="W356">
            <v>350</v>
          </cell>
          <cell r="X356" t="str">
            <v>苗栗縣竹南鎮開元路160號＞登:新竹市東區湳中里武陵路177號6樓之1。</v>
          </cell>
          <cell r="Y356" t="str">
            <v>苗栗縣竹南鎮</v>
          </cell>
          <cell r="Z356" t="str">
            <v>苗栗縣竹南鎮開元路160號.</v>
          </cell>
          <cell r="AA356" t="str">
            <v>350苗栗縣竹南鎮開元路160號＞登:新竹市東區湳中里武陵路177號6樓之1。</v>
          </cell>
          <cell r="AK356" t="str">
            <v>871-WW</v>
          </cell>
          <cell r="AL356" t="str">
            <v>1-0122-嘉偉&gt;元美&gt;寄&gt;附發票&gt;附回郵</v>
          </cell>
          <cell r="AM356" t="str">
            <v>1-0122</v>
          </cell>
        </row>
        <row r="357">
          <cell r="B357" t="str">
            <v>1-0352</v>
          </cell>
          <cell r="C357" t="str">
            <v>101-09-28</v>
          </cell>
          <cell r="D357" t="str">
            <v>1-0352-永裕豐&gt;松江&gt;寄&gt;附回郵</v>
          </cell>
          <cell r="E357" t="str">
            <v>永裕豐商行＞捌拾壹商行&gt;負:施瑞統＞施東明</v>
          </cell>
          <cell r="F357" t="str">
            <v>永裕豐商行(352)</v>
          </cell>
          <cell r="G357" t="str">
            <v>稅外</v>
          </cell>
          <cell r="H357" t="str">
            <v>寄＞附回郵＞</v>
          </cell>
          <cell r="I357" t="str">
            <v>7238&gt;7495&gt;八十一商行&gt;稅外</v>
          </cell>
          <cell r="J357">
            <v>30</v>
          </cell>
          <cell r="K357" t="str">
            <v>0593＞0356＞永裕豐未稅</v>
          </cell>
          <cell r="L357" t="str">
            <v>04-7712519＞0985-757709＞0928-027359＞0985-757729＞0932-680777施東明</v>
          </cell>
          <cell r="M357" t="str">
            <v>2-0168</v>
          </cell>
          <cell r="R357" t="b">
            <v>0</v>
          </cell>
          <cell r="S357" t="str"/>
          <cell r="T357" t="b">
            <v>0</v>
          </cell>
          <cell r="W357">
            <v>505</v>
          </cell>
          <cell r="X357" t="str">
            <v>彰化縣鹿港鎮頭南里頂草路三段243號。</v>
          </cell>
          <cell r="Y357" t="str">
            <v>彰化縣鹿港鎮</v>
          </cell>
          <cell r="Z357" t="str">
            <v>彰化縣鹿港鎮頭南里頂草路三段243號.</v>
          </cell>
          <cell r="AA357" t="str">
            <v>505彰化縣鹿港鎮頭南里頂草路三段243號。</v>
          </cell>
          <cell r="AK357" t="str">
            <v>615-AA</v>
          </cell>
          <cell r="AL357" t="str">
            <v>1-0122-嘉偉&gt;元美&gt;寄&gt;附發票&gt;附回郵</v>
          </cell>
          <cell r="AM357" t="str">
            <v>1-0122</v>
          </cell>
        </row>
        <row r="358">
          <cell r="B358" t="str">
            <v>1-0353</v>
          </cell>
          <cell r="C358" t="str">
            <v>101-09-29</v>
          </cell>
          <cell r="D358" t="str">
            <v>1-0353-林銀龍&gt;寄&gt;自結</v>
          </cell>
          <cell r="E358" t="str">
            <v>林銀龍＞靠行:旺佶交通有限公司,負:黃趙惠</v>
          </cell>
          <cell r="F358" t="str">
            <v>林銀龍(353)</v>
          </cell>
          <cell r="G358" t="str">
            <v>未稅</v>
          </cell>
          <cell r="H358" t="str">
            <v>寄＞自結＞</v>
          </cell>
          <cell r="I358" t="str">
            <v>未稅</v>
          </cell>
          <cell r="J358">
            <v>30</v>
          </cell>
          <cell r="K358" t="str">
            <v>8964＞1865＞未稅</v>
          </cell>
          <cell r="L358" t="str">
            <v>037-581505＞0938-199305</v>
          </cell>
          <cell r="M358">
            <v>0</v>
          </cell>
          <cell r="O358">
            <v>65</v>
          </cell>
          <cell r="P358">
            <v>12</v>
          </cell>
          <cell r="Q358">
            <v>20</v>
          </cell>
          <cell r="R358">
            <v>45</v>
          </cell>
          <cell r="S358">
            <v>76</v>
          </cell>
          <cell r="T358">
            <v>28114</v>
          </cell>
          <cell r="U358" t="str">
            <v>K121589640</v>
          </cell>
          <cell r="V358" t="str">
            <v>林銀龍</v>
          </cell>
          <cell r="W358">
            <v>350</v>
          </cell>
          <cell r="X358" t="str">
            <v>苗栗縣竹南鎮大埔里中埔街8巷3弄1號＞登:彰化縣鹿港鎮中興里1鄰中山路303號1樓。</v>
          </cell>
          <cell r="Y358" t="str">
            <v>苗栗縣竹南鎮</v>
          </cell>
          <cell r="Z358" t="str">
            <v>苗栗縣竹南鎮大埔里中埔街8巷3弄1號.</v>
          </cell>
          <cell r="AA358" t="str">
            <v>350苗栗縣竹南鎮大埔里中埔街8巷3弄1號＞登:彰化縣鹿港鎮中興里1鄰中山路303號1樓。</v>
          </cell>
          <cell r="AK358" t="str">
            <v>986-AA</v>
          </cell>
          <cell r="AL358" t="str">
            <v>1-0122-嘉偉&gt;元美&gt;寄&gt;附發票&gt;附回郵</v>
          </cell>
          <cell r="AM358" t="str">
            <v>1-0122</v>
          </cell>
        </row>
        <row r="359">
          <cell r="B359" t="str">
            <v>1-0354</v>
          </cell>
          <cell r="C359" t="str">
            <v>101-09-30</v>
          </cell>
          <cell r="D359" t="str">
            <v>1-0354-志祥通運.普惠&gt;寄&gt;附發票&gt;附回郵</v>
          </cell>
          <cell r="E359" t="str">
            <v>志祥通運股份有限公司＞負:邱福安</v>
          </cell>
          <cell r="F359" t="str">
            <v>志祥通運股份有限公司(354)</v>
          </cell>
          <cell r="G359" t="str">
            <v>含稅</v>
          </cell>
          <cell r="H359" t="str">
            <v>寄＞附發票＞附回郵＞</v>
          </cell>
          <cell r="I359" t="str">
            <v>4980＞9260＞含稅</v>
          </cell>
          <cell r="J359">
            <v>30</v>
          </cell>
          <cell r="L359" t="str">
            <v>037-612268＞0937-223696＞0920-189198＞傳真037-612627</v>
          </cell>
          <cell r="M359" t="str">
            <v>2-0125</v>
          </cell>
          <cell r="R359" t="b">
            <v>0</v>
          </cell>
          <cell r="S359" t="str"/>
          <cell r="T359" t="b">
            <v>0</v>
          </cell>
          <cell r="W359">
            <v>351</v>
          </cell>
          <cell r="X359" t="str">
            <v>苗栗縣頭份市東庄里八德一路51巷81號。</v>
          </cell>
          <cell r="Y359" t="str">
            <v>苗栗縣頭份市</v>
          </cell>
          <cell r="Z359" t="str">
            <v>苗栗縣頭份市東庄里八德一路51巷81號。</v>
          </cell>
          <cell r="AA359" t="str">
            <v>351苗栗縣頭份市東庄里八德一路51巷81號。</v>
          </cell>
          <cell r="AK359" t="str">
            <v>086-GG</v>
          </cell>
          <cell r="AL359" t="str">
            <v>1-0122-嘉偉&gt;元美&gt;寄&gt;附發票&gt;附回郵</v>
          </cell>
          <cell r="AM359" t="str">
            <v>1-0122</v>
          </cell>
        </row>
        <row r="360">
          <cell r="B360" t="str">
            <v>1-0355</v>
          </cell>
          <cell r="C360" t="str">
            <v>101-10-10</v>
          </cell>
          <cell r="D360" t="str">
            <v>1-0355-駱俊榮&gt;駱駝&gt;電&gt;自結</v>
          </cell>
          <cell r="E360" t="str">
            <v>駱俊榮＞駱駝＞靠行:駱駝通運有限公司,負:胡麗華</v>
          </cell>
          <cell r="F360" t="str">
            <v>駱俊榮(355)</v>
          </cell>
          <cell r="G360" t="str">
            <v>未稅</v>
          </cell>
          <cell r="H360" t="str">
            <v>電＞自結＞</v>
          </cell>
          <cell r="I360" t="str">
            <v>未稅</v>
          </cell>
          <cell r="J360">
            <v>30</v>
          </cell>
          <cell r="K360" t="str">
            <v>4498＞9221＞未稅</v>
          </cell>
          <cell r="L360" t="str">
            <v>0958-611342</v>
          </cell>
          <cell r="M360">
            <v>0</v>
          </cell>
          <cell r="R360" t="b">
            <v>0</v>
          </cell>
          <cell r="S360" t="str"/>
          <cell r="T360" t="b">
            <v>0</v>
          </cell>
          <cell r="W360">
            <v>621</v>
          </cell>
          <cell r="X360" t="str">
            <v>登:嘉義縣民雄鄉北斗村20鄰北勢子187號1樓。</v>
          </cell>
          <cell r="Y360" t="str"/>
          <cell r="AA360" t="str">
            <v>621登:嘉義縣民雄鄉北斗村20鄰北勢子187號1樓。</v>
          </cell>
          <cell r="AK360" t="str">
            <v>293-GG</v>
          </cell>
          <cell r="AL360" t="str">
            <v>1-0173-金珠&gt;寄&gt;附發票&gt;附回郵</v>
          </cell>
          <cell r="AM360" t="str">
            <v>1-0173</v>
          </cell>
        </row>
        <row r="361">
          <cell r="B361" t="str">
            <v>1-0356</v>
          </cell>
          <cell r="C361" t="str">
            <v>101-10-11</v>
          </cell>
          <cell r="D361" t="str">
            <v>1-0356-韋聰敏&gt;寄&gt;附回郵</v>
          </cell>
          <cell r="E361" t="str">
            <v>韋聰敏＞靠行:龍秀交通有限公司,負:張根盛</v>
          </cell>
          <cell r="F361" t="str">
            <v>韋聰敏(356)</v>
          </cell>
          <cell r="G361" t="str">
            <v>未稅</v>
          </cell>
          <cell r="H361" t="str">
            <v>寄＞附回郵＞</v>
          </cell>
          <cell r="I361" t="str">
            <v>未稅</v>
          </cell>
          <cell r="J361">
            <v>30</v>
          </cell>
          <cell r="K361" t="str">
            <v>8471＞0666＞未稅</v>
          </cell>
          <cell r="L361" t="str">
            <v>03-3674341＞0928-996441</v>
          </cell>
          <cell r="M361">
            <v>0</v>
          </cell>
          <cell r="O361">
            <v>57</v>
          </cell>
          <cell r="P361">
            <v>11</v>
          </cell>
          <cell r="Q361">
            <v>23</v>
          </cell>
          <cell r="R361">
            <v>53</v>
          </cell>
          <cell r="S361">
            <v>68</v>
          </cell>
          <cell r="T361">
            <v>25165</v>
          </cell>
          <cell r="U361" t="str">
            <v>H121208004</v>
          </cell>
          <cell r="V361" t="str">
            <v>韋聰敏</v>
          </cell>
          <cell r="W361">
            <v>330</v>
          </cell>
          <cell r="X361" t="str">
            <v>桃園巿桃鶯路296巷12號3樓＞登:臺北市文山區華興里辛亥路七段22號。</v>
          </cell>
          <cell r="Y361" t="str">
            <v>桃園巿桃鶯路</v>
          </cell>
          <cell r="Z361" t="str">
            <v>桃園巿桃鶯路296巷12號3樓.</v>
          </cell>
          <cell r="AA361" t="str">
            <v>330桃園巿桃鶯路296巷12號3樓＞登:臺北市文山區華興里辛亥路七段22號。</v>
          </cell>
          <cell r="AK361" t="str">
            <v>A5-355</v>
          </cell>
          <cell r="AL361" t="str">
            <v>1-0122-嘉偉&gt;元美&gt;寄&gt;附發票&gt;附回郵</v>
          </cell>
          <cell r="AM361" t="str">
            <v>1-0122</v>
          </cell>
        </row>
        <row r="362">
          <cell r="B362" t="str">
            <v>1-0357</v>
          </cell>
          <cell r="C362" t="str">
            <v>101-10-12</v>
          </cell>
          <cell r="D362" t="str">
            <v>1-0357-范振僥&gt;寄&gt;自結</v>
          </cell>
          <cell r="E362" t="str">
            <v>范振僥＞靠行:元慶誠旅運有限公司,負:陳翊菱</v>
          </cell>
          <cell r="F362" t="str">
            <v>范振僥(357)</v>
          </cell>
          <cell r="G362" t="str">
            <v>未稅</v>
          </cell>
          <cell r="H362" t="str">
            <v>寄＞自結＞</v>
          </cell>
          <cell r="I362" t="str">
            <v>未稅</v>
          </cell>
          <cell r="J362">
            <v>30</v>
          </cell>
          <cell r="K362" t="str">
            <v>1635＞8623＞未稅</v>
          </cell>
          <cell r="L362" t="str">
            <v>037-682520＞0932-528125</v>
          </cell>
          <cell r="M362">
            <v>0</v>
          </cell>
          <cell r="O362">
            <v>49</v>
          </cell>
          <cell r="P362">
            <v>4</v>
          </cell>
          <cell r="Q362">
            <v>10</v>
          </cell>
          <cell r="R362">
            <v>61</v>
          </cell>
          <cell r="S362">
            <v>60</v>
          </cell>
          <cell r="T362">
            <v>22016</v>
          </cell>
          <cell r="U362" t="str">
            <v>K120831289</v>
          </cell>
          <cell r="V362" t="str">
            <v>范振僥</v>
          </cell>
          <cell r="W362">
            <v>351</v>
          </cell>
          <cell r="X362" t="str">
            <v>苗栗縣頭份鎮中正路280號＞登:新竹市北區金華里田美三街31號9樓。</v>
          </cell>
          <cell r="Y362" t="str">
            <v>苗栗縣頭份鎮</v>
          </cell>
          <cell r="Z362" t="str">
            <v>苗栗縣頭份鎮中正路280號.</v>
          </cell>
          <cell r="AA362" t="str">
            <v>351苗栗縣頭份鎮中正路280號＞登:新竹市北區金華里田美三街31號9樓。</v>
          </cell>
          <cell r="AK362" t="str">
            <v>082-V7</v>
          </cell>
          <cell r="AL362" t="str">
            <v>1-0122-嘉偉&gt;元美&gt;寄&gt;附發票&gt;附回郵</v>
          </cell>
          <cell r="AM362" t="str">
            <v>1-0122</v>
          </cell>
        </row>
        <row r="363">
          <cell r="B363" t="str">
            <v>1-0358</v>
          </cell>
          <cell r="C363" t="str">
            <v>101-10-13</v>
          </cell>
          <cell r="D363" t="str">
            <v>1-0358-愛德華&gt;寄&gt;附發票&gt;2個月後匯款</v>
          </cell>
          <cell r="E363" t="str">
            <v>愛德華先進科技股份有限公司＞負:倪爾艾文德尊</v>
          </cell>
          <cell r="F363" t="str">
            <v>愛德華先進科技股份有限公司(358)</v>
          </cell>
          <cell r="G363" t="str">
            <v>含稅</v>
          </cell>
          <cell r="H363" t="str">
            <v>寄＞附發票＞匯款:EDWA＞</v>
          </cell>
          <cell r="I363" t="str">
            <v>1674＞1894＞含稅＞中華全佑＞25號月結</v>
          </cell>
          <cell r="J363">
            <v>25</v>
          </cell>
          <cell r="L363" t="str">
            <v>037-581000＞0918-937935＞傳真037-581610</v>
          </cell>
          <cell r="M363">
            <v>0</v>
          </cell>
          <cell r="R363" t="b">
            <v>0</v>
          </cell>
          <cell r="S363" t="str"/>
          <cell r="T363" t="b">
            <v>0</v>
          </cell>
          <cell r="W363">
            <v>350</v>
          </cell>
          <cell r="X363" t="str">
            <v>苗栗縣竹南鎮公義里仁義街1號。</v>
          </cell>
          <cell r="Y363" t="str">
            <v>苗栗縣竹南鎮</v>
          </cell>
          <cell r="Z363" t="str">
            <v>苗栗縣竹南鎮公義里仁義街1號.</v>
          </cell>
          <cell r="AA363" t="str">
            <v>350苗栗縣竹南鎮公義里仁義街1號。</v>
          </cell>
          <cell r="AK363" t="str">
            <v>562-WW</v>
          </cell>
          <cell r="AL363" t="str">
            <v>1-0122-嘉偉&gt;元美&gt;寄&gt;附發票&gt;附回郵</v>
          </cell>
          <cell r="AM363" t="str">
            <v>1-0122</v>
          </cell>
        </row>
        <row r="364">
          <cell r="B364" t="str">
            <v>1-0359</v>
          </cell>
          <cell r="C364" t="str">
            <v>101-10-14</v>
          </cell>
          <cell r="D364" t="str">
            <v>1-0359-承億&gt;寄&gt;附回郵</v>
          </cell>
          <cell r="E364" t="str">
            <v>承億企業社＞負:陳朝全</v>
          </cell>
          <cell r="F364" t="str">
            <v>承億企業社(359)</v>
          </cell>
          <cell r="G364" t="str">
            <v>未稅</v>
          </cell>
          <cell r="H364" t="str">
            <v>寄＞附回郵＞</v>
          </cell>
          <cell r="I364" t="str">
            <v>未稅</v>
          </cell>
          <cell r="J364">
            <v>30</v>
          </cell>
          <cell r="K364" t="str">
            <v>8334＞4564＞未稅</v>
          </cell>
          <cell r="L364" t="str">
            <v>037-432153＞0937-222275</v>
          </cell>
          <cell r="M364">
            <v>0</v>
          </cell>
          <cell r="O364">
            <v>48</v>
          </cell>
          <cell r="P364">
            <v>10</v>
          </cell>
          <cell r="Q364">
            <v>26</v>
          </cell>
          <cell r="R364">
            <v>62</v>
          </cell>
          <cell r="S364">
            <v>59</v>
          </cell>
          <cell r="T364">
            <v>21849</v>
          </cell>
          <cell r="U364" t="str">
            <v>K121036402</v>
          </cell>
          <cell r="V364" t="str">
            <v>陳朝全</v>
          </cell>
          <cell r="W364">
            <v>356</v>
          </cell>
          <cell r="X364" t="str">
            <v>苗栗縣後龍鎮大山里4鄰上大山腳68-6號。</v>
          </cell>
          <cell r="Y364" t="str">
            <v>苗栗縣後龍鎮</v>
          </cell>
          <cell r="Z364" t="str">
            <v>苗栗縣後龍鎮大山里4鄰上大山腳68之6號.</v>
          </cell>
          <cell r="AA364" t="str">
            <v>356苗栗縣後龍鎮大山里4鄰上大山腳68-6號。</v>
          </cell>
          <cell r="AK364" t="str">
            <v>BB-467</v>
          </cell>
          <cell r="AL364" t="str">
            <v>1-0122-嘉偉&gt;元美&gt;寄&gt;附發票&gt;附回郵</v>
          </cell>
          <cell r="AM364" t="str">
            <v>1-0122</v>
          </cell>
        </row>
        <row r="365">
          <cell r="B365" t="str">
            <v>1-0360</v>
          </cell>
          <cell r="C365" t="str">
            <v>101-10-15</v>
          </cell>
          <cell r="D365" t="str">
            <v>1-0360-張文宗&gt;寄&gt;親收</v>
          </cell>
          <cell r="E365" t="str">
            <v>張文宗＞靠行:嘉盛汽車運輸股份有限公司,負:黃添福＞全豐</v>
          </cell>
          <cell r="F365" t="str">
            <v>張文宗(360)</v>
          </cell>
          <cell r="G365" t="str">
            <v>未稅</v>
          </cell>
          <cell r="H365" t="str">
            <v>寄＞親收＞</v>
          </cell>
          <cell r="I365" t="str">
            <v>未稅</v>
          </cell>
          <cell r="J365">
            <v>30</v>
          </cell>
          <cell r="K365" t="str">
            <v>4938＞9534＞未稅</v>
          </cell>
          <cell r="L365" t="str">
            <v>037-728541＞0932-617414</v>
          </cell>
          <cell r="M365">
            <v>0</v>
          </cell>
          <cell r="O365">
            <v>51</v>
          </cell>
          <cell r="P365">
            <v>4</v>
          </cell>
          <cell r="Q365">
            <v>30</v>
          </cell>
          <cell r="R365">
            <v>59</v>
          </cell>
          <cell r="S365">
            <v>62</v>
          </cell>
          <cell r="T365">
            <v>22766</v>
          </cell>
          <cell r="U365" t="str">
            <v>N121222339</v>
          </cell>
          <cell r="V365" t="str">
            <v>張文宗</v>
          </cell>
          <cell r="W365">
            <v>356</v>
          </cell>
          <cell r="X365" t="str">
            <v>苗栗縣後龍鎮勝利路450號＞登:苗栗縣後龍鎮龍坑里15鄰十班坑169之5號。</v>
          </cell>
          <cell r="Y365" t="str">
            <v>苗栗縣後龍鎮</v>
          </cell>
          <cell r="Z365" t="str">
            <v>苗栗縣後龍鎮勝利路450號.</v>
          </cell>
          <cell r="AA365" t="str">
            <v>356苗栗縣後龍鎮勝利路450號＞登:苗栗縣後龍鎮龍坑里15鄰十班坑169之5號。</v>
          </cell>
          <cell r="AK365" t="str">
            <v>207-V6</v>
          </cell>
          <cell r="AL365" t="str">
            <v>1-0122-嘉偉&gt;元美&gt;寄&gt;附發票&gt;附回郵</v>
          </cell>
          <cell r="AM365" t="str">
            <v>1-0122</v>
          </cell>
        </row>
        <row r="366">
          <cell r="B366" t="str">
            <v>1-0361</v>
          </cell>
          <cell r="C366" t="str">
            <v>101-10-16</v>
          </cell>
          <cell r="D366" t="str">
            <v>1-0361-亨福&gt;寄&gt;附發票&gt;匯款(三個月15天)</v>
          </cell>
          <cell r="E366" t="str">
            <v>亨福實業股份有限公司＞負:陳梅英</v>
          </cell>
          <cell r="F366" t="str">
            <v>亨福實業股份有限公司(361)</v>
          </cell>
          <cell r="G366" t="str">
            <v>含稅</v>
          </cell>
          <cell r="H366" t="str">
            <v>寄＞附發票＞匯款:0133124＞</v>
          </cell>
          <cell r="I366" t="str">
            <v>2298＞4709＞含稅＞中華全佑＞25號月結</v>
          </cell>
          <cell r="J366">
            <v>25</v>
          </cell>
          <cell r="L366" t="str">
            <v>037-583629#1802蕭's＞傳真037-585006</v>
          </cell>
          <cell r="M366">
            <v>0</v>
          </cell>
          <cell r="R366" t="b">
            <v>0</v>
          </cell>
          <cell r="S366" t="str"/>
          <cell r="T366" t="b">
            <v>0</v>
          </cell>
          <cell r="W366">
            <v>350</v>
          </cell>
          <cell r="X366" t="str">
            <v>苗栗縣竹南鎮崎頂里崎腳36之3號＞登:臺北市內湖區西康里堤頂大道二段407巷20弄39號。</v>
          </cell>
          <cell r="Y366" t="str">
            <v>苗栗縣竹南鎮</v>
          </cell>
          <cell r="Z366" t="str">
            <v>苗栗縣竹南鎮崎頂里崎腳36之3號.</v>
          </cell>
          <cell r="AA366" t="str">
            <v>350苗栗縣竹南鎮崎頂里崎腳36之3號＞登:臺北市內湖區西康里堤頂大道二段407巷20弄39號。</v>
          </cell>
          <cell r="AK366" t="str">
            <v>216-MM</v>
          </cell>
          <cell r="AL366" t="str">
            <v>1-0122-嘉偉&gt;元美&gt;寄&gt;附發票&gt;附回郵</v>
          </cell>
          <cell r="AM366" t="str">
            <v>1-0122</v>
          </cell>
        </row>
        <row r="367">
          <cell r="B367" t="str">
            <v>1-0362</v>
          </cell>
          <cell r="C367" t="str">
            <v>101-10-17</v>
          </cell>
          <cell r="D367" t="str">
            <v>1-0362-麥可通運&gt;寄&gt;附發票&gt;匯款</v>
          </cell>
          <cell r="E367" t="str">
            <v>麥可通運有限公司＞負:陳朝垚</v>
          </cell>
          <cell r="F367" t="str">
            <v>麥可通運有限公司(362)</v>
          </cell>
          <cell r="G367" t="str">
            <v>含稅</v>
          </cell>
          <cell r="H367" t="str">
            <v>寄＞附發票＞匯款＞</v>
          </cell>
          <cell r="I367" t="str">
            <v>1650＞2401＞含稅＞中華全佑</v>
          </cell>
          <cell r="J367">
            <v>30</v>
          </cell>
          <cell r="L367" t="str">
            <v>03-5970428＞0921-920333＞傳真03-5971637</v>
          </cell>
          <cell r="M367">
            <v>0</v>
          </cell>
          <cell r="R367" t="b">
            <v>0</v>
          </cell>
          <cell r="S367" t="str"/>
          <cell r="T367" t="b">
            <v>0</v>
          </cell>
          <cell r="W367">
            <v>303</v>
          </cell>
          <cell r="X367" t="str">
            <v>新竹縣湖口鄉波羅村7鄰波羅汶40-3號＞登:新竹縣新豐鄉忠孝村28鄰忠三街133巷1號。</v>
          </cell>
          <cell r="Y367" t="str">
            <v>新竹縣湖口鄉</v>
          </cell>
          <cell r="Z367" t="str">
            <v>新竹縣湖口鄉波羅村7鄰波羅汶40之3號.</v>
          </cell>
          <cell r="AA367" t="str">
            <v>303新竹縣湖口鄉波羅村7鄰波羅汶40-3號＞登:新竹縣新豐鄉忠孝村28鄰忠三街133巷1號。</v>
          </cell>
          <cell r="AK367" t="str">
            <v>4210-PJ</v>
          </cell>
          <cell r="AL367" t="str">
            <v>1-0122-嘉偉&gt;元美&gt;寄&gt;附發票&gt;附回郵</v>
          </cell>
          <cell r="AM367" t="str">
            <v>1-0122</v>
          </cell>
        </row>
        <row r="368">
          <cell r="B368" t="str">
            <v>1-0363</v>
          </cell>
          <cell r="C368" t="str">
            <v>101-10-18</v>
          </cell>
          <cell r="D368" t="str">
            <v>1-0363-廣霖配管&gt;寄&gt;附發票&gt;附回郵</v>
          </cell>
          <cell r="E368" t="str">
            <v>廣霖配管材料有限公司＞負:范光棟</v>
          </cell>
          <cell r="F368" t="str">
            <v>廣霖配管材料有限公司(363)</v>
          </cell>
          <cell r="G368" t="str">
            <v>含稅</v>
          </cell>
          <cell r="H368" t="str">
            <v>寄＞附發票＞附回郵＞</v>
          </cell>
          <cell r="I368" t="str">
            <v>1627＞6088＞含稅</v>
          </cell>
          <cell r="J368">
            <v>30</v>
          </cell>
          <cell r="L368" t="str">
            <v>03-5511350＞0937-150373＞傳真03-5511373</v>
          </cell>
          <cell r="M368">
            <v>0</v>
          </cell>
          <cell r="R368" t="b">
            <v>0</v>
          </cell>
          <cell r="S368" t="str"/>
          <cell r="T368" t="b">
            <v>0</v>
          </cell>
          <cell r="W368">
            <v>302</v>
          </cell>
          <cell r="X368" t="str">
            <v>新竹縣竹北市泰和里中和街62巷17弄9號。</v>
          </cell>
          <cell r="Y368" t="str">
            <v>新竹縣竹北市</v>
          </cell>
          <cell r="Z368" t="str">
            <v>新竹縣竹北市泰和里中和街62巷17弄9號.</v>
          </cell>
          <cell r="AA368" t="str">
            <v>302新竹縣竹北市泰和里中和街62巷17弄9號。</v>
          </cell>
          <cell r="AK368" t="str">
            <v>600-QQ</v>
          </cell>
          <cell r="AL368" t="str">
            <v>1-0122-嘉偉&gt;元美&gt;寄&gt;附發票&gt;附回郵</v>
          </cell>
          <cell r="AM368" t="str">
            <v>1-0122</v>
          </cell>
        </row>
        <row r="369">
          <cell r="B369" t="str">
            <v>1-0364</v>
          </cell>
          <cell r="C369" t="str">
            <v>101-10-19</v>
          </cell>
          <cell r="D369" t="str">
            <v>1-0364-弘翔.東大&gt;寄&gt;附發票&gt;附回郵</v>
          </cell>
          <cell r="E369" t="str">
            <v>弘翔砂石場＞負:陳彩枝＞東大建材行＞負:張永銘＞張瑋民</v>
          </cell>
          <cell r="F369" t="str">
            <v>弘翔砂石場(364)</v>
          </cell>
          <cell r="G369" t="str">
            <v>含稅</v>
          </cell>
          <cell r="H369" t="str">
            <v>寄＞附發票＞附回郵＞</v>
          </cell>
          <cell r="I369" t="str">
            <v>7691＞8086弘翔＞9284＞2161東大＞含稅</v>
          </cell>
          <cell r="J369">
            <v>30</v>
          </cell>
          <cell r="L369" t="str">
            <v>037-460405＞0987-005999＞傳真037-469915＞037-463211</v>
          </cell>
          <cell r="M369" t="str">
            <v>2-0094</v>
          </cell>
          <cell r="R369" t="b">
            <v>0</v>
          </cell>
          <cell r="S369" t="str"/>
          <cell r="T369" t="b">
            <v>0</v>
          </cell>
          <cell r="W369">
            <v>350</v>
          </cell>
          <cell r="X369" t="str">
            <v>苗栗縣竹南鎮港墘里13鄰塭仔頭17號1樓。</v>
          </cell>
          <cell r="Y369" t="str">
            <v>苗栗縣竹南鎮</v>
          </cell>
          <cell r="Z369" t="str">
            <v>苗栗縣竹南鎮港墘里13鄰塭仔頭17號1樓.</v>
          </cell>
          <cell r="AA369" t="str">
            <v>350苗栗縣竹南鎮港墘里13鄰塭仔頭17號1樓。</v>
          </cell>
          <cell r="AK369" t="str">
            <v>686-SH</v>
          </cell>
          <cell r="AL369" t="str">
            <v>1-0122-嘉偉&gt;元美&gt;寄&gt;附發票&gt;附回郵</v>
          </cell>
          <cell r="AM369" t="str">
            <v>1-0122</v>
          </cell>
        </row>
        <row r="370">
          <cell r="B370" t="str">
            <v>1-0365</v>
          </cell>
          <cell r="C370" t="str">
            <v>101-10-20</v>
          </cell>
          <cell r="D370" t="str">
            <v>1-0365-吳進琨&gt;寄&gt;自結</v>
          </cell>
          <cell r="E370" t="str">
            <v>吳進琨＞靠行:藍天交通有限公司,負:溫貽元</v>
          </cell>
          <cell r="F370" t="str">
            <v>吳進琨(365)</v>
          </cell>
          <cell r="G370" t="str">
            <v>未稅</v>
          </cell>
          <cell r="H370" t="str">
            <v>寄＞自結＞</v>
          </cell>
          <cell r="I370" t="str">
            <v>未稅</v>
          </cell>
          <cell r="J370">
            <v>30</v>
          </cell>
          <cell r="K370" t="str">
            <v>4703＞6964＞未稅</v>
          </cell>
          <cell r="L370" t="str">
            <v>0937-153933</v>
          </cell>
          <cell r="M370">
            <v>0</v>
          </cell>
          <cell r="R370" t="b">
            <v>0</v>
          </cell>
          <cell r="S370" t="str"/>
          <cell r="T370" t="b">
            <v>0</v>
          </cell>
          <cell r="W370">
            <v>300</v>
          </cell>
          <cell r="X370" t="str">
            <v>新竹巿聖軍路60號2樓＞登:新竹市東區延平路二段719巷5號1樓。</v>
          </cell>
          <cell r="Y370" t="str">
            <v>新竹巿聖軍路</v>
          </cell>
          <cell r="Z370" t="str">
            <v>新竹巿聖軍路60號2樓.</v>
          </cell>
          <cell r="AA370" t="str">
            <v>300新竹巿聖軍路60號2樓＞登:新竹市東區延平路二段719巷5號1樓。</v>
          </cell>
          <cell r="AK370" t="str">
            <v>980-DD</v>
          </cell>
          <cell r="AL370" t="str">
            <v>1-0122-嘉偉&gt;元美&gt;寄&gt;附發票&gt;附回郵</v>
          </cell>
          <cell r="AM370" t="str">
            <v>1-0122</v>
          </cell>
        </row>
        <row r="371">
          <cell r="B371" t="str">
            <v>1-0366</v>
          </cell>
          <cell r="C371" t="str">
            <v>101-10-21</v>
          </cell>
          <cell r="D371" t="str">
            <v>1-0366-鍾正鵬&gt;寄&gt;自結</v>
          </cell>
          <cell r="E371" t="str">
            <v>鍾正鵬＞靠行:聯順＞鍾正華＞靠行:順華</v>
          </cell>
          <cell r="F371" t="str">
            <v>鍾正鵬(366)</v>
          </cell>
          <cell r="G371" t="str">
            <v>未稅</v>
          </cell>
          <cell r="H371" t="str">
            <v>寄＞自結＞</v>
          </cell>
          <cell r="I371" t="str">
            <v>未稅</v>
          </cell>
          <cell r="J371">
            <v>30</v>
          </cell>
          <cell r="L371" t="str">
            <v>03-5800103＞0932-119486鍾正鵬＞0932-291196鍾正華</v>
          </cell>
          <cell r="M371">
            <v>0</v>
          </cell>
          <cell r="R371" t="b">
            <v>0</v>
          </cell>
          <cell r="S371" t="str"/>
          <cell r="T371" t="b">
            <v>0</v>
          </cell>
          <cell r="U371" t="str">
            <v>J121444127</v>
          </cell>
          <cell r="V371" t="str">
            <v>鍾正華</v>
          </cell>
          <cell r="W371">
            <v>315</v>
          </cell>
          <cell r="X371" t="str">
            <v>新竹縣峨嵋鄉獅山街16號。</v>
          </cell>
          <cell r="Y371" t="str">
            <v>新竹縣峨嵋鄉</v>
          </cell>
          <cell r="Z371" t="str">
            <v>新竹縣峨嵋鄉獅山街16號.</v>
          </cell>
          <cell r="AA371" t="str">
            <v>315新竹縣峨嵋鄉獅山街16號。</v>
          </cell>
          <cell r="AK371" t="str">
            <v>865-WW</v>
          </cell>
          <cell r="AL371" t="str">
            <v>1-0122-嘉偉&gt;元美&gt;寄&gt;附發票&gt;附回郵</v>
          </cell>
          <cell r="AM371" t="str">
            <v>1-0122</v>
          </cell>
        </row>
        <row r="372">
          <cell r="B372" t="str">
            <v>1-0367</v>
          </cell>
          <cell r="C372" t="str">
            <v>101-10-22</v>
          </cell>
          <cell r="D372" t="str">
            <v>1-0367-元將&gt;寄&gt;附回郵</v>
          </cell>
          <cell r="E372" t="str">
            <v>元將輪胎行＞負:李佳玲＞長昌</v>
          </cell>
          <cell r="F372" t="str">
            <v>元將輪胎行(367)</v>
          </cell>
          <cell r="G372" t="str">
            <v>未稅</v>
          </cell>
          <cell r="H372" t="str">
            <v>寄＞附回郵＞</v>
          </cell>
          <cell r="I372" t="str">
            <v>未稅</v>
          </cell>
          <cell r="J372">
            <v>30</v>
          </cell>
          <cell r="K372" t="str">
            <v>0837＞2030＞未稅</v>
          </cell>
          <cell r="L372" t="str">
            <v>04-7574327</v>
          </cell>
          <cell r="M372">
            <v>0</v>
          </cell>
          <cell r="R372" t="b">
            <v>0</v>
          </cell>
          <cell r="S372" t="str"/>
          <cell r="T372" t="b">
            <v>0</v>
          </cell>
          <cell r="W372">
            <v>508</v>
          </cell>
          <cell r="X372" t="str">
            <v>彰化縣和美鎮仁愛里鹿和路六段273號。</v>
          </cell>
          <cell r="Y372" t="str">
            <v>彰化縣和美鎮</v>
          </cell>
          <cell r="Z372" t="str">
            <v>彰化縣和美鎮仁愛里鹿和路六段273號.</v>
          </cell>
          <cell r="AA372" t="str">
            <v>508彰化縣和美鎮仁愛里鹿和路六段273號。</v>
          </cell>
          <cell r="AK372" t="str">
            <v>5777-ZV</v>
          </cell>
          <cell r="AL372" t="str">
            <v>1-0125-源順&gt;寄&gt;附發票&gt;附回郵</v>
          </cell>
          <cell r="AM372" t="str">
            <v>1-0125</v>
          </cell>
        </row>
        <row r="373">
          <cell r="B373" t="str">
            <v>1-0368</v>
          </cell>
          <cell r="C373" t="str">
            <v>101-10-23</v>
          </cell>
          <cell r="D373" t="str">
            <v>1-0368-銀城&gt;寄&gt;附發票&gt;附回郵</v>
          </cell>
          <cell r="E373" t="str">
            <v>銀城紙業股份有限公司＞負:林茂盛</v>
          </cell>
          <cell r="F373" t="str">
            <v>銀城紙業股份有限公司(368)</v>
          </cell>
          <cell r="G373" t="str">
            <v>含稅</v>
          </cell>
          <cell r="H373" t="str">
            <v>寄＞附發票＞附回郵＞</v>
          </cell>
          <cell r="I373" t="str">
            <v>2367＞4581＞含稅＞中華全佑＞1張簽單1張發票＞25號月結</v>
          </cell>
          <cell r="J373">
            <v>25</v>
          </cell>
          <cell r="L373" t="str">
            <v>037-543301＞傳真037-543361</v>
          </cell>
          <cell r="M373" t="str">
            <v>2-0074</v>
          </cell>
          <cell r="R373" t="b">
            <v>0</v>
          </cell>
          <cell r="S373" t="str"/>
          <cell r="T373" t="b">
            <v>0</v>
          </cell>
          <cell r="W373">
            <v>361</v>
          </cell>
          <cell r="X373" t="str">
            <v>苗栗縣造橋鄉錦水村2鄰7-32號&gt;登:桃園市平鎮區復旦里復旦路二段136號2樓之1</v>
          </cell>
          <cell r="Y373" t="str">
            <v>苗栗縣造橋鄉</v>
          </cell>
          <cell r="Z373" t="str">
            <v>苗栗縣造橋鄉錦水村2鄰7-32號</v>
          </cell>
          <cell r="AA373" t="str">
            <v>361苗栗縣造橋鄉錦水村2鄰7-32號&gt;登:桃園市平鎮區復旦里復旦路二段136號2樓之1</v>
          </cell>
          <cell r="AK373" t="str">
            <v>6372-FS</v>
          </cell>
          <cell r="AL373" t="str">
            <v>1-0125-源順&gt;寄&gt;附發票&gt;附回郵</v>
          </cell>
          <cell r="AM373" t="str">
            <v>1-0125</v>
          </cell>
        </row>
        <row r="374">
          <cell r="B374" t="str">
            <v>1-0369</v>
          </cell>
          <cell r="C374" t="str">
            <v>101-10-24</v>
          </cell>
          <cell r="D374" t="str">
            <v>1-0369-陳憲義&gt;寄&gt;附回郵</v>
          </cell>
          <cell r="E374" t="str">
            <v>陳憲義＞靠行:松生交通股份有限公司,負:陳漢琮</v>
          </cell>
          <cell r="F374" t="str">
            <v>陳憲義(369)</v>
          </cell>
          <cell r="G374" t="str">
            <v>未稅</v>
          </cell>
          <cell r="H374" t="str">
            <v>寄＞附回郵＞</v>
          </cell>
          <cell r="I374" t="str">
            <v>未稅</v>
          </cell>
          <cell r="J374">
            <v>30</v>
          </cell>
          <cell r="K374" t="str">
            <v>5008＞5480＞未稅</v>
          </cell>
          <cell r="L374" t="str">
            <v>037-468622＞0932-527112</v>
          </cell>
          <cell r="M374">
            <v>0</v>
          </cell>
          <cell r="O374">
            <v>55</v>
          </cell>
          <cell r="P374">
            <v>2</v>
          </cell>
          <cell r="Q374">
            <v>8</v>
          </cell>
          <cell r="R374">
            <v>56</v>
          </cell>
          <cell r="S374">
            <v>66</v>
          </cell>
          <cell r="T374">
            <v>24146</v>
          </cell>
          <cell r="U374" t="str">
            <v>K120966296</v>
          </cell>
          <cell r="V374" t="str">
            <v>陳憲義</v>
          </cell>
          <cell r="W374">
            <v>350</v>
          </cell>
          <cell r="X374" t="str">
            <v>苗栗縣竹南鎮中美里15鄰41-18號＞登:苗栗縣頭份鎮蟠桃里3鄰中央路268號。</v>
          </cell>
          <cell r="Y374" t="str">
            <v>苗栗縣竹南鎮</v>
          </cell>
          <cell r="Z374" t="str">
            <v>苗栗縣竹南鎮中美里15鄰41之18號.</v>
          </cell>
          <cell r="AA374" t="str">
            <v>350苗栗縣竹南鎮中美里15鄰41-18號＞登:苗栗縣頭份鎮蟠桃里3鄰中央路268號。</v>
          </cell>
          <cell r="AK374" t="str">
            <v>5F-4588</v>
          </cell>
          <cell r="AL374" t="str">
            <v>1-0125-源順&gt;寄&gt;附發票&gt;附回郵</v>
          </cell>
          <cell r="AM374" t="str">
            <v>1-0125</v>
          </cell>
        </row>
        <row r="375">
          <cell r="B375" t="str">
            <v>1-0370</v>
          </cell>
          <cell r="C375" t="str">
            <v>101-10-25</v>
          </cell>
          <cell r="D375" t="str">
            <v>1-0370-驊泰&gt;寄&gt;附發票&gt;附回郵</v>
          </cell>
          <cell r="E375" t="str">
            <v>驊泰遊覽車客運有限公司＞負:謝德華</v>
          </cell>
          <cell r="F375" t="str">
            <v>驊泰遊覽車客運有限公司(370)</v>
          </cell>
          <cell r="G375" t="str">
            <v>稅外</v>
          </cell>
          <cell r="H375" t="str">
            <v>寄＞附發票＞附回郵＞</v>
          </cell>
          <cell r="I375" t="str">
            <v>8923＞0526＞稅外</v>
          </cell>
          <cell r="J375">
            <v>30</v>
          </cell>
          <cell r="L375" t="str">
            <v>03-5775263＞03-5770972＞0983-099093謝維倫＞傳真03-5777672</v>
          </cell>
          <cell r="M375">
            <v>0</v>
          </cell>
          <cell r="R375" t="b">
            <v>0</v>
          </cell>
          <cell r="S375" t="str"/>
          <cell r="T375" t="b">
            <v>0</v>
          </cell>
          <cell r="W375">
            <v>300</v>
          </cell>
          <cell r="X375" t="str">
            <v>新竹市東區金山十一路二巷63號1樓。</v>
          </cell>
          <cell r="Y375" t="str">
            <v>新竹市東區金</v>
          </cell>
          <cell r="Z375" t="str">
            <v>新竹市東區金山十一路二巷63號1樓.</v>
          </cell>
          <cell r="AA375" t="str">
            <v>300新竹市東區金山十一路二巷63號1樓。</v>
          </cell>
          <cell r="AK375" t="str">
            <v>688-RW</v>
          </cell>
          <cell r="AL375" t="str">
            <v>1-0125-源順&gt;寄&gt;附發票&gt;附回郵</v>
          </cell>
          <cell r="AM375" t="str">
            <v>1-0125</v>
          </cell>
        </row>
        <row r="376">
          <cell r="B376" t="str">
            <v>1-0371</v>
          </cell>
          <cell r="C376" t="str">
            <v>101-10-26</v>
          </cell>
          <cell r="D376" t="str">
            <v>1-0371-海帆&gt;寄&gt;附發票&gt;附回郵</v>
          </cell>
          <cell r="E376" t="str">
            <v>海帆粘劑有限公司＞負:林河明</v>
          </cell>
          <cell r="F376" t="str">
            <v>海帆粘劑有限公司(371)</v>
          </cell>
          <cell r="G376" t="str">
            <v>含稅</v>
          </cell>
          <cell r="H376" t="str">
            <v>寄＞附發票＞附回郵＞</v>
          </cell>
          <cell r="I376" t="str">
            <v>8636＞5345＞含稅</v>
          </cell>
          <cell r="J376">
            <v>30</v>
          </cell>
          <cell r="L376" t="str">
            <v>037-563010＞0963-252528林河明＞傳真037-563133</v>
          </cell>
          <cell r="M376">
            <v>0</v>
          </cell>
          <cell r="R376" t="b">
            <v>0</v>
          </cell>
          <cell r="S376" t="str"/>
          <cell r="T376" t="b">
            <v>0</v>
          </cell>
          <cell r="W376">
            <v>361</v>
          </cell>
          <cell r="X376" t="str">
            <v>苗栗縣造橋鄉造橋村13鄰東興13號。</v>
          </cell>
          <cell r="Y376" t="str">
            <v>苗栗縣造橋鄉</v>
          </cell>
          <cell r="Z376" t="str">
            <v>苗栗縣造橋鄉造橋村13鄰東興13號.</v>
          </cell>
          <cell r="AA376" t="str">
            <v>361苗栗縣造橋鄉造橋村13鄰東興13號。</v>
          </cell>
          <cell r="AK376" t="str">
            <v>150-V3</v>
          </cell>
          <cell r="AL376" t="str">
            <v>1-0125-源順&gt;寄&gt;附發票&gt;附回郵</v>
          </cell>
          <cell r="AM376" t="str">
            <v>1-0125</v>
          </cell>
        </row>
        <row r="377">
          <cell r="B377" t="str">
            <v>1-0372</v>
          </cell>
          <cell r="C377" t="str">
            <v>101-10-27</v>
          </cell>
          <cell r="D377" t="str">
            <v>1-0372-銅鑼陳江山&gt;寄&gt;匯款</v>
          </cell>
          <cell r="E377" t="str">
            <v>陳江山＞靠行:銅鑼汽車運輸股份有限公司,負:洪春琇</v>
          </cell>
          <cell r="F377" t="str">
            <v>陳江山(372)</v>
          </cell>
          <cell r="G377" t="str">
            <v>未稅</v>
          </cell>
          <cell r="H377" t="str">
            <v>寄＞匯款:廖育＞</v>
          </cell>
          <cell r="I377" t="str">
            <v>未稅</v>
          </cell>
          <cell r="J377">
            <v>30</v>
          </cell>
          <cell r="K377" t="str">
            <v>2270＞2841＞未稅</v>
          </cell>
          <cell r="L377" t="str">
            <v>0910-443370</v>
          </cell>
          <cell r="M377">
            <v>0</v>
          </cell>
          <cell r="R377" t="b">
            <v>0</v>
          </cell>
          <cell r="S377" t="str"/>
          <cell r="T377" t="b">
            <v>0</v>
          </cell>
          <cell r="W377">
            <v>356</v>
          </cell>
          <cell r="X377" t="str">
            <v>苗栗縣後龍鎮海埔里17-1號＞登:苗栗縣苗栗市上苗里12鄰長安街140號。</v>
          </cell>
          <cell r="Y377" t="str">
            <v>苗栗縣後龍鎮</v>
          </cell>
          <cell r="Z377" t="str">
            <v>苗栗縣後龍鎮海埔里17之1號.</v>
          </cell>
          <cell r="AA377" t="str">
            <v>356苗栗縣後龍鎮海埔里17-1號＞登:苗栗縣苗栗市上苗里12鄰長安街140號。</v>
          </cell>
          <cell r="AK377" t="str">
            <v>928-TZ</v>
          </cell>
          <cell r="AL377" t="str">
            <v>1-0138-栗合興&gt;栗安&gt;寄&gt;附發票&gt;三個月匯款</v>
          </cell>
          <cell r="AM377" t="str">
            <v>1-0138</v>
          </cell>
        </row>
        <row r="378">
          <cell r="B378" t="str">
            <v>1-0373</v>
          </cell>
          <cell r="C378" t="str">
            <v>101-10-28</v>
          </cell>
          <cell r="D378" t="str">
            <v>1-0373-三詠&gt;源松&gt;華都&gt;寄&gt;自結</v>
          </cell>
          <cell r="E378" t="str">
            <v>邱智義＞靠行:路順貨運股份有限公司,負:三詠&gt;源松&gt;華都</v>
          </cell>
          <cell r="F378" t="str">
            <v>邱智義(373)</v>
          </cell>
          <cell r="G378" t="str">
            <v>未稅</v>
          </cell>
          <cell r="H378" t="str">
            <v>寄＞自結＞匯款61167</v>
          </cell>
          <cell r="I378" t="str">
            <v>未稅</v>
          </cell>
          <cell r="J378">
            <v>30</v>
          </cell>
          <cell r="K378" t="str">
            <v>2379＞0786＞未稅</v>
          </cell>
          <cell r="L378" t="str">
            <v>0932-378829</v>
          </cell>
          <cell r="M378">
            <v>0</v>
          </cell>
          <cell r="R378" t="b">
            <v>0</v>
          </cell>
          <cell r="S378" t="str"/>
          <cell r="T378" t="b">
            <v>0</v>
          </cell>
          <cell r="W378">
            <v>310</v>
          </cell>
          <cell r="X378" t="str">
            <v>新竹縣竹東鎮康莊街107巷52號＞登:桃園縣大園鄉林村3鄰拔子林富升巷6弄22號1樓。</v>
          </cell>
          <cell r="Y378" t="str">
            <v>新竹縣竹東鎮</v>
          </cell>
          <cell r="Z378" t="str">
            <v>新竹縣竹東鎮康莊街107巷52號.</v>
          </cell>
          <cell r="AA378" t="str">
            <v>310新竹縣竹東鎮康莊街107巷52號＞登:桃園縣大園鄉林村3鄰拔子林富升巷6弄22號1樓。</v>
          </cell>
          <cell r="AK378" t="str">
            <v>817-VN</v>
          </cell>
          <cell r="AL378" t="str">
            <v>1-0138-栗合興&gt;栗安&gt;寄&gt;附發票&gt;三個月匯款</v>
          </cell>
          <cell r="AM378" t="str">
            <v>1-0138</v>
          </cell>
        </row>
        <row r="379">
          <cell r="B379" t="str">
            <v>1-0374</v>
          </cell>
          <cell r="C379" t="str">
            <v>101-10-29</v>
          </cell>
          <cell r="D379" t="str">
            <v>1-0374-譚福源&gt;萬順&gt;電&gt;自結</v>
          </cell>
          <cell r="E379" t="str">
            <v>譚福源＞靠行:萬順汽車貨運股份有限公司,負:曾雍泰</v>
          </cell>
          <cell r="F379" t="str">
            <v>譚福源(374)</v>
          </cell>
          <cell r="G379" t="str">
            <v>未稅</v>
          </cell>
          <cell r="H379" t="str">
            <v>電＞自結＞</v>
          </cell>
          <cell r="I379" t="str">
            <v>未稅</v>
          </cell>
          <cell r="J379">
            <v>30</v>
          </cell>
          <cell r="K379" t="str">
            <v>5025＞5007＞未稅</v>
          </cell>
          <cell r="L379" t="str">
            <v>037-</v>
          </cell>
          <cell r="M379">
            <v>0</v>
          </cell>
          <cell r="R379" t="b">
            <v>0</v>
          </cell>
          <cell r="S379" t="str"/>
          <cell r="T379" t="b">
            <v>0</v>
          </cell>
          <cell r="W379">
            <v>350</v>
          </cell>
          <cell r="X379" t="str">
            <v>登:苗栗縣竹南鎮崎頂里3鄰青草51之6號。</v>
          </cell>
          <cell r="Y379" t="str"/>
          <cell r="AA379" t="str">
            <v>350登:苗栗縣竹南鎮崎頂里3鄰青草51之6號。</v>
          </cell>
          <cell r="AK379" t="str">
            <v>816-VN</v>
          </cell>
          <cell r="AL379" t="str">
            <v>1-0138-栗合興&gt;栗安&gt;寄&gt;附發票&gt;三個月匯款</v>
          </cell>
          <cell r="AM379" t="str">
            <v>1-0138</v>
          </cell>
        </row>
        <row r="380">
          <cell r="B380" t="str">
            <v>1-0375</v>
          </cell>
          <cell r="C380" t="str">
            <v>101-10-30</v>
          </cell>
          <cell r="D380" t="str">
            <v>1-0375-陳緯華&gt;美樂&gt;現&gt;自結</v>
          </cell>
          <cell r="E380" t="str">
            <v>陳緯華＞美樂＞靠行:志松汽車貨運股份有限公司,負:方錦珍</v>
          </cell>
          <cell r="F380" t="str">
            <v>陳緯華(375)</v>
          </cell>
          <cell r="G380" t="str">
            <v>未稅</v>
          </cell>
          <cell r="H380" t="str">
            <v>現＞自結＞</v>
          </cell>
          <cell r="I380" t="str">
            <v>未稅</v>
          </cell>
          <cell r="J380">
            <v>30</v>
          </cell>
          <cell r="K380" t="str">
            <v>4972＞6472＞未稅</v>
          </cell>
          <cell r="L380" t="str">
            <v>0913-892760</v>
          </cell>
          <cell r="M380">
            <v>0</v>
          </cell>
          <cell r="O380">
            <v>59</v>
          </cell>
          <cell r="P380">
            <v>11</v>
          </cell>
          <cell r="Q380">
            <v>7</v>
          </cell>
          <cell r="R380">
            <v>51</v>
          </cell>
          <cell r="S380">
            <v>70</v>
          </cell>
          <cell r="T380">
            <v>25879</v>
          </cell>
          <cell r="U380" t="str">
            <v>K121082164</v>
          </cell>
          <cell r="V380" t="str">
            <v>陳國金</v>
          </cell>
          <cell r="W380">
            <v>356</v>
          </cell>
          <cell r="X380" t="str">
            <v>苗栗縣後龍鎮海埔里3鄰17-6號＞登:苗栗縣頭份鎮蟠桃里3鄰中央路268號3樓。</v>
          </cell>
          <cell r="Y380" t="str">
            <v>苗栗縣後龍鎮</v>
          </cell>
          <cell r="Z380" t="str">
            <v>苗栗縣後龍鎮海埔里3鄰17之6號.</v>
          </cell>
          <cell r="AA380" t="str">
            <v>356苗栗縣後龍鎮海埔里3鄰17-6號＞登:苗栗縣頭份鎮蟠桃里3鄰中央路268號3樓。</v>
          </cell>
          <cell r="AK380" t="str">
            <v>0638-VY</v>
          </cell>
          <cell r="AL380" t="str">
            <v>1-0138-栗合興&gt;栗安&gt;寄&gt;附發票&gt;三個月匯款</v>
          </cell>
          <cell r="AM380" t="str">
            <v>1-0138</v>
          </cell>
        </row>
        <row r="381">
          <cell r="B381" t="str">
            <v>1-0376</v>
          </cell>
          <cell r="C381" t="str">
            <v>101-11-01</v>
          </cell>
          <cell r="D381" t="str">
            <v>1-0376-新竹萬國輪胎&gt;寄&gt;附回郵</v>
          </cell>
          <cell r="E381" t="str">
            <v>萬國輪胎行＞負:余昇運＞新竹</v>
          </cell>
          <cell r="F381" t="str">
            <v>萬國輪胎行(376)</v>
          </cell>
          <cell r="G381" t="str">
            <v>未稅</v>
          </cell>
          <cell r="H381" t="str">
            <v>寄＞附回郵＞簽單用鉛筆寫不要複寫</v>
          </cell>
          <cell r="I381" t="str">
            <v>未稅</v>
          </cell>
          <cell r="J381">
            <v>30</v>
          </cell>
          <cell r="K381" t="str">
            <v>4652＞4803＞未稅</v>
          </cell>
          <cell r="L381" t="str">
            <v>0910-171019</v>
          </cell>
          <cell r="M381">
            <v>0</v>
          </cell>
          <cell r="R381" t="b">
            <v>0</v>
          </cell>
          <cell r="S381" t="str"/>
          <cell r="T381" t="b">
            <v>0</v>
          </cell>
          <cell r="W381">
            <v>300</v>
          </cell>
          <cell r="X381" t="str">
            <v>新竹巿東區前溪里溪埔路206號。</v>
          </cell>
          <cell r="Y381" t="str">
            <v>新竹巿東區前</v>
          </cell>
          <cell r="Z381" t="str">
            <v>新竹巿東區前溪里溪埔路206號.</v>
          </cell>
          <cell r="AA381" t="str">
            <v>300新竹巿東區前溪里溪埔路206號。</v>
          </cell>
          <cell r="AK381" t="str">
            <v>585-RB</v>
          </cell>
          <cell r="AL381" t="str">
            <v>1-0138-栗合興&gt;栗安&gt;寄&gt;附發票&gt;三個月匯款</v>
          </cell>
          <cell r="AM381" t="str">
            <v>1-0138</v>
          </cell>
        </row>
        <row r="382">
          <cell r="B382" t="str">
            <v>1-0377</v>
          </cell>
          <cell r="C382" t="str">
            <v>101-11-02</v>
          </cell>
          <cell r="D382" t="str">
            <v>1-0377-林奕成&gt;寄&gt;自結</v>
          </cell>
          <cell r="E382" t="str">
            <v>林奕成＞靠行:  天新交通股份有限公司,負: 陳漢琮</v>
          </cell>
          <cell r="F382" t="str">
            <v>林奕成(377)</v>
          </cell>
          <cell r="G382" t="str">
            <v>未稅</v>
          </cell>
          <cell r="H382" t="str">
            <v>寄＞自結＞</v>
          </cell>
          <cell r="I382" t="str">
            <v>未稅</v>
          </cell>
          <cell r="J382">
            <v>30</v>
          </cell>
          <cell r="K382" t="str">
            <v>9722＞4771＞未稅</v>
          </cell>
          <cell r="L382" t="str">
            <v>0927-068363林奕成</v>
          </cell>
          <cell r="M382">
            <v>0</v>
          </cell>
          <cell r="O382">
            <v>59</v>
          </cell>
          <cell r="P382">
            <v>5</v>
          </cell>
          <cell r="Q382">
            <v>18</v>
          </cell>
          <cell r="R382">
            <v>51</v>
          </cell>
          <cell r="S382">
            <v>70</v>
          </cell>
          <cell r="T382">
            <v>25706</v>
          </cell>
          <cell r="U382" t="str">
            <v>K123341095</v>
          </cell>
          <cell r="V382" t="str">
            <v>林奕成</v>
          </cell>
          <cell r="W382">
            <v>350</v>
          </cell>
          <cell r="X382" t="str">
            <v>苗栗縣竹南鎮新民街30號＞登:苗栗縣頭份市蟠桃里3鄰中央路268號2樓。</v>
          </cell>
          <cell r="Y382" t="str">
            <v>苗栗縣竹南鎮</v>
          </cell>
          <cell r="Z382" t="str">
            <v>苗栗縣竹南鎮新民街30號.</v>
          </cell>
          <cell r="AA382" t="str">
            <v>350苗栗縣竹南鎮新民街30號＞登:苗栗縣頭份市蟠桃里3鄰中央路268號2樓。</v>
          </cell>
          <cell r="AK382" t="str">
            <v>872-TU</v>
          </cell>
          <cell r="AL382" t="str">
            <v>1-0138-栗合興&gt;栗安&gt;寄&gt;附發票&gt;三個月匯款</v>
          </cell>
          <cell r="AM382" t="str">
            <v>1-0138</v>
          </cell>
        </row>
        <row r="383">
          <cell r="B383" t="str">
            <v>1-0378</v>
          </cell>
          <cell r="C383" t="str">
            <v>101-11-03</v>
          </cell>
          <cell r="D383" t="str">
            <v>1-0378-張家典&gt;合成&gt;寄&gt;附回郵</v>
          </cell>
          <cell r="E383" t="str">
            <v>張家典＞靠行:合成通運有限公司,負:王改良</v>
          </cell>
          <cell r="F383" t="str">
            <v>張家典(378)</v>
          </cell>
          <cell r="G383" t="str">
            <v>未稅</v>
          </cell>
          <cell r="H383" t="str">
            <v>寄＞附回郵＞</v>
          </cell>
          <cell r="I383" t="str">
            <v>未稅</v>
          </cell>
          <cell r="J383">
            <v>30</v>
          </cell>
          <cell r="K383" t="str">
            <v>9718＞9795＞未稅</v>
          </cell>
          <cell r="L383" t="str">
            <v>0975-718583</v>
          </cell>
          <cell r="M383">
            <v>0</v>
          </cell>
          <cell r="O383">
            <v>62</v>
          </cell>
          <cell r="P383">
            <v>3</v>
          </cell>
          <cell r="Q383">
            <v>17</v>
          </cell>
          <cell r="R383">
            <v>49</v>
          </cell>
          <cell r="S383">
            <v>73</v>
          </cell>
          <cell r="T383">
            <v>26740</v>
          </cell>
          <cell r="U383" t="str">
            <v>K120277129</v>
          </cell>
          <cell r="V383" t="str">
            <v>張家典</v>
          </cell>
          <cell r="W383">
            <v>433</v>
          </cell>
          <cell r="X383" t="str">
            <v>台中縣沙田路五段399巷11號＞登:臺中市梧棲區頂寮里13鄰八德路82巷5號。</v>
          </cell>
          <cell r="Y383" t="str">
            <v>台中縣沙田路</v>
          </cell>
          <cell r="Z383" t="str">
            <v>台中縣沙田路五段399巷11號.</v>
          </cell>
          <cell r="AA383" t="str">
            <v>433台中縣沙田路五段399巷11號＞登:臺中市梧棲區頂寮里13鄰八德路82巷5號。</v>
          </cell>
          <cell r="AK383" t="str">
            <v>615-TJ</v>
          </cell>
          <cell r="AL383" t="str">
            <v>1-0143-劉邦禹&gt;寄平信&gt;自結</v>
          </cell>
          <cell r="AM383" t="str">
            <v>1-0143</v>
          </cell>
        </row>
        <row r="384">
          <cell r="B384" t="str">
            <v>1-0379</v>
          </cell>
          <cell r="C384" t="str">
            <v>101-11-04</v>
          </cell>
          <cell r="D384" t="str">
            <v>1-0379-崴武&gt;寄&gt;附發票&gt;附回郵</v>
          </cell>
          <cell r="E384" t="str">
            <v>崴武企業有限公司＞崴峰環保有限公司＞負:郭芳明</v>
          </cell>
          <cell r="F384" t="str">
            <v>崴武企業有限公司(379)</v>
          </cell>
          <cell r="G384" t="str">
            <v>稅外</v>
          </cell>
          <cell r="H384" t="str">
            <v>寄＞附發票＞附回郵＞</v>
          </cell>
          <cell r="I384" t="str">
            <v>1291＞2122崴武＞1291＞2283崴峰＞稅外</v>
          </cell>
          <cell r="J384">
            <v>30</v>
          </cell>
          <cell r="L384" t="str">
            <v>03-5400899＞0936-335565＞0927-223355＞傳真03-5402199</v>
          </cell>
          <cell r="M384">
            <v>0</v>
          </cell>
          <cell r="O384">
            <v>63</v>
          </cell>
          <cell r="P384">
            <v>4</v>
          </cell>
          <cell r="Q384">
            <v>17</v>
          </cell>
          <cell r="R384">
            <v>47</v>
          </cell>
          <cell r="S384">
            <v>74</v>
          </cell>
          <cell r="T384">
            <v>27136</v>
          </cell>
          <cell r="U384" t="str">
            <v>J121573776</v>
          </cell>
          <cell r="V384" t="str">
            <v>郭芳明</v>
          </cell>
          <cell r="W384">
            <v>300</v>
          </cell>
          <cell r="X384" t="str">
            <v>新竹巿海埔路210巷105號＞登:新竹市北區磐石里竹光路141巷6號4樓。</v>
          </cell>
          <cell r="Y384" t="str">
            <v>新竹巿海埔路</v>
          </cell>
          <cell r="Z384" t="str">
            <v>新竹巿海埔路210巷105號.</v>
          </cell>
          <cell r="AA384" t="str">
            <v>300新竹巿海埔路210巷105號＞登:新竹市北區磐石里竹光路141巷6號4樓。</v>
          </cell>
          <cell r="AK384" t="str">
            <v>AAJ-858</v>
          </cell>
          <cell r="AL384" t="str">
            <v>1-0143-劉邦禹&gt;寄平信&gt;自結</v>
          </cell>
          <cell r="AM384" t="str">
            <v>1-0143</v>
          </cell>
        </row>
        <row r="385">
          <cell r="B385" t="str">
            <v>1-0380</v>
          </cell>
          <cell r="C385" t="str">
            <v>101-11-05</v>
          </cell>
          <cell r="D385" t="str">
            <v>1-0380-李仕宸＞阿財&gt;天大&gt;寄&gt;親收</v>
          </cell>
          <cell r="E385" t="str">
            <v>李仕宸＞阿財＞靠行:天大貨運股份有限公司,負:陳漢琮</v>
          </cell>
          <cell r="F385" t="str">
            <v>李仕宸(380)</v>
          </cell>
          <cell r="G385" t="str">
            <v>未稅</v>
          </cell>
          <cell r="H385" t="str">
            <v>寄＞親收＞</v>
          </cell>
          <cell r="I385" t="str">
            <v>未稅</v>
          </cell>
          <cell r="J385">
            <v>30</v>
          </cell>
          <cell r="K385" t="str">
            <v>6660＞3729＞未稅</v>
          </cell>
          <cell r="L385" t="str">
            <v>0989-889982＞0981-622686</v>
          </cell>
          <cell r="M385">
            <v>0</v>
          </cell>
          <cell r="R385" t="b">
            <v>0</v>
          </cell>
          <cell r="S385" t="str"/>
          <cell r="T385" t="b">
            <v>0</v>
          </cell>
          <cell r="W385">
            <v>356</v>
          </cell>
          <cell r="X385" t="str">
            <v>苗栗縣後龍鎮溪洲里石螺仔22之21＞登:苗栗縣頭份鎮蟠桃里3鄰中央路268號。</v>
          </cell>
          <cell r="Y385" t="str">
            <v>苗栗縣後龍鎮</v>
          </cell>
          <cell r="Z385" t="str">
            <v>苗栗縣後龍鎮溪洲里石螺仔22之21號.</v>
          </cell>
          <cell r="AA385" t="str">
            <v>356苗栗縣後龍鎮溪洲里石螺仔22之21＞登:苗栗縣頭份鎮蟠桃里3鄰中央路268號。</v>
          </cell>
          <cell r="AK385" t="str">
            <v>940-HY</v>
          </cell>
          <cell r="AL385" t="str">
            <v>1-0145-鄭光良&gt;寄&gt;自結</v>
          </cell>
          <cell r="AM385" t="str">
            <v>1-0145</v>
          </cell>
        </row>
        <row r="386">
          <cell r="B386" t="str">
            <v>1-0381</v>
          </cell>
          <cell r="C386" t="str">
            <v>101-11-06</v>
          </cell>
          <cell r="D386" t="str">
            <v>1-0381-越穩(越大)輪胎&gt;寄&gt;匯款</v>
          </cell>
          <cell r="E386" t="str">
            <v>越大輪胎行&gt;越穩企業行＞負:陳正彬＞聯達輪胎行＞負:李國彰</v>
          </cell>
          <cell r="F386" t="str">
            <v>越大輪胎行(381)</v>
          </cell>
          <cell r="G386" t="str">
            <v>未稅</v>
          </cell>
          <cell r="H386" t="str">
            <v>寄＞匯款:曾美茹.黃素華＞</v>
          </cell>
          <cell r="I386" t="str">
            <v>未稅</v>
          </cell>
          <cell r="J386">
            <v>30</v>
          </cell>
          <cell r="L386" t="str">
            <v>07-6266385＞0937-676265＞傳真07-6268138</v>
          </cell>
          <cell r="M386">
            <v>0</v>
          </cell>
          <cell r="R386" t="b">
            <v>0</v>
          </cell>
          <cell r="S386" t="str"/>
          <cell r="T386" t="b">
            <v>0</v>
          </cell>
          <cell r="W386">
            <v>820</v>
          </cell>
          <cell r="X386" t="str">
            <v>高雄市岡山區大遼里介壽東路91-1號＞聯達登:高雄市燕巢區安招里安招路187號1樓。</v>
          </cell>
          <cell r="Y386" t="str">
            <v>高雄市岡山區</v>
          </cell>
          <cell r="Z386" t="str">
            <v>高雄市岡山區大遼里介壽東路91之1號.</v>
          </cell>
          <cell r="AA386" t="str">
            <v>820高雄市岡山區大遼里介壽東路91-1號＞聯達登:高雄市燕巢區安招里安招路187號1樓。</v>
          </cell>
          <cell r="AK386" t="str">
            <v>109-SW</v>
          </cell>
          <cell r="AL386" t="str">
            <v>1-0150-老劉&gt;寄&gt;附發票&gt;自結</v>
          </cell>
          <cell r="AM386" t="str">
            <v>1-0150</v>
          </cell>
        </row>
        <row r="387">
          <cell r="B387" t="str">
            <v>1-0382</v>
          </cell>
          <cell r="C387" t="str">
            <v>101-11-07</v>
          </cell>
          <cell r="D387" t="str">
            <v>1-0382-味王&gt;寄&gt;附發票&gt;匯款</v>
          </cell>
          <cell r="E387" t="str">
            <v>味王股份有限公司新竹營業所＞負:穎川建忠</v>
          </cell>
          <cell r="F387" t="str">
            <v>味王股份有限公司新竹營業所(382)</v>
          </cell>
          <cell r="G387" t="str">
            <v>稅外</v>
          </cell>
          <cell r="H387" t="str">
            <v>寄＞附發票＞匯款:味王股份＞</v>
          </cell>
          <cell r="I387" t="str">
            <v>6688＞1954＞稅外＞中華全佑＞20號月結</v>
          </cell>
          <cell r="J387">
            <v>20</v>
          </cell>
          <cell r="L387" t="str">
            <v>037-461150.461153&gt;0928-904986&gt;傳真：(037)461251</v>
          </cell>
          <cell r="M387">
            <v>0</v>
          </cell>
          <cell r="R387" t="b">
            <v>0</v>
          </cell>
          <cell r="S387" t="str"/>
          <cell r="T387" t="b">
            <v>0</v>
          </cell>
          <cell r="W387">
            <v>350</v>
          </cell>
          <cell r="X387" t="str">
            <v>苗栗縣竹南鎮海口里18鄰海口尾43號＞苗栗縣竹南鎮仁愛路1300號。</v>
          </cell>
          <cell r="Y387" t="str">
            <v>苗栗縣竹南鎮</v>
          </cell>
          <cell r="Z387" t="str">
            <v>苗栗縣竹南鎮海口里18鄰海口尾43號.</v>
          </cell>
          <cell r="AA387" t="str">
            <v>350苗栗縣竹南鎮海口里18鄰海口尾43號＞苗栗縣竹南鎮仁愛路1300號。</v>
          </cell>
          <cell r="AK387" t="str">
            <v>9F-480</v>
          </cell>
          <cell r="AL387" t="str">
            <v>1-0150-老劉&gt;寄&gt;附發票&gt;自結</v>
          </cell>
          <cell r="AM387" t="str">
            <v>1-0150</v>
          </cell>
        </row>
        <row r="388">
          <cell r="B388" t="str">
            <v>1-0383</v>
          </cell>
          <cell r="C388" t="str">
            <v>101-11-08</v>
          </cell>
          <cell r="D388" t="str">
            <v>1-0383-拖福多&gt;寄&gt;附回郵</v>
          </cell>
          <cell r="E388" t="str">
            <v>托福多輪胎有限公司＞負:陳文雄</v>
          </cell>
          <cell r="F388" t="str">
            <v>托福多輪胎有限公司(383)</v>
          </cell>
          <cell r="G388" t="str">
            <v>未稅</v>
          </cell>
          <cell r="H388" t="str">
            <v>寄＞附回郵＞</v>
          </cell>
          <cell r="I388" t="str">
            <v>未稅</v>
          </cell>
          <cell r="J388">
            <v>30</v>
          </cell>
          <cell r="K388" t="str">
            <v>1672＞0841＞未稅</v>
          </cell>
          <cell r="L388" t="str">
            <v>04-25274220＞04-25283423</v>
          </cell>
          <cell r="M388">
            <v>0</v>
          </cell>
          <cell r="R388" t="b">
            <v>0</v>
          </cell>
          <cell r="S388" t="str"/>
          <cell r="T388" t="b">
            <v>0</v>
          </cell>
          <cell r="W388">
            <v>420</v>
          </cell>
          <cell r="X388" t="str">
            <v>臺中市豐原區東湳里三豐路980號1樓。</v>
          </cell>
          <cell r="Y388" t="str">
            <v>臺中市豐原區</v>
          </cell>
          <cell r="Z388" t="str">
            <v>臺中市豐原區東湳里三豐路980號1樓.</v>
          </cell>
          <cell r="AA388" t="str">
            <v>420臺中市豐原區東湳里三豐路980號1樓。</v>
          </cell>
          <cell r="AK388" t="str">
            <v>ABG-0916</v>
          </cell>
          <cell r="AL388" t="str">
            <v>1-0150-老劉&gt;寄&gt;附發票&gt;自結</v>
          </cell>
          <cell r="AM388" t="str">
            <v>1-0150</v>
          </cell>
        </row>
        <row r="389">
          <cell r="B389" t="str">
            <v>1-0384</v>
          </cell>
          <cell r="C389" t="str">
            <v>101-11-09</v>
          </cell>
          <cell r="D389" t="str">
            <v>1-0384-國耀&gt;寄&gt;附發票&gt;附回郵</v>
          </cell>
          <cell r="E389" t="str">
            <v>國耀重車有限公司＞負:楊秋國</v>
          </cell>
          <cell r="F389" t="str">
            <v>國耀重車有限公司(384)</v>
          </cell>
          <cell r="G389" t="str">
            <v>稅外</v>
          </cell>
          <cell r="H389" t="str">
            <v>寄＞附發票＞附回郵＞</v>
          </cell>
          <cell r="I389" t="str">
            <v>2516＞7218＞稅外</v>
          </cell>
          <cell r="J389">
            <v>30</v>
          </cell>
          <cell r="L389" t="str">
            <v>037-623099＞037-674613＞0934-190540＞傳真037-623119</v>
          </cell>
          <cell r="M389">
            <v>0</v>
          </cell>
          <cell r="R389" t="b">
            <v>0</v>
          </cell>
          <cell r="S389" t="str"/>
          <cell r="T389" t="b">
            <v>0</v>
          </cell>
          <cell r="W389">
            <v>351</v>
          </cell>
          <cell r="X389" t="str">
            <v>苗栗縣頭份鎮成功里中興路805號＞登:苗栗縣頭份鎮成功里16鄰寶樹別莊119號。</v>
          </cell>
          <cell r="Y389" t="str">
            <v>苗栗縣頭份鎮</v>
          </cell>
          <cell r="Z389" t="str">
            <v>苗栗縣頭份鎮成功里中興路805號.</v>
          </cell>
          <cell r="AA389" t="str">
            <v>351苗栗縣頭份鎮成功里中興路805號＞登:苗栗縣頭份鎮成功里16鄰寶樹別莊119號。</v>
          </cell>
          <cell r="AK389" t="str">
            <v>449-KP</v>
          </cell>
          <cell r="AL389" t="str">
            <v>1-0152-藝豐&gt;寄&gt;附發票</v>
          </cell>
          <cell r="AM389" t="str">
            <v>1-0152</v>
          </cell>
        </row>
        <row r="390">
          <cell r="B390" t="str">
            <v>1-0385</v>
          </cell>
          <cell r="C390" t="str">
            <v>101-11-10</v>
          </cell>
          <cell r="D390" t="str">
            <v>1-0385-竹豐&gt;寄&gt;附發票&gt;附回郵</v>
          </cell>
          <cell r="E390" t="str">
            <v>竹豐機械工程行＞負:莊進德</v>
          </cell>
          <cell r="F390" t="str">
            <v>竹豐機械工程行(385)</v>
          </cell>
          <cell r="G390" t="str">
            <v>稅外</v>
          </cell>
          <cell r="H390" t="str">
            <v>寄＞附發票＞附回郵＞</v>
          </cell>
          <cell r="I390" t="str">
            <v>0990＞8567＞稅外</v>
          </cell>
          <cell r="J390">
            <v>30</v>
          </cell>
          <cell r="L390" t="str">
            <v>03-5324729</v>
          </cell>
          <cell r="M390">
            <v>0</v>
          </cell>
          <cell r="O390">
            <v>33</v>
          </cell>
          <cell r="P390">
            <v>11</v>
          </cell>
          <cell r="Q390">
            <v>4</v>
          </cell>
          <cell r="R390">
            <v>77</v>
          </cell>
          <cell r="S390">
            <v>44</v>
          </cell>
          <cell r="T390">
            <v>16380</v>
          </cell>
          <cell r="U390" t="str">
            <v>J100604150</v>
          </cell>
          <cell r="V390" t="str">
            <v>莊進德</v>
          </cell>
          <cell r="W390">
            <v>300</v>
          </cell>
          <cell r="X390" t="str">
            <v>新竹市東區東園里11鄰中華路一段342巷11號。</v>
          </cell>
          <cell r="Y390" t="str">
            <v>新竹市東區東</v>
          </cell>
          <cell r="Z390" t="str">
            <v>新竹市東區東園里11鄰中華路一段342巷11號.</v>
          </cell>
          <cell r="AA390" t="str">
            <v>300新竹市東區東園里11鄰中華路一段342巷11號。</v>
          </cell>
          <cell r="AK390" t="str">
            <v>HAA-903</v>
          </cell>
          <cell r="AL390" t="str">
            <v>1-0152-藝豐&gt;寄&gt;附發票</v>
          </cell>
          <cell r="AM390" t="str">
            <v>1-0152</v>
          </cell>
        </row>
        <row r="391">
          <cell r="B391" t="str">
            <v>1-0386</v>
          </cell>
          <cell r="C391" t="str">
            <v>101-11-11</v>
          </cell>
          <cell r="D391" t="str">
            <v>1-0386-唯辰行&gt;佳佳商行&gt;寄&gt;自結</v>
          </cell>
          <cell r="E391" t="str">
            <v>唯辰行＞佳佳商行&gt;負:謝秉文</v>
          </cell>
          <cell r="F391" t="str">
            <v>唯辰行(386)</v>
          </cell>
          <cell r="G391" t="str">
            <v>未稅</v>
          </cell>
          <cell r="H391" t="str">
            <v>寄＞自結＞</v>
          </cell>
          <cell r="I391" t="str">
            <v>未稅</v>
          </cell>
          <cell r="J391">
            <v>30</v>
          </cell>
          <cell r="K391" t="str">
            <v>8096＞8045＞未稅</v>
          </cell>
          <cell r="L391" t="str">
            <v>037-250238＞0919-045093＞0912-037554</v>
          </cell>
          <cell r="M391">
            <v>0</v>
          </cell>
          <cell r="R391" t="b">
            <v>0</v>
          </cell>
          <cell r="S391" t="str"/>
          <cell r="T391" t="b">
            <v>0</v>
          </cell>
          <cell r="W391">
            <v>362</v>
          </cell>
          <cell r="X391" t="str">
            <v>苗栗縣頭屋鄉曲洞村11鄰95號。</v>
          </cell>
          <cell r="Y391" t="str">
            <v>苗栗縣頭屋鄉</v>
          </cell>
          <cell r="Z391" t="str">
            <v>苗栗縣頭屋鄉曲洞村11鄰95號.</v>
          </cell>
          <cell r="AA391" t="str">
            <v>362苗栗縣頭屋鄉曲洞村11鄰95號。</v>
          </cell>
          <cell r="AK391" t="str">
            <v>475-KP</v>
          </cell>
          <cell r="AL391" t="str">
            <v>1-0152-藝豐&gt;寄&gt;附發票</v>
          </cell>
          <cell r="AM391" t="str">
            <v>1-0152</v>
          </cell>
        </row>
        <row r="392">
          <cell r="B392" t="str">
            <v>1-0387</v>
          </cell>
          <cell r="C392" t="str">
            <v>101-11-12</v>
          </cell>
          <cell r="D392" t="str">
            <v>1-0387-陳宏康&gt;現結</v>
          </cell>
          <cell r="E392" t="str">
            <v>陳宏康＞靠行:鴻海通運有限公司＞負:陳志廣</v>
          </cell>
          <cell r="F392" t="str">
            <v>陳宏康(387)</v>
          </cell>
          <cell r="G392" t="str">
            <v>未稅</v>
          </cell>
          <cell r="H392" t="str">
            <v>現結＞</v>
          </cell>
          <cell r="I392" t="str">
            <v>未稅</v>
          </cell>
          <cell r="J392">
            <v>30</v>
          </cell>
          <cell r="K392" t="str">
            <v>9703＞5504＞未稅</v>
          </cell>
          <cell r="L392" t="str">
            <v>037-851610苑裡＞037-541546大坪＞0921-260835＞0932-667108</v>
          </cell>
          <cell r="M392">
            <v>0</v>
          </cell>
          <cell r="R392" t="b">
            <v>0</v>
          </cell>
          <cell r="S392" t="str"/>
          <cell r="T392" t="b">
            <v>0</v>
          </cell>
          <cell r="W392">
            <v>361</v>
          </cell>
          <cell r="X392" t="str">
            <v>登:苗栗縣造橋鄉朝陽村5鄰朝陽路119號1樓。</v>
          </cell>
          <cell r="Y392" t="str"/>
          <cell r="AA392" t="str">
            <v>361登:苗栗縣造橋鄉朝陽村5鄰朝陽路119號1樓。</v>
          </cell>
          <cell r="AK392" t="str">
            <v>271-RW</v>
          </cell>
          <cell r="AL392" t="str">
            <v>1-0152-藝豐&gt;寄&gt;附發票</v>
          </cell>
          <cell r="AM392" t="str">
            <v>1-0152</v>
          </cell>
        </row>
        <row r="393">
          <cell r="B393" t="str">
            <v>1-0388</v>
          </cell>
          <cell r="C393" t="str">
            <v>101-11-13</v>
          </cell>
          <cell r="D393" t="str">
            <v>1-0388-陳志廣&gt;現結</v>
          </cell>
          <cell r="E393" t="str">
            <v>鴻海通運有限公司＞負:陳志廣</v>
          </cell>
          <cell r="F393" t="str">
            <v>鴻海通運有限公司(388)</v>
          </cell>
          <cell r="G393" t="str">
            <v>未稅</v>
          </cell>
          <cell r="H393" t="str">
            <v>現結＞</v>
          </cell>
          <cell r="I393" t="str">
            <v>未稅</v>
          </cell>
          <cell r="J393">
            <v>30</v>
          </cell>
          <cell r="K393" t="str">
            <v>9703＞5504＞未稅</v>
          </cell>
          <cell r="L393" t="str">
            <v>037-851610苑裡＞037-541546大坪＞0937-953379</v>
          </cell>
          <cell r="M393" t="str">
            <v>2-0189</v>
          </cell>
          <cell r="R393" t="b">
            <v>0</v>
          </cell>
          <cell r="S393" t="str"/>
          <cell r="T393" t="b">
            <v>0</v>
          </cell>
          <cell r="W393">
            <v>361</v>
          </cell>
          <cell r="X393" t="str">
            <v>登:苗栗縣造橋鄉朝陽村5鄰朝陽路119號1樓。</v>
          </cell>
          <cell r="Y393" t="str"/>
          <cell r="AA393" t="str">
            <v>361登:苗栗縣造橋鄉朝陽村5鄰朝陽路119號1樓。</v>
          </cell>
          <cell r="AK393" t="str">
            <v>KM-349</v>
          </cell>
          <cell r="AL393" t="str">
            <v>1-0152-藝豐&gt;寄&gt;附發票</v>
          </cell>
          <cell r="AM393" t="str">
            <v>1-0152</v>
          </cell>
        </row>
        <row r="394">
          <cell r="B394" t="str">
            <v>1-0389</v>
          </cell>
          <cell r="C394" t="str">
            <v>101-11-14</v>
          </cell>
          <cell r="D394" t="str">
            <v>1-0389-謝承泓&gt;現結</v>
          </cell>
          <cell r="E394" t="str">
            <v>謝承泓＞蔵鏡＞靠行:永大順交通股份有限公司,負:王曉萍</v>
          </cell>
          <cell r="F394" t="str">
            <v>謝承泓(389)</v>
          </cell>
          <cell r="G394" t="str">
            <v>未稅</v>
          </cell>
          <cell r="H394" t="str">
            <v>現結＞</v>
          </cell>
          <cell r="I394" t="str">
            <v>未稅</v>
          </cell>
          <cell r="J394">
            <v>30</v>
          </cell>
          <cell r="K394" t="str">
            <v>1145＞8709＞未稅</v>
          </cell>
          <cell r="L394" t="str">
            <v>0922-171518＞0933-718925</v>
          </cell>
          <cell r="M394">
            <v>0</v>
          </cell>
          <cell r="R394" t="b">
            <v>0</v>
          </cell>
          <cell r="S394" t="str"/>
          <cell r="T394" t="b">
            <v>0</v>
          </cell>
          <cell r="W394">
            <v>335</v>
          </cell>
          <cell r="X394" t="str">
            <v>登:桃園縣大溪鎮仁武里公園一街29號。</v>
          </cell>
          <cell r="Y394" t="str"/>
          <cell r="AA394" t="str">
            <v>335登:桃園縣大溪鎮仁武里公園一街29號。</v>
          </cell>
          <cell r="AK394" t="str">
            <v>810-RW</v>
          </cell>
          <cell r="AL394" t="str">
            <v>1-0159-吉星建材&gt;寄&gt;附發票&gt;匯款</v>
          </cell>
          <cell r="AM394" t="str">
            <v>1-0159</v>
          </cell>
        </row>
        <row r="395">
          <cell r="B395" t="str">
            <v>1-0390</v>
          </cell>
          <cell r="C395" t="str">
            <v>101-11-15</v>
          </cell>
          <cell r="D395" t="str">
            <v>1-0390-宏興順&gt;寄&gt;附發票&gt;附回郵</v>
          </cell>
          <cell r="E395" t="str">
            <v>宏興順實業有限公司＞負:朱有玄</v>
          </cell>
          <cell r="F395" t="str">
            <v>宏興順實業有限公司(390)</v>
          </cell>
          <cell r="G395" t="str">
            <v>稅外</v>
          </cell>
          <cell r="H395" t="str">
            <v>寄＞附發票＞附回郵＞</v>
          </cell>
          <cell r="I395" t="str">
            <v>2814＞1451＞稅外</v>
          </cell>
          <cell r="J395">
            <v>30</v>
          </cell>
          <cell r="L395" t="str">
            <v>037-663833＞0987-060888＞傳真037-696456</v>
          </cell>
          <cell r="M395">
            <v>0</v>
          </cell>
          <cell r="R395" t="b">
            <v>0</v>
          </cell>
          <cell r="S395" t="str"/>
          <cell r="T395" t="b">
            <v>0</v>
          </cell>
          <cell r="W395">
            <v>351</v>
          </cell>
          <cell r="X395" t="str">
            <v>苗栗縣頭份鎮後庄里幼英街258號＞登:苗栗縣頭份鎮蟠桃里8鄰擁翠庭23號5樓。</v>
          </cell>
          <cell r="Y395" t="str">
            <v>苗栗縣頭份鎮</v>
          </cell>
          <cell r="Z395" t="str">
            <v>苗栗縣頭份鎮後庄里幼英街258號.</v>
          </cell>
          <cell r="AA395" t="str">
            <v>351苗栗縣頭份鎮後庄里幼英街258號＞登:苗栗縣頭份鎮蟠桃里8鄰擁翠庭23號5樓。</v>
          </cell>
          <cell r="AK395" t="str">
            <v>6115-F7</v>
          </cell>
          <cell r="AL395" t="str">
            <v>1-0159-吉星建材&gt;寄&gt;附發票&gt;匯款</v>
          </cell>
          <cell r="AM395" t="str">
            <v>1-0159</v>
          </cell>
        </row>
        <row r="396">
          <cell r="B396" t="str">
            <v>1-0391</v>
          </cell>
          <cell r="C396" t="str">
            <v>101-11-16</v>
          </cell>
          <cell r="D396" t="str">
            <v>1-0391-邱政義&gt;寄&gt;自結</v>
          </cell>
          <cell r="E396" t="str">
            <v>邱政義＞靠行:全暐企業有限公司,負:王鄧美玉＞尚弘汽車貨運公司＞亞泰</v>
          </cell>
          <cell r="F396" t="str">
            <v>邱政義(391)</v>
          </cell>
          <cell r="G396" t="str">
            <v>未稅</v>
          </cell>
          <cell r="H396" t="str">
            <v>寄＞自結＞</v>
          </cell>
          <cell r="I396" t="str">
            <v>未稅</v>
          </cell>
          <cell r="J396">
            <v>30</v>
          </cell>
          <cell r="K396" t="str">
            <v>4722＞8225＞未稅</v>
          </cell>
          <cell r="L396" t="str">
            <v>0932-936664邱政義</v>
          </cell>
          <cell r="M396">
            <v>0</v>
          </cell>
          <cell r="R396" t="b">
            <v>0</v>
          </cell>
          <cell r="S396" t="str"/>
          <cell r="T396" t="b">
            <v>0</v>
          </cell>
          <cell r="W396">
            <v>351</v>
          </cell>
          <cell r="X396" t="str">
            <v>苗栗縣頭份鎮尖下里3鄰尖下52-1號＞登:新竹市北區古賢里東大路三段110巷5號。</v>
          </cell>
          <cell r="Y396" t="str">
            <v>苗栗縣頭份鎮</v>
          </cell>
          <cell r="Z396" t="str">
            <v>苗栗縣頭份鎮尖下里3鄰尖下52之1號.</v>
          </cell>
          <cell r="AA396" t="str">
            <v>351苗栗縣頭份鎮尖下里3鄰尖下52-1號＞登:新竹市北區古賢里東大路三段110巷5號。</v>
          </cell>
          <cell r="AK396" t="str">
            <v>658-TZ</v>
          </cell>
          <cell r="AL396" t="str">
            <v>1-0159-吉星建材&gt;寄&gt;附發票&gt;匯款</v>
          </cell>
          <cell r="AM396" t="str">
            <v>1-0159</v>
          </cell>
        </row>
        <row r="397">
          <cell r="B397" t="str">
            <v>1-0392</v>
          </cell>
          <cell r="C397" t="str">
            <v>106-05-23</v>
          </cell>
          <cell r="D397" t="str">
            <v>1-0392-好運&gt;寄&gt;附發票&gt;匯款</v>
          </cell>
          <cell r="E397" t="str">
            <v>台灣好運輪胎有限公司</v>
          </cell>
          <cell r="F397" t="str">
            <v>台灣好運輪胎有限公司(392)</v>
          </cell>
          <cell r="G397" t="str">
            <v>稅外</v>
          </cell>
          <cell r="H397" t="str">
            <v>寄＞附發票＞匯款＞</v>
          </cell>
          <cell r="I397" t="str">
            <v>2785＞6458&gt;中華全佑＞含稅</v>
          </cell>
          <cell r="J397">
            <v>30</v>
          </cell>
          <cell r="L397" t="str">
            <v>03-4900526&gt;0915-050963葉少青&gt;傳真03-4900536</v>
          </cell>
          <cell r="M397">
            <v>0</v>
          </cell>
          <cell r="R397" t="b">
            <v>0</v>
          </cell>
          <cell r="S397" t="str"/>
          <cell r="T397" t="b">
            <v>0</v>
          </cell>
          <cell r="W397">
            <v>327</v>
          </cell>
          <cell r="X397" t="str">
            <v>桃園縣新屋鄉頭洲村犁頭洲20-6號。</v>
          </cell>
          <cell r="Y397" t="str">
            <v>桃園縣新屋鄉</v>
          </cell>
          <cell r="Z397" t="str">
            <v>桃園縣新屋鄉頭洲村犁頭洲20之6號.</v>
          </cell>
          <cell r="AA397" t="str">
            <v>327桃園縣新屋鄉頭洲村犁頭洲20-6號。</v>
          </cell>
          <cell r="AK397" t="str">
            <v>832-W8</v>
          </cell>
          <cell r="AL397" t="str">
            <v>1-0162-鎰利&gt;鎰金&gt;鎰加&gt;寄&gt;附發票&gt;2個月匯款</v>
          </cell>
          <cell r="AM397" t="str">
            <v>1-0162</v>
          </cell>
        </row>
        <row r="398">
          <cell r="B398" t="str">
            <v>1-0393</v>
          </cell>
          <cell r="C398" t="str">
            <v>101-11-18</v>
          </cell>
          <cell r="D398" t="str">
            <v>1-0393-昌義&gt;寄&gt;附發票&gt;附回郵</v>
          </cell>
          <cell r="E398" t="str">
            <v>昌義企業有限公司＞負:戴銘治＞戴銘義</v>
          </cell>
          <cell r="F398" t="str">
            <v>昌義企業有限公司(393)</v>
          </cell>
          <cell r="G398" t="str">
            <v>含稅</v>
          </cell>
          <cell r="H398" t="str">
            <v>寄＞附發票＞附回郵＞</v>
          </cell>
          <cell r="I398" t="str">
            <v>8952＞6226＞含稅</v>
          </cell>
          <cell r="J398">
            <v>30</v>
          </cell>
          <cell r="L398" t="str">
            <v>03-5688930＞0988-203204＞0937-830470＞傳真03-5686684</v>
          </cell>
          <cell r="M398">
            <v>0</v>
          </cell>
          <cell r="R398" t="b">
            <v>0</v>
          </cell>
          <cell r="S398" t="str"/>
          <cell r="T398" t="b">
            <v>0</v>
          </cell>
          <cell r="W398">
            <v>304</v>
          </cell>
          <cell r="X398" t="str">
            <v>新竹縣新豐鄉埔和村18鄰埔頂454-2號＞登:新竹縣新豐鄉重興村永寧街62巷6號1樓。</v>
          </cell>
          <cell r="Y398" t="str">
            <v>新竹縣新豐鄉</v>
          </cell>
          <cell r="Z398" t="str">
            <v>新竹縣新豐鄉埔和村18鄰埔頂454之2號.</v>
          </cell>
          <cell r="AA398" t="str">
            <v>304新竹縣新豐鄉埔和村18鄰埔頂454-2號＞登:新竹縣新豐鄉重興村永寧街62巷6號1樓。</v>
          </cell>
          <cell r="AK398" t="str">
            <v>1930-NA</v>
          </cell>
          <cell r="AL398" t="str">
            <v>1-0162-鎰利&gt;鎰金&gt;鎰加&gt;寄&gt;附發票&gt;2個月匯款</v>
          </cell>
          <cell r="AM398" t="str">
            <v>1-0162</v>
          </cell>
        </row>
        <row r="399">
          <cell r="B399" t="str">
            <v>1-0394</v>
          </cell>
          <cell r="C399" t="str">
            <v>101-11-19</v>
          </cell>
          <cell r="D399" t="str">
            <v>1-0394-宸羽&gt;寄&gt;親收</v>
          </cell>
          <cell r="E399" t="str">
            <v>宸羽汽車修理廠＞負:徐健宸</v>
          </cell>
          <cell r="F399" t="str">
            <v>宸羽汽車修理廠(394)</v>
          </cell>
          <cell r="G399" t="str">
            <v>未稅</v>
          </cell>
          <cell r="H399" t="str">
            <v>寄＞親收＞</v>
          </cell>
          <cell r="I399" t="str">
            <v>未稅</v>
          </cell>
          <cell r="J399">
            <v>30</v>
          </cell>
          <cell r="L399" t="str">
            <v>0988-667822</v>
          </cell>
          <cell r="M399" t="str">
            <v>2-0093</v>
          </cell>
          <cell r="R399" t="b">
            <v>0</v>
          </cell>
          <cell r="S399" t="str"/>
          <cell r="T399" t="b">
            <v>0</v>
          </cell>
          <cell r="W399">
            <v>351</v>
          </cell>
          <cell r="X399" t="str">
            <v>苗栗縣頭份鎮下興里12鄰吉祥路117號。</v>
          </cell>
          <cell r="Y399" t="str">
            <v>苗栗縣頭份鎮</v>
          </cell>
          <cell r="Z399" t="str">
            <v>苗栗縣頭份鎮下興里12鄰吉祥路117號.</v>
          </cell>
          <cell r="AA399" t="str">
            <v>351苗栗縣頭份鎮下興里12鄰吉祥路117號。</v>
          </cell>
          <cell r="AK399" t="str">
            <v>KU-222</v>
          </cell>
          <cell r="AL399" t="str">
            <v>1-0162-鎰利&gt;鎰金&gt;鎰加&gt;寄&gt;附發票&gt;2個月匯款</v>
          </cell>
          <cell r="AM399" t="str">
            <v>1-0162</v>
          </cell>
        </row>
        <row r="400">
          <cell r="B400" t="str">
            <v>1-0395</v>
          </cell>
          <cell r="C400" t="str">
            <v>101-11-20</v>
          </cell>
          <cell r="D400" t="str">
            <v>1-0395-卓蘭&gt;寄&gt;附發票&gt;附回郵</v>
          </cell>
          <cell r="E400" t="str">
            <v>卓蘭汽車貨運股份有限公司＞負:蔡守田</v>
          </cell>
          <cell r="F400" t="str">
            <v>卓蘭汽車貨運股份有限公司(395)</v>
          </cell>
          <cell r="G400" t="str">
            <v>稅外</v>
          </cell>
          <cell r="H400" t="str">
            <v>寄＞附發票＞附回郵＞</v>
          </cell>
          <cell r="I400" t="str">
            <v>4918＞2800＞稅外</v>
          </cell>
          <cell r="J400">
            <v>30</v>
          </cell>
          <cell r="L400" t="str">
            <v>0932-534055</v>
          </cell>
          <cell r="M400">
            <v>0</v>
          </cell>
          <cell r="R400" t="b">
            <v>0</v>
          </cell>
          <cell r="S400" t="str"/>
          <cell r="T400" t="b">
            <v>0</v>
          </cell>
          <cell r="W400">
            <v>369</v>
          </cell>
          <cell r="X400" t="str">
            <v>苗栗縣卓蘭鎮仁愛路30號＞登:苗栗縣卓蘭鎮新厝里12鄰昭永路50號。</v>
          </cell>
          <cell r="Y400" t="str">
            <v>苗栗縣卓蘭鎮</v>
          </cell>
          <cell r="Z400" t="str">
            <v>苗栗縣卓蘭鎮仁愛路30號.</v>
          </cell>
          <cell r="AA400" t="str">
            <v>369苗栗縣卓蘭鎮仁愛路30號＞登:苗栗縣卓蘭鎮新厝里12鄰昭永路50號。</v>
          </cell>
          <cell r="AK400" t="str">
            <v>842-ZC</v>
          </cell>
          <cell r="AL400" t="str">
            <v>1-0162-鎰利&gt;鎰金&gt;鎰加&gt;寄&gt;附發票&gt;2個月匯款</v>
          </cell>
          <cell r="AM400" t="str">
            <v>1-0162</v>
          </cell>
        </row>
        <row r="401">
          <cell r="B401" t="str">
            <v>1-0396</v>
          </cell>
          <cell r="C401" t="str">
            <v>101-11-21</v>
          </cell>
          <cell r="D401" t="str">
            <v>1-0396-鑫豐&gt;寄&gt;附回郵</v>
          </cell>
          <cell r="E401" t="str">
            <v>鑫豐企業社＞負:張文濱</v>
          </cell>
          <cell r="F401" t="str">
            <v>鑫豐企業社(396)</v>
          </cell>
          <cell r="G401" t="str">
            <v>未稅</v>
          </cell>
          <cell r="H401" t="str">
            <v>寄＞附回郵＞</v>
          </cell>
          <cell r="I401" t="str">
            <v>未稅</v>
          </cell>
          <cell r="J401">
            <v>30</v>
          </cell>
          <cell r="K401" t="str">
            <v>2615＞6816＞未稅</v>
          </cell>
          <cell r="L401" t="str">
            <v>0989-152854</v>
          </cell>
          <cell r="M401">
            <v>0</v>
          </cell>
          <cell r="R401" t="b">
            <v>0</v>
          </cell>
          <cell r="S401" t="str"/>
          <cell r="T401" t="b">
            <v>0</v>
          </cell>
          <cell r="W401">
            <v>300</v>
          </cell>
          <cell r="X401" t="str">
            <v>新竹巿公道五路三段669之1號＞登:新竹市香山區埔前里2鄰牛埔北路37巷21號。</v>
          </cell>
          <cell r="Y401" t="str">
            <v>新竹巿公道五</v>
          </cell>
          <cell r="Z401" t="str">
            <v>新竹巿公道五路三段669之1號.</v>
          </cell>
          <cell r="AA401" t="str">
            <v>300新竹巿公道五路三段669之1號＞登:新竹市香山區埔前里2鄰牛埔北路37巷21號。</v>
          </cell>
          <cell r="AK401" t="str">
            <v>991-KL</v>
          </cell>
          <cell r="AL401" t="str">
            <v>1-0162-鎰利&gt;鎰金&gt;鎰加&gt;寄&gt;附發票&gt;2個月匯款</v>
          </cell>
          <cell r="AM401" t="str">
            <v>1-0162</v>
          </cell>
        </row>
        <row r="402">
          <cell r="B402" t="str">
            <v>1-0397</v>
          </cell>
          <cell r="C402" t="str">
            <v>101-11-22</v>
          </cell>
          <cell r="D402" t="str">
            <v>1-0397-裕珉&gt;寄＞附回郵</v>
          </cell>
          <cell r="E402" t="str">
            <v>裕珉之旅＞羅文宏</v>
          </cell>
          <cell r="F402" t="str">
            <v>裕民之旅(397)</v>
          </cell>
          <cell r="G402" t="str">
            <v>未稅</v>
          </cell>
          <cell r="H402" t="str">
            <v>寄＞附回郵＞</v>
          </cell>
          <cell r="I402" t="str">
            <v>未稅</v>
          </cell>
          <cell r="J402">
            <v>30</v>
          </cell>
          <cell r="L402" t="str">
            <v>037-629196＞0932-527110</v>
          </cell>
          <cell r="M402">
            <v>0</v>
          </cell>
          <cell r="R402" t="b">
            <v>0</v>
          </cell>
          <cell r="S402" t="str"/>
          <cell r="T402" t="b">
            <v>0</v>
          </cell>
          <cell r="W402">
            <v>351</v>
          </cell>
          <cell r="X402" t="str">
            <v>苗栗縣頭份鎮廣興里尖豐路185號。</v>
          </cell>
          <cell r="Y402" t="str">
            <v>苗栗縣頭份鎮</v>
          </cell>
          <cell r="Z402" t="str">
            <v>苗栗縣頭份鎮廣興里尖豐路185號.</v>
          </cell>
          <cell r="AA402" t="str">
            <v>351苗栗縣頭份鎮廣興里尖豐路185號。</v>
          </cell>
          <cell r="AK402" t="str">
            <v>KM-865</v>
          </cell>
          <cell r="AL402" t="str">
            <v>1-0162-鎰利&gt;鎰金&gt;鎰加&gt;寄&gt;附發票&gt;2個月匯款</v>
          </cell>
          <cell r="AM402" t="str">
            <v>1-0162</v>
          </cell>
        </row>
        <row r="403">
          <cell r="B403" t="str">
            <v>1-0398</v>
          </cell>
          <cell r="C403" t="str">
            <v>101-11-23</v>
          </cell>
          <cell r="D403" t="str">
            <v>1-0398-天文.坤成&gt;寄&gt;附發票&gt;附回郵</v>
          </cell>
          <cell r="E403" t="str">
            <v>天文運輸有限公司＞坤成裝卸有限公司＞負:陳有亮＞志松汽車貨運股份有限公司＞負:方錦珍</v>
          </cell>
          <cell r="F403" t="str">
            <v>天文運輸有限公司(398)</v>
          </cell>
          <cell r="G403" t="str">
            <v>含稅</v>
          </cell>
          <cell r="H403" t="str">
            <v>寄＞附發票＞附回郵＞現金票＞零件稅外＞</v>
          </cell>
          <cell r="I403" t="str">
            <v>5425＞6942天文＞含稅＞中華全佑</v>
          </cell>
          <cell r="J403">
            <v>30</v>
          </cell>
          <cell r="L403" t="str">
            <v>04-26390900＞0911-810170陳有亮＞0939-585584坤成弟弟＞0933-516578老闆娘＞04-26573172坤成＞傳真04-26390310&gt;04-26568386坤成</v>
          </cell>
          <cell r="M403">
            <v>0</v>
          </cell>
          <cell r="R403" t="b">
            <v>0</v>
          </cell>
          <cell r="S403" t="str"/>
          <cell r="T403" t="b">
            <v>0</v>
          </cell>
          <cell r="W403">
            <v>435</v>
          </cell>
          <cell r="X403" t="str">
            <v xml:space="preserve">台中巿梧棲區草湳里自強二街86巷38號＞坤登:苗栗縣竹南鎮天文里龍江街20鄰298巷49號＞志登:苗栗縣頭份鎮蟠桃里3鄰中央路268號3樓。 </v>
          </cell>
          <cell r="Y403" t="str">
            <v>台中巿梧棲區</v>
          </cell>
          <cell r="Z403" t="str">
            <v>台中巿梧棲區草湳里自強二街86巷38號.</v>
          </cell>
          <cell r="AA403" t="str">
            <v xml:space="preserve">435台中巿梧棲區草湳里自強二街86巷38號＞坤登:苗栗縣竹南鎮天文里龍江街20鄰298巷49號＞志登:苗栗縣頭份鎮蟠桃里3鄰中央路268號3樓。 </v>
          </cell>
          <cell r="AK403" t="str">
            <v>693-KA</v>
          </cell>
          <cell r="AL403" t="str">
            <v>1-0162-鎰利&gt;鎰金&gt;鎰加&gt;寄&gt;附發票&gt;2個月匯款</v>
          </cell>
          <cell r="AM403" t="str">
            <v>1-0162</v>
          </cell>
        </row>
        <row r="404">
          <cell r="B404" t="str">
            <v>1-0399</v>
          </cell>
          <cell r="C404" t="str">
            <v>101-11-24</v>
          </cell>
          <cell r="D404" t="str">
            <v>1-0399-銘旺&gt;寄&gt;附發票&gt;附回郵</v>
          </cell>
          <cell r="E404" t="str">
            <v>銘旺通運有限公司＞負:許銀旺</v>
          </cell>
          <cell r="F404" t="str">
            <v>銘旺通運有限公司(399)</v>
          </cell>
          <cell r="G404" t="str">
            <v>稅外</v>
          </cell>
          <cell r="H404" t="str">
            <v>寄＞附發票＞附回郵＞</v>
          </cell>
          <cell r="I404" t="str">
            <v>6651＞4753＞稅外</v>
          </cell>
          <cell r="J404">
            <v>30</v>
          </cell>
          <cell r="L404" t="str">
            <v>03-5302760＞0928-206651&gt;傳真03-5303209</v>
          </cell>
          <cell r="M404" t="str">
            <v>2-0134</v>
          </cell>
          <cell r="R404" t="b">
            <v>0</v>
          </cell>
          <cell r="S404" t="str"/>
          <cell r="T404" t="b">
            <v>0</v>
          </cell>
          <cell r="W404">
            <v>300</v>
          </cell>
          <cell r="X404" t="str">
            <v>新竹巿延平路二段347巷44號。</v>
          </cell>
          <cell r="Y404" t="str">
            <v>新竹巿延平路</v>
          </cell>
          <cell r="Z404" t="str">
            <v>新竹巿延平路二段347巷44號.</v>
          </cell>
          <cell r="AA404" t="str">
            <v>300新竹巿延平路二段347巷44號。</v>
          </cell>
          <cell r="AK404" t="str">
            <v>628-KB</v>
          </cell>
          <cell r="AL404" t="str">
            <v>1-0162-鎰利&gt;鎰金&gt;鎰加&gt;寄&gt;附發票&gt;2個月匯款</v>
          </cell>
          <cell r="AM404" t="str">
            <v>1-0162</v>
          </cell>
        </row>
        <row r="405">
          <cell r="B405" t="str">
            <v>1-0400</v>
          </cell>
          <cell r="C405" t="str">
            <v>101-11-25</v>
          </cell>
          <cell r="D405" t="str">
            <v>1-0400-楊阿銘&gt;寄&gt;自結</v>
          </cell>
          <cell r="E405" t="str">
            <v>楊阿銘＞有財＞靠行:益銘企業社,負:田金祥</v>
          </cell>
          <cell r="F405" t="str">
            <v>楊阿銘(400)</v>
          </cell>
          <cell r="G405" t="str">
            <v>含稅</v>
          </cell>
          <cell r="H405" t="str">
            <v>寄＞自結＞</v>
          </cell>
          <cell r="I405" t="str">
            <v>2521＞7809＞含稅</v>
          </cell>
          <cell r="J405">
            <v>30</v>
          </cell>
          <cell r="L405" t="str">
            <v>0912-328619＞0926-711952</v>
          </cell>
          <cell r="M405">
            <v>0</v>
          </cell>
          <cell r="R405" t="b">
            <v>0</v>
          </cell>
          <cell r="S405" t="str"/>
          <cell r="T405" t="b">
            <v>0</v>
          </cell>
          <cell r="W405">
            <v>353</v>
          </cell>
          <cell r="X405" t="str">
            <v>苗栗縣南庄鄉南富村15鄰16號＞登:苗栗縣頭份鎮建國里11鄰建國路100號。</v>
          </cell>
          <cell r="Y405" t="str">
            <v>苗栗縣南庄鄉</v>
          </cell>
          <cell r="Z405" t="str">
            <v>苗栗縣南庄鄉南富村15鄰16號.</v>
          </cell>
          <cell r="AA405" t="str">
            <v>353苗栗縣南庄鄉南富村15鄰16號＞登:苗栗縣頭份鎮建國里11鄰建國路100號。</v>
          </cell>
          <cell r="AK405" t="str">
            <v>AY-163</v>
          </cell>
          <cell r="AL405" t="str">
            <v>1-0162-鎰利&gt;鎰金&gt;鎰加&gt;寄&gt;附發票&gt;2個月匯款</v>
          </cell>
          <cell r="AM405" t="str">
            <v>1-0162</v>
          </cell>
        </row>
        <row r="406">
          <cell r="B406" t="str">
            <v>1-0401</v>
          </cell>
          <cell r="C406" t="str">
            <v>101-11-26</v>
          </cell>
          <cell r="D406" t="str">
            <v>1-0401-立勤&gt;寄&gt;附發票&gt;附回郵</v>
          </cell>
          <cell r="E406" t="str">
            <v>立勤儲運股份有限公司＞負:吳月卿＞邱登山</v>
          </cell>
          <cell r="F406" t="str">
            <v>立勤儲運股份有限公司(401)</v>
          </cell>
          <cell r="G406" t="str">
            <v>含稅</v>
          </cell>
          <cell r="H406" t="str">
            <v>寄＞附發票＞附回郵＞</v>
          </cell>
          <cell r="I406" t="str">
            <v>1227＞8584＞含稅</v>
          </cell>
          <cell r="J406">
            <v>30</v>
          </cell>
          <cell r="L406" t="str">
            <v>02-28858580＞0918-921552配車＞0933-848482＞0912-292929老闆＞傳真02-28853322</v>
          </cell>
          <cell r="M406">
            <v>0</v>
          </cell>
          <cell r="R406" t="b">
            <v>0</v>
          </cell>
          <cell r="S406" t="str"/>
          <cell r="T406" t="b">
            <v>0</v>
          </cell>
          <cell r="W406" t="e">
            <v>#N/A</v>
          </cell>
          <cell r="X406" t="str">
            <v>台北巿承德路四段33巷12號3樓＞登:臺北市士林區舊佳里福榮街40號。</v>
          </cell>
          <cell r="Y406" t="str">
            <v>台北巿承德路</v>
          </cell>
          <cell r="Z406" t="str">
            <v>台北巿承德路四段33巷12號3樓.</v>
          </cell>
          <cell r="AA406" t="e">
            <v>#N/A</v>
          </cell>
          <cell r="AK406" t="str">
            <v>AY-165</v>
          </cell>
          <cell r="AL406" t="str">
            <v>1-0162-鎰利&gt;鎰金&gt;鎰加&gt;寄&gt;附發票&gt;2個月匯款</v>
          </cell>
          <cell r="AM406" t="str">
            <v>1-0162</v>
          </cell>
        </row>
        <row r="407">
          <cell r="B407" t="str">
            <v>1-0402</v>
          </cell>
          <cell r="C407" t="str">
            <v>101-11-27</v>
          </cell>
          <cell r="D407" t="str">
            <v>1-0402-萬國輪胎&gt;寄＞附發票＞附回郵</v>
          </cell>
          <cell r="E407" t="str">
            <v>萬國輪胎行＞負:金雲豪</v>
          </cell>
          <cell r="F407" t="str">
            <v>萬國輪胎行(402)</v>
          </cell>
          <cell r="G407" t="str">
            <v>含稅</v>
          </cell>
          <cell r="H407" t="str">
            <v>寄＞附發票＞附回郵＞</v>
          </cell>
          <cell r="I407" t="str">
            <v>4932＞9234＞含稅</v>
          </cell>
          <cell r="J407">
            <v>30</v>
          </cell>
          <cell r="L407" t="str">
            <v>037-321655＞0919-321655</v>
          </cell>
          <cell r="M407">
            <v>0</v>
          </cell>
          <cell r="R407" t="b">
            <v>0</v>
          </cell>
          <cell r="S407" t="str"/>
          <cell r="T407" t="b">
            <v>0</v>
          </cell>
          <cell r="W407">
            <v>360</v>
          </cell>
          <cell r="X407" t="str">
            <v>苗栗縣苗栗市中苗里14鄰中山路510號。</v>
          </cell>
          <cell r="Y407" t="str">
            <v>苗栗縣苗栗市</v>
          </cell>
          <cell r="Z407" t="str">
            <v>苗栗縣苗栗市中苗里14鄰中山路510號.</v>
          </cell>
          <cell r="AA407" t="str">
            <v>360苗栗縣苗栗市中苗里14鄰中山路510號。</v>
          </cell>
          <cell r="AK407" t="str">
            <v>AY-166</v>
          </cell>
          <cell r="AL407" t="str">
            <v>1-0162-鎰利&gt;鎰金&gt;鎰加&gt;寄&gt;附發票&gt;2個月匯款</v>
          </cell>
          <cell r="AM407" t="str">
            <v>1-0162</v>
          </cell>
        </row>
        <row r="408">
          <cell r="B408" t="str">
            <v>1-0403</v>
          </cell>
          <cell r="C408" t="str">
            <v>101-11-28</v>
          </cell>
          <cell r="D408" t="str">
            <v>1-0403-陳添寶&gt;嘉盛&gt;寄&gt;自結</v>
          </cell>
          <cell r="E408" t="str">
            <v>陳添寶＞火車＞靠行:嘉盛汽車運輸股份有限公司,負:黃添福</v>
          </cell>
          <cell r="F408" t="str">
            <v>陳添寶(403)</v>
          </cell>
          <cell r="G408" t="str">
            <v>未稅</v>
          </cell>
          <cell r="H408" t="str">
            <v>寄＞自結＞</v>
          </cell>
          <cell r="I408" t="str">
            <v>未稅</v>
          </cell>
          <cell r="J408">
            <v>30</v>
          </cell>
          <cell r="K408" t="str">
            <v>4938＞9534＞未稅</v>
          </cell>
          <cell r="L408" t="str">
            <v>037-431100＞0932-565154</v>
          </cell>
          <cell r="M408" t="str">
            <v>2-0179</v>
          </cell>
          <cell r="O408">
            <v>58</v>
          </cell>
          <cell r="P408">
            <v>6</v>
          </cell>
          <cell r="Q408">
            <v>27</v>
          </cell>
          <cell r="R408">
            <v>52</v>
          </cell>
          <cell r="S408">
            <v>69</v>
          </cell>
          <cell r="T408">
            <v>25381</v>
          </cell>
          <cell r="U408" t="str">
            <v>K121038406</v>
          </cell>
          <cell r="V408" t="str">
            <v>陳添寶</v>
          </cell>
          <cell r="W408">
            <v>356</v>
          </cell>
          <cell r="X408" t="str">
            <v>苗栗縣後龍鎮大山里10鄰下大山腳20號＞登:苗栗縣後龍鎮龍坑里15鄰十班坑169之5號。</v>
          </cell>
          <cell r="Y408" t="str">
            <v>苗栗縣後龍鎮</v>
          </cell>
          <cell r="Z408" t="str">
            <v>苗栗縣後龍鎮大山里10鄰下大山腳20號.</v>
          </cell>
          <cell r="AA408" t="str">
            <v>356苗栗縣後龍鎮大山里10鄰下大山腳20號＞登:苗栗縣後龍鎮龍坑里15鄰十班坑169之5號。</v>
          </cell>
          <cell r="AK408" t="str">
            <v>743-ZC</v>
          </cell>
          <cell r="AL408" t="str">
            <v>1-0162-鎰利&gt;鎰金&gt;鎰加&gt;寄&gt;附發票&gt;2個月匯款</v>
          </cell>
          <cell r="AM408" t="str">
            <v>1-0162</v>
          </cell>
        </row>
        <row r="409">
          <cell r="B409" t="str">
            <v>1-0404</v>
          </cell>
          <cell r="C409" t="str">
            <v>101-11-29</v>
          </cell>
          <cell r="D409" t="str">
            <v>1-0404-邱展銓&gt;寄&gt;自結</v>
          </cell>
          <cell r="E409" t="str">
            <v>堃彬企業社＞邱展銓</v>
          </cell>
          <cell r="F409" t="str">
            <v>堃彬企業社(404)</v>
          </cell>
          <cell r="G409" t="str">
            <v>未稅</v>
          </cell>
          <cell r="H409" t="str">
            <v>寄＞自結＞</v>
          </cell>
          <cell r="I409" t="str">
            <v>未稅</v>
          </cell>
          <cell r="J409">
            <v>30</v>
          </cell>
          <cell r="L409" t="str">
            <v>0977-200722＞0930-747227＞</v>
          </cell>
          <cell r="M409">
            <v>0</v>
          </cell>
          <cell r="O409">
            <v>61</v>
          </cell>
          <cell r="P409">
            <v>8</v>
          </cell>
          <cell r="Q409">
            <v>23</v>
          </cell>
          <cell r="R409">
            <v>49</v>
          </cell>
          <cell r="S409">
            <v>72</v>
          </cell>
          <cell r="T409">
            <v>26534</v>
          </cell>
          <cell r="V409" t="str">
            <v>邱展銓</v>
          </cell>
          <cell r="W409">
            <v>351</v>
          </cell>
          <cell r="X409" t="str">
            <v>苗栗縣頭份鎮后庄里八德二路328號。苗栗縣頭份鎮流東里信德路215號。*2</v>
          </cell>
          <cell r="Y409" t="str">
            <v>苗栗縣頭份鎮</v>
          </cell>
          <cell r="Z409" t="str">
            <v>苗栗縣頭份鎮后庄里八德二路328號.</v>
          </cell>
          <cell r="AA409" t="str">
            <v>351苗栗縣頭份鎮后庄里八德二路328號。苗栗縣頭份鎮流東里信德路215號。*2</v>
          </cell>
          <cell r="AK409" t="str">
            <v>430-KP</v>
          </cell>
          <cell r="AL409" t="str">
            <v>1-0162-鎰利&gt;鎰金&gt;鎰加&gt;寄&gt;附發票&gt;2個月匯款</v>
          </cell>
          <cell r="AM409" t="str">
            <v>1-0162</v>
          </cell>
        </row>
        <row r="410">
          <cell r="B410" t="str">
            <v>1-0405</v>
          </cell>
          <cell r="C410" t="str">
            <v>101-11-30</v>
          </cell>
          <cell r="D410" t="str">
            <v>1-0405-瑞建&gt;寄&gt;附發票&gt;附回郵</v>
          </cell>
          <cell r="E410" t="str">
            <v>瑞建營造有限公司＞負:簡金源＞桃宏</v>
          </cell>
          <cell r="F410" t="str">
            <v>瑞建營造有限公司(405)</v>
          </cell>
          <cell r="G410" t="str">
            <v>含稅</v>
          </cell>
          <cell r="H410" t="str">
            <v>寄＞附發票＞附回郵＞</v>
          </cell>
          <cell r="I410" t="str">
            <v>4373＞1651＞含稅</v>
          </cell>
          <cell r="J410">
            <v>30</v>
          </cell>
          <cell r="L410" t="str">
            <v>03-3887513＞0933-250365阿亮＞0912-414595郭老闆＞傳真03-3871495</v>
          </cell>
          <cell r="M410">
            <v>0</v>
          </cell>
          <cell r="R410" t="b">
            <v>0</v>
          </cell>
          <cell r="S410" t="str"/>
          <cell r="T410" t="b">
            <v>0</v>
          </cell>
          <cell r="W410">
            <v>335</v>
          </cell>
          <cell r="X410" t="str">
            <v>桃園縣大溪鎮田心里27鄰民權東路185巷54號2樓。</v>
          </cell>
          <cell r="Y410" t="str">
            <v>桃園縣大溪鎮</v>
          </cell>
          <cell r="Z410" t="str">
            <v>桃園縣大溪鎮田心里27鄰民權東路185巷54號2樓.</v>
          </cell>
          <cell r="AA410" t="str">
            <v>335桃園縣大溪鎮田心里27鄰民權東路185巷54號2樓。</v>
          </cell>
          <cell r="AK410" t="str">
            <v>973-ZD</v>
          </cell>
          <cell r="AL410" t="str">
            <v>1-0162-鎰利&gt;鎰金&gt;鎰加&gt;寄&gt;附發票&gt;2個月匯款</v>
          </cell>
          <cell r="AM410" t="str">
            <v>1-0162</v>
          </cell>
        </row>
        <row r="411">
          <cell r="B411" t="str">
            <v>1-0406</v>
          </cell>
          <cell r="C411" t="str">
            <v>101-12-01</v>
          </cell>
          <cell r="D411" t="str">
            <v>1-0406-天翔&gt;寄平信&gt;自結</v>
          </cell>
          <cell r="E411" t="str">
            <v>張翔政＞靠行:天翔關係企業＞苗連</v>
          </cell>
          <cell r="F411" t="str">
            <v>張翔政(406)</v>
          </cell>
          <cell r="G411" t="str">
            <v>未稅</v>
          </cell>
          <cell r="H411" t="str">
            <v>寄平信＞自結＞</v>
          </cell>
          <cell r="I411" t="str">
            <v>未稅</v>
          </cell>
          <cell r="J411">
            <v>30</v>
          </cell>
          <cell r="L411" t="str">
            <v>037-729337＞0986-592951</v>
          </cell>
          <cell r="M411">
            <v>0</v>
          </cell>
          <cell r="R411" t="b">
            <v>0</v>
          </cell>
          <cell r="S411" t="str"/>
          <cell r="T411" t="b">
            <v>0</v>
          </cell>
          <cell r="W411">
            <v>356</v>
          </cell>
          <cell r="X411" t="str">
            <v>苗栗縣後龍鎮溪洲里沙崙湖8鄰70之6號。</v>
          </cell>
          <cell r="Y411" t="str">
            <v>苗栗縣後龍鎮</v>
          </cell>
          <cell r="Z411" t="str">
            <v>苗栗縣後龍鎮溪洲里沙崙湖8鄰70之6號.</v>
          </cell>
          <cell r="AA411" t="str">
            <v>356苗栗縣後龍鎮溪洲里沙崙湖8鄰70之6號。</v>
          </cell>
          <cell r="AK411" t="str">
            <v>KI-370</v>
          </cell>
          <cell r="AL411" t="str">
            <v>1-0162-鎰利&gt;鎰金&gt;鎰加&gt;寄&gt;附發票&gt;2個月匯款</v>
          </cell>
          <cell r="AM411" t="str">
            <v>1-0162</v>
          </cell>
        </row>
        <row r="412">
          <cell r="B412" t="str">
            <v>1-0407</v>
          </cell>
          <cell r="C412" t="str">
            <v>101-12-02</v>
          </cell>
          <cell r="D412" t="str">
            <v>1-0407-張武賢&lt;寄&gt;自結</v>
          </cell>
          <cell r="E412" t="str">
            <v>張武賢＞靠行:金谷通運股份有限公司,負:盧郁潔</v>
          </cell>
          <cell r="F412" t="str">
            <v>張武賢(407)</v>
          </cell>
          <cell r="G412" t="str">
            <v>未稅</v>
          </cell>
          <cell r="H412" t="str">
            <v>寄＞自結＞</v>
          </cell>
          <cell r="I412" t="str">
            <v>未稅</v>
          </cell>
          <cell r="J412">
            <v>30</v>
          </cell>
          <cell r="K412" t="str">
            <v>4712＞6655＞未稅</v>
          </cell>
          <cell r="L412" t="str">
            <v>03-5313788＞0932-938050＞0958-938050＞傳真03-5326566</v>
          </cell>
          <cell r="M412">
            <v>0</v>
          </cell>
          <cell r="O412">
            <v>43</v>
          </cell>
          <cell r="P412">
            <v>7</v>
          </cell>
          <cell r="Q412">
            <v>13</v>
          </cell>
          <cell r="R412">
            <v>67</v>
          </cell>
          <cell r="S412">
            <v>54</v>
          </cell>
          <cell r="T412">
            <v>19918</v>
          </cell>
          <cell r="U412" t="str">
            <v>J102769752</v>
          </cell>
          <cell r="V412" t="str">
            <v>張武賢</v>
          </cell>
          <cell r="W412">
            <v>300</v>
          </cell>
          <cell r="X412" t="str">
            <v>新竹巿竹光路6號＞登:新竹市東區文雅里3鄰竹光路6號2樓。</v>
          </cell>
          <cell r="Y412" t="str">
            <v>新竹巿竹光路</v>
          </cell>
          <cell r="Z412" t="str">
            <v>新竹巿竹光路6號.</v>
          </cell>
          <cell r="AA412" t="str">
            <v>300新竹巿竹光路6號＞登:新竹市東區文雅里3鄰竹光路6號2樓。</v>
          </cell>
          <cell r="AK412" t="str">
            <v>2732-FV</v>
          </cell>
          <cell r="AL412" t="str">
            <v>1-0162-鎰利&gt;鎰金&gt;鎰加&gt;寄&gt;附發票&gt;2個月匯款</v>
          </cell>
          <cell r="AM412" t="str">
            <v>1-0162</v>
          </cell>
        </row>
        <row r="413">
          <cell r="B413" t="str">
            <v>1-0408</v>
          </cell>
          <cell r="C413" t="str">
            <v>101-12-03</v>
          </cell>
          <cell r="D413" t="str">
            <v>1-0408-吉祥&gt;寄&gt;親收</v>
          </cell>
          <cell r="E413" t="str">
            <v>吉祥輪胎行＞負:邱坤水</v>
          </cell>
          <cell r="F413" t="str">
            <v>吉祥輪胎行(408)</v>
          </cell>
          <cell r="G413" t="str">
            <v>未稅</v>
          </cell>
          <cell r="H413" t="str">
            <v>寄＞親收＞</v>
          </cell>
          <cell r="I413" t="str">
            <v>未稅</v>
          </cell>
          <cell r="J413">
            <v>30</v>
          </cell>
          <cell r="K413" t="str">
            <v>8334＞9168＞未稅</v>
          </cell>
          <cell r="L413" t="str">
            <v>037-854993＞0937-727471</v>
          </cell>
          <cell r="M413">
            <v>0</v>
          </cell>
          <cell r="R413" t="b">
            <v>0</v>
          </cell>
          <cell r="S413" t="str"/>
          <cell r="T413" t="b">
            <v>0</v>
          </cell>
          <cell r="W413">
            <v>358</v>
          </cell>
          <cell r="X413" t="str">
            <v>苗栗縣苑裡鎮新復里8鄰106之4號＞登:苗栗縣通霄鎮南和里6鄰南和73之3號。</v>
          </cell>
          <cell r="Y413" t="str">
            <v>苗栗縣通霄鎮</v>
          </cell>
          <cell r="Z413" t="str">
            <v>苗栗縣通霄鎮南和里6鄰73號</v>
          </cell>
          <cell r="AA413" t="str">
            <v>358苗栗縣苑裡鎮新復里8鄰106之4號＞登:苗栗縣通霄鎮南和里6鄰南和73之3號。</v>
          </cell>
          <cell r="AK413" t="str">
            <v>685-KA</v>
          </cell>
          <cell r="AL413" t="str">
            <v>1-0162-鎰利&gt;鎰金&gt;鎰加&gt;寄&gt;附發票&gt;2個月匯款</v>
          </cell>
          <cell r="AM413" t="str">
            <v>1-0162</v>
          </cell>
        </row>
        <row r="414">
          <cell r="B414" t="str">
            <v>1-0409</v>
          </cell>
          <cell r="C414" t="str">
            <v>101-12-04</v>
          </cell>
          <cell r="D414" t="str">
            <v>1-0409-大成&gt;寄&gt;附回郵</v>
          </cell>
          <cell r="E414" t="str">
            <v>大成輪胎行＞負:曾文良</v>
          </cell>
          <cell r="F414" t="str">
            <v>大成輪胎行(409)</v>
          </cell>
          <cell r="G414" t="str">
            <v>未稅</v>
          </cell>
          <cell r="H414" t="str">
            <v>寄＞附回郵＞</v>
          </cell>
          <cell r="I414" t="str">
            <v>未稅</v>
          </cell>
          <cell r="J414">
            <v>30</v>
          </cell>
          <cell r="K414" t="str">
            <v>2522＞4301＞未稅</v>
          </cell>
          <cell r="L414" t="str">
            <v>037-991463＞0933-545413</v>
          </cell>
          <cell r="M414">
            <v>0</v>
          </cell>
          <cell r="R414" t="b">
            <v>0</v>
          </cell>
          <cell r="S414" t="str"/>
          <cell r="T414" t="b">
            <v>0</v>
          </cell>
          <cell r="W414">
            <v>364</v>
          </cell>
          <cell r="X414" t="str">
            <v>苗栗縣大湖鄉富興村八寮灣3之11號＞登:苗栗縣大湖鄉富興村8鄰八寮灣27-1號。</v>
          </cell>
          <cell r="Y414" t="str">
            <v>苗栗縣大湖鄉</v>
          </cell>
          <cell r="Z414" t="str">
            <v>苗栗縣大湖鄉富興村八寮灣3之11號.</v>
          </cell>
          <cell r="AA414" t="str">
            <v>364苗栗縣大湖鄉富興村八寮灣3之11號＞登:苗栗縣大湖鄉富興村8鄰八寮灣27-1號。</v>
          </cell>
          <cell r="AK414" t="str">
            <v>693-ZC</v>
          </cell>
          <cell r="AL414" t="str">
            <v>1-0162-鎰利&gt;鎰金&gt;鎰加&gt;寄&gt;附發票&gt;2個月匯款</v>
          </cell>
          <cell r="AM414" t="str">
            <v>1-0162</v>
          </cell>
        </row>
        <row r="415">
          <cell r="B415" t="str">
            <v>1-0410</v>
          </cell>
          <cell r="C415" t="str">
            <v>101-12-05</v>
          </cell>
          <cell r="D415" t="str">
            <v>1-0410-曾天亨&gt;寄&gt;附發票&gt;自結</v>
          </cell>
          <cell r="E415" t="str">
            <v>曾天亨＞靠行:萬順汽車貨運股份有限公司,負:曾雍泰</v>
          </cell>
          <cell r="F415" t="str">
            <v>曾天亨(410)</v>
          </cell>
          <cell r="G415" t="str">
            <v>含稅</v>
          </cell>
          <cell r="H415" t="str">
            <v>寄＞附發票＞自結＞</v>
          </cell>
          <cell r="I415" t="str">
            <v>5025＞5007＞含稅</v>
          </cell>
          <cell r="J415">
            <v>30</v>
          </cell>
          <cell r="L415" t="str">
            <v>0932-695850</v>
          </cell>
          <cell r="M415">
            <v>0</v>
          </cell>
          <cell r="O415">
            <v>51</v>
          </cell>
          <cell r="P415">
            <v>2</v>
          </cell>
          <cell r="Q415">
            <v>15</v>
          </cell>
          <cell r="R415">
            <v>60</v>
          </cell>
          <cell r="S415">
            <v>62</v>
          </cell>
          <cell r="T415">
            <v>22692</v>
          </cell>
          <cell r="V415" t="str">
            <v>曾天亨</v>
          </cell>
          <cell r="W415">
            <v>350</v>
          </cell>
          <cell r="X415" t="str">
            <v>苗栗縣竹南鎮山佳里28鄰51-2號＞登:苗栗縣竹南鎮崎頂里3鄰青草51之6號。</v>
          </cell>
          <cell r="Y415" t="str">
            <v>苗栗縣竹南鎮</v>
          </cell>
          <cell r="Z415" t="str">
            <v>苗栗縣竹南鎮山佳里28鄰51-2號.</v>
          </cell>
          <cell r="AA415" t="str">
            <v>350苗栗縣竹南鎮山佳里28鄰51-2號＞登:苗栗縣竹南鎮崎頂里3鄰青草51之6號。</v>
          </cell>
          <cell r="AK415" t="str">
            <v>993-KL</v>
          </cell>
          <cell r="AL415" t="str">
            <v>1-0162-鎰利&gt;鎰金&gt;鎰加&gt;寄&gt;附發票&gt;2個月匯款</v>
          </cell>
          <cell r="AM415" t="str">
            <v>1-0162</v>
          </cell>
        </row>
        <row r="416">
          <cell r="B416" t="str">
            <v>1-0411</v>
          </cell>
          <cell r="C416" t="str">
            <v>101-12-06</v>
          </cell>
          <cell r="D416" t="str">
            <v>1-0411-鄭瑞宏&gt;寄&gt;自結</v>
          </cell>
          <cell r="E416" t="str">
            <v>鄭瑞宏＞紅龜＞靠行:松生交通股份有限公司,負:陳漢琮</v>
          </cell>
          <cell r="F416" t="str">
            <v>鄭瑞宏(411)</v>
          </cell>
          <cell r="G416" t="str">
            <v>未稅</v>
          </cell>
          <cell r="H416" t="str">
            <v>寄＞自結＞</v>
          </cell>
          <cell r="I416" t="str">
            <v>未稅</v>
          </cell>
          <cell r="J416">
            <v>30</v>
          </cell>
          <cell r="K416" t="str">
            <v>5008＞5480＞未稅</v>
          </cell>
          <cell r="L416" t="str">
            <v>037-431889＞0987-391255</v>
          </cell>
          <cell r="M416">
            <v>0</v>
          </cell>
          <cell r="O416">
            <v>64</v>
          </cell>
          <cell r="P416">
            <v>1</v>
          </cell>
          <cell r="Q416">
            <v>10</v>
          </cell>
          <cell r="R416">
            <v>47</v>
          </cell>
          <cell r="S416">
            <v>75</v>
          </cell>
          <cell r="T416">
            <v>27404</v>
          </cell>
          <cell r="U416" t="str">
            <v>K121088620</v>
          </cell>
          <cell r="V416" t="str">
            <v>鄭瑞宏</v>
          </cell>
          <cell r="W416">
            <v>356</v>
          </cell>
          <cell r="X416" t="str">
            <v>苗栗縣後龍鎮灣寶里10鄰百三134之2號＞登:苗栗縣頭份鎮蟠桃里3鄰中央路268號。</v>
          </cell>
          <cell r="Y416" t="str">
            <v>苗栗縣後龍鎮</v>
          </cell>
          <cell r="Z416" t="str">
            <v>苗栗縣後龍鎮灣寶里10鄰百三134之2號.</v>
          </cell>
          <cell r="AA416" t="str">
            <v>356苗栗縣後龍鎮灣寶里10鄰百三134之2號＞登:苗栗縣頭份鎮蟠桃里3鄰中央路268號。</v>
          </cell>
          <cell r="AK416" t="str">
            <v>KI-559</v>
          </cell>
          <cell r="AL416" t="str">
            <v>1-0162-鎰利&gt;鎰金&gt;鎰加&gt;寄&gt;附發票&gt;2個月匯款</v>
          </cell>
          <cell r="AM416" t="str">
            <v>1-0162</v>
          </cell>
        </row>
        <row r="417">
          <cell r="B417" t="str">
            <v>1-0412</v>
          </cell>
          <cell r="C417" t="str">
            <v>101-12-07</v>
          </cell>
          <cell r="D417" t="str">
            <v>1-0412-裕豐&gt;寄&gt;附發票&gt;附回郵</v>
          </cell>
          <cell r="E417" t="str">
            <v>裕興旺建材有限公司＞負:施傑智＞興磊資源回收有限公司＞負:呂銘祥＞裕豐砂石建材股份有限公司＞負:施傑智</v>
          </cell>
          <cell r="F417" t="str">
            <v>裕興旺建材有限公司(412)</v>
          </cell>
          <cell r="G417" t="str">
            <v>含稅</v>
          </cell>
          <cell r="H417" t="str">
            <v>寄＞附發票＞附回郵＞</v>
          </cell>
          <cell r="I417" t="str">
            <v>5471＞4659裕興旺＞7068＞1470興磊＞3337＞4900裕豐＞含稅＞25號月結</v>
          </cell>
          <cell r="J417">
            <v>25</v>
          </cell>
          <cell r="L417" t="str">
            <v>02-86764525＞0921-981600＞傳真02-86765288</v>
          </cell>
          <cell r="M417">
            <v>0</v>
          </cell>
          <cell r="R417" t="b">
            <v>0</v>
          </cell>
          <cell r="S417" t="str"/>
          <cell r="T417" t="b">
            <v>0</v>
          </cell>
          <cell r="W417">
            <v>237</v>
          </cell>
          <cell r="X417" t="str">
            <v>新北市三峽區溪北里介壽路三段115號。</v>
          </cell>
          <cell r="Y417" t="str">
            <v>新北市三峽區</v>
          </cell>
          <cell r="Z417" t="str">
            <v>新北市三峽區溪北里介壽路三段115號.</v>
          </cell>
          <cell r="AA417" t="str">
            <v>237新北市三峽區溪北里介壽路三段115號。</v>
          </cell>
          <cell r="AK417" t="str">
            <v>881-KC</v>
          </cell>
          <cell r="AL417" t="str">
            <v>1-0162-鎰利&gt;鎰金&gt;鎰加&gt;寄&gt;附發票&gt;2個月匯款</v>
          </cell>
          <cell r="AM417" t="str">
            <v>1-0162</v>
          </cell>
        </row>
        <row r="418">
          <cell r="B418" t="str">
            <v>1-0413</v>
          </cell>
          <cell r="C418" t="str">
            <v>101-12-08</v>
          </cell>
          <cell r="D418" t="str">
            <v>1-0413-林芳裕&gt;寄&gt;自結</v>
          </cell>
          <cell r="E418" t="str">
            <v>林芳裕＞妙妙＞靠行:鴻揚通運有限公司,負:陳富進</v>
          </cell>
          <cell r="F418" t="str">
            <v>林芳裕(413)</v>
          </cell>
          <cell r="G418" t="str">
            <v>未稅</v>
          </cell>
          <cell r="H418" t="str">
            <v>寄＞自結＞</v>
          </cell>
          <cell r="I418" t="str">
            <v>未稅</v>
          </cell>
          <cell r="J418">
            <v>30</v>
          </cell>
          <cell r="K418" t="str">
            <v>1601＞5958＞未稅</v>
          </cell>
          <cell r="L418" t="str">
            <v>037-473271＞0988-773271＞老婆0937-473271</v>
          </cell>
          <cell r="M418">
            <v>0</v>
          </cell>
          <cell r="O418">
            <v>60</v>
          </cell>
          <cell r="P418">
            <v>7</v>
          </cell>
          <cell r="Q418">
            <v>2</v>
          </cell>
          <cell r="R418">
            <v>50</v>
          </cell>
          <cell r="S418">
            <v>71</v>
          </cell>
          <cell r="T418">
            <v>26116</v>
          </cell>
          <cell r="U418" t="str">
            <v>K120719313</v>
          </cell>
          <cell r="V418" t="str">
            <v>林芳裕</v>
          </cell>
          <cell r="W418">
            <v>350</v>
          </cell>
          <cell r="X418" t="str">
            <v>苗栗縣竹南鎮開元路487巷2弄2號＞登:苗栗縣苗栗市勝利里36鄰榮興1-2號1樓。</v>
          </cell>
          <cell r="Y418" t="str">
            <v>苗栗縣竹南鎮</v>
          </cell>
          <cell r="Z418" t="str">
            <v>苗栗縣竹南鎮開元路487巷2弄2號.</v>
          </cell>
          <cell r="AA418" t="str">
            <v>350苗栗縣竹南鎮開元路487巷2弄2號＞登:苗栗縣苗栗市勝利里36鄰榮興1-2號1樓。</v>
          </cell>
          <cell r="AK418" t="str">
            <v>5973-B6</v>
          </cell>
          <cell r="AL418" t="str">
            <v>1-0162-鎰利&gt;鎰金&gt;鎰加&gt;寄&gt;附發票&gt;2個月匯款</v>
          </cell>
          <cell r="AM418" t="str">
            <v>1-0162</v>
          </cell>
        </row>
        <row r="419">
          <cell r="B419" t="str">
            <v>1-0414</v>
          </cell>
          <cell r="C419" t="str">
            <v>101-12-09</v>
          </cell>
          <cell r="D419" t="str">
            <v>1-0414-亞太汽車&gt;寄&gt;附回郵</v>
          </cell>
          <cell r="E419" t="str">
            <v>亞太企業社＞負:林建文</v>
          </cell>
          <cell r="F419" t="str">
            <v>亞太企業社(414)</v>
          </cell>
          <cell r="G419" t="str">
            <v>未稅</v>
          </cell>
          <cell r="H419" t="str">
            <v>寄＞附回郵＞</v>
          </cell>
          <cell r="I419" t="str">
            <v>未稅</v>
          </cell>
          <cell r="J419">
            <v>30</v>
          </cell>
          <cell r="K419" t="str">
            <v>8334＞1546＞未稅</v>
          </cell>
          <cell r="L419" t="str">
            <v>037-616276＞0935-924853＞傳真037-616562</v>
          </cell>
          <cell r="M419">
            <v>0</v>
          </cell>
          <cell r="R419" t="b">
            <v>0</v>
          </cell>
          <cell r="S419" t="str"/>
          <cell r="T419" t="b">
            <v>0</v>
          </cell>
          <cell r="W419">
            <v>351</v>
          </cell>
          <cell r="X419" t="str">
            <v>苗栗縣頭份鎮蘆竹里永貞路一段70號。</v>
          </cell>
          <cell r="Y419" t="str">
            <v>苗栗縣頭份鎮</v>
          </cell>
          <cell r="Z419" t="str">
            <v>苗栗縣頭份鎮蘆竹里永貞路一段70號.</v>
          </cell>
          <cell r="AA419" t="str">
            <v>351苗栗縣頭份鎮蘆竹里永貞路一段70號。</v>
          </cell>
          <cell r="AK419" t="str">
            <v>888-W8</v>
          </cell>
          <cell r="AL419" t="str">
            <v>1-0175-莊人傑&gt;寄平信&gt;附發票＞自結</v>
          </cell>
          <cell r="AM419" t="str">
            <v>1-0175</v>
          </cell>
        </row>
        <row r="420">
          <cell r="B420" t="str">
            <v>1-0415</v>
          </cell>
          <cell r="C420" t="str">
            <v>101-12-10</v>
          </cell>
          <cell r="D420" t="str">
            <v>1-0415-聯有.統一東京&gt;寄&gt;附發票&gt;附回郵</v>
          </cell>
          <cell r="E420" t="str">
            <v>聯有企業股份有限公司＞負:王國儒</v>
          </cell>
          <cell r="F420" t="str">
            <v>聯有企業股份有限公司(415)</v>
          </cell>
          <cell r="G420" t="str">
            <v>含稅</v>
          </cell>
          <cell r="H420" t="str">
            <v>寄＞附發票＞附回郵＞</v>
          </cell>
          <cell r="I420" t="str">
            <v>9704＞0035＞含稅</v>
          </cell>
          <cell r="J420">
            <v>30</v>
          </cell>
          <cell r="L420" t="str">
            <v>037-580801＞0958-662329陳萬鴻＞傳真037-580710</v>
          </cell>
          <cell r="M420">
            <v>0</v>
          </cell>
          <cell r="R420" t="b">
            <v>0</v>
          </cell>
          <cell r="S420" t="str"/>
          <cell r="T420" t="b">
            <v>0</v>
          </cell>
          <cell r="W420">
            <v>350</v>
          </cell>
          <cell r="X420" t="str">
            <v>苗栗縣竹南鎮五福街67號＞登:苗栗縣竹南鎮大埔里19鄰五福街67號。</v>
          </cell>
          <cell r="Y420" t="str">
            <v>苗栗縣竹南鎮</v>
          </cell>
          <cell r="Z420" t="str">
            <v>苗栗縣竹南鎮五福街67號.</v>
          </cell>
          <cell r="AA420" t="str">
            <v>350苗栗縣竹南鎮五福街67號＞登:苗栗縣竹南鎮大埔里19鄰五福街67號。</v>
          </cell>
          <cell r="AK420" t="str">
            <v>HZ-3280</v>
          </cell>
          <cell r="AL420" t="str">
            <v>1-0162-鎰利&gt;鎰金&gt;鎰加&gt;寄&gt;附發票&gt;2個月匯款</v>
          </cell>
          <cell r="AM420" t="str">
            <v>1-0162</v>
          </cell>
        </row>
        <row r="421">
          <cell r="B421" t="str">
            <v>1-0416</v>
          </cell>
          <cell r="C421" t="str">
            <v>101-12-11</v>
          </cell>
          <cell r="D421" t="str">
            <v>1-0416-竹南鎮公所&gt;寄&gt;附發票&gt;附回郵</v>
          </cell>
          <cell r="E421" t="str">
            <v>竹南鎮公所</v>
          </cell>
          <cell r="F421" t="str">
            <v>竹南鎮公所(416)</v>
          </cell>
          <cell r="G421" t="str">
            <v>含稅</v>
          </cell>
          <cell r="H421" t="str">
            <v>寄＞附發票＞附回郵＞附統計表＞附函＞附照片＞</v>
          </cell>
          <cell r="I421" t="str">
            <v>5040＞0804＞含稅＞中華全佑&gt;</v>
          </cell>
          <cell r="J421">
            <v>30</v>
          </cell>
          <cell r="L421" t="str">
            <v>037-462101#129清潔隊李's&gt;#111行政室標案陳's＞傳真037-467207</v>
          </cell>
          <cell r="M421">
            <v>0</v>
          </cell>
          <cell r="R421" t="b">
            <v>0</v>
          </cell>
          <cell r="S421" t="str"/>
          <cell r="T421" t="b">
            <v>0</v>
          </cell>
          <cell r="W421">
            <v>350</v>
          </cell>
          <cell r="X421" t="str">
            <v>苗栗縣竹南鎮中正路112號。</v>
          </cell>
          <cell r="Y421" t="str">
            <v>苗栗縣竹南鎮</v>
          </cell>
          <cell r="Z421" t="str">
            <v>苗栗縣竹南鎮中正路112號.</v>
          </cell>
          <cell r="AA421" t="str">
            <v>350苗栗縣竹南鎮中正路112號。</v>
          </cell>
          <cell r="AK421" t="str">
            <v>KT-601</v>
          </cell>
          <cell r="AL421" t="str">
            <v>1-0162-鎰利&gt;鎰金&gt;鎰加&gt;寄&gt;附發票&gt;2個月匯款</v>
          </cell>
          <cell r="AM421" t="str">
            <v>1-0162</v>
          </cell>
        </row>
        <row r="422">
          <cell r="B422" t="str">
            <v>1-0417</v>
          </cell>
          <cell r="C422" t="str">
            <v>101-12-12</v>
          </cell>
          <cell r="D422" t="str">
            <v>1-0417-大唐&gt;寄&gt;自結</v>
          </cell>
          <cell r="E422" t="str">
            <v>大唐電腦企業社＞負:陳琦忠</v>
          </cell>
          <cell r="F422" t="str">
            <v>大唐電腦企業社(417)</v>
          </cell>
          <cell r="G422" t="str">
            <v>未稅</v>
          </cell>
          <cell r="H422" t="str">
            <v>寄＞自結＞</v>
          </cell>
          <cell r="I422" t="str">
            <v>未稅</v>
          </cell>
          <cell r="J422">
            <v>30</v>
          </cell>
          <cell r="K422" t="str">
            <v>9284＞5414＞未稅</v>
          </cell>
          <cell r="L422" t="str">
            <v>037-544543＞0912-668264陳琦忠</v>
          </cell>
          <cell r="M422">
            <v>0</v>
          </cell>
          <cell r="R422" t="b">
            <v>0</v>
          </cell>
          <cell r="S422" t="str"/>
          <cell r="T422" t="b">
            <v>0</v>
          </cell>
          <cell r="W422">
            <v>361</v>
          </cell>
          <cell r="X422" t="str">
            <v>苗栗縣造橋鄉大西村劍潭街12巷1號＞苗栗縣竹南鎮自強街21號。*2</v>
          </cell>
          <cell r="Y422" t="str">
            <v>苗栗縣造橋鄉</v>
          </cell>
          <cell r="Z422" t="str">
            <v>苗栗縣造橋鄉大西村劍潭街12巷1號.</v>
          </cell>
          <cell r="AA422" t="str">
            <v>361苗栗縣造橋鄉大西村劍潭街12巷1號＞苗栗縣竹南鎮自強街21號。*2</v>
          </cell>
          <cell r="AK422" t="str">
            <v>Q9-2810</v>
          </cell>
          <cell r="AL422" t="str">
            <v>1-0162-鎰利&gt;鎰金&gt;鎰加&gt;寄&gt;附發票&gt;2個月匯款</v>
          </cell>
          <cell r="AM422" t="str">
            <v>1-0162</v>
          </cell>
        </row>
        <row r="423">
          <cell r="B423" t="str">
            <v>1-0418</v>
          </cell>
          <cell r="C423" t="str">
            <v>101-12-13</v>
          </cell>
          <cell r="D423" t="str">
            <v>1-0418-樹文&gt;寄&gt;附發票&gt;自結</v>
          </cell>
          <cell r="E423" t="str">
            <v>樹文企業有限公司＞負:林俊銘＞葳濠企業有限公司＞負:劉士瑋</v>
          </cell>
          <cell r="F423" t="str">
            <v>樹文企業有限公司(418)</v>
          </cell>
          <cell r="G423" t="str">
            <v>含稅</v>
          </cell>
          <cell r="H423" t="str">
            <v>寄＞附發票＞自結＞</v>
          </cell>
          <cell r="I423" t="str">
            <v>4973＞9954樹文＞2426＞3045葳濠＞含稅</v>
          </cell>
          <cell r="J423">
            <v>30</v>
          </cell>
          <cell r="L423" t="str">
            <v>037-671109＞0932-566109＞傳真037-670755</v>
          </cell>
          <cell r="M423">
            <v>0</v>
          </cell>
          <cell r="R423" t="b">
            <v>0</v>
          </cell>
          <cell r="S423" t="str"/>
          <cell r="T423" t="b">
            <v>0</v>
          </cell>
          <cell r="W423">
            <v>350</v>
          </cell>
          <cell r="X423" t="str">
            <v>樹登:苗栗縣竹南鎮頂埔里中華路369號＞葳登:苗栗縣頭份鎮興隆里8鄰華興街10巷8號1樓。</v>
          </cell>
          <cell r="Y423" t="str">
            <v>苗栗縣竹南鎮</v>
          </cell>
          <cell r="Z423" t="str">
            <v>苗栗縣竹南鎮頂埔里中華路369號.</v>
          </cell>
          <cell r="AA423" t="str">
            <v>350樹登:苗栗縣竹南鎮頂埔里中華路369號＞葳登:苗栗縣頭份鎮興隆里8鄰華興街10巷8號1樓。</v>
          </cell>
          <cell r="AK423" t="str">
            <v>420-KP</v>
          </cell>
          <cell r="AL423" t="str">
            <v>1-0162-鎰利&gt;鎰金&gt;鎰加&gt;寄&gt;附發票&gt;2個月匯款</v>
          </cell>
          <cell r="AM423" t="str">
            <v>1-0162</v>
          </cell>
        </row>
        <row r="424">
          <cell r="B424" t="str">
            <v>1-0419</v>
          </cell>
          <cell r="C424" t="str">
            <v>101-12-14</v>
          </cell>
          <cell r="D424" t="str">
            <v>1-0419-廖庭毅&gt;寄&gt;自結</v>
          </cell>
          <cell r="E424" t="str">
            <v>廖庭毅＞廖久雄＞靠行:廣安交通股份有限公司,負:林文瓊＞喜年來通運企業股份有限公司,負:陳春南</v>
          </cell>
          <cell r="F424" t="str">
            <v>廖庭毅(419)</v>
          </cell>
          <cell r="G424" t="str">
            <v>未稅</v>
          </cell>
          <cell r="H424" t="str">
            <v>寄＞自結＞</v>
          </cell>
          <cell r="I424" t="str">
            <v>未稅</v>
          </cell>
          <cell r="J424">
            <v>30</v>
          </cell>
          <cell r="K424" t="str">
            <v>2349＞1909廣安＞5669＞9648喜年來＞未稅</v>
          </cell>
          <cell r="L424" t="str">
            <v>04-26995673＞0921-315148廖庭毅＞0921-315149廖久雄</v>
          </cell>
          <cell r="M424">
            <v>0</v>
          </cell>
          <cell r="R424" t="b">
            <v>0</v>
          </cell>
          <cell r="S424" t="str"/>
          <cell r="T424" t="b">
            <v>0</v>
          </cell>
          <cell r="W424">
            <v>432</v>
          </cell>
          <cell r="X424" t="str">
            <v>台中巿大肚區永順里文昌路二段310巷24號＞廣登:臺中市大肚區福山里沙田路一段520號1樓＞喜登:臺中市大肚區社腳里沙田路一段696號1樓。</v>
          </cell>
          <cell r="Y424" t="str">
            <v>台中巿大肚區</v>
          </cell>
          <cell r="Z424" t="str">
            <v>台中巿大肚區永順里文昌路二段310巷24號.</v>
          </cell>
          <cell r="AA424" t="str">
            <v>432台中巿大肚區永順里文昌路二段310巷24號＞廣登:臺中市大肚區福山里沙田路一段520號1樓＞喜登:臺中市大肚區社腳里沙田路一段696號1樓。</v>
          </cell>
          <cell r="AK424" t="str">
            <v>887-KC</v>
          </cell>
          <cell r="AL424" t="str">
            <v>1-0162-鎰利&gt;鎰金&gt;鎰加&gt;寄&gt;附發票&gt;2個月匯款</v>
          </cell>
          <cell r="AM424" t="str">
            <v>1-0162</v>
          </cell>
        </row>
        <row r="425">
          <cell r="B425" t="str">
            <v>1-0420</v>
          </cell>
          <cell r="C425" t="str">
            <v>101-12-15</v>
          </cell>
          <cell r="D425" t="str">
            <v>1-0420-宏欣&gt;寄&gt;附發票&gt;附回郵</v>
          </cell>
          <cell r="E425" t="str">
            <v>宏欣起重有限公司＞負:蘇曉娟＞弘新起重工程行＞負:張水堂</v>
          </cell>
          <cell r="F425" t="str">
            <v>宏欣起重有限公司(420)</v>
          </cell>
          <cell r="G425" t="str">
            <v>稅外</v>
          </cell>
          <cell r="H425" t="str">
            <v>寄＞附發票＞附回郵＞</v>
          </cell>
          <cell r="I425" t="str">
            <v>2852＞7244宏欣＞1965＞9784弘新＞稅外</v>
          </cell>
          <cell r="J425">
            <v>30</v>
          </cell>
          <cell r="L425" t="str">
            <v>03-5696666＞0932-938118＞傳真03-5900152</v>
          </cell>
          <cell r="M425">
            <v>0</v>
          </cell>
          <cell r="R425" t="b">
            <v>0</v>
          </cell>
          <cell r="S425" t="str"/>
          <cell r="T425" t="b">
            <v>0</v>
          </cell>
          <cell r="W425">
            <v>303</v>
          </cell>
          <cell r="X425" t="str">
            <v>新竹縣湖口鄉湖口村20鄰湖中路76巷37號。</v>
          </cell>
          <cell r="Y425" t="str">
            <v>新竹縣湖口鄉</v>
          </cell>
          <cell r="Z425" t="str">
            <v>新竹縣湖口鄉湖口村20鄰湖中路76巷37號.</v>
          </cell>
          <cell r="AA425" t="str">
            <v>303新竹縣湖口鄉湖口村20鄰湖中路76巷37號。</v>
          </cell>
          <cell r="AK425" t="str">
            <v>945-JD</v>
          </cell>
          <cell r="AL425" t="str">
            <v>1-0162-鎰利&gt;鎰金&gt;鎰加&gt;寄&gt;附發票&gt;2個月匯款</v>
          </cell>
          <cell r="AM425" t="str">
            <v>1-0162</v>
          </cell>
        </row>
        <row r="426">
          <cell r="B426" t="str">
            <v>1-0421</v>
          </cell>
          <cell r="C426" t="str">
            <v>101-12-16</v>
          </cell>
          <cell r="D426" t="str">
            <v>1-0421-王建昇&gt;寄&gt;自結</v>
          </cell>
          <cell r="E426" t="str">
            <v>王建昇＞峨嵋橘子朋友＞靠行:統永交通有限公司,負:陳文佑</v>
          </cell>
          <cell r="F426" t="str">
            <v>王建昇(421)</v>
          </cell>
          <cell r="G426" t="str">
            <v>未稅</v>
          </cell>
          <cell r="H426" t="str">
            <v>寄＞自結＞</v>
          </cell>
          <cell r="I426" t="str">
            <v>未稅</v>
          </cell>
          <cell r="J426">
            <v>30</v>
          </cell>
          <cell r="K426" t="str">
            <v>7068＞2345＞未稅</v>
          </cell>
          <cell r="L426" t="str">
            <v>03-5800949＞0921-035372</v>
          </cell>
          <cell r="M426">
            <v>0</v>
          </cell>
          <cell r="O426">
            <v>76</v>
          </cell>
          <cell r="P426">
            <v>1</v>
          </cell>
          <cell r="Q426">
            <v>10</v>
          </cell>
          <cell r="R426">
            <v>35</v>
          </cell>
          <cell r="S426">
            <v>87</v>
          </cell>
          <cell r="T426">
            <v>31787</v>
          </cell>
          <cell r="U426" t="str">
            <v>J121937047</v>
          </cell>
          <cell r="V426" t="str">
            <v>王建昇</v>
          </cell>
          <cell r="W426">
            <v>315</v>
          </cell>
          <cell r="X426" t="str">
            <v>新竹縣峨嵋鄉1鄰9之1號＞登:屏東縣屏東市大連里建豐路122巷1號1樓。</v>
          </cell>
          <cell r="Y426" t="str">
            <v>新竹縣峨嵋鄉</v>
          </cell>
          <cell r="Z426" t="str">
            <v>新竹縣峨嵋鄉1鄰9之1號.</v>
          </cell>
          <cell r="AA426" t="str">
            <v>315新竹縣峨嵋鄉1鄰9之1號＞登:屏東縣屏東市大連里建豐路122巷1號1樓。</v>
          </cell>
          <cell r="AK426" t="str">
            <v>5700-KZ</v>
          </cell>
          <cell r="AL426" t="str">
            <v>1-0175-莊人傑&gt;寄平信&gt;附發票＞自結</v>
          </cell>
          <cell r="AM426" t="str">
            <v>1-0175</v>
          </cell>
        </row>
        <row r="427">
          <cell r="B427" t="str">
            <v>1-0422</v>
          </cell>
          <cell r="C427" t="str">
            <v>101-12-17</v>
          </cell>
          <cell r="D427" t="str">
            <v>1-0422-大道輪胎&gt;寄&gt;附回郵</v>
          </cell>
          <cell r="E427" t="str">
            <v>大道輪胎行＞負:張甘衛</v>
          </cell>
          <cell r="F427" t="str">
            <v>大道輪胎行(422)</v>
          </cell>
          <cell r="G427" t="str">
            <v>未稅</v>
          </cell>
          <cell r="H427" t="str">
            <v>寄＞附回郵＞</v>
          </cell>
          <cell r="I427" t="str">
            <v>未稅</v>
          </cell>
          <cell r="J427">
            <v>30</v>
          </cell>
          <cell r="K427" t="str">
            <v>1422＞0976＞未稅</v>
          </cell>
          <cell r="L427" t="str">
            <v>037-869542＞0933-494176</v>
          </cell>
          <cell r="M427">
            <v>0</v>
          </cell>
          <cell r="R427" t="b">
            <v>0</v>
          </cell>
          <cell r="S427" t="str"/>
          <cell r="T427" t="b">
            <v>0</v>
          </cell>
          <cell r="W427">
            <v>358</v>
          </cell>
          <cell r="X427" t="str">
            <v>苗栗縣苑裡郵政56號信箱＞登:苗栗縣苑裡鎮苑南里11鄰鄰天下路73號。</v>
          </cell>
          <cell r="Y427" t="str">
            <v>苗栗縣苑裡郵</v>
          </cell>
          <cell r="Z427" t="str">
            <v>苗栗縣苑裡郵政56號信箱.</v>
          </cell>
          <cell r="AA427" t="str">
            <v>358苗栗縣苑裡郵政56號信箱＞登:苗栗縣苑裡鎮苑南里11鄰鄰天下路73號。</v>
          </cell>
          <cell r="AK427" t="str">
            <v>591-KL</v>
          </cell>
          <cell r="AL427" t="str">
            <v>1-0162-鎰利&gt;鎰金&gt;鎰加&gt;寄&gt;附發票&gt;2個月匯款</v>
          </cell>
          <cell r="AM427" t="str">
            <v>1-0162</v>
          </cell>
        </row>
        <row r="428">
          <cell r="B428" t="str">
            <v>1-0423</v>
          </cell>
          <cell r="C428" t="str">
            <v>101-12-18</v>
          </cell>
          <cell r="D428" t="str">
            <v>1-0423-大豐&gt;寄&gt;附發票&gt;附回郵</v>
          </cell>
          <cell r="E428" t="str">
            <v>盛榮資源回收有限公司＞負:林俊維＞大豐</v>
          </cell>
          <cell r="F428" t="str">
            <v>盛榮資源回收有限公司(423)</v>
          </cell>
          <cell r="G428" t="str">
            <v>含稅</v>
          </cell>
          <cell r="H428" t="str">
            <v>寄＞附發票＞附回郵＞</v>
          </cell>
          <cell r="I428" t="str">
            <v>2503＞4978＞含稅</v>
          </cell>
          <cell r="J428">
            <v>30</v>
          </cell>
          <cell r="L428" t="str">
            <v>037-482231＞0973-366667＞傳真037-550423</v>
          </cell>
          <cell r="M428">
            <v>0</v>
          </cell>
          <cell r="R428" t="b">
            <v>0</v>
          </cell>
          <cell r="S428" t="str"/>
          <cell r="T428" t="b">
            <v>0</v>
          </cell>
          <cell r="W428">
            <v>350</v>
          </cell>
          <cell r="X428" t="str">
            <v>苗栗縣竹南鎮國泰路43號＞登:苗栗縣竹南鎮頂埔里12鄰中華路371號1樓。</v>
          </cell>
          <cell r="Y428" t="str">
            <v>苗栗縣竹南鎮</v>
          </cell>
          <cell r="Z428" t="str">
            <v>苗栗縣竹南鎮國泰路43號.</v>
          </cell>
          <cell r="AA428" t="str">
            <v>350苗栗縣竹南鎮國泰路43號＞登:苗栗縣竹南鎮頂埔里12鄰中華路371號1樓。</v>
          </cell>
          <cell r="AK428" t="str">
            <v>038-GG</v>
          </cell>
          <cell r="AL428" t="str">
            <v>1-0164-元慶&gt;寄&gt;附發票&gt;附回郵</v>
          </cell>
          <cell r="AM428" t="str">
            <v>1-0164</v>
          </cell>
        </row>
        <row r="429">
          <cell r="B429" t="str">
            <v>1-0424</v>
          </cell>
          <cell r="C429" t="str">
            <v>101-12-19</v>
          </cell>
          <cell r="D429" t="str">
            <v>1-0424-錦鋒&gt;寄&gt;附發票&gt;附回郵</v>
          </cell>
          <cell r="E429" t="str">
            <v>錦鋒化工股份有限公司＞負:林元龍</v>
          </cell>
          <cell r="F429" t="str">
            <v>錦鋒化工股份有限公司(424)</v>
          </cell>
          <cell r="G429" t="str">
            <v>含稅</v>
          </cell>
          <cell r="H429" t="str">
            <v>寄＞附發票＞附回郵＞</v>
          </cell>
          <cell r="I429" t="str">
            <v>2213＞7613＞含稅</v>
          </cell>
          <cell r="J429">
            <v>30</v>
          </cell>
          <cell r="L429" t="str">
            <v>037-584066＞0910-519836林元龍＞傳真037-584598</v>
          </cell>
          <cell r="M429">
            <v>0</v>
          </cell>
          <cell r="R429" t="b">
            <v>0</v>
          </cell>
          <cell r="S429" t="str"/>
          <cell r="T429" t="b">
            <v>0</v>
          </cell>
          <cell r="W429">
            <v>350</v>
          </cell>
          <cell r="X429" t="str">
            <v>苗栗縣竹南鎮工業區和誠街8號＞登:臺北市信義區中興里15鄰信義路四段405號5樓。</v>
          </cell>
          <cell r="Y429" t="str">
            <v>苗栗縣竹南鎮</v>
          </cell>
          <cell r="Z429" t="str">
            <v>苗栗縣竹南鎮工業區和誠街8號.</v>
          </cell>
          <cell r="AA429" t="str">
            <v>350苗栗縣竹南鎮工業區和誠街8號＞登:臺北市信義區中興里15鄰信義路四段405號5樓。</v>
          </cell>
          <cell r="AK429" t="str">
            <v>Y3-639</v>
          </cell>
          <cell r="AL429" t="str">
            <v>1-0164-元慶&gt;寄&gt;附發票&gt;附回郵</v>
          </cell>
          <cell r="AM429" t="str">
            <v>1-0164</v>
          </cell>
        </row>
        <row r="430">
          <cell r="B430" t="str">
            <v>1-0425</v>
          </cell>
          <cell r="C430" t="str">
            <v>101-12-20</v>
          </cell>
          <cell r="D430" t="str">
            <v>1-0425-聯興&gt;寄&gt;附回郵</v>
          </cell>
          <cell r="E430" t="str">
            <v>聯興汽車貨運股份有限公司＞負:葉森池</v>
          </cell>
          <cell r="F430" t="str">
            <v>聯興汽車貨運股份有限公司(425)</v>
          </cell>
          <cell r="G430" t="str">
            <v>未稅</v>
          </cell>
          <cell r="H430" t="str">
            <v>寄＞附發票＞附回郵＞</v>
          </cell>
          <cell r="I430" t="str">
            <v>未稅</v>
          </cell>
          <cell r="J430">
            <v>30</v>
          </cell>
          <cell r="K430" t="str">
            <v>1200＞3208＞未稅</v>
          </cell>
          <cell r="L430" t="str">
            <v>037-461886＞0988-335916＞0976-512461＞傳真037-480906</v>
          </cell>
          <cell r="M430">
            <v>0</v>
          </cell>
          <cell r="R430" t="b">
            <v>0</v>
          </cell>
          <cell r="S430" t="str"/>
          <cell r="T430" t="b">
            <v>0</v>
          </cell>
          <cell r="W430">
            <v>350</v>
          </cell>
          <cell r="X430" t="str">
            <v>苗栗縣竹南鎮中英里16鄰保安林209號。</v>
          </cell>
          <cell r="Y430" t="str">
            <v>苗栗縣竹南鎮</v>
          </cell>
          <cell r="Z430" t="str">
            <v>苗栗縣竹南鎮中英里16鄰保安林209號.</v>
          </cell>
          <cell r="AA430" t="str">
            <v>350苗栗縣竹南鎮中英里16鄰保安林209號。</v>
          </cell>
          <cell r="AK430" t="str">
            <v>031-GG</v>
          </cell>
          <cell r="AL430" t="str">
            <v>1-0164-元慶&gt;寄&gt;附發票&gt;附回郵</v>
          </cell>
          <cell r="AM430" t="str">
            <v>1-0164</v>
          </cell>
        </row>
        <row r="431">
          <cell r="B431" t="str">
            <v>1-0426</v>
          </cell>
          <cell r="C431" t="str">
            <v>101-12-21</v>
          </cell>
          <cell r="D431" t="str">
            <v>1-0426-李俊麟&gt;寄&gt;附回郵</v>
          </cell>
          <cell r="E431" t="str">
            <v>李俊麟＞大雄＞靠行:嘉盛汽車運輸股份有限公司,負:黃添福</v>
          </cell>
          <cell r="F431" t="str">
            <v>李俊麟(426)</v>
          </cell>
          <cell r="G431" t="str">
            <v>未稅</v>
          </cell>
          <cell r="H431" t="str">
            <v>寄＞附回郵＞</v>
          </cell>
          <cell r="I431" t="str">
            <v>未稅</v>
          </cell>
          <cell r="J431">
            <v>30</v>
          </cell>
          <cell r="K431" t="str">
            <v>4938＞9534＞未稅</v>
          </cell>
          <cell r="L431" t="str">
            <v>03-5516363＞0927-939571＞0927-939572老婆</v>
          </cell>
          <cell r="M431">
            <v>0</v>
          </cell>
          <cell r="O431">
            <v>62</v>
          </cell>
          <cell r="P431">
            <v>5</v>
          </cell>
          <cell r="Q431">
            <v>16</v>
          </cell>
          <cell r="R431">
            <v>48</v>
          </cell>
          <cell r="S431">
            <v>73</v>
          </cell>
          <cell r="T431">
            <v>26800</v>
          </cell>
          <cell r="U431" t="str">
            <v>J120292216</v>
          </cell>
          <cell r="V431" t="str">
            <v>李俊麟</v>
          </cell>
          <cell r="W431">
            <v>302</v>
          </cell>
          <cell r="X431" t="str">
            <v>竹北巿聯興一街188巷46號＞堂哥:新竹巿東門里平和街14號＞登:苗栗縣後龍鎮龍坑里15鄰十班坑169之5號。</v>
          </cell>
          <cell r="Y431" t="str">
            <v>竹北巿聯興一</v>
          </cell>
          <cell r="Z431" t="str">
            <v>竹北巿聯興一街188巷46號.</v>
          </cell>
          <cell r="AA431" t="str">
            <v>302竹北巿聯興一街188巷46號＞堂哥:新竹巿東門里平和街14號＞登:苗栗縣後龍鎮龍坑里15鄰十班坑169之5號。</v>
          </cell>
          <cell r="AK431" t="str">
            <v>553-QQ</v>
          </cell>
          <cell r="AL431" t="str">
            <v>1-0164-元慶&gt;寄&gt;附發票&gt;附回郵</v>
          </cell>
          <cell r="AM431" t="str">
            <v>1-0164</v>
          </cell>
        </row>
        <row r="432">
          <cell r="B432" t="str">
            <v>1-0427</v>
          </cell>
          <cell r="C432" t="str">
            <v>101-12-22</v>
          </cell>
          <cell r="D432" t="str">
            <v>1-0427-金鋐國&gt;寄&gt;附回郵</v>
          </cell>
          <cell r="E432" t="str">
            <v>金鋐國通運股份有限公司＞負:吳振棟</v>
          </cell>
          <cell r="F432" t="str">
            <v>金鋐國通運股份有限公司(427)</v>
          </cell>
          <cell r="G432" t="str">
            <v>未稅</v>
          </cell>
          <cell r="H432" t="str">
            <v>寄＞附回郵＞</v>
          </cell>
          <cell r="I432" t="str">
            <v>未稅</v>
          </cell>
          <cell r="J432">
            <v>30</v>
          </cell>
          <cell r="K432" t="str">
            <v>1669＞1206＞未稅</v>
          </cell>
          <cell r="L432" t="str">
            <v>037-750959＞037-753593＞傳真037-761618</v>
          </cell>
          <cell r="M432">
            <v>0</v>
          </cell>
          <cell r="R432" t="b">
            <v>0</v>
          </cell>
          <cell r="S432" t="str"/>
          <cell r="T432" t="b">
            <v>0</v>
          </cell>
          <cell r="V432" t="str">
            <v>吳振棟</v>
          </cell>
          <cell r="W432">
            <v>357</v>
          </cell>
          <cell r="X432" t="str">
            <v>苗栗縣通霄鎮西里漁港路40號＞登:苗栗縣通霄鎮通西里28鄰漁港路107巷22號1樓。</v>
          </cell>
          <cell r="Y432" t="str">
            <v>苗栗縣通霄鎮</v>
          </cell>
          <cell r="Z432" t="str">
            <v>苗栗縣通霄鎮西里漁港路40號.</v>
          </cell>
          <cell r="AA432" t="str">
            <v>357苗栗縣通霄鎮西里漁港路40號＞登:苗栗縣通霄鎮通西里28鄰漁港路107巷22號1樓。</v>
          </cell>
          <cell r="AK432" t="str">
            <v>077-NN</v>
          </cell>
          <cell r="AL432" t="str">
            <v>1-0164-元慶&gt;寄&gt;附發票&gt;附回郵</v>
          </cell>
          <cell r="AM432" t="str">
            <v>1-0164</v>
          </cell>
        </row>
        <row r="433">
          <cell r="B433" t="str">
            <v>1-0428</v>
          </cell>
          <cell r="C433" t="str">
            <v>101-12-23</v>
          </cell>
          <cell r="D433" t="str">
            <v>1-0428-林龍燕&gt;寄&gt;附回郵</v>
          </cell>
          <cell r="E433" t="str">
            <v>芳宜旅行社有限公司＞負:林龍燕＞大狗熊</v>
          </cell>
          <cell r="F433" t="str">
            <v>林龍燕-芳宜旅行社有限公司(428)</v>
          </cell>
          <cell r="G433" t="str">
            <v>未稅</v>
          </cell>
          <cell r="H433" t="str">
            <v>寄＞附回郵＞</v>
          </cell>
          <cell r="I433" t="str">
            <v>未稅</v>
          </cell>
          <cell r="J433">
            <v>30</v>
          </cell>
          <cell r="K433" t="str">
            <v>5387＞8675＞未稅</v>
          </cell>
          <cell r="L433" t="str">
            <v>03-5267832＞0932-177699＞0925-177699＞傳真03-5628122</v>
          </cell>
          <cell r="M433">
            <v>0</v>
          </cell>
          <cell r="R433" t="b">
            <v>0</v>
          </cell>
          <cell r="S433" t="str"/>
          <cell r="T433" t="b">
            <v>0</v>
          </cell>
          <cell r="V433" t="str">
            <v>林龍燕</v>
          </cell>
          <cell r="W433">
            <v>300</v>
          </cell>
          <cell r="X433" t="str">
            <v>新竹巿東香里東香路一段113巷7弄3號＞登:新竹市東區新光里10鄰明湖路193號3樓。</v>
          </cell>
          <cell r="Y433" t="str">
            <v>新竹巿東香里</v>
          </cell>
          <cell r="Z433" t="str">
            <v>新竹巿東香里東香路一段113巷7弄3號.</v>
          </cell>
          <cell r="AA433" t="str">
            <v>300新竹巿東香里東香路一段113巷7弄3號＞登:新竹市東區新光里10鄰明湖路193號3樓。</v>
          </cell>
          <cell r="AK433" t="str">
            <v>633-FF</v>
          </cell>
          <cell r="AL433" t="str">
            <v>1-0164-元慶&gt;寄&gt;附發票&gt;附回郵</v>
          </cell>
          <cell r="AM433" t="str">
            <v>1-0164</v>
          </cell>
        </row>
        <row r="434">
          <cell r="B434" t="str">
            <v>1-0429</v>
          </cell>
          <cell r="C434" t="str">
            <v>109-02-28</v>
          </cell>
          <cell r="D434" t="str">
            <v>1-0429-協成輪胎&gt;寄&gt;附發票&gt;附回郵</v>
          </cell>
          <cell r="E434" t="str">
            <v>協成輪胎行&gt;負:顏足美</v>
          </cell>
          <cell r="F434" t="str">
            <v>協成輪胎行(429)</v>
          </cell>
          <cell r="G434" t="str">
            <v>含稅</v>
          </cell>
          <cell r="H434" t="str">
            <v>寄&gt;附發票&gt;附回郵&gt;</v>
          </cell>
          <cell r="I434" t="str">
            <v>6683&gt;7515&gt;票期含稅&gt;現金價扣3%</v>
          </cell>
          <cell r="J434">
            <v>30</v>
          </cell>
          <cell r="L434" t="str">
            <v>037-758560&gt;0933-544323黃松富</v>
          </cell>
          <cell r="M434">
            <v>0</v>
          </cell>
          <cell r="R434" t="b">
            <v>0</v>
          </cell>
          <cell r="S434" t="str"/>
          <cell r="T434" t="b">
            <v>0</v>
          </cell>
          <cell r="V434" t="str">
            <v>顏足美</v>
          </cell>
          <cell r="W434">
            <v>357</v>
          </cell>
          <cell r="X434" t="str">
            <v>苗栗縣通霄鎮通灣里中山路15鄰347號</v>
          </cell>
          <cell r="Y434" t="str">
            <v>苗栗縣通霄鎮</v>
          </cell>
          <cell r="Z434" t="str">
            <v>苗栗縣通霄鎮通灣里中山路15鄰347號</v>
          </cell>
          <cell r="AA434" t="str">
            <v>357苗栗縣通霄鎮通灣里中山路15鄰347號</v>
          </cell>
          <cell r="AK434" t="str">
            <v>056-NN</v>
          </cell>
          <cell r="AL434" t="str">
            <v>1-0164-元慶&gt;寄&gt;附發票&gt;附回郵</v>
          </cell>
          <cell r="AM434" t="str">
            <v>1-0164</v>
          </cell>
        </row>
        <row r="435">
          <cell r="B435" t="str">
            <v>1-0430</v>
          </cell>
          <cell r="C435" t="str">
            <v>101-12-25</v>
          </cell>
          <cell r="D435" t="str">
            <v>1-0430-沅冠&gt;寄&gt;自結</v>
          </cell>
          <cell r="E435" t="str">
            <v>沅冠企業股份有限公司＞負:鍾宇冠</v>
          </cell>
          <cell r="F435" t="str">
            <v>沅冠企業股份有限公司(430)</v>
          </cell>
          <cell r="G435" t="str">
            <v>未稅</v>
          </cell>
          <cell r="H435" t="str">
            <v>寄＞自結＞</v>
          </cell>
          <cell r="I435" t="str">
            <v>未稅</v>
          </cell>
          <cell r="J435">
            <v>30</v>
          </cell>
          <cell r="K435" t="str">
            <v>8204＞4913＞未稅</v>
          </cell>
          <cell r="L435" t="str">
            <v>037-484510＞0913-397888鍾宇冠＞0925-338886張小姐＞傳真037-484841</v>
          </cell>
          <cell r="M435">
            <v>0</v>
          </cell>
          <cell r="R435" t="b">
            <v>0</v>
          </cell>
          <cell r="S435" t="str"/>
          <cell r="T435" t="b">
            <v>0</v>
          </cell>
          <cell r="V435" t="str">
            <v>鍾宇冠</v>
          </cell>
          <cell r="W435">
            <v>350</v>
          </cell>
          <cell r="X435" t="str">
            <v>竹南郵政147號信箱＞登:苗栗縣竹南鎮大厝里11鄰大營路149之1號 。</v>
          </cell>
          <cell r="Y435" t="str">
            <v>竹南郵政14</v>
          </cell>
          <cell r="Z435" t="str">
            <v>竹南郵政147號信箱.</v>
          </cell>
          <cell r="AA435" t="str">
            <v>350竹南郵政147號信箱＞登:苗栗縣竹南鎮大厝里11鄰大營路149之1號 。</v>
          </cell>
          <cell r="AK435" t="str">
            <v>287-JJ</v>
          </cell>
          <cell r="AL435" t="str">
            <v>1-0164-元慶&gt;寄&gt;附發票&gt;附回郵</v>
          </cell>
          <cell r="AM435" t="str">
            <v>1-0164</v>
          </cell>
        </row>
        <row r="436">
          <cell r="B436" t="str">
            <v>1-0431</v>
          </cell>
          <cell r="C436" t="str">
            <v>101-12-26</v>
          </cell>
          <cell r="D436" t="str">
            <v>1-0431-朱金發&gt;志松&gt;寄&gt;自結</v>
          </cell>
          <cell r="E436" t="str">
            <v>朱金發＞靠行:志松汽車貨運股份有限公司,負:方錦珍</v>
          </cell>
          <cell r="F436" t="str">
            <v>朱金發(431)</v>
          </cell>
          <cell r="G436" t="str">
            <v>未稅</v>
          </cell>
          <cell r="H436" t="str">
            <v>寄＞自結＞</v>
          </cell>
          <cell r="I436" t="str">
            <v>未稅</v>
          </cell>
          <cell r="J436">
            <v>30</v>
          </cell>
          <cell r="K436" t="str">
            <v>4972＞6472＞未稅</v>
          </cell>
          <cell r="L436" t="str">
            <v>037-469659＞0911-783597</v>
          </cell>
          <cell r="M436">
            <v>0</v>
          </cell>
          <cell r="O436">
            <v>54</v>
          </cell>
          <cell r="P436">
            <v>2</v>
          </cell>
          <cell r="Q436">
            <v>12</v>
          </cell>
          <cell r="R436">
            <v>57</v>
          </cell>
          <cell r="S436">
            <v>65</v>
          </cell>
          <cell r="T436">
            <v>23785</v>
          </cell>
          <cell r="U436" t="str">
            <v>K121047969</v>
          </cell>
          <cell r="V436" t="str">
            <v>朱金發</v>
          </cell>
          <cell r="W436">
            <v>350</v>
          </cell>
          <cell r="X436" t="str">
            <v>苗栗縣竹南鎮照南里10鄰三泰街2巷3號＞登:苗栗縣頭份鎮蟠桃里3鄰中央路268號3樓。</v>
          </cell>
          <cell r="Y436" t="str">
            <v>苗栗縣竹南鎮</v>
          </cell>
          <cell r="Z436" t="str">
            <v>苗栗縣竹南鎮照南里10鄰三泰街2巷3號.</v>
          </cell>
          <cell r="AA436" t="str">
            <v>350苗栗縣竹南鎮照南里10鄰三泰街2巷3號＞登:苗栗縣頭份鎮蟠桃里3鄰中央路268號3樓。</v>
          </cell>
          <cell r="AK436" t="str">
            <v>659-WW</v>
          </cell>
          <cell r="AL436" t="str">
            <v>1-0164-元慶&gt;寄&gt;附發票&gt;附回郵</v>
          </cell>
          <cell r="AM436" t="str">
            <v>1-0164</v>
          </cell>
        </row>
        <row r="437">
          <cell r="B437" t="str">
            <v>1-0432</v>
          </cell>
          <cell r="C437" t="str">
            <v>101-12-27</v>
          </cell>
          <cell r="D437" t="str">
            <v>1-0432-源強&gt;寄&gt;附發票&gt;自結</v>
          </cell>
          <cell r="E437" t="str">
            <v>林智芳＞靠行:源強運輸有限公司,負:廖彗均</v>
          </cell>
          <cell r="F437" t="str">
            <v>林智芳(432)</v>
          </cell>
          <cell r="G437" t="str">
            <v>含稅</v>
          </cell>
          <cell r="H437" t="str">
            <v>寄＞附發票＞自結＞</v>
          </cell>
          <cell r="I437" t="str">
            <v>1604＞2836＞含稅</v>
          </cell>
          <cell r="J437">
            <v>30</v>
          </cell>
          <cell r="L437" t="str">
            <v>0937-243466哥哥＞0933-460508弟弟</v>
          </cell>
          <cell r="M437">
            <v>0</v>
          </cell>
          <cell r="R437" t="b">
            <v>0</v>
          </cell>
          <cell r="S437" t="str"/>
          <cell r="T437" t="b">
            <v>0</v>
          </cell>
          <cell r="W437">
            <v>352</v>
          </cell>
          <cell r="X437" t="str">
            <v>苗栗縣三灣鄉內灣村2鄰龍峎頂9號＞登:苗栗縣頭份鎮自強里26鄰自強路27號。</v>
          </cell>
          <cell r="Y437" t="str">
            <v>苗栗縣三灣鄉</v>
          </cell>
          <cell r="Z437" t="str">
            <v>苗栗縣三灣鄉內灣村2鄰龍峎頂9號.</v>
          </cell>
          <cell r="AA437" t="str">
            <v>352苗栗縣三灣鄉內灣村2鄰龍峎頂9號＞登:苗栗縣頭份鎮自強里26鄰自強路27號。</v>
          </cell>
          <cell r="AK437" t="str">
            <v>572-LL</v>
          </cell>
          <cell r="AL437" t="str">
            <v>1-0164-元慶&gt;寄&gt;附發票&gt;附回郵</v>
          </cell>
          <cell r="AM437" t="str">
            <v>1-0164</v>
          </cell>
        </row>
        <row r="438">
          <cell r="B438" t="str">
            <v>1-0433</v>
          </cell>
          <cell r="C438" t="str">
            <v>101-12-28</v>
          </cell>
          <cell r="D438" t="str">
            <v>1-0433-紘洋&gt;寄&gt;附發票&gt;附回郵</v>
          </cell>
          <cell r="E438" t="str">
            <v>紘洋通運股份有限公司＞龍運砂石有限公司＞負:曾秋金</v>
          </cell>
          <cell r="F438" t="str">
            <v>紘洋通運股份有限公司(433)</v>
          </cell>
          <cell r="G438" t="str">
            <v>含稅</v>
          </cell>
          <cell r="H438" t="str">
            <v>寄＞附發票＞附回郵＞</v>
          </cell>
          <cell r="I438" t="str">
            <v>4973＞3804紘洋＞8000＞6765龍運＞含稅</v>
          </cell>
          <cell r="J438">
            <v>30</v>
          </cell>
          <cell r="L438" t="str">
            <v>04-26814677＞04-26814675＞0910-435694＞傳真04-26814665</v>
          </cell>
          <cell r="M438">
            <v>0</v>
          </cell>
          <cell r="R438" t="b">
            <v>0</v>
          </cell>
          <cell r="S438" t="str"/>
          <cell r="T438" t="b">
            <v>0</v>
          </cell>
          <cell r="W438">
            <v>437</v>
          </cell>
          <cell r="X438" t="str">
            <v>台中縣大甲區通天路2號旁＞登:臺中市大甲區銅安里10鄰長壽路19-7號1樓。</v>
          </cell>
          <cell r="Y438" t="str">
            <v>台中縣大甲區</v>
          </cell>
          <cell r="Z438" t="str">
            <v>台中縣大甲區通天路2號旁.</v>
          </cell>
          <cell r="AA438" t="str">
            <v>437台中縣大甲區通天路2號旁＞登:臺中市大甲區銅安里10鄰長壽路19-7號1樓。</v>
          </cell>
          <cell r="AK438" t="str">
            <v>661-CC</v>
          </cell>
          <cell r="AL438" t="str">
            <v>1-0164-元慶&gt;寄&gt;附發票&gt;附回郵</v>
          </cell>
          <cell r="AM438" t="str">
            <v>1-0164</v>
          </cell>
        </row>
        <row r="439">
          <cell r="B439" t="str">
            <v>1-0434</v>
          </cell>
          <cell r="C439" t="str">
            <v>101-12-29</v>
          </cell>
          <cell r="D439" t="str">
            <v>1-0434-李政芳&gt;寄&gt;自結</v>
          </cell>
          <cell r="E439" t="str">
            <v>李政芳＞紅龍＞靠行:堅美環保企業有限公司,負:王宇荃＞得豐</v>
          </cell>
          <cell r="F439" t="str">
            <v>李政芳(434)</v>
          </cell>
          <cell r="G439" t="str">
            <v>未稅</v>
          </cell>
          <cell r="H439" t="str">
            <v>寄＞自結＞</v>
          </cell>
          <cell r="I439" t="str">
            <v>未稅</v>
          </cell>
          <cell r="J439">
            <v>30</v>
          </cell>
          <cell r="K439" t="str">
            <v>2857＞8279＞未稅</v>
          </cell>
          <cell r="L439" t="str">
            <v>03-5370608＞0925-938300</v>
          </cell>
          <cell r="M439">
            <v>0</v>
          </cell>
          <cell r="O439">
            <v>60</v>
          </cell>
          <cell r="P439">
            <v>5</v>
          </cell>
          <cell r="Q439">
            <v>7</v>
          </cell>
          <cell r="R439">
            <v>50</v>
          </cell>
          <cell r="S439">
            <v>71</v>
          </cell>
          <cell r="T439">
            <v>26060</v>
          </cell>
          <cell r="U439" t="str">
            <v>J121143858</v>
          </cell>
          <cell r="W439">
            <v>300</v>
          </cell>
          <cell r="X439" t="str">
            <v>苗栗縣頭份鎮后庄里6鄰建興街2號＞登:南投縣南投市新興里同源路四街56巷25號。</v>
          </cell>
          <cell r="Y439" t="str">
            <v>苗栗縣頭份鎮</v>
          </cell>
          <cell r="Z439" t="str">
            <v>苗栗縣頭份鎮后庄里6鄰建興街2號.</v>
          </cell>
          <cell r="AA439" t="str">
            <v>300苗栗縣頭份鎮后庄里6鄰建興街2號＞登:南投縣南投市新興里同源路四街56巷25號。</v>
          </cell>
          <cell r="AK439" t="str">
            <v>387-JJ</v>
          </cell>
          <cell r="AL439" t="str">
            <v>1-0164-元慶&gt;寄&gt;附發票&gt;附回郵</v>
          </cell>
          <cell r="AM439" t="str">
            <v>1-0164</v>
          </cell>
        </row>
        <row r="440">
          <cell r="B440" t="str">
            <v>1-0435</v>
          </cell>
          <cell r="C440" t="str">
            <v>101-12-30</v>
          </cell>
          <cell r="D440" t="str">
            <v>1-0435-運來&gt;寄&gt;附回郵</v>
          </cell>
          <cell r="E440" t="str">
            <v>運來企業社＞負:徐宗鴻</v>
          </cell>
          <cell r="F440" t="str">
            <v>運來企業社(435)</v>
          </cell>
          <cell r="G440" t="str">
            <v>未稅</v>
          </cell>
          <cell r="H440" t="str">
            <v>寄＞附回郵＞</v>
          </cell>
          <cell r="I440" t="str">
            <v>未稅</v>
          </cell>
          <cell r="J440">
            <v>30</v>
          </cell>
          <cell r="K440" t="str">
            <v>2520＞4109＞未稅</v>
          </cell>
          <cell r="L440" t="str">
            <v>037-322169＞0931-555101</v>
          </cell>
          <cell r="M440">
            <v>0</v>
          </cell>
          <cell r="R440" t="b">
            <v>0</v>
          </cell>
          <cell r="S440" t="str"/>
          <cell r="T440" t="b">
            <v>0</v>
          </cell>
          <cell r="V440" t="str">
            <v>徐宗鴻</v>
          </cell>
          <cell r="W440">
            <v>360</v>
          </cell>
          <cell r="X440" t="str">
            <v>苗栗縣苗栗市勝利里37鄰金鳳街110號1樓。</v>
          </cell>
          <cell r="Y440" t="str">
            <v>苗栗縣苗栗市</v>
          </cell>
          <cell r="Z440" t="str">
            <v>苗栗縣苗栗市勝利里37鄰金鳳街110號1樓.</v>
          </cell>
          <cell r="AA440" t="str">
            <v>360苗栗縣苗栗市勝利里37鄰金鳳街110號1樓。</v>
          </cell>
          <cell r="AK440" t="str">
            <v>805-GG</v>
          </cell>
          <cell r="AL440" t="str">
            <v>1-0164-元慶&gt;寄&gt;附發票&gt;附回郵</v>
          </cell>
          <cell r="AM440" t="str">
            <v>1-0164</v>
          </cell>
        </row>
        <row r="441">
          <cell r="B441" t="str">
            <v>1-0436</v>
          </cell>
          <cell r="C441" t="str">
            <v>102-01-01</v>
          </cell>
          <cell r="D441" t="str">
            <v>1-0436-安佳&gt;寄&gt;附回郵</v>
          </cell>
          <cell r="E441" t="str">
            <v>安佳輪胎股份有限公司＞負:吳文信</v>
          </cell>
          <cell r="F441" t="str">
            <v>安佳輪胎股份有限公司(436)</v>
          </cell>
          <cell r="G441" t="str">
            <v>未稅</v>
          </cell>
          <cell r="H441" t="str">
            <v>寄＞附回郵＞</v>
          </cell>
          <cell r="I441" t="str">
            <v>未稅</v>
          </cell>
          <cell r="J441">
            <v>30</v>
          </cell>
          <cell r="K441" t="str">
            <v>8601＞0267＞未稅</v>
          </cell>
          <cell r="L441" t="str">
            <v>02-22765909</v>
          </cell>
          <cell r="M441">
            <v>0</v>
          </cell>
          <cell r="R441" t="b">
            <v>0</v>
          </cell>
          <cell r="S441" t="str"/>
          <cell r="T441" t="b">
            <v>0</v>
          </cell>
          <cell r="V441" t="str">
            <v>吳文信</v>
          </cell>
          <cell r="W441">
            <v>242</v>
          </cell>
          <cell r="X441" t="str">
            <v>新北市新莊區復興路三段49巷14號2樓。</v>
          </cell>
          <cell r="Y441" t="str">
            <v>新北市新莊區</v>
          </cell>
          <cell r="Z441" t="str">
            <v>新北市新莊區復興路三段49巷14號2樓.</v>
          </cell>
          <cell r="AA441" t="str">
            <v>242新北市新莊區復興路三段49巷14號2樓。</v>
          </cell>
          <cell r="AK441" t="str">
            <v>660-WW</v>
          </cell>
          <cell r="AL441" t="str">
            <v>1-0164-元慶&gt;寄&gt;附發票&gt;附回郵</v>
          </cell>
          <cell r="AM441" t="str">
            <v>1-0164</v>
          </cell>
        </row>
        <row r="442">
          <cell r="B442" t="str">
            <v>1-0437</v>
          </cell>
          <cell r="C442" t="str">
            <v>102-01-02</v>
          </cell>
          <cell r="D442" t="str">
            <v>1-0437-車輪霸.漢可固&gt;寄&gt;附回郵</v>
          </cell>
          <cell r="E442" t="str">
            <v>漢可固輪胎有限公司</v>
          </cell>
          <cell r="F442" t="str">
            <v>漢可固輪胎有限公司(437)</v>
          </cell>
          <cell r="G442" t="str">
            <v>未稅</v>
          </cell>
          <cell r="H442" t="str">
            <v>寄＞附回郵＞</v>
          </cell>
          <cell r="I442" t="str">
            <v>未稅</v>
          </cell>
          <cell r="J442">
            <v>30</v>
          </cell>
          <cell r="L442" t="str">
            <v>03-4520955</v>
          </cell>
          <cell r="M442">
            <v>0</v>
          </cell>
          <cell r="R442" t="b">
            <v>0</v>
          </cell>
          <cell r="S442" t="str"/>
          <cell r="T442" t="b">
            <v>0</v>
          </cell>
          <cell r="W442">
            <v>320</v>
          </cell>
          <cell r="X442" t="str">
            <v>中壢巿內定16街327-1號。</v>
          </cell>
          <cell r="Y442" t="str">
            <v>中壢巿內定1</v>
          </cell>
          <cell r="Z442" t="str">
            <v>中壢巿內定16街327之1號.</v>
          </cell>
          <cell r="AA442" t="str">
            <v>320中壢巿內定16街327-1號。</v>
          </cell>
          <cell r="AK442" t="str">
            <v>202-V6</v>
          </cell>
          <cell r="AL442" t="str">
            <v>1-0164-元慶&gt;寄&gt;附發票&gt;附回郵</v>
          </cell>
          <cell r="AM442" t="str">
            <v>1-0164</v>
          </cell>
        </row>
        <row r="443">
          <cell r="B443" t="str">
            <v>1-0438</v>
          </cell>
          <cell r="C443" t="str">
            <v>102-01-03</v>
          </cell>
          <cell r="D443" t="str">
            <v>1-0438-陳慶宏&gt;寄&gt;自結</v>
          </cell>
          <cell r="E443" t="str">
            <v>陳慶宏＞小毛＞靠行:苗連貨運有限公司,負:羅吉祥</v>
          </cell>
          <cell r="F443" t="str">
            <v>陳慶宏(438)</v>
          </cell>
          <cell r="G443" t="str">
            <v>未稅</v>
          </cell>
          <cell r="H443" t="str">
            <v>寄＞自結＞</v>
          </cell>
          <cell r="I443" t="str">
            <v>未稅</v>
          </cell>
          <cell r="J443">
            <v>30</v>
          </cell>
          <cell r="K443" t="str">
            <v>1687＞0989＞未稅</v>
          </cell>
          <cell r="L443" t="str">
            <v>037-651781＞0960-594663</v>
          </cell>
          <cell r="M443">
            <v>0</v>
          </cell>
          <cell r="R443" t="b">
            <v>0</v>
          </cell>
          <cell r="S443" t="str"/>
          <cell r="T443" t="b">
            <v>0</v>
          </cell>
          <cell r="U443" t="str">
            <v>K121805578</v>
          </cell>
          <cell r="W443">
            <v>361</v>
          </cell>
          <cell r="X443" t="str">
            <v>苗栗縣造橋鄉龍昇村2鄰九車籠2鄰23-1號＞登:苗栗縣苗栗市嘉盛里育英街34號1樓。</v>
          </cell>
          <cell r="Y443" t="str">
            <v>苗栗縣造橋鄉</v>
          </cell>
          <cell r="Z443" t="str">
            <v>苗栗縣造橋鄉龍昇村2鄰九車籠2鄰23之1號.</v>
          </cell>
          <cell r="AA443" t="str">
            <v>361苗栗縣造橋鄉龍昇村2鄰九車籠2鄰23-1號＞登:苗栗縣苗栗市嘉盛里育英街34號1樓。</v>
          </cell>
          <cell r="AK443" t="str">
            <v>558-QQ</v>
          </cell>
          <cell r="AL443" t="str">
            <v>1-0164-元慶&gt;寄&gt;附發票&gt;附回郵</v>
          </cell>
          <cell r="AM443" t="str">
            <v>1-0164</v>
          </cell>
        </row>
        <row r="444">
          <cell r="B444" t="str">
            <v>1-0439</v>
          </cell>
          <cell r="C444" t="str">
            <v>102-01-04</v>
          </cell>
          <cell r="D444" t="str">
            <v>1-0439-張家銘&gt;寄&gt;自結</v>
          </cell>
          <cell r="E444" t="str">
            <v>張家銘＞靠行:冠德交通股份有限公司,負:溫駿軒</v>
          </cell>
          <cell r="F444" t="str">
            <v>張家銘(439)</v>
          </cell>
          <cell r="G444" t="str">
            <v>未稅</v>
          </cell>
          <cell r="H444" t="str">
            <v>寄＞自結＞</v>
          </cell>
          <cell r="I444" t="str">
            <v>未稅</v>
          </cell>
          <cell r="J444">
            <v>30</v>
          </cell>
          <cell r="K444" t="str">
            <v>8497＞8474＞未稅</v>
          </cell>
          <cell r="L444" t="str">
            <v>037-462421＞0910-518421</v>
          </cell>
          <cell r="M444">
            <v>0</v>
          </cell>
          <cell r="R444" t="b">
            <v>0</v>
          </cell>
          <cell r="S444" t="str"/>
          <cell r="T444" t="b">
            <v>0</v>
          </cell>
          <cell r="W444">
            <v>350</v>
          </cell>
          <cell r="X444" t="str">
            <v>苗栗縣竹南鎮崎頂里11鄰12號＞登:苗栗縣頭份鎮忠孝里22鄰五福街25號。</v>
          </cell>
          <cell r="Y444" t="str">
            <v>苗栗縣竹南鎮</v>
          </cell>
          <cell r="Z444" t="str">
            <v>苗栗縣竹南鎮崎頂里11鄰12號.</v>
          </cell>
          <cell r="AA444" t="str">
            <v>350苗栗縣竹南鎮崎頂里11鄰12號＞登:苗栗縣頭份鎮忠孝里22鄰五福街25號。</v>
          </cell>
          <cell r="AK444" t="str">
            <v>6P-5655</v>
          </cell>
          <cell r="AL444" t="str">
            <v>1-0168-永明&gt;寄&gt;親收</v>
          </cell>
          <cell r="AM444" t="str">
            <v>1-0168</v>
          </cell>
        </row>
        <row r="445">
          <cell r="B445" t="str">
            <v>1-0440</v>
          </cell>
          <cell r="C445" t="str">
            <v>102-01-05</v>
          </cell>
          <cell r="D445" t="str">
            <v>1-0440-永慶&gt;寄&gt;附回郵</v>
          </cell>
          <cell r="E445" t="str">
            <v>永慶重機械有限公司＞謝宗典</v>
          </cell>
          <cell r="F445" t="str">
            <v>永慶重機械有限公司(440)</v>
          </cell>
          <cell r="G445" t="str">
            <v>未稅</v>
          </cell>
          <cell r="H445" t="str">
            <v>寄＞附回郵＞</v>
          </cell>
          <cell r="I445" t="str">
            <v>未稅</v>
          </cell>
          <cell r="J445">
            <v>30</v>
          </cell>
          <cell r="L445" t="str">
            <v>03-5516805＞03-5537805＞0937-151871＞傳真03-5510699</v>
          </cell>
          <cell r="M445">
            <v>0</v>
          </cell>
          <cell r="R445" t="b">
            <v>0</v>
          </cell>
          <cell r="S445" t="str"/>
          <cell r="T445" t="b">
            <v>0</v>
          </cell>
          <cell r="W445">
            <v>302</v>
          </cell>
          <cell r="X445" t="str">
            <v>新竹縣竹北巿中華路1402號。</v>
          </cell>
          <cell r="Y445" t="str">
            <v>新竹縣竹北巿</v>
          </cell>
          <cell r="Z445" t="str">
            <v>新竹縣竹北巿中華路1402號.</v>
          </cell>
          <cell r="AA445" t="str">
            <v>302新竹縣竹北巿中華路1402號。</v>
          </cell>
          <cell r="AK445" t="str">
            <v>4208-QE</v>
          </cell>
          <cell r="AL445" t="str">
            <v>1-0168-永明&gt;寄&gt;親收</v>
          </cell>
          <cell r="AM445" t="str">
            <v>1-0168</v>
          </cell>
        </row>
        <row r="446">
          <cell r="B446" t="str">
            <v>1-0441</v>
          </cell>
          <cell r="C446" t="str">
            <v>102-01-06</v>
          </cell>
          <cell r="D446" t="str">
            <v>1-0441-劉德良&gt;寄&gt;自結</v>
          </cell>
          <cell r="E446" t="str">
            <v>劉德良＞靠行:志禹交通股份有限公司,負:林玉倩</v>
          </cell>
          <cell r="F446" t="str">
            <v>劉德良(441)</v>
          </cell>
          <cell r="G446" t="str">
            <v>未稅</v>
          </cell>
          <cell r="H446" t="str">
            <v>寄＞自結＞</v>
          </cell>
          <cell r="I446" t="str">
            <v>未稅</v>
          </cell>
          <cell r="J446">
            <v>30</v>
          </cell>
          <cell r="K446" t="str">
            <v>5585＞4380＞未稅</v>
          </cell>
          <cell r="L446" t="str">
            <v>0932-527266</v>
          </cell>
          <cell r="M446">
            <v>0</v>
          </cell>
          <cell r="R446" t="b">
            <v>0</v>
          </cell>
          <cell r="S446" t="str"/>
          <cell r="T446" t="b">
            <v>0</v>
          </cell>
          <cell r="W446">
            <v>350</v>
          </cell>
          <cell r="X446" t="str">
            <v>苗栗縣竹南鎮大埔里中埔街32巷10號＞登:臺中市南區永和里五權南路508號1樓。</v>
          </cell>
          <cell r="Y446" t="str">
            <v>苗栗縣竹南鎮</v>
          </cell>
          <cell r="Z446" t="str">
            <v>苗栗縣竹南鎮大埔里中埔街32巷10號.</v>
          </cell>
          <cell r="AA446" t="str">
            <v>350苗栗縣竹南鎮大埔里中埔街32巷10號＞登:臺中市南區永和里五權南路508號1樓。</v>
          </cell>
          <cell r="AK446" t="str">
            <v>847-TK</v>
          </cell>
          <cell r="AL446" t="str">
            <v>1-0168-永明&gt;寄&gt;親收</v>
          </cell>
          <cell r="AM446" t="str">
            <v>1-0168</v>
          </cell>
        </row>
        <row r="447">
          <cell r="B447" t="str">
            <v>1-0442</v>
          </cell>
          <cell r="C447" t="str">
            <v>102-01-07</v>
          </cell>
          <cell r="D447" t="str">
            <v>1-0442-謝錦城&gt;寄&gt;自結</v>
          </cell>
          <cell r="E447" t="str">
            <v>謝錦城＞靠行:銅鑼</v>
          </cell>
          <cell r="F447" t="str">
            <v>謝錦城(442)</v>
          </cell>
          <cell r="G447" t="str">
            <v>未稅</v>
          </cell>
          <cell r="H447" t="str">
            <v>寄＞自結＞【★現金價‧請於次月10日前結清。謝謝！】</v>
          </cell>
          <cell r="I447" t="str">
            <v>未稅</v>
          </cell>
          <cell r="J447">
            <v>30</v>
          </cell>
          <cell r="L447" t="str">
            <v>037-983930＞0937-983930謝錦城</v>
          </cell>
          <cell r="M447">
            <v>0</v>
          </cell>
          <cell r="O447">
            <v>40</v>
          </cell>
          <cell r="P447">
            <v>5</v>
          </cell>
          <cell r="Q447">
            <v>16</v>
          </cell>
          <cell r="R447">
            <v>70</v>
          </cell>
          <cell r="S447">
            <v>51</v>
          </cell>
          <cell r="T447">
            <v>18764</v>
          </cell>
          <cell r="U447" t="str">
            <v>K100468011</v>
          </cell>
          <cell r="W447">
            <v>362</v>
          </cell>
          <cell r="X447" t="str">
            <v>苗栗縣銅鑼鄉朝陽村226號。</v>
          </cell>
          <cell r="Y447" t="str">
            <v>苗栗縣銅鑼鄉</v>
          </cell>
          <cell r="Z447" t="str">
            <v>苗栗縣銅鑼鄉朝陽村226號.</v>
          </cell>
          <cell r="AA447" t="str">
            <v>362苗栗縣銅鑼鄉朝陽村226號。</v>
          </cell>
          <cell r="AK447" t="str">
            <v>ABS-0988</v>
          </cell>
          <cell r="AL447" t="str">
            <v>1-0694-永發&gt;寄&gt;附發票&gt;附回郵</v>
          </cell>
          <cell r="AM447" t="str">
            <v>1-0694</v>
          </cell>
        </row>
        <row r="448">
          <cell r="B448" t="str">
            <v>1-0443</v>
          </cell>
          <cell r="C448" t="str">
            <v>102-01-08</v>
          </cell>
          <cell r="D448" t="str">
            <v>1-0443-(2/2)峰洋&gt;榮賢&gt;寄&gt;匯款</v>
          </cell>
          <cell r="E448" t="str">
            <v>峰洋輪胎行</v>
          </cell>
          <cell r="F448" t="str">
            <v>峰洋輪胎行(443)</v>
          </cell>
          <cell r="H448" t="str">
            <v>寄＞匯款:05111陳忠榮.90250&gt;跟68一起寄</v>
          </cell>
          <cell r="I448" t="str">
            <v>5068＞1255＞含未稅以簽單為主＞25號月結</v>
          </cell>
          <cell r="J448">
            <v>25</v>
          </cell>
          <cell r="L448" t="str">
            <v>0981-892912陳忠榮＞0925-460686陳紀賢</v>
          </cell>
          <cell r="M448">
            <v>0</v>
          </cell>
          <cell r="R448" t="b">
            <v>0</v>
          </cell>
          <cell r="S448" t="str"/>
          <cell r="T448" t="b">
            <v>0</v>
          </cell>
          <cell r="W448">
            <v>242</v>
          </cell>
          <cell r="X448" t="str">
            <v>新北市新莊區四維里四維路125巷19-1號</v>
          </cell>
          <cell r="Y448" t="str">
            <v>新北市泰山區</v>
          </cell>
          <cell r="Z448" t="str">
            <v>新北市泰山區文程路95號-2</v>
          </cell>
          <cell r="AA448" t="str">
            <v>242新北市新莊區四維里四維路125巷19-1號</v>
          </cell>
          <cell r="AK448" t="str">
            <v>PAQ-1060</v>
          </cell>
          <cell r="AL448" t="str">
            <v>1-0180-益勝鷹架&gt;寄&gt;附發票&gt;匯款</v>
          </cell>
          <cell r="AM448" t="str">
            <v>1-0180</v>
          </cell>
        </row>
        <row r="449">
          <cell r="B449" t="str">
            <v>1-0444</v>
          </cell>
          <cell r="C449" t="str">
            <v>102-01-09</v>
          </cell>
          <cell r="D449" t="str">
            <v>1-0444-力盛&gt;寄&gt;附發票&gt;附回郵</v>
          </cell>
          <cell r="E449" t="str">
            <v>力盛彩色印刷有限公司＞負:林炎坤</v>
          </cell>
          <cell r="F449" t="str">
            <v>力盛彩色印刷有限公司(444)</v>
          </cell>
          <cell r="G449" t="str">
            <v>含稅</v>
          </cell>
          <cell r="H449" t="str">
            <v>寄＞附發票＞附回郵＞</v>
          </cell>
          <cell r="I449" t="str">
            <v>8990＞3017＞含稅</v>
          </cell>
          <cell r="J449">
            <v>30</v>
          </cell>
          <cell r="L449" t="str">
            <v>037-731588＞傳真037-731599</v>
          </cell>
          <cell r="M449">
            <v>0</v>
          </cell>
          <cell r="R449" t="b">
            <v>0</v>
          </cell>
          <cell r="S449" t="str"/>
          <cell r="T449" t="b">
            <v>0</v>
          </cell>
          <cell r="W449">
            <v>356</v>
          </cell>
          <cell r="X449" t="str">
            <v>苗栗縣後龍鎮東明里8鄰宏陽路95號。</v>
          </cell>
          <cell r="Y449" t="str">
            <v>苗栗縣後龍鎮</v>
          </cell>
          <cell r="Z449" t="str">
            <v>苗栗縣後龍鎮東明里8鄰宏陽路95號.</v>
          </cell>
          <cell r="AA449" t="str">
            <v>356苗栗縣後龍鎮東明里8鄰宏陽路95號。</v>
          </cell>
          <cell r="AK449" t="str">
            <v>619-WW</v>
          </cell>
          <cell r="AL449" t="str">
            <v>1-0184-新寶&gt;寄&gt;附發票&gt;附回郵</v>
          </cell>
          <cell r="AM449" t="str">
            <v>1-0184</v>
          </cell>
        </row>
        <row r="450">
          <cell r="B450" t="str">
            <v>1-0445</v>
          </cell>
          <cell r="C450" t="str">
            <v>102-01-10</v>
          </cell>
          <cell r="D450" t="str">
            <v>1-0445-呂清河&gt;寄平信＞自結</v>
          </cell>
          <cell r="E450" t="str">
            <v>呂清河＞靠行:松生交通股份有限公司,負:陳漢琮</v>
          </cell>
          <cell r="F450" t="str">
            <v>呂清河(445)</v>
          </cell>
          <cell r="G450" t="str">
            <v>未稅</v>
          </cell>
          <cell r="H450" t="str">
            <v>寄平信＞自結＞匯款:6094665＞</v>
          </cell>
          <cell r="I450" t="str">
            <v>未稅</v>
          </cell>
          <cell r="J450">
            <v>30</v>
          </cell>
          <cell r="K450" t="str">
            <v>5008＞5480＞未稅</v>
          </cell>
          <cell r="L450" t="str">
            <v>0916-056849</v>
          </cell>
          <cell r="M450">
            <v>0</v>
          </cell>
          <cell r="O450">
            <v>59</v>
          </cell>
          <cell r="P450">
            <v>9</v>
          </cell>
          <cell r="Q450">
            <v>10</v>
          </cell>
          <cell r="R450">
            <v>51</v>
          </cell>
          <cell r="S450">
            <v>70</v>
          </cell>
          <cell r="T450">
            <v>25821</v>
          </cell>
          <cell r="W450">
            <v>356</v>
          </cell>
          <cell r="X450" t="str">
            <v>苗栗縣後龍鎮頂浮尾13鄰27-15號＞登:苗栗縣公館鄉五谷村13鄰92-6號1樓。</v>
          </cell>
          <cell r="Y450" t="str">
            <v>苗栗縣後龍鎮</v>
          </cell>
          <cell r="Z450" t="str">
            <v>苗栗縣後龍鎮頂浮尾13鄰27之15號.</v>
          </cell>
          <cell r="AA450" t="str">
            <v>356苗栗縣後龍鎮頂浮尾13鄰27-15號＞登:苗栗縣公館鄉五谷村13鄰92-6號1樓。</v>
          </cell>
          <cell r="AK450" t="str">
            <v>AHE-0976</v>
          </cell>
          <cell r="AL450" t="str">
            <v>1-0187-啟成&gt;寄&gt;附發票&gt;附回郵</v>
          </cell>
          <cell r="AM450" t="str">
            <v>1-0187</v>
          </cell>
        </row>
        <row r="451">
          <cell r="B451" t="str">
            <v>1-0446</v>
          </cell>
          <cell r="C451" t="str">
            <v>102-01-11</v>
          </cell>
          <cell r="D451" t="str">
            <v>1-0446-全家福&gt;寄&gt;附發票&gt;二個月匯款</v>
          </cell>
          <cell r="E451" t="str">
            <v>全家福交通有限公司＞負:鄔欽煇</v>
          </cell>
          <cell r="F451" t="str">
            <v>全家福交通有限公司(446)</v>
          </cell>
          <cell r="G451" t="str">
            <v>含稅</v>
          </cell>
          <cell r="H451" t="str">
            <v>寄＞附發票＞2個月匯款88591＞</v>
          </cell>
          <cell r="I451" t="str">
            <v>8470＞6234＞含稅＞中華全佑</v>
          </cell>
          <cell r="J451">
            <v>30</v>
          </cell>
          <cell r="L451" t="str">
            <v>03-5781112＞0912-236201鄔欽煇＞傳真03-5798372</v>
          </cell>
          <cell r="M451" t="str">
            <v>2-0195</v>
          </cell>
          <cell r="R451" t="b">
            <v>0</v>
          </cell>
          <cell r="S451" t="str"/>
          <cell r="T451" t="b">
            <v>0</v>
          </cell>
          <cell r="W451">
            <v>300</v>
          </cell>
          <cell r="X451" t="str">
            <v>新竹郵局32-160號信箱＞登:新竹市東區光復路一段643號1樓。</v>
          </cell>
          <cell r="Y451" t="str">
            <v>新竹郵局32</v>
          </cell>
          <cell r="Z451" t="str">
            <v>新竹郵局32之160號信箱.</v>
          </cell>
          <cell r="AA451" t="str">
            <v>300新竹郵局32-160號信箱＞登:新竹市東區光復路一段643號1樓。</v>
          </cell>
          <cell r="AK451" t="str">
            <v>9F-478</v>
          </cell>
          <cell r="AL451" t="str">
            <v>1-0187-啟成&gt;寄&gt;附發票&gt;附回郵</v>
          </cell>
          <cell r="AM451" t="str">
            <v>1-0187</v>
          </cell>
        </row>
        <row r="452">
          <cell r="B452" t="str">
            <v>1-0447</v>
          </cell>
          <cell r="C452" t="str">
            <v>102-01-12</v>
          </cell>
          <cell r="D452" t="str">
            <v>1-0447-呂騰宏&gt;寄&gt;自結</v>
          </cell>
          <cell r="E452" t="str">
            <v>呂騰宏</v>
          </cell>
          <cell r="F452" t="str">
            <v>呂騰宏(447)</v>
          </cell>
          <cell r="G452" t="str">
            <v>未稅</v>
          </cell>
          <cell r="H452" t="str">
            <v>寄＞自結＞</v>
          </cell>
          <cell r="I452" t="str">
            <v>未稅</v>
          </cell>
          <cell r="J452">
            <v>30</v>
          </cell>
          <cell r="L452" t="str">
            <v>037-432377＞0925-782580</v>
          </cell>
          <cell r="M452">
            <v>0</v>
          </cell>
          <cell r="R452" t="b">
            <v>0</v>
          </cell>
          <cell r="S452" t="str"/>
          <cell r="T452" t="b">
            <v>0</v>
          </cell>
          <cell r="W452">
            <v>356</v>
          </cell>
          <cell r="X452" t="str">
            <v>苗栗縣後龍鎮東明里11鄰55-1號。</v>
          </cell>
          <cell r="Y452" t="str">
            <v>苗栗縣後龍鎮</v>
          </cell>
          <cell r="Z452" t="str">
            <v>苗栗縣後龍鎮東明里11鄰55之1號.</v>
          </cell>
          <cell r="AA452" t="str">
            <v>356苗栗縣後龍鎮東明里11鄰55-1號。</v>
          </cell>
          <cell r="AK452" t="str">
            <v>ABG-5195</v>
          </cell>
          <cell r="AL452" t="str">
            <v>1-0187-啟成&gt;寄&gt;附發票&gt;附回郵</v>
          </cell>
          <cell r="AM452" t="str">
            <v>1-0187</v>
          </cell>
        </row>
        <row r="453">
          <cell r="B453" t="str">
            <v>1-0448</v>
          </cell>
          <cell r="C453" t="str">
            <v>102-01-13</v>
          </cell>
          <cell r="D453" t="str">
            <v>1-0448-吳志乾&gt;寄&gt;附回郵</v>
          </cell>
          <cell r="E453" t="str">
            <v>吳志乾＞阿賢＞靠行:原華交通有限公司,負:張永欽＞原泓</v>
          </cell>
          <cell r="F453" t="str">
            <v>吳志乾(448)</v>
          </cell>
          <cell r="G453" t="str">
            <v>未稅</v>
          </cell>
          <cell r="H453" t="str">
            <v>寄＞附回郵＞</v>
          </cell>
          <cell r="I453" t="str">
            <v>未稅</v>
          </cell>
          <cell r="J453">
            <v>30</v>
          </cell>
          <cell r="K453" t="str">
            <v>3392＞8331＞未稅</v>
          </cell>
          <cell r="L453" t="str">
            <v>035-365519＞0912-282222</v>
          </cell>
          <cell r="M453">
            <v>0</v>
          </cell>
          <cell r="O453">
            <v>71</v>
          </cell>
          <cell r="P453">
            <v>8</v>
          </cell>
          <cell r="Q453">
            <v>7</v>
          </cell>
          <cell r="R453">
            <v>39</v>
          </cell>
          <cell r="S453">
            <v>82</v>
          </cell>
          <cell r="T453">
            <v>30170</v>
          </cell>
          <cell r="U453" t="str">
            <v>P122932620</v>
          </cell>
          <cell r="W453">
            <v>300</v>
          </cell>
          <cell r="X453" t="str">
            <v>新竹巿天府路一段156-1號＞登:新北市林口區南勢里南勢街250巷68號3樓。</v>
          </cell>
          <cell r="Y453" t="str">
            <v>新竹巿天府路</v>
          </cell>
          <cell r="Z453" t="str">
            <v>新竹巿天府路一段156之1號.</v>
          </cell>
          <cell r="AA453" t="str">
            <v>300新竹巿天府路一段156-1號＞登:新北市林口區南勢里南勢街250巷68號3樓。</v>
          </cell>
          <cell r="AK453" t="str">
            <v>AAJ-603</v>
          </cell>
          <cell r="AL453" t="str">
            <v>1-0187-啟成&gt;寄&gt;附發票&gt;附回郵</v>
          </cell>
          <cell r="AM453" t="str">
            <v>1-0187</v>
          </cell>
        </row>
        <row r="454">
          <cell r="B454" t="str">
            <v>1-0449</v>
          </cell>
          <cell r="C454" t="str">
            <v>102-01-14</v>
          </cell>
          <cell r="D454" t="str">
            <v>1-0449-園區&gt;寄&gt;附發票&gt;附回郵</v>
          </cell>
          <cell r="E454" t="str">
            <v>園區交通股份有限公司＞科園小客車租賃有限公司＞負:劉保華</v>
          </cell>
          <cell r="F454" t="str">
            <v>園區交通股份有限公司(449)</v>
          </cell>
          <cell r="G454" t="str">
            <v>含稅</v>
          </cell>
          <cell r="H454" t="str">
            <v>寄＞附發票＞附回郵＞</v>
          </cell>
          <cell r="I454" t="str">
            <v>8360＞8100＞含稅＞一張五萬</v>
          </cell>
          <cell r="J454">
            <v>30</v>
          </cell>
          <cell r="L454" t="str">
            <v>03-5785505＞0952-228820＞傳真03-5787587</v>
          </cell>
          <cell r="M454" t="str">
            <v>2-0103</v>
          </cell>
          <cell r="R454" t="b">
            <v>0</v>
          </cell>
          <cell r="S454" t="str"/>
          <cell r="T454" t="b">
            <v>0</v>
          </cell>
          <cell r="W454">
            <v>300</v>
          </cell>
          <cell r="X454" t="str">
            <v>新竹市東區金山二十五街7號。</v>
          </cell>
          <cell r="Y454" t="str">
            <v>新竹市東區金</v>
          </cell>
          <cell r="Z454" t="str">
            <v>新竹市東區金山二十五街7號.</v>
          </cell>
          <cell r="AA454" t="str">
            <v>300新竹市東區金山二十五街7號。</v>
          </cell>
          <cell r="AK454" t="str">
            <v>AAR-5359</v>
          </cell>
          <cell r="AL454" t="str">
            <v>1-0187-啟成&gt;寄&gt;附發票&gt;附回郵</v>
          </cell>
          <cell r="AM454" t="str">
            <v>1-0187</v>
          </cell>
        </row>
        <row r="455">
          <cell r="B455" t="str">
            <v>1-0450</v>
          </cell>
          <cell r="C455" t="str">
            <v>102-01-15</v>
          </cell>
          <cell r="D455" t="str">
            <v>1-0450-泰慶&gt;寄&gt;附發票&gt;自結</v>
          </cell>
          <cell r="E455" t="str">
            <v>戴文楷＞靠行:泰慶通運有限公司,負:謝宗典＞上慶</v>
          </cell>
          <cell r="F455" t="str">
            <v>戴文楷(450)</v>
          </cell>
          <cell r="G455" t="str">
            <v>含稅</v>
          </cell>
          <cell r="H455" t="str">
            <v>寄＞附發票＞自結＞</v>
          </cell>
          <cell r="I455" t="str">
            <v>1686＞9364＞含稅</v>
          </cell>
          <cell r="J455">
            <v>30</v>
          </cell>
          <cell r="L455" t="str">
            <v>03-5322997＞0910-296847戴文楷＞傳真03-7552756</v>
          </cell>
          <cell r="M455">
            <v>0</v>
          </cell>
          <cell r="R455" t="b">
            <v>0</v>
          </cell>
          <cell r="S455" t="str"/>
          <cell r="T455" t="b">
            <v>0</v>
          </cell>
          <cell r="W455">
            <v>300</v>
          </cell>
          <cell r="X455" t="str">
            <v>新竹巿光華二段80巷7號＞登:新竹縣竹北市白地里7鄰中正西路1598巷12弄15號1樓。</v>
          </cell>
          <cell r="Y455" t="str">
            <v>新竹巿光華二</v>
          </cell>
          <cell r="Z455" t="str">
            <v>新竹巿光華二段80巷7號.</v>
          </cell>
          <cell r="AA455" t="str">
            <v>300新竹巿光華二段80巷7號＞登:新竹縣竹北市白地里7鄰中正西路1598巷12弄15號1樓。</v>
          </cell>
          <cell r="AK455" t="str">
            <v>136-QE</v>
          </cell>
          <cell r="AL455" t="str">
            <v>1-0187-啟成&gt;寄&gt;附發票&gt;附回郵</v>
          </cell>
          <cell r="AM455" t="str">
            <v>1-0187</v>
          </cell>
        </row>
        <row r="456">
          <cell r="B456" t="str">
            <v>1-0451</v>
          </cell>
          <cell r="C456" t="str">
            <v>102-01-16</v>
          </cell>
          <cell r="D456" t="str">
            <v>1-0451-遠雄&gt;寄&gt;附發票&gt;附回郵</v>
          </cell>
          <cell r="E456" t="str">
            <v>遠雄通運有限公司＞負:黃信雄</v>
          </cell>
          <cell r="F456" t="str">
            <v>遠雄通運有限公司(451)</v>
          </cell>
          <cell r="G456" t="str">
            <v>含稅</v>
          </cell>
          <cell r="H456" t="str">
            <v>寄＞附發票＞附回郵＞</v>
          </cell>
          <cell r="I456" t="str">
            <v>9753＞7014＞含稅</v>
          </cell>
          <cell r="J456">
            <v>30</v>
          </cell>
          <cell r="L456" t="str">
            <v>04-23375737＞0986-517777黃世豪＞傳真04-23379680</v>
          </cell>
          <cell r="M456">
            <v>0</v>
          </cell>
          <cell r="R456" t="b">
            <v>0</v>
          </cell>
          <cell r="S456" t="str"/>
          <cell r="T456" t="b">
            <v>0</v>
          </cell>
          <cell r="W456">
            <v>414</v>
          </cell>
          <cell r="X456" t="str">
            <v>台中巿烏日區光明路勤農巷135之1號＞登:臺中市大雅區文雅里24鄰中和三路67號。</v>
          </cell>
          <cell r="Y456" t="str">
            <v>台中巿烏日區</v>
          </cell>
          <cell r="Z456" t="str">
            <v>台中巿烏日區光明路勤農巷135之1號.</v>
          </cell>
          <cell r="AA456" t="str">
            <v>414台中巿烏日區光明路勤農巷135之1號＞登:臺中市大雅區文雅里24鄰中和三路67號。</v>
          </cell>
          <cell r="AK456" t="str">
            <v>2215-U2</v>
          </cell>
          <cell r="AL456" t="str">
            <v>1-0187-啟成&gt;寄&gt;附發票&gt;附回郵</v>
          </cell>
          <cell r="AM456" t="str">
            <v>1-0187</v>
          </cell>
        </row>
        <row r="457">
          <cell r="B457" t="str">
            <v>1-0452</v>
          </cell>
          <cell r="C457" t="str">
            <v>102-01-17</v>
          </cell>
          <cell r="D457" t="str">
            <v>1-0452-先峰&gt;寄&gt;附發票&gt;附回郵</v>
          </cell>
          <cell r="E457" t="str">
            <v>先峰汽車科技股份有限公司＞負:許烱良</v>
          </cell>
          <cell r="F457" t="str">
            <v>先峰汽車科技股份有限公司(452)</v>
          </cell>
          <cell r="G457" t="str">
            <v>含稅</v>
          </cell>
          <cell r="H457" t="str">
            <v>寄＞附發票＞附回郵＞附定位數據＞</v>
          </cell>
          <cell r="I457" t="str">
            <v>2915＞8090＞含稅</v>
          </cell>
          <cell r="J457">
            <v>30</v>
          </cell>
          <cell r="L457" t="str">
            <v>03-4766066＞0935-766586陳國良總經理＞傳真03-4766097＞網址chenkl586@mgail.com</v>
          </cell>
          <cell r="M457">
            <v>0</v>
          </cell>
          <cell r="R457" t="b">
            <v>0</v>
          </cell>
          <cell r="S457" t="str"/>
          <cell r="T457" t="b">
            <v>0</v>
          </cell>
          <cell r="W457">
            <v>327</v>
          </cell>
          <cell r="X457" t="str">
            <v>桃園縣新屋鄉社子村36-9號＞登:新北市蘆洲區正義里長榮路387號2樓。</v>
          </cell>
          <cell r="Y457" t="str">
            <v>桃園縣新屋鄉</v>
          </cell>
          <cell r="Z457" t="str">
            <v>桃園縣新屋鄉社子村36之9號.</v>
          </cell>
          <cell r="AA457" t="str">
            <v>327桃園縣新屋鄉社子村36-9號＞登:新北市蘆洲區正義里長榮路387號2樓。</v>
          </cell>
          <cell r="AK457" t="str">
            <v>3R-1931</v>
          </cell>
          <cell r="AL457" t="str">
            <v>1-0187-啟成&gt;寄&gt;附發票&gt;附回郵</v>
          </cell>
          <cell r="AM457" t="str">
            <v>1-0187</v>
          </cell>
        </row>
        <row r="458">
          <cell r="B458" t="str">
            <v>1-0453</v>
          </cell>
          <cell r="C458" t="str">
            <v>102-01-18</v>
          </cell>
          <cell r="D458" t="str">
            <v>1-0453-楊文華＞阿華田&gt;寄&gt;附發票&gt;自結</v>
          </cell>
          <cell r="E458" t="str">
            <v>楊文華＞阿華田＞靠行:綠大地環境工程有限公司,負:林汶君＞上源</v>
          </cell>
          <cell r="F458" t="str">
            <v>楊文華(453)</v>
          </cell>
          <cell r="G458" t="str">
            <v>稅外</v>
          </cell>
          <cell r="H458" t="str">
            <v>寄＞附發票＞自結＞</v>
          </cell>
          <cell r="I458" t="str">
            <v>2726＞9036＞稅外</v>
          </cell>
          <cell r="J458">
            <v>30</v>
          </cell>
          <cell r="L458" t="str">
            <v>0915-269190</v>
          </cell>
          <cell r="M458">
            <v>0</v>
          </cell>
          <cell r="R458" t="b">
            <v>0</v>
          </cell>
          <cell r="S458" t="str"/>
          <cell r="T458" t="b">
            <v>0</v>
          </cell>
          <cell r="W458">
            <v>300</v>
          </cell>
          <cell r="X458" t="str">
            <v>新竹巿延平路一段453巷5-1號＞登:桃園縣龜山鄉文化村文化二路38-10號11樓之1。</v>
          </cell>
          <cell r="Y458" t="str">
            <v>新竹巿延平路</v>
          </cell>
          <cell r="Z458" t="str">
            <v>新竹巿延平路一段453巷5之1號.</v>
          </cell>
          <cell r="AA458" t="str">
            <v>300新竹巿延平路一段453巷5-1號＞登:桃園縣龜山鄉文化村文化二路38-10號11樓之1。</v>
          </cell>
          <cell r="AK458" t="str">
            <v>Q7-0610</v>
          </cell>
          <cell r="AL458" t="str">
            <v>1-0187-啟成&gt;寄&gt;附發票&gt;附回郵</v>
          </cell>
          <cell r="AM458" t="str">
            <v>1-0187</v>
          </cell>
        </row>
        <row r="459">
          <cell r="B459" t="str">
            <v>1-0454</v>
          </cell>
          <cell r="C459" t="str">
            <v>102-01-19</v>
          </cell>
          <cell r="D459" t="str">
            <v>1-0454-謝明政&gt;松生&gt;寄&gt;自結</v>
          </cell>
          <cell r="E459" t="str">
            <v>謝明政＞靠行:松生交通股份有限公司,負:陳漢琮</v>
          </cell>
          <cell r="F459" t="str">
            <v>謝明政(454)</v>
          </cell>
          <cell r="G459" t="str">
            <v>未稅</v>
          </cell>
          <cell r="H459" t="str">
            <v>寄＞自結＞</v>
          </cell>
          <cell r="I459" t="str">
            <v>未稅</v>
          </cell>
          <cell r="J459">
            <v>30</v>
          </cell>
          <cell r="K459" t="str">
            <v>5008＞5480＞未稅</v>
          </cell>
          <cell r="L459" t="str">
            <v>0972-360192</v>
          </cell>
          <cell r="M459">
            <v>0</v>
          </cell>
          <cell r="R459" t="b">
            <v>0</v>
          </cell>
          <cell r="S459" t="str"/>
          <cell r="T459" t="b">
            <v>0</v>
          </cell>
          <cell r="W459">
            <v>361</v>
          </cell>
          <cell r="X459" t="str">
            <v>苗栗縣造橋鄉平興村一鄰新莊15號＞登:苗栗縣頭份鎮蟠桃里3鄰中央路268號。</v>
          </cell>
          <cell r="Y459" t="str">
            <v>苗栗縣造橋鄉</v>
          </cell>
          <cell r="Z459" t="str">
            <v>苗栗縣造橋鄉平興村一鄰新莊15號.</v>
          </cell>
          <cell r="AA459" t="str">
            <v>361苗栗縣造橋鄉平興村一鄰新莊15號＞登:苗栗縣頭份鎮蟠桃里3鄰中央路268號。</v>
          </cell>
          <cell r="AK459" t="str">
            <v>JP-5362</v>
          </cell>
          <cell r="AL459" t="str">
            <v>1-0187-啟成&gt;寄&gt;附發票&gt;附回郵</v>
          </cell>
          <cell r="AM459" t="str">
            <v>1-0187</v>
          </cell>
        </row>
        <row r="460">
          <cell r="B460" t="str">
            <v>1-0455</v>
          </cell>
          <cell r="C460" t="str">
            <v>102-01-20</v>
          </cell>
          <cell r="D460" t="str">
            <v>1-0455-順偉輪胎&gt;寄&gt;附發票&gt;兩個月匯款</v>
          </cell>
          <cell r="E460" t="str">
            <v>順偉輪胎有限公司＞負:楊金龍</v>
          </cell>
          <cell r="F460" t="str">
            <v>順偉輪胎有限公司(455)</v>
          </cell>
          <cell r="G460" t="str">
            <v>含稅</v>
          </cell>
          <cell r="H460" t="str">
            <v>寄＞附發票＞匯款:順偉輪胎＞2個月匯款</v>
          </cell>
          <cell r="I460" t="str">
            <v>5337＞8073＞含稅&gt;中華全佑&gt;救車未稅</v>
          </cell>
          <cell r="J460">
            <v>30</v>
          </cell>
          <cell r="L460" t="str">
            <v>04-26398656＞傳真:04-26398756&gt;0937-735325＞0917-930279</v>
          </cell>
          <cell r="M460">
            <v>0</v>
          </cell>
          <cell r="R460" t="b">
            <v>0</v>
          </cell>
          <cell r="S460" t="str"/>
          <cell r="T460" t="b">
            <v>0</v>
          </cell>
          <cell r="W460">
            <v>435</v>
          </cell>
          <cell r="X460" t="str">
            <v>臺中市梧棲區永安里自立路21號。</v>
          </cell>
          <cell r="Y460" t="str">
            <v>臺中市梧棲區</v>
          </cell>
          <cell r="Z460" t="str">
            <v>臺中市梧棲區永安里自立路21號.</v>
          </cell>
          <cell r="AA460" t="str">
            <v>435臺中市梧棲區永安里自立路21號。</v>
          </cell>
          <cell r="AK460" t="str">
            <v>891-RD</v>
          </cell>
          <cell r="AL460" t="str">
            <v>1-0187-啟成&gt;寄&gt;附發票&gt;附回郵</v>
          </cell>
          <cell r="AM460" t="str">
            <v>1-0187</v>
          </cell>
        </row>
        <row r="461">
          <cell r="B461" t="str">
            <v>1-0456</v>
          </cell>
          <cell r="C461" t="str">
            <v>102-01-21</v>
          </cell>
          <cell r="D461" t="str">
            <v>1-0456-致佳&gt;寄&gt;附發票&gt;附回郵</v>
          </cell>
          <cell r="E461" t="str">
            <v>致佳科技股份有限公司＞負:王勝本</v>
          </cell>
          <cell r="F461" t="str">
            <v>致佳科技股份有限公司(456)</v>
          </cell>
          <cell r="G461" t="str">
            <v>含稅</v>
          </cell>
          <cell r="H461" t="str">
            <v>寄＞附發票＞附回郵＞</v>
          </cell>
          <cell r="I461" t="str">
            <v>7052＞8379＞含稅</v>
          </cell>
          <cell r="J461">
            <v>30</v>
          </cell>
          <cell r="L461" t="str">
            <v>03-5519988＞0930-911887胡文振＞傳真03-5539696</v>
          </cell>
          <cell r="M461">
            <v>0</v>
          </cell>
          <cell r="R461" t="b">
            <v>0</v>
          </cell>
          <cell r="S461" t="str"/>
          <cell r="T461" t="b">
            <v>0</v>
          </cell>
          <cell r="W461">
            <v>302</v>
          </cell>
          <cell r="X461" t="str">
            <v>新竹縣竹北巿博愛街520號＞登:新竹縣竹北市泰和里博愛街711巷4弄30號。</v>
          </cell>
          <cell r="Y461" t="str">
            <v>新竹縣竹北巿</v>
          </cell>
          <cell r="Z461" t="str">
            <v>新竹縣竹北巿博愛街520號.</v>
          </cell>
          <cell r="AA461" t="str">
            <v>302新竹縣竹北巿博愛街520號＞登:新竹縣竹北市泰和里博愛街711巷4弄30號。</v>
          </cell>
          <cell r="AK461" t="str">
            <v>9891-DC</v>
          </cell>
          <cell r="AL461" t="str">
            <v>1-0187-啟成&gt;寄&gt;附發票&gt;附回郵</v>
          </cell>
          <cell r="AM461" t="str">
            <v>1-0187</v>
          </cell>
        </row>
        <row r="462">
          <cell r="B462" t="str">
            <v>1-0457</v>
          </cell>
          <cell r="C462" t="str">
            <v>102-01-22</v>
          </cell>
          <cell r="D462" t="str">
            <v>1-0457-合正&gt;寄平信&gt;自結</v>
          </cell>
          <cell r="E462" t="str">
            <v>陳適志&gt;靠行:合正交通有限公司＞靠行:合正國際旅行社(與鳳有約)</v>
          </cell>
          <cell r="F462" t="str">
            <v>陳適志(457)</v>
          </cell>
          <cell r="G462" t="str">
            <v>未稅</v>
          </cell>
          <cell r="H462" t="str">
            <v>寄平信＞自結＞</v>
          </cell>
          <cell r="I462" t="str">
            <v>未稅</v>
          </cell>
          <cell r="J462">
            <v>30</v>
          </cell>
          <cell r="K462" t="str">
            <v>1692&gt;7343合正交通&gt;2427&gt;5470合正國際&gt;未稅</v>
          </cell>
          <cell r="L462" t="str">
            <v>0915-095186&gt;0915-167699陳適志＞</v>
          </cell>
          <cell r="M462">
            <v>0</v>
          </cell>
          <cell r="R462" t="b">
            <v>0</v>
          </cell>
          <cell r="S462" t="str"/>
          <cell r="T462" t="b">
            <v>0</v>
          </cell>
          <cell r="W462">
            <v>350</v>
          </cell>
          <cell r="X462" t="str">
            <v>苗栗縣竹南鎮中英里11鄰西門196-50號＞登:苗栗縣造橋鄉朝陽村5鄰朝陽路119號1樓。</v>
          </cell>
          <cell r="Y462" t="str">
            <v>苗栗縣竹南鎮</v>
          </cell>
          <cell r="Z462" t="str">
            <v>苗栗縣竹南鎮中英里11鄰西門196之50號.</v>
          </cell>
          <cell r="AA462" t="str">
            <v>350苗栗縣竹南鎮中英里11鄰西門196-50號＞登:苗栗縣造橋鄉朝陽村5鄰朝陽路119號1樓。</v>
          </cell>
          <cell r="AK462" t="str">
            <v>9723-HB</v>
          </cell>
          <cell r="AL462" t="str">
            <v>1-0187-啟成&gt;寄&gt;附發票&gt;附回郵</v>
          </cell>
          <cell r="AM462" t="str">
            <v>1-0187</v>
          </cell>
        </row>
        <row r="463">
          <cell r="B463" t="str">
            <v>1-0458</v>
          </cell>
          <cell r="C463" t="str">
            <v>102-01-23</v>
          </cell>
          <cell r="D463" t="str">
            <v>1-0458-藍天&gt;寄&gt;自結</v>
          </cell>
          <cell r="E463" t="str">
            <v>藍天通運有限公司＞負:黃桂香</v>
          </cell>
          <cell r="F463" t="str">
            <v>藍天通運有限公司(458)</v>
          </cell>
          <cell r="G463" t="str">
            <v>未稅</v>
          </cell>
          <cell r="H463" t="str">
            <v>寄＞自結＞</v>
          </cell>
          <cell r="I463" t="str">
            <v>未稅</v>
          </cell>
          <cell r="J463">
            <v>30</v>
          </cell>
          <cell r="K463" t="str">
            <v>8943＞3923＞未稅</v>
          </cell>
          <cell r="L463" t="str">
            <v>03-5773495＞03-5778999＞0937-998057＞傳真03-5773099</v>
          </cell>
          <cell r="M463">
            <v>0</v>
          </cell>
          <cell r="R463" t="b">
            <v>0</v>
          </cell>
          <cell r="S463" t="str"/>
          <cell r="T463" t="b">
            <v>0</v>
          </cell>
          <cell r="W463">
            <v>300</v>
          </cell>
          <cell r="X463" t="str">
            <v>新竹市東區龍山里7鄰光復路一段476巷54號1樓。</v>
          </cell>
          <cell r="Y463" t="str">
            <v>新竹市東區龍</v>
          </cell>
          <cell r="Z463" t="str">
            <v>新竹市東區龍山里7鄰光復路一段476巷54號1樓.</v>
          </cell>
          <cell r="AA463" t="str">
            <v>300新竹市東區龍山里7鄰光復路一段476巷54號1樓。</v>
          </cell>
          <cell r="AK463" t="str">
            <v>S2-5015</v>
          </cell>
          <cell r="AL463" t="str">
            <v>1-0187-啟成&gt;寄&gt;附發票&gt;附回郵</v>
          </cell>
          <cell r="AM463" t="str">
            <v>1-0187</v>
          </cell>
        </row>
        <row r="464">
          <cell r="B464" t="str">
            <v>1-0459</v>
          </cell>
          <cell r="C464" t="str">
            <v>102-01-24</v>
          </cell>
          <cell r="D464" t="str">
            <v>1-0459-弘勝達&gt;寄&gt;附發票&gt;附回郵</v>
          </cell>
          <cell r="E464" t="str">
            <v>弘勝達科技股份有限公司＞負:簡珮怡</v>
          </cell>
          <cell r="F464" t="str">
            <v>弘勝達科技股份有限公司(459)</v>
          </cell>
          <cell r="G464" t="str">
            <v>含稅</v>
          </cell>
          <cell r="H464" t="str">
            <v>寄＞附發票＞附回郵＞</v>
          </cell>
          <cell r="I464" t="str">
            <v>1283＞2253＞含稅＞25號月結</v>
          </cell>
          <cell r="J464">
            <v>25</v>
          </cell>
          <cell r="L464" t="str">
            <v>037-626096＞傳真037-626138</v>
          </cell>
          <cell r="M464" t="str">
            <v>2-0078</v>
          </cell>
          <cell r="R464" t="b">
            <v>0</v>
          </cell>
          <cell r="S464" t="str"/>
          <cell r="T464" t="b">
            <v>0</v>
          </cell>
          <cell r="W464">
            <v>351</v>
          </cell>
          <cell r="X464" t="str">
            <v>苗栗縣頭份鎮蘆竹里5鄰工業路111號＞登:新北市土城區慶祥街1巷23號1樓。</v>
          </cell>
          <cell r="Y464" t="str">
            <v>苗栗縣頭份鎮</v>
          </cell>
          <cell r="Z464" t="str">
            <v>苗栗縣頭份鎮蘆竹里5鄰工業路111號.</v>
          </cell>
          <cell r="AA464" t="str">
            <v>351苗栗縣頭份鎮蘆竹里5鄰工業路111號＞登:新北市土城區慶祥街1巷23號1樓。</v>
          </cell>
          <cell r="AK464" t="str">
            <v>2630-UA</v>
          </cell>
          <cell r="AL464" t="str">
            <v>1-0187-啟成&gt;寄&gt;附發票&gt;附回郵</v>
          </cell>
          <cell r="AM464" t="str">
            <v>1-0187</v>
          </cell>
        </row>
        <row r="465">
          <cell r="B465" t="str">
            <v>1-0460</v>
          </cell>
          <cell r="C465" t="str">
            <v>102-01-25</v>
          </cell>
          <cell r="D465" t="str">
            <v>1-0460-榮興&gt;寄&gt;附發票&gt;附回郵</v>
          </cell>
          <cell r="E465" t="str">
            <v>榮興紙業有限公司＞負:陳展傑</v>
          </cell>
          <cell r="F465" t="str">
            <v>榮興紙業有限公司(460)</v>
          </cell>
          <cell r="G465" t="str">
            <v>稅外</v>
          </cell>
          <cell r="H465" t="str">
            <v>寄＞附發票＞附回郵＞</v>
          </cell>
          <cell r="I465" t="str">
            <v>2809＞4909＞稅外</v>
          </cell>
          <cell r="J465">
            <v>30</v>
          </cell>
          <cell r="L465" t="str">
            <v>037-616021＞0989-805222＞0932-668222＞傳真037-616031</v>
          </cell>
          <cell r="M465">
            <v>0</v>
          </cell>
          <cell r="R465" t="b">
            <v>0</v>
          </cell>
          <cell r="S465" t="str"/>
          <cell r="T465" t="b">
            <v>0</v>
          </cell>
          <cell r="W465">
            <v>351</v>
          </cell>
          <cell r="X465" t="str">
            <v>苗栗縣竹南鎮神農街50巷5號</v>
          </cell>
          <cell r="Y465" t="str">
            <v>苗栗縣竹南鎮</v>
          </cell>
          <cell r="Z465" t="str">
            <v>苗栗縣竹南鎮神農街50巷5號</v>
          </cell>
          <cell r="AA465" t="str">
            <v>351苗栗縣竹南鎮神農街50巷5號</v>
          </cell>
          <cell r="AK465" t="str">
            <v>4560-ZN</v>
          </cell>
          <cell r="AL465" t="str">
            <v>1-0187-啟成&gt;寄&gt;附發票&gt;附回郵</v>
          </cell>
          <cell r="AM465" t="str">
            <v>1-0187</v>
          </cell>
        </row>
        <row r="466">
          <cell r="B466" t="str">
            <v>1-0461</v>
          </cell>
          <cell r="C466" t="str">
            <v>102-01-26</v>
          </cell>
          <cell r="D466" t="str">
            <v>1-0461-釧宏&gt;寄&gt;附發票&gt;附回郵</v>
          </cell>
          <cell r="E466" t="str">
            <v>釧宏鋼鐵企業有限公司＞負:余林明華</v>
          </cell>
          <cell r="F466" t="str">
            <v>釧宏鋼鐵企業有限公司(461)</v>
          </cell>
          <cell r="G466" t="str">
            <v>稅外</v>
          </cell>
          <cell r="H466" t="str">
            <v>寄＞附發票＞附回郵＞</v>
          </cell>
          <cell r="I466" t="str">
            <v>9700＞5136＞稅外</v>
          </cell>
          <cell r="J466">
            <v>30</v>
          </cell>
          <cell r="L466" t="str">
            <v>03-5386937＞0910-455479余釧榮＞傳真:03-5305541</v>
          </cell>
          <cell r="M466">
            <v>0</v>
          </cell>
          <cell r="R466" t="b">
            <v>0</v>
          </cell>
          <cell r="S466" t="str"/>
          <cell r="T466" t="b">
            <v>0</v>
          </cell>
          <cell r="W466">
            <v>300</v>
          </cell>
          <cell r="X466" t="str">
            <v>帳:新竹巿中華路五段90-1號＞新竹巿香山區香山里大庄路147號。</v>
          </cell>
          <cell r="Y466" t="str">
            <v>新竹巿中華路</v>
          </cell>
          <cell r="Z466" t="str">
            <v>新竹巿中華路五段90之1號.</v>
          </cell>
          <cell r="AA466" t="str">
            <v>300帳:新竹巿中華路五段90-1號＞新竹巿香山區香山里大庄路147號。</v>
          </cell>
          <cell r="AK466" t="str">
            <v>1920-T6</v>
          </cell>
          <cell r="AL466" t="str">
            <v>1-0187-啟成&gt;寄&gt;附發票&gt;附回郵</v>
          </cell>
          <cell r="AM466" t="str">
            <v>1-0187</v>
          </cell>
        </row>
        <row r="467">
          <cell r="B467" t="str">
            <v>1-0462</v>
          </cell>
          <cell r="C467" t="str">
            <v>102-01-27</v>
          </cell>
          <cell r="D467" t="str">
            <v>1-0462-明新吊車&gt;寄&gt;附發票&gt;附回郵</v>
          </cell>
          <cell r="E467" t="str">
            <v>明鑫起重工程有限公司＞明新吊車工程企業有限公司＞明嶔貨運有限公司＞負:邱美翠</v>
          </cell>
          <cell r="F467" t="str">
            <v>明鑫起重工程有限公司(462)</v>
          </cell>
          <cell r="G467" t="str">
            <v>含稅</v>
          </cell>
          <cell r="H467" t="str">
            <v>寄＞附發票＞附回郵＞</v>
          </cell>
          <cell r="I467" t="str">
            <v>8625＞0202＞明鑫＞含稅</v>
          </cell>
          <cell r="J467">
            <v>30</v>
          </cell>
          <cell r="L467" t="str">
            <v>03-5596911＞0937-152140孫先生＞傳真03-5599320</v>
          </cell>
          <cell r="M467">
            <v>0</v>
          </cell>
          <cell r="R467" t="b">
            <v>0</v>
          </cell>
          <cell r="S467" t="str"/>
          <cell r="T467" t="b">
            <v>0</v>
          </cell>
          <cell r="W467">
            <v>304</v>
          </cell>
          <cell r="X467" t="str">
            <v>公司:新竹縣新豐鄉茄苳路166之1號＞工廠:新竹縣新豐鄉松林村新興路161號。</v>
          </cell>
          <cell r="Y467" t="str">
            <v>新竹縣新豐鄉</v>
          </cell>
          <cell r="Z467" t="str">
            <v>新竹縣新豐鄉茄苳路166之1號.</v>
          </cell>
          <cell r="AA467" t="str">
            <v>304公司:新竹縣新豐鄉茄苳路166之1號＞工廠:新竹縣新豐鄉松林村新興路161號。</v>
          </cell>
          <cell r="AK467" t="str">
            <v>751-TK</v>
          </cell>
          <cell r="AL467" t="str">
            <v>1-0192-鈺昇&gt;寄&gt;附發票&gt;自結</v>
          </cell>
          <cell r="AM467" t="str">
            <v>1-0192</v>
          </cell>
        </row>
        <row r="468">
          <cell r="B468" t="str">
            <v>1-0463</v>
          </cell>
          <cell r="C468" t="str">
            <v>102-01-28</v>
          </cell>
          <cell r="D468" t="str">
            <v>1-0463-翔瑞&gt;寄&gt;附發票&gt;附回郵</v>
          </cell>
          <cell r="E468" t="str">
            <v>翔瑞實業有限公司＞負:楊德能</v>
          </cell>
          <cell r="F468" t="str">
            <v>翔瑞實業有限公司(463)</v>
          </cell>
          <cell r="G468" t="str">
            <v>含稅</v>
          </cell>
          <cell r="H468" t="str">
            <v>寄＞附發票＞附回郵＞</v>
          </cell>
          <cell r="I468" t="str">
            <v>8694＞8877＞含稅</v>
          </cell>
          <cell r="J468">
            <v>30</v>
          </cell>
          <cell r="L468" t="str">
            <v>02-22556833＞傳真02-22590996</v>
          </cell>
          <cell r="M468">
            <v>0</v>
          </cell>
          <cell r="R468" t="b">
            <v>0</v>
          </cell>
          <cell r="S468" t="str"/>
          <cell r="T468" t="b">
            <v>0</v>
          </cell>
          <cell r="W468">
            <v>220</v>
          </cell>
          <cell r="X468" t="str">
            <v>新北巿板橋區文化路二段369巷7號3樓。</v>
          </cell>
          <cell r="Y468" t="str">
            <v>新北巿板橋區</v>
          </cell>
          <cell r="Z468" t="str">
            <v>新北巿板橋區文化路二段369巷7號3樓.</v>
          </cell>
          <cell r="AA468" t="str">
            <v>220新北巿板橋區文化路二段369巷7號3樓。</v>
          </cell>
          <cell r="AK468" t="str">
            <v>R3-4608</v>
          </cell>
          <cell r="AL468" t="str">
            <v>1-0192-鈺昇&gt;寄&gt;附發票&gt;自結</v>
          </cell>
          <cell r="AM468" t="str">
            <v>1-0192</v>
          </cell>
        </row>
        <row r="469">
          <cell r="B469" t="str">
            <v>1-0464</v>
          </cell>
          <cell r="C469" t="str">
            <v>102-01-29</v>
          </cell>
          <cell r="D469" t="str">
            <v>1-0464-福記吊車&gt;寄&gt;附發票&gt;自結</v>
          </cell>
          <cell r="E469" t="str">
            <v>福記吊車工程行＞負:黃淑娥</v>
          </cell>
          <cell r="F469" t="str">
            <v>福記吊車工程行(464)</v>
          </cell>
          <cell r="G469" t="str">
            <v>稅外</v>
          </cell>
          <cell r="H469" t="str">
            <v>寄＞附發票＞附回郵＞</v>
          </cell>
          <cell r="I469" t="str">
            <v>1734＞8650＞稅外</v>
          </cell>
          <cell r="J469">
            <v>30</v>
          </cell>
          <cell r="L469" t="str">
            <v>037-475692＞0919-584460老闆娘＞0937-225330楊苗堂</v>
          </cell>
          <cell r="M469">
            <v>0</v>
          </cell>
          <cell r="R469" t="b">
            <v>0</v>
          </cell>
          <cell r="S469" t="str"/>
          <cell r="T469" t="b">
            <v>0</v>
          </cell>
          <cell r="W469">
            <v>350</v>
          </cell>
          <cell r="X469" t="str">
            <v>苗栗縣竹南鎮中美里10鄰49之9號。</v>
          </cell>
          <cell r="Y469" t="str">
            <v>苗栗縣竹南鎮</v>
          </cell>
          <cell r="Z469" t="str">
            <v>苗栗縣竹南鎮中美里10鄰49之9號.</v>
          </cell>
          <cell r="AA469" t="str">
            <v>350苗栗縣竹南鎮中美里10鄰49之9號。</v>
          </cell>
          <cell r="AK469" t="str">
            <v>203-QE</v>
          </cell>
          <cell r="AL469" t="str">
            <v>1-0194-傅文芳&gt;大砲&gt;一路發拖吊&gt;電&gt;自結</v>
          </cell>
          <cell r="AM469" t="str">
            <v>1-0194</v>
          </cell>
        </row>
        <row r="470">
          <cell r="B470" t="str">
            <v>1-0465</v>
          </cell>
          <cell r="C470" t="str">
            <v>102-01-30</v>
          </cell>
          <cell r="D470" t="str">
            <v>1-0465-原新金屬&gt;寄&gt;附發票&gt;附回郵</v>
          </cell>
          <cell r="E470" t="str">
            <v>原新金屬有限公司＞負:張瑞娟</v>
          </cell>
          <cell r="F470" t="str">
            <v>原新金屬有限公司(465)</v>
          </cell>
          <cell r="G470" t="str">
            <v>含稅</v>
          </cell>
          <cell r="H470" t="str">
            <v>寄＞附發票＞附回郵＞</v>
          </cell>
          <cell r="I470" t="str">
            <v>9726＞9214＞含稅</v>
          </cell>
          <cell r="J470">
            <v>30</v>
          </cell>
          <cell r="L470" t="str">
            <v>037-583377＞0933-975336陳清崇＞傳真:037-581327</v>
          </cell>
          <cell r="M470" t="str">
            <v>2-0140</v>
          </cell>
          <cell r="R470" t="b">
            <v>0</v>
          </cell>
          <cell r="S470" t="str"/>
          <cell r="T470" t="b">
            <v>0</v>
          </cell>
          <cell r="W470">
            <v>300</v>
          </cell>
          <cell r="X470" t="str">
            <v>帳:新竹巿高翠路256號.＞苗栗縣竹南鎮崎頂里1鄰牧場3號＞登:苗栗縣竹南鎮營盤里建國路191號。</v>
          </cell>
          <cell r="Y470" t="str">
            <v>新竹巿高翠路</v>
          </cell>
          <cell r="Z470" t="str">
            <v>新竹巿高翠路256號.</v>
          </cell>
          <cell r="AA470" t="str">
            <v>300帳:新竹巿高翠路256號.＞苗栗縣竹南鎮崎頂里1鄰牧場3號＞登:苗栗縣竹南鎮營盤里建國路191號。</v>
          </cell>
          <cell r="AK470" t="str">
            <v>192-BF</v>
          </cell>
          <cell r="AL470" t="str">
            <v>1-0194-傅文芳&gt;大砲&gt;一路發拖吊&gt;電&gt;自結</v>
          </cell>
          <cell r="AM470" t="str">
            <v>1-0194</v>
          </cell>
        </row>
        <row r="471">
          <cell r="B471" t="str">
            <v>1-0466</v>
          </cell>
          <cell r="C471" t="str">
            <v>102-01-31</v>
          </cell>
          <cell r="D471" t="str">
            <v>1-0466-全翔&gt;寄&gt;附發票&gt;附回郵</v>
          </cell>
          <cell r="E471" t="str">
            <v>全翔交通有限公司＞負:張滿</v>
          </cell>
          <cell r="F471" t="str">
            <v>全翔交通有限公司(466)</v>
          </cell>
          <cell r="G471" t="str">
            <v>含稅</v>
          </cell>
          <cell r="H471" t="str">
            <v>寄＞附發票＞附回郵＞</v>
          </cell>
          <cell r="I471" t="str">
            <v>1630＞9659＞含稅</v>
          </cell>
          <cell r="J471">
            <v>30</v>
          </cell>
          <cell r="L471" t="str">
            <v>02-27662988＞</v>
          </cell>
          <cell r="M471">
            <v>0</v>
          </cell>
          <cell r="R471" t="b">
            <v>0</v>
          </cell>
          <cell r="S471" t="str"/>
          <cell r="T471" t="b">
            <v>0</v>
          </cell>
          <cell r="W471">
            <v>105</v>
          </cell>
          <cell r="X471" t="str">
            <v>台北巿松山區扶遠街249巷4號1樓＞登:臺北市松山區塔悠路318號。</v>
          </cell>
          <cell r="Y471" t="str">
            <v>台北巿松山區</v>
          </cell>
          <cell r="Z471" t="str">
            <v>台北巿松山區扶遠街249巷4號1樓.</v>
          </cell>
          <cell r="AA471" t="str">
            <v>105台北巿松山區扶遠街249巷4號1樓＞登:臺北市松山區塔悠路318號。</v>
          </cell>
          <cell r="AK471" t="str">
            <v>261-Y7</v>
          </cell>
          <cell r="AL471" t="str">
            <v>1-0194-傅文芳&gt;大砲&gt;一路發拖吊&gt;電&gt;自結</v>
          </cell>
          <cell r="AM471" t="str">
            <v>1-0194</v>
          </cell>
        </row>
        <row r="472">
          <cell r="B472" t="str">
            <v>1-0467</v>
          </cell>
          <cell r="C472" t="str">
            <v>102-02-01</v>
          </cell>
          <cell r="D472" t="str">
            <v>1-0467-峰林&gt;寄&gt;匯款:羅惠燕</v>
          </cell>
          <cell r="E472" t="str">
            <v xml:space="preserve">峰林通運股份有限公司＞負:羅志錚＞群益通運有限公司＞負:黃啟峰 </v>
          </cell>
          <cell r="F472" t="str">
            <v>峰林通運股份有限公司(467)</v>
          </cell>
          <cell r="G472" t="str">
            <v>未稅</v>
          </cell>
          <cell r="H472" t="str">
            <v>寄＞匯款:羅惠燕＞</v>
          </cell>
          <cell r="I472" t="str">
            <v>未稅</v>
          </cell>
          <cell r="J472">
            <v>30</v>
          </cell>
          <cell r="K472" t="str">
            <v>8950＞2673＞峰林＞1692＞9980群益＞未稅</v>
          </cell>
          <cell r="L472" t="str">
            <v>037-759381＞傳真037-761516＞0927-216151＞0986-891961黃啟峰</v>
          </cell>
          <cell r="M472">
            <v>0</v>
          </cell>
          <cell r="R472" t="b">
            <v>0</v>
          </cell>
          <cell r="S472" t="str"/>
          <cell r="T472" t="b">
            <v>0</v>
          </cell>
          <cell r="W472">
            <v>358</v>
          </cell>
          <cell r="X472" t="str">
            <v>苗栗縣苑裡鎮建國路9-1號＞登:苗栗縣苗栗市福安里鴻福20鄰30號2樓＞登:臺中市豐原區南陽路301巷18弄36號。</v>
          </cell>
          <cell r="Y472" t="str">
            <v>苗栗縣苑裡鎮</v>
          </cell>
          <cell r="Z472" t="str">
            <v>苗栗縣苑裡鎮建國路9之1號.</v>
          </cell>
          <cell r="AA472" t="str">
            <v>358苗栗縣苑裡鎮建國路9-1號＞登:苗栗縣苗栗市福安里鴻福20鄰30號2樓＞登:臺中市豐原區南陽路301巷18弄36號。</v>
          </cell>
          <cell r="AK472" t="str">
            <v>SK-085</v>
          </cell>
          <cell r="AL472" t="str">
            <v>1-0194-傅文芳&gt;大砲&gt;一路發拖吊&gt;電&gt;自結</v>
          </cell>
          <cell r="AM472" t="str">
            <v>1-0194</v>
          </cell>
        </row>
        <row r="473">
          <cell r="B473" t="str">
            <v>1-0468</v>
          </cell>
          <cell r="C473" t="str">
            <v>102-02-02</v>
          </cell>
          <cell r="D473" t="str">
            <v>1-0468-臻錠&gt;寄&gt;附發票&gt;附回郵</v>
          </cell>
          <cell r="E473" t="str">
            <v>臻錠重機械有限公司＞負:張敏男</v>
          </cell>
          <cell r="F473" t="str">
            <v>臻錠重機械有限公司(468)</v>
          </cell>
          <cell r="G473" t="str">
            <v>含稅</v>
          </cell>
          <cell r="H473" t="str">
            <v>寄＞附發票&gt;附回郵</v>
          </cell>
          <cell r="I473" t="str">
            <v>4268&gt;6025&gt;含稅</v>
          </cell>
          <cell r="J473">
            <v>30</v>
          </cell>
          <cell r="L473" t="str">
            <v>04-25589828&gt;0923-188659張敏男</v>
          </cell>
          <cell r="M473">
            <v>0</v>
          </cell>
          <cell r="R473" t="b">
            <v>0</v>
          </cell>
          <cell r="S473" t="str"/>
          <cell r="T473" t="b">
            <v>0</v>
          </cell>
          <cell r="W473">
            <v>421</v>
          </cell>
          <cell r="X473" t="str">
            <v>臺中市后里區成功路121號</v>
          </cell>
          <cell r="Y473" t="str">
            <v>臺中市后里區</v>
          </cell>
          <cell r="Z473" t="str">
            <v>臺中市后里區成功路121號</v>
          </cell>
          <cell r="AA473" t="str">
            <v>421臺中市后里區成功路121號</v>
          </cell>
          <cell r="AK473" t="str">
            <v>AAC-079</v>
          </cell>
          <cell r="AL473" t="str">
            <v>1-0194-傅文芳&gt;大砲&gt;一路發拖吊&gt;電&gt;自結</v>
          </cell>
          <cell r="AM473" t="str">
            <v>1-0194</v>
          </cell>
        </row>
        <row r="474">
          <cell r="B474" t="str">
            <v>1-0469</v>
          </cell>
          <cell r="C474" t="str">
            <v>102-02-03</v>
          </cell>
          <cell r="D474" t="str">
            <v>1-0469-黃明良&gt;旭東&gt;寄&gt;附發票&gt;附回郵</v>
          </cell>
          <cell r="E474" t="str">
            <v>黃明良＞靠行:旭東交通股份有限公司,負:洪春琇</v>
          </cell>
          <cell r="F474" t="str">
            <v>黃明良(469)</v>
          </cell>
          <cell r="G474" t="str">
            <v>含稅</v>
          </cell>
          <cell r="H474" t="str">
            <v>寄＞附發票＞附回郵＞</v>
          </cell>
          <cell r="I474" t="str">
            <v>4977＞7366＞含稅</v>
          </cell>
          <cell r="J474">
            <v>30</v>
          </cell>
          <cell r="L474" t="str">
            <v>0937-771620黃明良＞0919-655039黃太太</v>
          </cell>
          <cell r="M474" t="str">
            <v>2-0136</v>
          </cell>
          <cell r="R474" t="b">
            <v>0</v>
          </cell>
          <cell r="S474" t="str"/>
          <cell r="T474" t="b">
            <v>0</v>
          </cell>
          <cell r="W474">
            <v>361</v>
          </cell>
          <cell r="X474" t="str">
            <v xml:space="preserve">苗栗縣造橋鄉朝陽村9鄰27-6號＞登:苗栗縣苗栗市上苗里12鄰長安街140號。 </v>
          </cell>
          <cell r="Y474" t="str">
            <v>苗栗縣造橋鄉</v>
          </cell>
          <cell r="Z474" t="str">
            <v>苗栗縣造橋鄉朝陽村9鄰27之6號.</v>
          </cell>
          <cell r="AA474" t="str">
            <v xml:space="preserve">361苗栗縣造橋鄉朝陽村9鄰27-6號＞登:苗栗縣苗栗市上苗里12鄰長安街140號。 </v>
          </cell>
          <cell r="AK474" t="str">
            <v>F5-929</v>
          </cell>
          <cell r="AL474" t="str">
            <v>1-0195-宏昌&gt;寄&gt;附回郵</v>
          </cell>
          <cell r="AM474" t="str">
            <v>1-0195</v>
          </cell>
        </row>
        <row r="475">
          <cell r="B475" t="str">
            <v>1-0470</v>
          </cell>
          <cell r="C475" t="str">
            <v>102-02-04</v>
          </cell>
          <cell r="D475" t="str">
            <v>1-0470-裕珉&gt;寄&gt;匯款633429.</v>
          </cell>
          <cell r="E475" t="str">
            <v>裕珉遊覽車客運有限公司＞負:湯永瓏</v>
          </cell>
          <cell r="F475" t="str">
            <v>裕珉遊覽車客運有限公司(470)</v>
          </cell>
          <cell r="G475" t="str">
            <v>未稅</v>
          </cell>
          <cell r="H475" t="str">
            <v>寄＞匯款633429＞</v>
          </cell>
          <cell r="I475" t="str">
            <v>未稅</v>
          </cell>
          <cell r="J475">
            <v>30</v>
          </cell>
          <cell r="K475" t="str">
            <v>2850＞0548＞未稅</v>
          </cell>
          <cell r="L475" t="str">
            <v>037-758210＞0936-816080房演淼＞傳真037-761090</v>
          </cell>
          <cell r="M475">
            <v>0</v>
          </cell>
          <cell r="R475" t="b">
            <v>0</v>
          </cell>
          <cell r="S475" t="str"/>
          <cell r="T475" t="b">
            <v>0</v>
          </cell>
          <cell r="W475">
            <v>357</v>
          </cell>
          <cell r="X475" t="str">
            <v>苗栗縣通霄鎮通東里仁愛路19號之1。</v>
          </cell>
          <cell r="Y475" t="str">
            <v>苗栗縣通霄鎮</v>
          </cell>
          <cell r="Z475" t="str">
            <v>苗栗縣通霄鎮通東里仁愛路19號之1.</v>
          </cell>
          <cell r="AA475" t="str">
            <v>357苗栗縣通霄鎮通東里仁愛路19號之1。</v>
          </cell>
          <cell r="AK475" t="str">
            <v>7P-8312</v>
          </cell>
          <cell r="AL475" t="str">
            <v>1-0199-鐸昇&gt;寄&gt;附發票&gt;附回郵</v>
          </cell>
          <cell r="AM475" t="str">
            <v>1-0199</v>
          </cell>
        </row>
        <row r="476">
          <cell r="B476" t="str">
            <v>1-0471</v>
          </cell>
          <cell r="C476" t="str">
            <v>102-02-05</v>
          </cell>
          <cell r="D476" t="str">
            <v>1-0471-細漢&gt;寄&gt;自結</v>
          </cell>
          <cell r="E476" t="str">
            <v>黃俊堯</v>
          </cell>
          <cell r="F476" t="str">
            <v>黃俊堯(471)</v>
          </cell>
          <cell r="G476" t="str">
            <v>未稅</v>
          </cell>
          <cell r="H476" t="str">
            <v>寄＞自結＞</v>
          </cell>
          <cell r="I476" t="str">
            <v>未稅</v>
          </cell>
          <cell r="J476">
            <v>30</v>
          </cell>
          <cell r="K476" t="str">
            <v>8204＞4913＞未稅</v>
          </cell>
          <cell r="L476" t="str">
            <v>037-623082＞0911-660994</v>
          </cell>
          <cell r="M476">
            <v>0</v>
          </cell>
          <cell r="O476">
            <v>63</v>
          </cell>
          <cell r="P476">
            <v>1</v>
          </cell>
          <cell r="Q476">
            <v>2</v>
          </cell>
          <cell r="R476">
            <v>48</v>
          </cell>
          <cell r="S476">
            <v>74</v>
          </cell>
          <cell r="T476">
            <v>27031</v>
          </cell>
          <cell r="U476" t="str">
            <v>K121483090</v>
          </cell>
          <cell r="W476">
            <v>351</v>
          </cell>
          <cell r="X476" t="str">
            <v>苗栗縣頭份鎮尖下里16鄰芝山莊59號＞登:苗栗縣竹南鎮大厝里11鄰大營路149之1號 。</v>
          </cell>
          <cell r="Y476" t="str">
            <v>苗栗縣頭份鎮</v>
          </cell>
          <cell r="Z476" t="str">
            <v>苗栗縣頭份鎮尖下里16鄰芝山莊59號.</v>
          </cell>
          <cell r="AA476" t="str">
            <v>351苗栗縣頭份鎮尖下里16鄰芝山莊59號＞登:苗栗縣竹南鎮大厝里11鄰大營路149之1號 。</v>
          </cell>
          <cell r="AK476" t="str">
            <v>3677-ND</v>
          </cell>
          <cell r="AL476" t="str">
            <v>1-0199-鐸昇&gt;寄&gt;附發票&gt;附回郵</v>
          </cell>
          <cell r="AM476" t="str">
            <v>1-0199</v>
          </cell>
        </row>
        <row r="477">
          <cell r="B477" t="str">
            <v>1-0472</v>
          </cell>
          <cell r="C477" t="str">
            <v>102-02-06</v>
          </cell>
          <cell r="D477" t="str">
            <v>1-0472-虹銘&gt;寄&gt;附發票&gt;附回郵</v>
          </cell>
          <cell r="E477" t="str">
            <v>虹銘股份有限公司＞負:楊錦木</v>
          </cell>
          <cell r="F477" t="str">
            <v>虹銘股份有限公司(472)</v>
          </cell>
          <cell r="G477" t="str">
            <v>含稅</v>
          </cell>
          <cell r="H477" t="str">
            <v>寄＞附發票＞附回郵＞</v>
          </cell>
          <cell r="I477" t="str">
            <v>5052＞6439＞虹銘&gt;0292&gt;2939&gt;韋程&gt;含稅＞25號月結</v>
          </cell>
          <cell r="J477">
            <v>25</v>
          </cell>
          <cell r="L477" t="str">
            <v>037-637103-115方小姐＞0926-184572黃源紅＞傳真037-637660</v>
          </cell>
          <cell r="M477" t="str">
            <v>2-0087</v>
          </cell>
          <cell r="R477" t="b">
            <v>0</v>
          </cell>
          <cell r="S477" t="str"/>
          <cell r="T477" t="b">
            <v>0</v>
          </cell>
          <cell r="W477">
            <v>350</v>
          </cell>
          <cell r="X477" t="str">
            <v>苗栗縣竹南鎮佳興里1鄰環巿路三段561號＞登:苗栗縣竹南鎮山佳里15鄰79號。</v>
          </cell>
          <cell r="Y477" t="str">
            <v>苗栗縣竹南鎮</v>
          </cell>
          <cell r="Z477" t="str">
            <v>苗栗縣竹南鎮佳興里1鄰環巿路三段561號.</v>
          </cell>
          <cell r="AA477" t="str">
            <v>350苗栗縣竹南鎮佳興里1鄰環巿路三段561號＞登:苗栗縣竹南鎮山佳里15鄰79號。</v>
          </cell>
          <cell r="AK477" t="str">
            <v>510-TK</v>
          </cell>
          <cell r="AL477" t="str">
            <v>1-0201-大乘&gt;寄&gt;附發票&gt;附回郵</v>
          </cell>
          <cell r="AM477" t="str">
            <v>1-0201</v>
          </cell>
        </row>
        <row r="478">
          <cell r="B478" t="str">
            <v>1-0473</v>
          </cell>
          <cell r="C478" t="str">
            <v>102-02-07</v>
          </cell>
          <cell r="D478" t="str">
            <v>1-0473-台灣肥料&gt;寄&gt;附發票&gt;兩個月底匯款</v>
          </cell>
          <cell r="E478" t="str">
            <v>台灣肥料股份有限公司苗栗廠</v>
          </cell>
          <cell r="F478" t="str">
            <v>台灣肥料股份有限公司苗栗廠(473)</v>
          </cell>
          <cell r="G478" t="str">
            <v>含稅</v>
          </cell>
          <cell r="H478" t="str">
            <v>寄＞附發票＞匯款＞</v>
          </cell>
          <cell r="I478" t="str">
            <v>4925＞8934＞含稅＞中華全佑＞25號月結</v>
          </cell>
          <cell r="J478">
            <v>25</v>
          </cell>
          <cell r="L478" t="str">
            <v>037-260601鄒定容小姐＞傳真037-267170</v>
          </cell>
          <cell r="M478">
            <v>0</v>
          </cell>
          <cell r="R478" t="b">
            <v>0</v>
          </cell>
          <cell r="S478" t="str"/>
          <cell r="T478" t="b">
            <v>0</v>
          </cell>
          <cell r="W478">
            <v>300</v>
          </cell>
          <cell r="X478" t="str">
            <v>苗栗巿福安里福星210號。</v>
          </cell>
          <cell r="Y478" t="str">
            <v>苗栗巿福安里</v>
          </cell>
          <cell r="Z478" t="str">
            <v>苗栗巿福安里福星210號.</v>
          </cell>
          <cell r="AA478" t="str">
            <v>300苗栗巿福安里福星210號。</v>
          </cell>
          <cell r="AK478" t="str">
            <v>AHD-5589</v>
          </cell>
          <cell r="AL478" t="str">
            <v>1-0202-鍀泰&gt;寄&gt;附發票&gt;附回郵</v>
          </cell>
          <cell r="AM478" t="str">
            <v>1-0202</v>
          </cell>
        </row>
        <row r="479">
          <cell r="B479" t="str">
            <v>1-0474</v>
          </cell>
          <cell r="C479" t="str">
            <v>102-02-08</v>
          </cell>
          <cell r="D479" t="str">
            <v>1-0474-永輝&gt;寄&gt;附發票&gt;附回郵</v>
          </cell>
          <cell r="E479" t="str">
            <v>永輝土木包工業＞負:蘇光輝</v>
          </cell>
          <cell r="F479" t="str">
            <v>永輝土木包工業(474)</v>
          </cell>
          <cell r="G479" t="str">
            <v>稅外</v>
          </cell>
          <cell r="H479" t="str">
            <v>寄＞附發票＞附回郵＞</v>
          </cell>
          <cell r="I479" t="str">
            <v>8334＞1763＞稅外</v>
          </cell>
          <cell r="J479">
            <v>30</v>
          </cell>
          <cell r="L479" t="str">
            <v>037-723022＞0921-040109＞0910-450519蘇育堅</v>
          </cell>
          <cell r="M479">
            <v>0</v>
          </cell>
          <cell r="R479" t="b">
            <v>0</v>
          </cell>
          <cell r="S479" t="str"/>
          <cell r="T479" t="b">
            <v>0</v>
          </cell>
          <cell r="W479">
            <v>356</v>
          </cell>
          <cell r="X479" t="str">
            <v>苗栗縣後龍鎮東明里14鄰14-17號＞登:苗栗縣後龍鎮大庄里20鄰鄰中山路199號。</v>
          </cell>
          <cell r="Y479" t="str">
            <v>苗栗縣後龍鎮</v>
          </cell>
          <cell r="Z479" t="str">
            <v>苗栗縣後龍鎮東明里14鄰14之17號.</v>
          </cell>
          <cell r="AA479" t="str">
            <v>356苗栗縣後龍鎮東明里14鄰14-17號＞登:苗栗縣後龍鎮大庄里20鄰鄰中山路199號。</v>
          </cell>
          <cell r="AK479" t="str">
            <v>8788-TX</v>
          </cell>
          <cell r="AL479" t="str">
            <v>1-0202-鍀泰&gt;寄&gt;附發票&gt;附回郵</v>
          </cell>
          <cell r="AM479" t="str">
            <v>1-0202</v>
          </cell>
        </row>
        <row r="480">
          <cell r="B480" t="str">
            <v>1-0475</v>
          </cell>
          <cell r="C480" t="str">
            <v>102-02-09</v>
          </cell>
          <cell r="D480" t="str">
            <v>1-0475-有勝&gt;寄&gt;附發票&gt;附回郵</v>
          </cell>
          <cell r="E480" t="str">
            <v>有勝車業有限公司＞負:張慶有</v>
          </cell>
          <cell r="F480" t="str">
            <v>有勝車業有限公司(475)</v>
          </cell>
          <cell r="G480" t="str">
            <v>含稅</v>
          </cell>
          <cell r="H480" t="str">
            <v>寄＞附發票＞附回郵＞匯款:2161058.72181</v>
          </cell>
          <cell r="I480" t="str">
            <v>5328＞7691＞含稅&gt;救車未稅</v>
          </cell>
          <cell r="J480">
            <v>30</v>
          </cell>
          <cell r="L480" t="str">
            <v>04-26580220＞0986-018448張慶有＞傳真04-26582990</v>
          </cell>
          <cell r="M480">
            <v>0</v>
          </cell>
          <cell r="R480" t="b">
            <v>0</v>
          </cell>
          <cell r="S480" t="str"/>
          <cell r="T480" t="b">
            <v>0</v>
          </cell>
          <cell r="W480">
            <v>435</v>
          </cell>
          <cell r="X480" t="str">
            <v>臺中市梧棲區大庄里港埠路一段1008號。</v>
          </cell>
          <cell r="Y480" t="str">
            <v>臺中市梧棲區</v>
          </cell>
          <cell r="Z480" t="str">
            <v>臺中市梧棲區大庄里港埠路一段1008號.</v>
          </cell>
          <cell r="AA480" t="str">
            <v>435臺中市梧棲區大庄里港埠路一段1008號。</v>
          </cell>
          <cell r="AK480" t="str">
            <v>9D-4100</v>
          </cell>
          <cell r="AL480" t="str">
            <v>1-0205-新合盛行&gt;寄&gt;附發票&gt;附回郵</v>
          </cell>
          <cell r="AM480" t="str">
            <v>1-0205</v>
          </cell>
        </row>
        <row r="481">
          <cell r="B481" t="str">
            <v>1-0476</v>
          </cell>
          <cell r="C481" t="str">
            <v>102-02-10</v>
          </cell>
          <cell r="D481" t="str">
            <v>1-0476-振興&gt;寄&gt;附發票&gt;附回郵</v>
          </cell>
          <cell r="E481" t="str">
            <v>振興種苗園＞負:徐東裕</v>
          </cell>
          <cell r="F481" t="str">
            <v>振興種苗園(476)</v>
          </cell>
          <cell r="G481" t="str">
            <v>稅外</v>
          </cell>
          <cell r="H481" t="str">
            <v>寄＞附發票＞附回郵＞</v>
          </cell>
          <cell r="I481" t="str">
            <v>5914＞1483＞稅外</v>
          </cell>
          <cell r="J481">
            <v>30</v>
          </cell>
          <cell r="L481" t="str">
            <v>04-8835859＞0919-548754老板＞0910-409288司機王忠山</v>
          </cell>
          <cell r="M481">
            <v>0</v>
          </cell>
          <cell r="R481" t="b">
            <v>0</v>
          </cell>
          <cell r="S481" t="str"/>
          <cell r="T481" t="b">
            <v>0</v>
          </cell>
          <cell r="W481">
            <v>522</v>
          </cell>
          <cell r="X481" t="str">
            <v>彰化縣田尾鄉正義村中正路一段286號＞登:彰化縣田尾鄉打簾村民生路一段540號。</v>
          </cell>
          <cell r="Y481" t="str">
            <v>彰化縣田尾鄉</v>
          </cell>
          <cell r="Z481" t="str">
            <v>彰化縣田尾鄉正義村中正路一段286號.</v>
          </cell>
          <cell r="AA481" t="str">
            <v>522彰化縣田尾鄉正義村中正路一段286號＞登:彰化縣田尾鄉打簾村民生路一段540號。</v>
          </cell>
          <cell r="AK481" t="str">
            <v>7P-3703</v>
          </cell>
          <cell r="AL481" t="str">
            <v>1-0205-新合盛行&gt;寄&gt;附發票&gt;附回郵</v>
          </cell>
          <cell r="AM481" t="str">
            <v>1-0205</v>
          </cell>
        </row>
        <row r="482">
          <cell r="B482" t="str">
            <v>1-0477</v>
          </cell>
          <cell r="C482" t="str">
            <v>102-02-11</v>
          </cell>
          <cell r="D482" t="str">
            <v>1-0477-利泰&gt;寄&gt;附發票&gt;附回郵</v>
          </cell>
          <cell r="E482" t="str">
            <v>利泰紙器有限公司＞負:林春南</v>
          </cell>
          <cell r="F482" t="str">
            <v>利泰紙器有限公司(477)</v>
          </cell>
          <cell r="G482" t="str">
            <v>含稅</v>
          </cell>
          <cell r="H482" t="str">
            <v>寄＞附發票＞附回郵＞</v>
          </cell>
          <cell r="I482" t="str">
            <v>8434＞7391＞含稅</v>
          </cell>
          <cell r="J482">
            <v>30</v>
          </cell>
          <cell r="L482" t="str">
            <v>037-460563＞0935-891388林春南＞傳真037-461293</v>
          </cell>
          <cell r="M482">
            <v>0</v>
          </cell>
          <cell r="R482" t="b">
            <v>0</v>
          </cell>
          <cell r="S482" t="str"/>
          <cell r="T482" t="b">
            <v>0</v>
          </cell>
          <cell r="W482">
            <v>350</v>
          </cell>
          <cell r="X482" t="str">
            <v>苗栗縣竹南鎮港墘里13鄰塭仔頭1-16號。</v>
          </cell>
          <cell r="Y482" t="str">
            <v>苗栗縣竹南鎮</v>
          </cell>
          <cell r="Z482" t="str">
            <v>苗栗縣竹南鎮港墘里13鄰塭仔頭1之16號.</v>
          </cell>
          <cell r="AA482" t="str">
            <v>350苗栗縣竹南鎮港墘里13鄰塭仔頭1-16號。</v>
          </cell>
          <cell r="AK482" t="str">
            <v>4478N2</v>
          </cell>
          <cell r="AL482" t="str">
            <v>1-0205-新合盛行&gt;寄&gt;附發票&gt;附回郵</v>
          </cell>
          <cell r="AM482" t="str">
            <v>1-0205</v>
          </cell>
        </row>
        <row r="483">
          <cell r="B483" t="str">
            <v>1-0478</v>
          </cell>
          <cell r="C483" t="str">
            <v>102-02-12</v>
          </cell>
          <cell r="D483" t="str">
            <v>1-0478-凱鴻&gt;寄&gt;附發票&gt;附回郵</v>
          </cell>
          <cell r="E483" t="str">
            <v>凱鴻紙業股份有限公司＞負:蔡明榮</v>
          </cell>
          <cell r="F483" t="str">
            <v>凱鴻紙業股份有限公司(478)</v>
          </cell>
          <cell r="G483" t="str">
            <v>稅外</v>
          </cell>
          <cell r="H483" t="str">
            <v>寄＞附發票＞附回郵＞</v>
          </cell>
          <cell r="I483" t="str">
            <v>1626＞8215＞稅外</v>
          </cell>
          <cell r="J483">
            <v>30</v>
          </cell>
          <cell r="L483" t="str">
            <v>037-622692＞0988-515792江紋權-廠長＞傳真037-626566</v>
          </cell>
          <cell r="M483">
            <v>0</v>
          </cell>
          <cell r="R483" t="b">
            <v>0</v>
          </cell>
          <cell r="S483" t="str"/>
          <cell r="T483" t="b">
            <v>0</v>
          </cell>
          <cell r="W483">
            <v>350</v>
          </cell>
          <cell r="X483" t="str">
            <v>苗栗縣竹南鎮新南里維新街131號。</v>
          </cell>
          <cell r="Y483" t="str">
            <v>苗栗縣竹南鎮</v>
          </cell>
          <cell r="Z483" t="str">
            <v>苗栗縣竹南鎮新南里維新街131號.</v>
          </cell>
          <cell r="AA483" t="str">
            <v>350苗栗縣竹南鎮新南里維新街131號。</v>
          </cell>
          <cell r="AK483" t="str">
            <v>5C-1649</v>
          </cell>
          <cell r="AL483" t="str">
            <v>1-0205-新合盛行&gt;寄&gt;附發票&gt;附回郵</v>
          </cell>
          <cell r="AM483" t="str">
            <v>1-0205</v>
          </cell>
        </row>
        <row r="484">
          <cell r="B484" t="str">
            <v>1-0479</v>
          </cell>
          <cell r="C484" t="str">
            <v>102-02-13</v>
          </cell>
          <cell r="D484" t="str">
            <v>1-0479-鴻福凱億&gt;寄&gt;附發票&gt;附回郵&gt;匯款5175231.</v>
          </cell>
          <cell r="E484" t="str">
            <v>鴻福凱億有限公司＞負:余采燕＞大都會</v>
          </cell>
          <cell r="F484" t="str">
            <v>鴻福凱億有限公司(479)</v>
          </cell>
          <cell r="G484" t="str">
            <v>稅外</v>
          </cell>
          <cell r="H484" t="str">
            <v>寄＞附發票＞附回郵＞匯款5175231＞</v>
          </cell>
          <cell r="I484" t="str">
            <v>8067＞5391＞稅外＞中華全佑</v>
          </cell>
          <cell r="J484">
            <v>30</v>
          </cell>
          <cell r="L484" t="str">
            <v>03-3872523＞傳真03-3871050</v>
          </cell>
          <cell r="M484">
            <v>0</v>
          </cell>
          <cell r="R484" t="b">
            <v>0</v>
          </cell>
          <cell r="S484" t="str"/>
          <cell r="T484" t="b">
            <v>0</v>
          </cell>
          <cell r="W484">
            <v>326</v>
          </cell>
          <cell r="X484" t="str">
            <v>楊梅郵政9-71信箱＞登:新北市中和區福真里景平路761號2樓之5。</v>
          </cell>
          <cell r="Y484" t="str">
            <v>楊梅郵政9之</v>
          </cell>
          <cell r="Z484" t="str">
            <v>楊梅郵政9之71信箱.</v>
          </cell>
          <cell r="AA484" t="str">
            <v>326楊梅郵政9-71信箱＞登:新北市中和區福真里景平路761號2樓之5。</v>
          </cell>
          <cell r="AK484" t="str">
            <v>A7-0550</v>
          </cell>
          <cell r="AL484" t="str">
            <v>1-0205-新合盛行&gt;寄&gt;附發票&gt;附回郵</v>
          </cell>
          <cell r="AM484" t="str">
            <v>1-0205</v>
          </cell>
        </row>
        <row r="485">
          <cell r="B485" t="str">
            <v>1-0480</v>
          </cell>
          <cell r="C485" t="str">
            <v>102-02-14</v>
          </cell>
          <cell r="D485" t="str">
            <v>1-0480-黃俊明&gt;寄&gt;自結</v>
          </cell>
          <cell r="E485" t="str">
            <v>黃俊明＞靠行:志鈞汽車貨運股份有限公司,負:曾國瑋</v>
          </cell>
          <cell r="F485" t="str">
            <v>黃俊明(480)</v>
          </cell>
          <cell r="G485" t="str">
            <v>未稅</v>
          </cell>
          <cell r="H485" t="str">
            <v>寄＞自結＞</v>
          </cell>
          <cell r="I485" t="str">
            <v>未稅</v>
          </cell>
          <cell r="J485">
            <v>30</v>
          </cell>
          <cell r="K485" t="str">
            <v>8498＞3069＞未稅</v>
          </cell>
          <cell r="L485" t="str">
            <v>037-729089＞0935-897887</v>
          </cell>
          <cell r="M485">
            <v>0</v>
          </cell>
          <cell r="O485">
            <v>62</v>
          </cell>
          <cell r="P485">
            <v>7</v>
          </cell>
          <cell r="Q485">
            <v>16</v>
          </cell>
          <cell r="R485">
            <v>48</v>
          </cell>
          <cell r="S485">
            <v>73</v>
          </cell>
          <cell r="T485">
            <v>26861</v>
          </cell>
          <cell r="U485" t="str">
            <v>F123209230</v>
          </cell>
          <cell r="W485">
            <v>356</v>
          </cell>
          <cell r="X485" t="str">
            <v>苗栗縣後龍鎮東明里13鄰下浮尾27之35號＞登:苗栗縣苗栗市福安里20鄰中華東街470號2樓。</v>
          </cell>
          <cell r="Y485" t="str">
            <v>苗栗縣後龍鎮</v>
          </cell>
          <cell r="Z485" t="str">
            <v>苗栗縣後龍鎮東明里13鄰下浮尾27之35號.</v>
          </cell>
          <cell r="AA485" t="str">
            <v>356苗栗縣後龍鎮東明里13鄰下浮尾27之35號＞登:苗栗縣苗栗市福安里20鄰中華東街470號2樓。</v>
          </cell>
          <cell r="AK485" t="str">
            <v>P6-6440</v>
          </cell>
          <cell r="AL485" t="str">
            <v>1-0205-新合盛行&gt;寄&gt;附發票&gt;附回郵</v>
          </cell>
          <cell r="AM485" t="str">
            <v>1-0205</v>
          </cell>
        </row>
        <row r="486">
          <cell r="B486" t="str">
            <v>1-0481</v>
          </cell>
          <cell r="C486" t="str">
            <v>102-02-15</v>
          </cell>
          <cell r="D486" t="str">
            <v>1-0481-後龍鎮公所&gt;寄&gt;附發票&gt;匯款</v>
          </cell>
          <cell r="E486" t="str">
            <v>苗栗縣後龍鎮公所</v>
          </cell>
          <cell r="F486" t="str">
            <v>苗栗縣後龍鎮公所(481)</v>
          </cell>
          <cell r="G486" t="str">
            <v>含稅</v>
          </cell>
          <cell r="H486" t="str">
            <v>寄＞附發票＞匯款＞</v>
          </cell>
          <cell r="I486" t="str">
            <v>5040＞2704＞含稅＞中華全佑</v>
          </cell>
          <cell r="J486">
            <v>30</v>
          </cell>
          <cell r="L486" t="str">
            <v>鎮公所037-721381#247邱小姐＞清潔隊037-727939郭小姐＞車管-江先生0932-346625＞傳真037-733121</v>
          </cell>
          <cell r="M486">
            <v>0</v>
          </cell>
          <cell r="R486" t="b">
            <v>0</v>
          </cell>
          <cell r="S486" t="str"/>
          <cell r="T486" t="b">
            <v>0</v>
          </cell>
          <cell r="W486">
            <v>356</v>
          </cell>
          <cell r="X486" t="str">
            <v>苗栗縣後龍鎮中山路152號＞登:苗栗縣後龍鎮大庄里19鄰中山路152號。</v>
          </cell>
          <cell r="Y486" t="str">
            <v>苗栗縣後龍鎮</v>
          </cell>
          <cell r="Z486" t="str">
            <v>苗栗縣後龍鎮中山路152號.</v>
          </cell>
          <cell r="AA486" t="str">
            <v>356苗栗縣後龍鎮中山路152號＞登:苗栗縣後龍鎮大庄里19鄰中山路152號。</v>
          </cell>
          <cell r="AK486" t="str">
            <v>4007-YB</v>
          </cell>
          <cell r="AL486" t="str">
            <v>1-0205-新合盛行&gt;寄&gt;附發票&gt;附回郵</v>
          </cell>
          <cell r="AM486" t="str">
            <v>1-0205</v>
          </cell>
        </row>
        <row r="487">
          <cell r="B487" t="str">
            <v>1-0482</v>
          </cell>
          <cell r="C487" t="str">
            <v>102-02-16</v>
          </cell>
          <cell r="D487" t="str">
            <v>1-0482-楊詩雅&gt;寄&gt;匯款</v>
          </cell>
          <cell r="E487" t="str">
            <v>程揚開發有限公司＞負:葉皇均＞連升＞建德</v>
          </cell>
          <cell r="F487" t="str">
            <v>楊詩雅(482)</v>
          </cell>
          <cell r="G487" t="str">
            <v>未稅</v>
          </cell>
          <cell r="H487" t="str">
            <v>寄＞匯款&gt;69568.蔡光耀</v>
          </cell>
          <cell r="I487" t="str">
            <v>未稅</v>
          </cell>
          <cell r="J487">
            <v>30</v>
          </cell>
          <cell r="K487" t="str">
            <v>5490＞3639＞未稅</v>
          </cell>
          <cell r="L487" t="str">
            <v>03-4202951＞0989-057147楊詩雅＞傳真03-4205491&gt;04-22602718&gt;0913-699721蔡光耀&gt;傳真04-22602717</v>
          </cell>
          <cell r="M487">
            <v>0</v>
          </cell>
          <cell r="R487" t="b">
            <v>0</v>
          </cell>
          <cell r="S487" t="str"/>
          <cell r="T487" t="b">
            <v>0</v>
          </cell>
          <cell r="W487">
            <v>328</v>
          </cell>
          <cell r="X487" t="str">
            <v>桃園縣觀音區新富路278號＞登:臺中市北區賴旺里青島西街98巷5號6樓。</v>
          </cell>
          <cell r="Y487" t="str">
            <v>台中市南區工</v>
          </cell>
          <cell r="Z487" t="str">
            <v>台中市南區工學路59巷63號</v>
          </cell>
          <cell r="AA487" t="str">
            <v>328桃園縣觀音區新富路278號＞登:臺中市北區賴旺里青島西街98巷5號6樓。</v>
          </cell>
          <cell r="AK487" t="str">
            <v>361-TD</v>
          </cell>
          <cell r="AL487" t="str">
            <v>1-0206-春池&gt;寄&gt;附發票&gt;附回郵</v>
          </cell>
          <cell r="AM487" t="str">
            <v>1-0206</v>
          </cell>
        </row>
        <row r="488">
          <cell r="B488" t="str">
            <v>1-0483</v>
          </cell>
          <cell r="C488" t="str">
            <v>102-02-17</v>
          </cell>
          <cell r="D488" t="str">
            <v>1-0483-火炎山&gt;寄&gt;附發票&gt;附回郵</v>
          </cell>
          <cell r="E488" t="str">
            <v>火炎山通運股份有限公司＞負:李元俊＞李麗琴</v>
          </cell>
          <cell r="F488" t="str">
            <v>火炎山通運股份有限公司(483)</v>
          </cell>
          <cell r="G488" t="str">
            <v>含稅</v>
          </cell>
          <cell r="H488" t="str">
            <v>寄＞附發票＞附回郵＞</v>
          </cell>
          <cell r="I488" t="str">
            <v>0309＞8800＞含稅</v>
          </cell>
          <cell r="J488">
            <v>30</v>
          </cell>
          <cell r="L488" t="str">
            <v>037-851222＞0931-485670＞0985-707979李麗琴＞傳真037-851256</v>
          </cell>
          <cell r="M488">
            <v>0</v>
          </cell>
          <cell r="R488" t="b">
            <v>0</v>
          </cell>
          <cell r="S488" t="str"/>
          <cell r="T488" t="b">
            <v>0</v>
          </cell>
          <cell r="W488">
            <v>358</v>
          </cell>
          <cell r="X488" t="str">
            <v>苗栗縣苑裡鎮西勢里介壽路2-6號1樓。</v>
          </cell>
          <cell r="Y488" t="str">
            <v>苗栗縣苑裡鎮</v>
          </cell>
          <cell r="Z488" t="str">
            <v>苗栗縣苑裡鎮西勢里介壽路2之6號1樓.</v>
          </cell>
          <cell r="AA488" t="str">
            <v>358苗栗縣苑裡鎮西勢里介壽路2-6號1樓。</v>
          </cell>
          <cell r="AK488" t="str">
            <v>162-RD</v>
          </cell>
          <cell r="AL488" t="str">
            <v>1-0206-春池&gt;寄&gt;附發票&gt;附回郵</v>
          </cell>
          <cell r="AM488" t="str">
            <v>1-0206</v>
          </cell>
        </row>
        <row r="489">
          <cell r="B489" t="str">
            <v>1-0484</v>
          </cell>
          <cell r="C489" t="str">
            <v>102-02-18</v>
          </cell>
          <cell r="D489" t="str">
            <v>1-0484-世鑫營造&gt;寄&gt;附發票&gt;2個月匯款</v>
          </cell>
          <cell r="E489" t="str">
            <v>世鑫營造有限公司＞負:張文錦</v>
          </cell>
          <cell r="F489" t="str">
            <v>世鑫營造有限公司(484)</v>
          </cell>
          <cell r="G489" t="str">
            <v>含稅</v>
          </cell>
          <cell r="H489" t="str">
            <v>寄＞附發票＞匯款</v>
          </cell>
          <cell r="I489" t="str">
            <v>2850＞0414＞含稅&gt;小車稅外＞中華全佑＞25號月結</v>
          </cell>
          <cell r="J489">
            <v>25</v>
          </cell>
          <cell r="L489" t="str">
            <v>03-5760079＞0913-350717＞0980-006502張漢興＞傳真03-5760118</v>
          </cell>
          <cell r="M489" t="str">
            <v>2-0112</v>
          </cell>
          <cell r="R489" t="b">
            <v>0</v>
          </cell>
          <cell r="S489" t="str"/>
          <cell r="T489" t="b">
            <v>0</v>
          </cell>
          <cell r="W489">
            <v>308</v>
          </cell>
          <cell r="X489" t="str">
            <v>新竹縣寶山鄉寶山村13鄰洽水路129號＞登:新竹縣寶山鄉大崎村大雅路二段106號1樓。</v>
          </cell>
          <cell r="Y489" t="str">
            <v>新竹縣寶山鄉</v>
          </cell>
          <cell r="Z489" t="str">
            <v>新竹縣寶山鄉寶山村13鄰洽水路129號.</v>
          </cell>
          <cell r="AA489" t="str">
            <v>308新竹縣寶山鄉寶山村13鄰洽水路129號＞登:新竹縣寶山鄉大崎村大雅路二段106號1樓。</v>
          </cell>
          <cell r="AK489" t="str">
            <v>733-TZ</v>
          </cell>
          <cell r="AL489" t="str">
            <v>1-0208-兆發&gt;寄&gt;附發票&gt;自結</v>
          </cell>
          <cell r="AM489" t="str">
            <v>1-0208</v>
          </cell>
        </row>
        <row r="490">
          <cell r="B490" t="str">
            <v>1-0485</v>
          </cell>
          <cell r="C490" t="str">
            <v>102-02-19</v>
          </cell>
          <cell r="D490" t="str">
            <v>1-0485-楊瑞賢&gt;寄&gt;自結</v>
          </cell>
          <cell r="E490" t="str">
            <v>楊瑞賢＞靠行:志松汽車貨運股份有限公司,負:方錦珍</v>
          </cell>
          <cell r="F490" t="str">
            <v>楊瑞賢(485)</v>
          </cell>
          <cell r="G490" t="str">
            <v>未稅</v>
          </cell>
          <cell r="H490" t="str">
            <v>寄＞自結＞</v>
          </cell>
          <cell r="I490" t="str">
            <v>未稅</v>
          </cell>
          <cell r="J490">
            <v>30</v>
          </cell>
          <cell r="K490" t="str">
            <v>4972＞6472＞未稅</v>
          </cell>
          <cell r="L490" t="str">
            <v>037-614111＞0913-768808</v>
          </cell>
          <cell r="M490">
            <v>0</v>
          </cell>
          <cell r="O490">
            <v>62</v>
          </cell>
          <cell r="P490">
            <v>4</v>
          </cell>
          <cell r="Q490">
            <v>8</v>
          </cell>
          <cell r="R490">
            <v>48</v>
          </cell>
          <cell r="S490">
            <v>73</v>
          </cell>
          <cell r="T490">
            <v>26762</v>
          </cell>
          <cell r="U490" t="str">
            <v>K120807523</v>
          </cell>
          <cell r="W490">
            <v>350</v>
          </cell>
          <cell r="X490" t="str">
            <v>苗栗縣竹南鎮新南里崁頂街116巷12弄1號＞戶:苗栗縣竹南鎮開元里10鄰53-1號＞登:苗栗縣頭份鎮蟠桃里3鄰中央路268號3樓。</v>
          </cell>
          <cell r="Y490" t="str">
            <v>苗栗縣竹南鎮</v>
          </cell>
          <cell r="Z490" t="str">
            <v>苗栗縣竹南鎮新南里崁頂街116巷12弄1號.</v>
          </cell>
          <cell r="AA490" t="str">
            <v>350苗栗縣竹南鎮新南里崁頂街116巷12弄1號＞戶:苗栗縣竹南鎮開元里10鄰53-1號＞登:苗栗縣頭份鎮蟠桃里3鄰中央路268號3樓。</v>
          </cell>
          <cell r="AK490" t="str">
            <v>LT-5036</v>
          </cell>
          <cell r="AL490" t="str">
            <v>1-0208-兆發&gt;寄&gt;附發票&gt;自結</v>
          </cell>
          <cell r="AM490" t="str">
            <v>1-0208</v>
          </cell>
        </row>
        <row r="491">
          <cell r="B491" t="str">
            <v>1-0486</v>
          </cell>
          <cell r="C491" t="str">
            <v>102-02-20</v>
          </cell>
          <cell r="D491" t="str">
            <v>1-0486-安欣&gt;東裕&gt;寄&gt;附發票&gt;附回郵</v>
          </cell>
          <cell r="E491" t="str">
            <v>安欣交通股份有限公司＞負:黃榮昌&gt;東裕交通股份有限公司:蔡水琴</v>
          </cell>
          <cell r="F491" t="str">
            <v>安欣交通股份有限公司(486)</v>
          </cell>
          <cell r="G491" t="str">
            <v>含稅</v>
          </cell>
          <cell r="H491" t="str">
            <v>寄＞附發票＞附回郵＞匯款:莊國金</v>
          </cell>
          <cell r="I491" t="str">
            <v>4388&gt;0363&gt;含稅&gt;東裕交通</v>
          </cell>
          <cell r="J491">
            <v>30</v>
          </cell>
          <cell r="L491" t="str">
            <v>03-5238051~2＞傳真03-5247060</v>
          </cell>
          <cell r="M491">
            <v>0</v>
          </cell>
          <cell r="R491" t="b">
            <v>0</v>
          </cell>
          <cell r="S491" t="str"/>
          <cell r="T491" t="b">
            <v>0</v>
          </cell>
          <cell r="W491">
            <v>300</v>
          </cell>
          <cell r="X491" t="str">
            <v>新竹巿西大路85號＞日富:桃園縣桃園市自強里南平路70號12樓＞安欣:基隆市暖暖區源遠路165-13號16樓。</v>
          </cell>
          <cell r="Y491" t="str">
            <v>新竹巿西大路</v>
          </cell>
          <cell r="Z491" t="str">
            <v>新竹巿西大路85號.</v>
          </cell>
          <cell r="AA491" t="str">
            <v>300新竹巿西大路85號＞日富:桃園縣桃園市自強里南平路70號12樓＞安欣:基隆市暖暖區源遠路165-13號16樓。</v>
          </cell>
          <cell r="AK491" t="str">
            <v>8V-1605</v>
          </cell>
          <cell r="AL491" t="str">
            <v>1-0208-兆發&gt;寄&gt;附發票&gt;自結</v>
          </cell>
          <cell r="AM491" t="str">
            <v>1-0208</v>
          </cell>
        </row>
        <row r="492">
          <cell r="B492" t="str">
            <v>1-0487</v>
          </cell>
          <cell r="C492" t="str">
            <v>102-02-21</v>
          </cell>
          <cell r="D492" t="str">
            <v>1-0487-謝兆堂&gt;寄&gt;匯款</v>
          </cell>
          <cell r="E492" t="str">
            <v>謝兆堂＞靠行:旭東交通股份有限公司,負:洪春琇</v>
          </cell>
          <cell r="F492" t="str">
            <v>謝兆堂(487)</v>
          </cell>
          <cell r="G492" t="str">
            <v>未稅</v>
          </cell>
          <cell r="H492" t="str">
            <v>寄＞匯款＞</v>
          </cell>
          <cell r="I492" t="str">
            <v>未稅</v>
          </cell>
          <cell r="J492">
            <v>30</v>
          </cell>
          <cell r="K492" t="str">
            <v>4977＞7366＞未稅</v>
          </cell>
          <cell r="L492" t="str">
            <v>037-377698＞0919-075584謝兆堂＞0980-076163＞0922-366173謝太太</v>
          </cell>
          <cell r="M492">
            <v>0</v>
          </cell>
          <cell r="R492" t="b">
            <v>0</v>
          </cell>
          <cell r="S492" t="str"/>
          <cell r="T492" t="b">
            <v>0</v>
          </cell>
          <cell r="W492">
            <v>360</v>
          </cell>
          <cell r="X492" t="str">
            <v>苗栗巿高苗里中山路1018巷3號＞登:苗栗縣苗栗市上苗里12鄰長安街140號。</v>
          </cell>
          <cell r="Y492" t="str">
            <v>苗栗巿高苗里</v>
          </cell>
          <cell r="Z492" t="str">
            <v>苗栗巿高苗里中山路1018巷3號.</v>
          </cell>
          <cell r="AA492" t="str">
            <v>360苗栗巿高苗里中山路1018巷3號＞登:苗栗縣苗栗市上苗里12鄰長安街140號。</v>
          </cell>
          <cell r="AK492" t="str">
            <v>732-TZ</v>
          </cell>
          <cell r="AL492" t="str">
            <v>1-0208-兆發&gt;寄&gt;附發票&gt;自結</v>
          </cell>
          <cell r="AM492" t="str">
            <v>1-0208</v>
          </cell>
        </row>
        <row r="493">
          <cell r="B493" t="str">
            <v>1-0488</v>
          </cell>
          <cell r="C493" t="str">
            <v>102-02-22</v>
          </cell>
          <cell r="D493" t="str">
            <v>1-0488-陶晟相祺&gt;寄&gt;兩個月匯款57364.2344.</v>
          </cell>
          <cell r="E493" t="str">
            <v>相祺企業社＞負:黃開相＞黃相祺</v>
          </cell>
          <cell r="F493" t="str">
            <v>相祺企業社(488)</v>
          </cell>
          <cell r="G493" t="str">
            <v>未稅</v>
          </cell>
          <cell r="H493" t="str">
            <v>寄＞2個月匯款57364.57365.23446＞現金價&gt;</v>
          </cell>
          <cell r="I493" t="str">
            <v>未稅</v>
          </cell>
          <cell r="J493">
            <v>30</v>
          </cell>
          <cell r="K493" t="str">
            <v>3967＞4670＞未稅</v>
          </cell>
          <cell r="L493" t="str">
            <v>037-541890＞傳真037-544193</v>
          </cell>
          <cell r="M493">
            <v>0</v>
          </cell>
          <cell r="R493" t="b">
            <v>0</v>
          </cell>
          <cell r="S493" t="str"/>
          <cell r="T493" t="b">
            <v>0</v>
          </cell>
          <cell r="W493">
            <v>352</v>
          </cell>
          <cell r="X493" t="str">
            <v>苗栗縣三灣鄉大坪村3鄰26-3號。</v>
          </cell>
          <cell r="Y493" t="str">
            <v>苗栗縣三灣鄉</v>
          </cell>
          <cell r="Z493" t="str">
            <v>苗栗縣三灣鄉大坪村3鄰26之3號.</v>
          </cell>
          <cell r="AA493" t="str">
            <v>352苗栗縣三灣鄉大坪村3鄰26-3號。</v>
          </cell>
          <cell r="AK493" t="str">
            <v>735-TZ</v>
          </cell>
          <cell r="AL493" t="str">
            <v>1-0208-兆發&gt;寄&gt;附發票&gt;自結</v>
          </cell>
          <cell r="AM493" t="str">
            <v>1-0208</v>
          </cell>
        </row>
        <row r="494">
          <cell r="B494" t="str">
            <v>1-0489</v>
          </cell>
          <cell r="C494" t="str">
            <v>102-02-23</v>
          </cell>
          <cell r="D494" t="str">
            <v>1-0489-晉翌&gt;寄&gt;附發票&gt;附回郵</v>
          </cell>
          <cell r="E494" t="str">
            <v>晉翌鋼鐵有限公司＞負:林宜靚＞晉晟鋼鐵有限公司＞負:翁世文</v>
          </cell>
          <cell r="F494" t="str">
            <v>晉翌鋼鐵有限公司(489)</v>
          </cell>
          <cell r="G494" t="str">
            <v>稅外</v>
          </cell>
          <cell r="H494" t="str">
            <v>寄＞附發票＞附回郵＞車號KED-2926發票開晉晟＞</v>
          </cell>
          <cell r="I494" t="str">
            <v>2502＞5561晉翌＞5592＞7588晉晟＞稅外</v>
          </cell>
          <cell r="J494">
            <v>30</v>
          </cell>
          <cell r="L494" t="str">
            <v>037-468782＞0975-173879秦樹人＞傳真037-480443</v>
          </cell>
          <cell r="M494" t="str">
            <v>2-0084</v>
          </cell>
          <cell r="R494" t="b">
            <v>0</v>
          </cell>
          <cell r="S494" t="str"/>
          <cell r="T494" t="b">
            <v>0</v>
          </cell>
          <cell r="W494">
            <v>350</v>
          </cell>
          <cell r="X494" t="str">
            <v>苗栗縣竹南鎮大厝里獅山85-35號＞翌登:新竹市東區錦華里北大路7巷12號1樓＞晟登:頭份巿廣興里6鄰廣興136-10號1樓。</v>
          </cell>
          <cell r="Y494" t="str">
            <v>苗栗縣竹南鎮</v>
          </cell>
          <cell r="Z494" t="str">
            <v>苗栗縣竹南鎮大厝里獅山85之35號.</v>
          </cell>
          <cell r="AA494" t="str">
            <v>350苗栗縣竹南鎮大厝里獅山85-35號＞翌登:新竹市東區錦華里北大路7巷12號1樓＞晟登:頭份巿廣興里6鄰廣興136-10號1樓。</v>
          </cell>
          <cell r="AK494" t="str">
            <v>AHC-2796</v>
          </cell>
          <cell r="AL494" t="str">
            <v>1-0208-兆發&gt;寄&gt;附發票&gt;自結</v>
          </cell>
          <cell r="AM494" t="str">
            <v>1-0208</v>
          </cell>
        </row>
        <row r="495">
          <cell r="B495" t="str">
            <v>1-0490</v>
          </cell>
          <cell r="C495" t="str">
            <v>102-02-24</v>
          </cell>
          <cell r="D495" t="str">
            <v>1-0490-炘發&gt;寄&gt;附發票&gt;附回郵</v>
          </cell>
          <cell r="E495" t="str">
            <v>炘發企業有限公司＞負:楊珈瑛</v>
          </cell>
          <cell r="F495" t="str">
            <v>炘發企業有限公司(490)</v>
          </cell>
          <cell r="G495" t="str">
            <v>含稅</v>
          </cell>
          <cell r="H495" t="str">
            <v>寄＞附發票＞附回郵＞</v>
          </cell>
          <cell r="I495" t="str">
            <v>8469＞0388＞含稅</v>
          </cell>
          <cell r="J495">
            <v>30</v>
          </cell>
          <cell r="L495" t="str">
            <v>037-628253＞037-542918＞0937-280250鍾年振＞傳真037-613681</v>
          </cell>
          <cell r="M495">
            <v>0</v>
          </cell>
          <cell r="R495" t="b">
            <v>0</v>
          </cell>
          <cell r="S495" t="str"/>
          <cell r="T495" t="b">
            <v>0</v>
          </cell>
          <cell r="W495">
            <v>350</v>
          </cell>
          <cell r="X495" t="str">
            <v>苗栗縣竹南鎮公館里7鄰大埔頂7-6號＞帳,登:苗栗縣造橋鄉錦水村2鄰錦水342號。</v>
          </cell>
          <cell r="Y495" t="str">
            <v>苗栗縣竹南鎮</v>
          </cell>
          <cell r="Z495" t="str">
            <v>苗栗縣竹南鎮公館里7鄰大埔頂7之6號.</v>
          </cell>
          <cell r="AA495" t="str">
            <v>350苗栗縣竹南鎮公館里7鄰大埔頂7-6號＞帳,登:苗栗縣造橋鄉錦水村2鄰錦水342號。</v>
          </cell>
          <cell r="AK495" t="str">
            <v>271-Y7</v>
          </cell>
          <cell r="AL495" t="str">
            <v>1-0211-嘉勤紙業&gt;寄&gt;附發票&gt;附回郵</v>
          </cell>
          <cell r="AM495" t="str">
            <v>1-0211</v>
          </cell>
        </row>
        <row r="496">
          <cell r="B496" t="str">
            <v>1-0491</v>
          </cell>
          <cell r="C496" t="str">
            <v>102-02-25</v>
          </cell>
          <cell r="D496" t="str">
            <v>1-0491-金懋&gt;寄&gt;附發票&gt;附回郵</v>
          </cell>
          <cell r="E496" t="str">
            <v>金懋科技企業＞負:林金德</v>
          </cell>
          <cell r="F496" t="str">
            <v>金懋科技企業(491)</v>
          </cell>
          <cell r="G496" t="str">
            <v>含稅</v>
          </cell>
          <cell r="H496" t="str">
            <v>寄＞附發票＞附回郵＞</v>
          </cell>
          <cell r="I496" t="str">
            <v>4566＞0322＞含稅</v>
          </cell>
          <cell r="J496">
            <v>30</v>
          </cell>
          <cell r="L496" t="str">
            <v>037-474892＞0931-696313鄧芷華</v>
          </cell>
          <cell r="M496">
            <v>0</v>
          </cell>
          <cell r="R496" t="b">
            <v>0</v>
          </cell>
          <cell r="S496" t="str"/>
          <cell r="T496" t="b">
            <v>0</v>
          </cell>
          <cell r="W496">
            <v>350</v>
          </cell>
          <cell r="X496" t="str">
            <v>苗栗縣竹南鎮公教路189巷10號＞登:苗栗縣竹南鎮天文里15鄰龍昇街111號1樓。</v>
          </cell>
          <cell r="Y496" t="str">
            <v>苗栗縣竹南鎮</v>
          </cell>
          <cell r="Z496" t="str">
            <v>苗栗縣竹南鎮公教路189巷10號.</v>
          </cell>
          <cell r="AA496" t="str">
            <v>350苗栗縣竹南鎮公教路189巷10號＞登:苗栗縣竹南鎮天文里15鄰龍昇街111號1樓。</v>
          </cell>
          <cell r="AK496" t="str">
            <v>8K-0599</v>
          </cell>
          <cell r="AL496" t="str">
            <v>1-0211-嘉勤紙業&gt;寄&gt;附發票&gt;附回郵</v>
          </cell>
          <cell r="AM496" t="str">
            <v>1-0211</v>
          </cell>
        </row>
        <row r="497">
          <cell r="B497" t="str">
            <v>1-0492</v>
          </cell>
          <cell r="C497" t="str">
            <v>102-02-26</v>
          </cell>
          <cell r="D497" t="str">
            <v>1-0492-佳能環保&gt;鳳屏&gt;新益慶&gt;寄&gt;附發票&gt;一個月匯款</v>
          </cell>
          <cell r="E497" t="str">
            <v>佳能環保有限公司＞負:楊勝斌＞新亦慶＞鳳屏</v>
          </cell>
          <cell r="F497" t="str">
            <v>佳能環保有限公司(492)</v>
          </cell>
          <cell r="G497" t="str">
            <v>含稅</v>
          </cell>
          <cell r="H497" t="str">
            <v>寄＞附發票＞匯款</v>
          </cell>
          <cell r="I497" t="str">
            <v>5339＞5615＞含稅</v>
          </cell>
          <cell r="J497">
            <v>30</v>
          </cell>
          <cell r="L497" t="str">
            <v>03-5183925楊小姐&gt;0937-770193&gt;傳真03-5183935</v>
          </cell>
          <cell r="M497" t="str">
            <v>2-0081</v>
          </cell>
          <cell r="R497" t="b">
            <v>0</v>
          </cell>
          <cell r="S497" t="str"/>
          <cell r="T497" t="b">
            <v>0</v>
          </cell>
          <cell r="W497">
            <v>356</v>
          </cell>
          <cell r="X497" t="str">
            <v>苗栗縣後龍鎮南港里1鄰南勢山17之1號＞苗栗縣竹南鎮頂埔里中華路449號。</v>
          </cell>
          <cell r="Y497" t="str">
            <v>苗栗縣後龍鎮</v>
          </cell>
          <cell r="Z497" t="str">
            <v>苗栗縣後龍鎮南港里1鄰南勢山17之1號.</v>
          </cell>
          <cell r="AA497" t="str">
            <v>356苗栗縣後龍鎮南港里1鄰南勢山17之1號＞苗栗縣竹南鎮頂埔里中華路449號。</v>
          </cell>
          <cell r="AK497" t="str">
            <v>3V-068</v>
          </cell>
          <cell r="AL497" t="str">
            <v>1-0211-嘉勤紙業&gt;寄&gt;附發票&gt;附回郵</v>
          </cell>
          <cell r="AM497" t="str">
            <v>1-0211</v>
          </cell>
        </row>
        <row r="498">
          <cell r="B498" t="str">
            <v>1-0493</v>
          </cell>
          <cell r="C498" t="str">
            <v>102-02-27</v>
          </cell>
          <cell r="D498" t="str">
            <v>1-0493-中興商工&gt;司機帶回&gt;附發票&gt;匯款</v>
          </cell>
          <cell r="E498" t="str">
            <v>中興高級商工職業學校</v>
          </cell>
          <cell r="F498" t="str">
            <v>中興高級商工職業學校(493)</v>
          </cell>
          <cell r="G498" t="str">
            <v>含稅</v>
          </cell>
          <cell r="H498" t="str">
            <v>司機帶回＞附發票＞匯款＞附定位數據＞附照片＞</v>
          </cell>
          <cell r="I498" t="str">
            <v>5040＞1607＞含稅＞中華全佑</v>
          </cell>
          <cell r="J498">
            <v>30</v>
          </cell>
          <cell r="L498" t="str">
            <v>037-467360＞0925-715227車管何信民＞傳真037-851256</v>
          </cell>
          <cell r="M498">
            <v>0</v>
          </cell>
          <cell r="R498" t="b">
            <v>0</v>
          </cell>
          <cell r="S498" t="str"/>
          <cell r="T498" t="b">
            <v>0</v>
          </cell>
          <cell r="W498">
            <v>350</v>
          </cell>
          <cell r="X498" t="str">
            <v>苗栗縣竹南鎮大營里211號。</v>
          </cell>
          <cell r="Y498" t="str">
            <v>苗栗縣竹南鎮</v>
          </cell>
          <cell r="Z498" t="str">
            <v>苗栗縣竹南鎮大營里211號.</v>
          </cell>
          <cell r="AA498" t="str">
            <v>350苗栗縣竹南鎮大營里211號。</v>
          </cell>
          <cell r="AK498" t="str">
            <v>9988-NA</v>
          </cell>
          <cell r="AL498" t="str">
            <v>1-0211-嘉勤紙業&gt;寄&gt;附發票&gt;附回郵</v>
          </cell>
          <cell r="AM498" t="str">
            <v>1-0211</v>
          </cell>
        </row>
        <row r="499">
          <cell r="B499" t="str">
            <v>1-0494</v>
          </cell>
          <cell r="C499" t="str">
            <v>102-03-04</v>
          </cell>
          <cell r="D499" t="str">
            <v>1-0494-萬芳&gt;華泰&gt;寄&gt;附發票&gt;附回郵</v>
          </cell>
          <cell r="E499" t="str">
            <v>華泰國際興業股份有限公司＞負:張展霖＞萬芳</v>
          </cell>
          <cell r="F499" t="str">
            <v>華泰國際興業股份有限公司(494)</v>
          </cell>
          <cell r="G499" t="str">
            <v>稅外</v>
          </cell>
          <cell r="H499" t="str">
            <v>寄＞附發票＞附回郵＞</v>
          </cell>
          <cell r="I499" t="str">
            <v>8949＞0661＞稅外</v>
          </cell>
          <cell r="J499">
            <v>30</v>
          </cell>
          <cell r="L499" t="str">
            <v>03-4511388郭's＞0972-137591車管郭建峯＞03-4624288＞傳真03-4625523</v>
          </cell>
          <cell r="M499">
            <v>0</v>
          </cell>
          <cell r="R499" t="b">
            <v>0</v>
          </cell>
          <cell r="S499" t="str"/>
          <cell r="T499" t="b">
            <v>0</v>
          </cell>
          <cell r="W499">
            <v>320</v>
          </cell>
          <cell r="X499" t="str">
            <v>桃園縣中壢巿中園路二段72號＞登:桃園縣中壢市福州二街517巷15號。</v>
          </cell>
          <cell r="Y499" t="str">
            <v>桃園縣中壢巿</v>
          </cell>
          <cell r="Z499" t="str">
            <v>桃園縣中壢巿中園路二段72號.</v>
          </cell>
          <cell r="AA499" t="str">
            <v>320桃園縣中壢巿中園路二段72號＞登:桃園縣中壢市福州二街517巷15號。</v>
          </cell>
          <cell r="AK499" t="str">
            <v>886-RD</v>
          </cell>
          <cell r="AL499" t="str">
            <v>1-0211-嘉勤紙業&gt;寄&gt;附發票&gt;附回郵</v>
          </cell>
          <cell r="AM499" t="str">
            <v>1-0211</v>
          </cell>
        </row>
        <row r="500">
          <cell r="B500" t="str">
            <v>1-0495</v>
          </cell>
          <cell r="C500" t="str">
            <v>102-03-15</v>
          </cell>
          <cell r="D500" t="str">
            <v>1-0495-台東&gt;貨運&gt;匯款</v>
          </cell>
          <cell r="E500" t="str">
            <v>台東-高先生</v>
          </cell>
          <cell r="F500" t="str">
            <v>台東-高先生(495)</v>
          </cell>
          <cell r="G500" t="str">
            <v>未稅</v>
          </cell>
          <cell r="H500" t="str">
            <v>貨運＞匯款＞</v>
          </cell>
          <cell r="I500" t="str">
            <v>未稅</v>
          </cell>
          <cell r="J500">
            <v>30</v>
          </cell>
          <cell r="L500" t="str">
            <v>0955-312018老闆＞0923-571587老闆娘</v>
          </cell>
          <cell r="M500">
            <v>0</v>
          </cell>
          <cell r="R500" t="b">
            <v>0</v>
          </cell>
          <cell r="S500" t="str"/>
          <cell r="T500" t="b">
            <v>0</v>
          </cell>
          <cell r="W500">
            <v>961</v>
          </cell>
          <cell r="X500" t="str">
            <v>台東縣成功鎮</v>
          </cell>
          <cell r="Y500" t="str"/>
          <cell r="AA500" t="str">
            <v>961台東縣成功鎮</v>
          </cell>
          <cell r="AK500" t="str">
            <v>640-RD</v>
          </cell>
          <cell r="AL500" t="str">
            <v>1-0211-嘉勤紙業&gt;寄&gt;附發票&gt;附回郵</v>
          </cell>
          <cell r="AM500" t="str">
            <v>1-0211</v>
          </cell>
        </row>
        <row r="501">
          <cell r="B501" t="str">
            <v>1-0496</v>
          </cell>
          <cell r="C501" t="str">
            <v>102-03-20</v>
          </cell>
          <cell r="D501" t="str">
            <v>1-0496-啟德&gt;寄&gt;附發票&gt;附回郵</v>
          </cell>
          <cell r="E501" t="str">
            <v>啟德機械起重工程股份有限公司＞負:胡漢龑</v>
          </cell>
          <cell r="F501" t="str">
            <v>啟德機械起重工程股份有限公司(496)</v>
          </cell>
          <cell r="G501" t="str">
            <v>含稅</v>
          </cell>
          <cell r="H501" t="str">
            <v>寄＞附發票＞附回郵＞附訂購單影本＞出貨簽單需寫上訂購單號</v>
          </cell>
          <cell r="I501" t="str">
            <v>4715＞9867＞含稅&gt;中華全佑</v>
          </cell>
          <cell r="J501">
            <v>30</v>
          </cell>
          <cell r="L501" t="str">
            <v>03-6661000#250高小姐＞0932-527935楊秋海車管＞傳真03-5639955</v>
          </cell>
          <cell r="M501">
            <v>0</v>
          </cell>
          <cell r="R501" t="b">
            <v>0</v>
          </cell>
          <cell r="S501" t="str"/>
          <cell r="T501" t="b">
            <v>0</v>
          </cell>
          <cell r="W501">
            <v>308</v>
          </cell>
          <cell r="X501" t="str">
            <v>新竹縣寶山鄉大崎村大雅路二段365號＞登:新竹市東區建功一路35號。</v>
          </cell>
          <cell r="Y501" t="str">
            <v>新竹縣寶山鄉</v>
          </cell>
          <cell r="Z501" t="str">
            <v>新竹縣寶山鄉大崎村大雅路二段365號6廠會計室收.</v>
          </cell>
          <cell r="AA501" t="str">
            <v>308新竹縣寶山鄉大崎村大雅路二段365號＞登:新竹市東區建功一路35號。</v>
          </cell>
          <cell r="AK501" t="str">
            <v>465-NA</v>
          </cell>
          <cell r="AL501" t="str">
            <v>1-0214-嘉德技術&gt;寄&gt;附發票&gt;附回郵</v>
          </cell>
          <cell r="AM501" t="str">
            <v>1-0214</v>
          </cell>
        </row>
        <row r="502">
          <cell r="B502" t="str">
            <v>1-0497</v>
          </cell>
          <cell r="C502" t="str">
            <v>102-04-02</v>
          </cell>
          <cell r="D502" t="str">
            <v>1-0497-偉全&gt;現結&gt;附發票</v>
          </cell>
          <cell r="E502" t="str">
            <v>偉全清除有限公司＞負:林益全＞松柏</v>
          </cell>
          <cell r="F502" t="str">
            <v>偉全清除有限公司(497)</v>
          </cell>
          <cell r="G502" t="str">
            <v>稅外</v>
          </cell>
          <cell r="H502" t="str">
            <v>現結＞附發票＞</v>
          </cell>
          <cell r="I502" t="str">
            <v>8681＞3006＞稅外</v>
          </cell>
          <cell r="J502">
            <v>30</v>
          </cell>
          <cell r="L502" t="str">
            <v>02-22663156＞02-22612562＞0935-587280林坤穎＞傳真02-22627473</v>
          </cell>
          <cell r="M502">
            <v>0</v>
          </cell>
          <cell r="R502" t="b">
            <v>0</v>
          </cell>
          <cell r="S502" t="str"/>
          <cell r="T502" t="b">
            <v>0</v>
          </cell>
          <cell r="W502">
            <v>236</v>
          </cell>
          <cell r="X502" t="str">
            <v>工場:土城巿金城路二段22巷8號＞登:新北市中和區福祥里福祥路77號。</v>
          </cell>
          <cell r="Y502" t="str">
            <v>土城巿金城路</v>
          </cell>
          <cell r="Z502" t="str">
            <v>土城巿金城路二段22巷8號.</v>
          </cell>
          <cell r="AA502" t="str">
            <v>236工場:土城巿金城路二段22巷8號＞登:新北市中和區福祥里福祥路77號。</v>
          </cell>
          <cell r="AK502" t="str">
            <v>5809-D2</v>
          </cell>
          <cell r="AL502" t="str">
            <v>1-0214-嘉德技術&gt;寄&gt;附發票&gt;附回郵</v>
          </cell>
          <cell r="AM502" t="str">
            <v>1-0214</v>
          </cell>
        </row>
        <row r="503">
          <cell r="B503" t="str">
            <v>1-0498</v>
          </cell>
          <cell r="C503" t="str">
            <v>102-04-02</v>
          </cell>
          <cell r="D503" t="str">
            <v>1-0498-慶華&gt;寄&gt;匯款</v>
          </cell>
          <cell r="E503" t="str">
            <v>慶華開發有限公司＞負:李保華</v>
          </cell>
          <cell r="F503" t="str">
            <v>慶華開發有限公司(498)</v>
          </cell>
          <cell r="G503" t="str">
            <v>未稅</v>
          </cell>
          <cell r="H503" t="str">
            <v>寄＞匯款＞</v>
          </cell>
          <cell r="I503" t="str">
            <v>未稅</v>
          </cell>
          <cell r="J503">
            <v>30</v>
          </cell>
          <cell r="K503" t="str">
            <v>2863＞6995＞未稅</v>
          </cell>
          <cell r="L503" t="str">
            <v>0955-529870林世欽＞傳真04-25723165</v>
          </cell>
          <cell r="M503">
            <v>0</v>
          </cell>
          <cell r="R503" t="b">
            <v>0</v>
          </cell>
          <cell r="S503" t="str"/>
          <cell r="T503" t="b">
            <v>0</v>
          </cell>
          <cell r="W503">
            <v>429</v>
          </cell>
          <cell r="X503" t="str">
            <v>台中巿神岡區明德路360之1號＞登:臺中市太平區東平里12鄰東村八街2號4樓之5。</v>
          </cell>
          <cell r="Y503" t="str">
            <v>台中巿神岡區</v>
          </cell>
          <cell r="Z503" t="str">
            <v>台中巿神岡區明德路360之1號.</v>
          </cell>
          <cell r="AA503" t="str">
            <v>429台中巿神岡區明德路360之1號＞登:臺中市太平區東平里12鄰東村八街2號4樓之5。</v>
          </cell>
          <cell r="AK503" t="str">
            <v>3937-VS</v>
          </cell>
          <cell r="AL503" t="str">
            <v>1-0214-嘉德技術&gt;寄&gt;附發票&gt;附回郵</v>
          </cell>
          <cell r="AM503" t="str">
            <v>1-0214</v>
          </cell>
        </row>
        <row r="504">
          <cell r="B504" t="str">
            <v>1-0499</v>
          </cell>
          <cell r="C504" t="str">
            <v>102-04-12</v>
          </cell>
          <cell r="D504" t="str">
            <v>1-0499-弘隆&gt;寄&gt;附回郵</v>
          </cell>
          <cell r="E504" t="str">
            <v>弘隆食品有限公司＞負:鄭金蓮</v>
          </cell>
          <cell r="F504" t="str">
            <v>弘隆食品有限公司(499)</v>
          </cell>
          <cell r="G504" t="str">
            <v>未稅</v>
          </cell>
          <cell r="H504" t="str">
            <v>寄&gt;附回郵</v>
          </cell>
          <cell r="I504" t="str">
            <v>未稅</v>
          </cell>
          <cell r="J504">
            <v>30</v>
          </cell>
          <cell r="K504" t="str">
            <v>8924＞0284＞未稅</v>
          </cell>
          <cell r="L504" t="str">
            <v>037-461779＞傳真037-460669</v>
          </cell>
          <cell r="M504" t="str">
            <v>2-0113</v>
          </cell>
          <cell r="R504" t="b">
            <v>0</v>
          </cell>
          <cell r="S504" t="str"/>
          <cell r="T504" t="b">
            <v>0</v>
          </cell>
          <cell r="W504">
            <v>350</v>
          </cell>
          <cell r="X504" t="str">
            <v>苗栗縣竹南鎮中美里保安林10鄰52-18號1樓。</v>
          </cell>
          <cell r="Y504" t="str">
            <v>苗栗縣竹南鎮</v>
          </cell>
          <cell r="Z504" t="str">
            <v>苗栗縣竹南鎮中美里保安林10鄰52之18號1樓.</v>
          </cell>
          <cell r="AA504" t="str">
            <v>350苗栗縣竹南鎮中美里保安林10鄰52-18號1樓。</v>
          </cell>
          <cell r="AK504" t="str">
            <v>1381-DJ</v>
          </cell>
          <cell r="AL504" t="str">
            <v>1-0215-慶豐金紙&gt;盈順&gt;寄&gt;附回郵</v>
          </cell>
          <cell r="AM504" t="str">
            <v>1-0215</v>
          </cell>
        </row>
        <row r="505">
          <cell r="B505" t="str">
            <v>1-0500</v>
          </cell>
          <cell r="C505" t="str">
            <v>102-04-12</v>
          </cell>
          <cell r="D505" t="str">
            <v>1-0500-立翔(原建昱)&gt;寄&gt;附回郵</v>
          </cell>
          <cell r="E505" t="str">
            <v>建昱企業社＞負:吳美枝</v>
          </cell>
          <cell r="F505" t="str">
            <v>建昱企業社(原立翔)(500)</v>
          </cell>
          <cell r="G505" t="str">
            <v>含稅</v>
          </cell>
          <cell r="H505" t="str">
            <v>寄＞附回郵＞</v>
          </cell>
          <cell r="I505" t="str">
            <v>3173&gt;5338&gt;救車未稅&gt;出新胎含稅&gt;小車含稅</v>
          </cell>
          <cell r="J505">
            <v>30</v>
          </cell>
          <cell r="L505" t="str">
            <v>03-9222777&gt;0937-888279陳連春</v>
          </cell>
          <cell r="M505" t="str">
            <v>2-0143</v>
          </cell>
          <cell r="R505" t="b">
            <v>0</v>
          </cell>
          <cell r="S505" t="str"/>
          <cell r="T505" t="b">
            <v>0</v>
          </cell>
          <cell r="W505">
            <v>260</v>
          </cell>
          <cell r="X505" t="str">
            <v>宜蘭縣員山鄉蓁巷村8鄰員山路2段345巷16號1樓。</v>
          </cell>
          <cell r="Y505" t="str">
            <v>宜蘭縣員山鄉</v>
          </cell>
          <cell r="Z505" t="str">
            <v>宜蘭縣員山鄉蓁巷村8鄰員山路2段345巷16號1樓.</v>
          </cell>
          <cell r="AA505" t="str">
            <v>260宜蘭縣員山鄉蓁巷村8鄰員山路2段345巷16號1樓。</v>
          </cell>
          <cell r="AK505" t="str">
            <v>103-Q2</v>
          </cell>
          <cell r="AL505" t="str">
            <v>1-0215-慶豐金紙&gt;盈順&gt;寄&gt;附回郵</v>
          </cell>
          <cell r="AM505" t="str">
            <v>1-0215</v>
          </cell>
        </row>
        <row r="506">
          <cell r="B506" t="str">
            <v>1-0501</v>
          </cell>
          <cell r="C506" t="str">
            <v>102-04-12</v>
          </cell>
          <cell r="D506" t="str">
            <v>1-0501-德源行&gt;寄&gt;附發票&gt;附回郵</v>
          </cell>
          <cell r="E506" t="str">
            <v>德源行＞負:林明惠</v>
          </cell>
          <cell r="F506" t="str">
            <v>德源行(501)</v>
          </cell>
          <cell r="G506" t="str">
            <v>未稅</v>
          </cell>
          <cell r="H506" t="str">
            <v>寄＞附發票＞附回郵＞</v>
          </cell>
          <cell r="I506" t="str">
            <v>未稅</v>
          </cell>
          <cell r="J506">
            <v>30</v>
          </cell>
          <cell r="L506" t="str">
            <v>03-9285571</v>
          </cell>
          <cell r="M506">
            <v>0</v>
          </cell>
          <cell r="R506" t="b">
            <v>0</v>
          </cell>
          <cell r="S506" t="str"/>
          <cell r="T506" t="b">
            <v>0</v>
          </cell>
          <cell r="W506">
            <v>260</v>
          </cell>
          <cell r="X506" t="str">
            <v>宜蘭縣宜蘭市梅洲里5鄰慈航一路176號1樓。</v>
          </cell>
          <cell r="Y506" t="str">
            <v>宜蘭縣宜蘭市</v>
          </cell>
          <cell r="Z506" t="str">
            <v>宜蘭縣宜蘭市梅洲里5鄰慈航一路176號1樓.</v>
          </cell>
          <cell r="AA506" t="str">
            <v>260宜蘭縣宜蘭市梅洲里5鄰慈航一路176號1樓。</v>
          </cell>
          <cell r="AK506" t="str">
            <v>ABN-9706</v>
          </cell>
          <cell r="AL506" t="str">
            <v>1-0215-慶豐金紙&gt;盈順&gt;寄&gt;附回郵</v>
          </cell>
          <cell r="AM506" t="str">
            <v>1-0215</v>
          </cell>
        </row>
        <row r="507">
          <cell r="B507" t="str">
            <v>1-0502</v>
          </cell>
          <cell r="C507" t="str">
            <v>109-03-12</v>
          </cell>
          <cell r="D507" t="str">
            <v>1-0502-光超建材&gt;寄&gt;附發票&gt;附回郵</v>
          </cell>
          <cell r="E507" t="str">
            <v>光超建材工業有限公司&gt;負:蕭炎奉</v>
          </cell>
          <cell r="F507" t="str">
            <v>光超建材工業有限公司(502)</v>
          </cell>
          <cell r="G507" t="str">
            <v>稅外</v>
          </cell>
          <cell r="H507" t="str">
            <v>寄＞附發票＞附回郵＞隔一個月底匯款</v>
          </cell>
          <cell r="I507" t="str">
            <v>1624&gt;5699&gt;稅外＞25號月結</v>
          </cell>
          <cell r="J507">
            <v>25</v>
          </cell>
          <cell r="L507" t="str">
            <v>037-563791#2&gt;傳真037-562298&gt;蕭炎奉0936-299728</v>
          </cell>
          <cell r="M507">
            <v>0</v>
          </cell>
          <cell r="R507" t="b">
            <v>0</v>
          </cell>
          <cell r="S507" t="str"/>
          <cell r="T507" t="b">
            <v>0</v>
          </cell>
          <cell r="W507">
            <v>36144</v>
          </cell>
          <cell r="X507" t="str">
            <v>苗栗縣造橋鄉朝陽路10號</v>
          </cell>
          <cell r="Y507" t="str">
            <v>苗縣縣造橋鄉</v>
          </cell>
          <cell r="Z507" t="str">
            <v>苗縣縣造橋鄉朝陽路10號</v>
          </cell>
          <cell r="AA507" t="str">
            <v>36144苗栗縣造橋鄉朝陽路10號</v>
          </cell>
          <cell r="AK507" t="str">
            <v>530-HU</v>
          </cell>
          <cell r="AL507" t="str">
            <v>1-0217-劉見利&gt;昌盛&gt;寄平信&gt;自結</v>
          </cell>
          <cell r="AM507" t="str">
            <v>1-0217</v>
          </cell>
        </row>
        <row r="508">
          <cell r="B508" t="str">
            <v>1-0503</v>
          </cell>
          <cell r="C508" t="str">
            <v>102-04-23</v>
          </cell>
          <cell r="D508" t="str">
            <v>1-0503-阮錦堂&gt;嘉盛&gt;寄&gt;附發票&gt;附回郵</v>
          </cell>
          <cell r="E508" t="str">
            <v>阮錦堂＞靠行:嘉盛汽車運輸股份有限公司,負:黃添福</v>
          </cell>
          <cell r="F508" t="str">
            <v>阮錦堂(503)</v>
          </cell>
          <cell r="G508" t="str">
            <v>稅外</v>
          </cell>
          <cell r="H508" t="str">
            <v>寄＞附發票＞附回郵&gt;匯款0280293&gt;謝薇&gt;謝嘉葳</v>
          </cell>
          <cell r="I508" t="str">
            <v>4938＞9534＞稅外</v>
          </cell>
          <cell r="J508">
            <v>30</v>
          </cell>
          <cell r="L508" t="str">
            <v>0913-777925＞0980-676264沅錦堂＞0906-277831老婆&gt;帳務問題</v>
          </cell>
          <cell r="M508">
            <v>0</v>
          </cell>
          <cell r="O508">
            <v>61</v>
          </cell>
          <cell r="P508">
            <v>8</v>
          </cell>
          <cell r="Q508">
            <v>31</v>
          </cell>
          <cell r="R508">
            <v>49</v>
          </cell>
          <cell r="S508">
            <v>72</v>
          </cell>
          <cell r="T508">
            <v>26542</v>
          </cell>
          <cell r="U508" t="str">
            <v>K120492111</v>
          </cell>
          <cell r="W508">
            <v>356</v>
          </cell>
          <cell r="X508" t="str">
            <v>苗栗縣後龍鎮中心路55之6號＞登:苗栗縣後龍鎮龍坑里15鄰十班坑169之5號。</v>
          </cell>
          <cell r="Y508" t="str">
            <v>苗栗縣後龍鎮</v>
          </cell>
          <cell r="Z508" t="str">
            <v>苗栗縣後龍鎮中心路55之6號.</v>
          </cell>
          <cell r="AA508" t="str">
            <v>356苗栗縣後龍鎮中心路55之6號＞登:苗栗縣後龍鎮龍坑里15鄰十班坑169之5號。</v>
          </cell>
          <cell r="AK508" t="str">
            <v>2289-S7</v>
          </cell>
          <cell r="AL508" t="str">
            <v>1-0223-禎祥&gt;寄&gt;附發票&gt;附回郵</v>
          </cell>
          <cell r="AM508" t="str">
            <v>1-0223</v>
          </cell>
        </row>
        <row r="509">
          <cell r="B509" t="str">
            <v>1-0504</v>
          </cell>
          <cell r="C509" t="str">
            <v>102-04-23</v>
          </cell>
          <cell r="D509" t="str">
            <v>1-0504-安泰起重&gt;寄&gt;附發票&gt;附回郵</v>
          </cell>
          <cell r="E509" t="str">
            <v>安泰起重工程有限公司＞負:葉怡佩</v>
          </cell>
          <cell r="F509" t="str">
            <v>安泰起重工程有限公司(504)</v>
          </cell>
          <cell r="G509" t="str">
            <v>未稅</v>
          </cell>
          <cell r="H509" t="str">
            <v>寄＞附發票＞附回郵＞</v>
          </cell>
          <cell r="I509" t="str">
            <v>未稅</v>
          </cell>
          <cell r="J509">
            <v>30</v>
          </cell>
          <cell r="K509" t="str">
            <v>2384&gt;2433&gt;未稅</v>
          </cell>
          <cell r="L509" t="str">
            <v>04-26392542&gt;0976-294115貝思婷&gt;0955496313潘弈兆&gt;037-482277吳's＞傳真037-477277</v>
          </cell>
          <cell r="M509">
            <v>0</v>
          </cell>
          <cell r="R509" t="b">
            <v>0</v>
          </cell>
          <cell r="S509" t="str"/>
          <cell r="T509" t="b">
            <v>0</v>
          </cell>
          <cell r="U509" t="str">
            <v>K121586916</v>
          </cell>
          <cell r="V509" t="str">
            <v>王文城</v>
          </cell>
          <cell r="W509">
            <v>43599</v>
          </cell>
          <cell r="X509" t="str">
            <v>台中港郵局242號信箱&gt;苗栗縣竹南鎮龍江街137號&gt;停車場:328桃園市觀音區玉林路二段73號＞登:苗栗縣頭份市合興里八德二路40-10號。</v>
          </cell>
          <cell r="Y509" t="str">
            <v>台中港郵局2</v>
          </cell>
          <cell r="Z509" t="str">
            <v>台中港郵局242號信箱.</v>
          </cell>
          <cell r="AA509" t="str">
            <v>43599台中港郵局242號信箱&gt;苗栗縣竹南鎮龍江街137號&gt;停車場:328桃園市觀音區玉林路二段73號＞登:苗栗縣頭份市合興里八德二路40-10號。</v>
          </cell>
          <cell r="AK509" t="str">
            <v>RAC-8012</v>
          </cell>
          <cell r="AL509" t="str">
            <v>1-0223-禎祥&gt;寄&gt;附發票&gt;附回郵</v>
          </cell>
          <cell r="AM509" t="str">
            <v>1-0223</v>
          </cell>
        </row>
        <row r="510">
          <cell r="B510" t="str">
            <v>1-0505</v>
          </cell>
          <cell r="C510" t="str">
            <v>109-03-12/鍾依岑</v>
          </cell>
          <cell r="D510" t="str">
            <v>1-0505-吉和&gt;三義消防隊&gt;寄&gt;附發票&gt;匯款</v>
          </cell>
          <cell r="E510" t="str">
            <v>吉和企業社&gt;三義消防隊&gt;負:張麗霞</v>
          </cell>
          <cell r="F510" t="str">
            <v>吉和企業社(505)</v>
          </cell>
          <cell r="G510" t="str">
            <v>含稅</v>
          </cell>
          <cell r="H510" t="str">
            <v>寄&gt;附發票&gt;匯款23115&gt;現金價&gt;</v>
          </cell>
          <cell r="I510" t="str">
            <v>6680&gt;0931&gt;含稅</v>
          </cell>
          <cell r="J510">
            <v>30</v>
          </cell>
          <cell r="L510" t="str">
            <v>0932-695702三義消防隊</v>
          </cell>
          <cell r="M510">
            <v>0</v>
          </cell>
          <cell r="R510" t="b">
            <v>0</v>
          </cell>
          <cell r="S510" t="str"/>
          <cell r="T510" t="b">
            <v>0</v>
          </cell>
          <cell r="W510">
            <v>367</v>
          </cell>
          <cell r="X510" t="str">
            <v>苗栗縣三義鄉西湖村伯公坑311號</v>
          </cell>
          <cell r="Y510" t="str">
            <v>苗栗縣三義鄉</v>
          </cell>
          <cell r="Z510" t="str">
            <v>苗栗縣三義鄉西湖村伯公坑311號</v>
          </cell>
          <cell r="AA510" t="str">
            <v>367苗栗縣三義鄉西湖村伯公坑311號</v>
          </cell>
          <cell r="AK510" t="str">
            <v>5425-88</v>
          </cell>
          <cell r="AL510" t="str">
            <v>1-0223-禎祥&gt;寄&gt;附發票&gt;附回郵</v>
          </cell>
          <cell r="AM510" t="str">
            <v>1-0223</v>
          </cell>
        </row>
        <row r="511">
          <cell r="B511" t="str">
            <v>1-0506</v>
          </cell>
          <cell r="C511" t="str">
            <v>102-05-01</v>
          </cell>
          <cell r="D511" t="str">
            <v>1-0506-名鈦&gt;寄&gt;附發票&gt;附回郵</v>
          </cell>
          <cell r="E511" t="str">
            <v>名鈦有限公司＞負:林爾貞</v>
          </cell>
          <cell r="F511" t="str">
            <v>名鈦有限公司(506)</v>
          </cell>
          <cell r="G511" t="str">
            <v>含稅</v>
          </cell>
          <cell r="H511" t="str">
            <v>寄＞附發票＞附回郵＞</v>
          </cell>
          <cell r="I511" t="str">
            <v>1606＞7961＞含稅</v>
          </cell>
          <cell r="J511">
            <v>30</v>
          </cell>
          <cell r="L511" t="str">
            <v>037-477282＞0989-611201林火木＞傳真037-477183</v>
          </cell>
          <cell r="M511">
            <v>0</v>
          </cell>
          <cell r="R511" t="b">
            <v>0</v>
          </cell>
          <cell r="S511" t="str"/>
          <cell r="T511" t="b">
            <v>0</v>
          </cell>
          <cell r="W511">
            <v>350</v>
          </cell>
          <cell r="X511" t="str">
            <v>苗栗縣竹南鎮中華里新生路200號。</v>
          </cell>
          <cell r="Y511" t="str">
            <v>苗栗縣竹南鎮</v>
          </cell>
          <cell r="Z511" t="str">
            <v>苗栗縣竹南鎮中華里新生路200號.</v>
          </cell>
          <cell r="AA511" t="str">
            <v>350苗栗縣竹南鎮中華里新生路200號。</v>
          </cell>
          <cell r="AK511" t="str">
            <v>025-GM</v>
          </cell>
          <cell r="AL511" t="str">
            <v>1-0226-昶宏&gt;寄&gt;附回郵</v>
          </cell>
          <cell r="AM511" t="str">
            <v>1-0226</v>
          </cell>
        </row>
        <row r="512">
          <cell r="B512" t="str">
            <v>1-0507</v>
          </cell>
          <cell r="C512" t="str">
            <v>102-05-01</v>
          </cell>
          <cell r="D512" t="str">
            <v>1-0507-盛泰&gt;寄&gt;附發票&gt;附回郵</v>
          </cell>
          <cell r="E512" t="str">
            <v>盛泰資源管理顧問股份有限公司＞負:黃元鴦</v>
          </cell>
          <cell r="F512" t="str">
            <v>盛泰資源管理顧問股份有限公司(507)</v>
          </cell>
          <cell r="G512" t="str">
            <v>含稅</v>
          </cell>
          <cell r="H512" t="str">
            <v>寄＞附發票＞附回郵＞</v>
          </cell>
          <cell r="I512" t="str">
            <v>2908＞6548＞含稅</v>
          </cell>
          <cell r="J512">
            <v>30</v>
          </cell>
          <cell r="L512" t="str">
            <v>037-582888＞0800-258300＞0988-356722彭建文＞傳真037-585518</v>
          </cell>
          <cell r="M512">
            <v>0</v>
          </cell>
          <cell r="R512" t="b">
            <v>0</v>
          </cell>
          <cell r="S512" t="str"/>
          <cell r="T512" t="b">
            <v>0</v>
          </cell>
          <cell r="W512">
            <v>350</v>
          </cell>
          <cell r="X512" t="str">
            <v>苗栗縣竹南鎮仁愛路1103號-苗栗＞新竹縣竹北巿麻園里麻園十街10號-新竹＞登:新竹縣關西鎮東興里博愛路17號1樓。</v>
          </cell>
          <cell r="Y512" t="str">
            <v>苗栗縣竹南鎮</v>
          </cell>
          <cell r="Z512" t="str">
            <v>苗栗縣竹南鎮仁愛路1103號-苗栗.</v>
          </cell>
          <cell r="AA512" t="str">
            <v>350苗栗縣竹南鎮仁愛路1103號-苗栗＞新竹縣竹北巿麻園里麻園十街10號-新竹＞登:新竹縣關西鎮東興里博愛路17號1樓。</v>
          </cell>
          <cell r="AK512" t="str">
            <v>062-Y7</v>
          </cell>
          <cell r="AL512" t="str">
            <v>1-0231-建龍&gt;寄&gt;附發票&gt;附回郵</v>
          </cell>
          <cell r="AM512" t="str">
            <v>1-0231</v>
          </cell>
        </row>
        <row r="513">
          <cell r="B513" t="str">
            <v>1-0508</v>
          </cell>
          <cell r="C513" t="str">
            <v>102-05-02</v>
          </cell>
          <cell r="D513" t="str">
            <v>1-0508-沅億&gt;寄&gt;附發票&gt;附回郵&gt;匯款37562.</v>
          </cell>
          <cell r="E513" t="str">
            <v>沅億五金有限公司＞負:曾煥卿</v>
          </cell>
          <cell r="F513" t="str">
            <v>沅億五金有限公司(508)</v>
          </cell>
          <cell r="G513" t="str">
            <v>稅外</v>
          </cell>
          <cell r="H513" t="str">
            <v>寄＞附發票＞附回郵＞匯款37562＞</v>
          </cell>
          <cell r="I513" t="str">
            <v>8979＞4329＞稅外＞中華全佑</v>
          </cell>
          <cell r="J513">
            <v>30</v>
          </cell>
          <cell r="L513" t="str">
            <v>04-23320799＞0932-571597曾煥卿＞傳真04-23312823</v>
          </cell>
          <cell r="M513">
            <v>0</v>
          </cell>
          <cell r="R513" t="b">
            <v>0</v>
          </cell>
          <cell r="S513" t="str"/>
          <cell r="T513" t="b">
            <v>0</v>
          </cell>
          <cell r="W513">
            <v>413</v>
          </cell>
          <cell r="X513" t="str">
            <v>台中市霧峰區本鄉里光明街97巷5號1樓。</v>
          </cell>
          <cell r="Y513" t="str">
            <v>台中市霧峰區</v>
          </cell>
          <cell r="Z513" t="str">
            <v>台中市霧峰區本鄉里光明街97巷5號1樓.</v>
          </cell>
          <cell r="AA513" t="str">
            <v>413台中市霧峰區本鄉里光明街97巷5號1樓。</v>
          </cell>
          <cell r="AK513" t="str">
            <v>7813-G3</v>
          </cell>
          <cell r="AL513" t="str">
            <v>1-0232-鴻鑫&gt;寄&gt;附回郵</v>
          </cell>
          <cell r="AM513" t="str">
            <v>1-0232</v>
          </cell>
        </row>
        <row r="514">
          <cell r="B514" t="str">
            <v>1-0509</v>
          </cell>
          <cell r="C514" t="str">
            <v>109-03-13/鍾依岑</v>
          </cell>
          <cell r="D514" t="str">
            <v>1-0509-陳龍泉&gt;苗豐交通&gt;寄&gt;電聯</v>
          </cell>
          <cell r="E514" t="str">
            <v>陳龍泉＞靠行:苗豊交通股份有限公司</v>
          </cell>
          <cell r="F514" t="str">
            <v>陳龍泉(509)</v>
          </cell>
          <cell r="G514" t="str">
            <v>未稅</v>
          </cell>
          <cell r="H514" t="str">
            <v>寄&gt;電聯&gt;</v>
          </cell>
          <cell r="J514">
            <v>30</v>
          </cell>
          <cell r="L514" t="str">
            <v>037-338193&gt;0932-615269</v>
          </cell>
          <cell r="M514">
            <v>0</v>
          </cell>
          <cell r="O514">
            <v>51</v>
          </cell>
          <cell r="P514">
            <v>11</v>
          </cell>
          <cell r="Q514">
            <v>22</v>
          </cell>
          <cell r="R514">
            <v>59</v>
          </cell>
          <cell r="S514">
            <v>62</v>
          </cell>
          <cell r="T514">
            <v>22972</v>
          </cell>
          <cell r="W514">
            <v>356</v>
          </cell>
          <cell r="X514" t="str">
            <v>苗栗縣後龍鎮海埔里3鄰海埔16號</v>
          </cell>
          <cell r="Y514" t="str">
            <v>苗栗縣後龍鎮</v>
          </cell>
          <cell r="Z514" t="str">
            <v>苗栗縣後龍鎮海埔里3鄰海埔16號</v>
          </cell>
          <cell r="AA514" t="str">
            <v>356苗栗縣後龍鎮海埔里3鄰海埔16號</v>
          </cell>
          <cell r="AK514" t="str">
            <v>2407-TX</v>
          </cell>
          <cell r="AL514" t="str">
            <v>1-0232-鴻鑫&gt;寄&gt;附回郵</v>
          </cell>
          <cell r="AM514" t="str">
            <v>1-0232</v>
          </cell>
        </row>
        <row r="515">
          <cell r="B515" t="str">
            <v>1-0510</v>
          </cell>
          <cell r="C515" t="str">
            <v>102-05-20</v>
          </cell>
          <cell r="D515" t="str">
            <v>1-0510-賴致全&gt;寄&gt;自結</v>
          </cell>
          <cell r="E515" t="str">
            <v>賴致全＞靠行:志鈞汽車貨運股份有限公司,負:曾國瑋</v>
          </cell>
          <cell r="F515" t="str">
            <v>賴致全(510)</v>
          </cell>
          <cell r="G515" t="str">
            <v>未稅</v>
          </cell>
          <cell r="H515" t="str">
            <v>寄＞自結＞</v>
          </cell>
          <cell r="I515" t="str">
            <v>未稅</v>
          </cell>
          <cell r="J515">
            <v>30</v>
          </cell>
          <cell r="K515" t="str">
            <v>8498＞3069＞未稅</v>
          </cell>
          <cell r="L515" t="str">
            <v>0935-690320</v>
          </cell>
          <cell r="M515">
            <v>0</v>
          </cell>
          <cell r="O515">
            <v>69</v>
          </cell>
          <cell r="P515">
            <v>3</v>
          </cell>
          <cell r="Q515">
            <v>20</v>
          </cell>
          <cell r="R515">
            <v>42</v>
          </cell>
          <cell r="S515">
            <v>80</v>
          </cell>
          <cell r="T515">
            <v>29300</v>
          </cell>
          <cell r="U515" t="str">
            <v>K121921620</v>
          </cell>
          <cell r="W515">
            <v>351</v>
          </cell>
          <cell r="X515" t="str">
            <v>苗栗縣頭份鎮尖下里尖豐路425巷93號＞登:苗栗縣苗栗市福安里20鄰中華東街470號2樓。</v>
          </cell>
          <cell r="Y515" t="str">
            <v>苗栗縣頭份鎮</v>
          </cell>
          <cell r="Z515" t="str">
            <v>苗栗縣頭份鎮尖下里尖豐路425巷93號.</v>
          </cell>
          <cell r="AA515" t="str">
            <v>351苗栗縣頭份鎮尖下里尖豐路425巷93號＞登:苗栗縣苗栗市福安里20鄰中華東街470號2樓。</v>
          </cell>
          <cell r="AK515" t="str">
            <v>8272-B6</v>
          </cell>
          <cell r="AL515" t="str">
            <v>1-0232-鴻鑫&gt;寄&gt;附回郵</v>
          </cell>
          <cell r="AM515" t="str">
            <v>1-0232</v>
          </cell>
        </row>
        <row r="516">
          <cell r="B516" t="str">
            <v>1-0511</v>
          </cell>
          <cell r="C516" t="str">
            <v>102-05-22</v>
          </cell>
          <cell r="D516" t="str">
            <v>1-0511-欣祐&gt;寄&gt;附發票&gt;附回郵</v>
          </cell>
          <cell r="E516" t="str">
            <v>欣祐輪胎有限公司＞負:劉伊真</v>
          </cell>
          <cell r="F516" t="str">
            <v>欣祐輪胎有限公司(511)</v>
          </cell>
          <cell r="G516" t="str">
            <v>未稅</v>
          </cell>
          <cell r="H516" t="str">
            <v>寄＞附發票＞附回郵＞</v>
          </cell>
          <cell r="I516" t="str">
            <v>未稅</v>
          </cell>
          <cell r="J516">
            <v>30</v>
          </cell>
          <cell r="L516" t="str">
            <v>03-9903939＞0932-361359陳敬芳＞傳真03-9905997</v>
          </cell>
          <cell r="M516">
            <v>0</v>
          </cell>
          <cell r="R516" t="b">
            <v>0</v>
          </cell>
          <cell r="S516" t="str"/>
          <cell r="T516" t="b">
            <v>0</v>
          </cell>
          <cell r="W516">
            <v>270</v>
          </cell>
          <cell r="X516" t="str">
            <v>宜蘭縣蘇澳鎮蘇濱路一段316號＞登:宜蘭縣蘇澳鎮隘丁里大同路22號1樓。</v>
          </cell>
          <cell r="Y516" t="str">
            <v>宜蘭縣蘇澳鎮</v>
          </cell>
          <cell r="Z516" t="str">
            <v>宜蘭縣蘇澳鎮蘇濱路一段316號.</v>
          </cell>
          <cell r="AA516" t="str">
            <v>270宜蘭縣蘇澳鎮蘇濱路一段316號＞登:宜蘭縣蘇澳鎮隘丁里大同路22號1樓。</v>
          </cell>
          <cell r="AK516" t="str">
            <v>2615-T3</v>
          </cell>
          <cell r="AL516" t="str">
            <v>1-0232-鴻鑫&gt;寄&gt;附回郵</v>
          </cell>
          <cell r="AM516" t="str">
            <v>1-0232</v>
          </cell>
        </row>
        <row r="517">
          <cell r="B517" t="str">
            <v>1-0512</v>
          </cell>
          <cell r="C517" t="str">
            <v>102-05-25</v>
          </cell>
          <cell r="D517" t="str">
            <v>1-0512-0538企業&gt;寄&gt;附回郵</v>
          </cell>
          <cell r="E517" t="str">
            <v>0538企業社＞汪兆元</v>
          </cell>
          <cell r="F517" t="str">
            <v>0538企業社(512)</v>
          </cell>
          <cell r="G517" t="str">
            <v>未稅</v>
          </cell>
          <cell r="H517" t="str">
            <v>寄＞附回郵＞</v>
          </cell>
          <cell r="I517" t="str">
            <v>未稅</v>
          </cell>
          <cell r="J517">
            <v>30</v>
          </cell>
          <cell r="L517" t="str">
            <v>02-22080538＞0980-939291＞0989-464069</v>
          </cell>
          <cell r="M517">
            <v>0</v>
          </cell>
          <cell r="O517">
            <v>55</v>
          </cell>
          <cell r="P517">
            <v>7</v>
          </cell>
          <cell r="Q517">
            <v>11</v>
          </cell>
          <cell r="R517">
            <v>55</v>
          </cell>
          <cell r="S517">
            <v>66</v>
          </cell>
          <cell r="T517">
            <v>24299</v>
          </cell>
          <cell r="U517" t="str">
            <v>E121579416</v>
          </cell>
          <cell r="W517">
            <v>242</v>
          </cell>
          <cell r="X517" t="str">
            <v>新北巿新莊區四維路208號11-1樓。</v>
          </cell>
          <cell r="Y517" t="str">
            <v>新北巿新莊區</v>
          </cell>
          <cell r="Z517" t="str">
            <v>新北巿新莊區四維路208號11之1樓.</v>
          </cell>
          <cell r="AA517" t="str">
            <v>242新北巿新莊區四維路208號11-1樓。</v>
          </cell>
          <cell r="AK517" t="str">
            <v>8409-K8</v>
          </cell>
          <cell r="AL517" t="str">
            <v>1-0232-鴻鑫&gt;寄&gt;附回郵</v>
          </cell>
          <cell r="AM517" t="str">
            <v>1-0232</v>
          </cell>
        </row>
        <row r="518">
          <cell r="B518" t="str">
            <v>1-0513</v>
          </cell>
          <cell r="C518" t="str">
            <v>102-06-11</v>
          </cell>
          <cell r="D518" t="str">
            <v>1-0513-百飛.最安逸.天朝&gt;寄&gt;附發票&gt;自結</v>
          </cell>
          <cell r="E518" t="str">
            <v>天朝有限公司＞負:李新朝＞京朝企業有限公司＞百飛企業有限公司＞最安逸</v>
          </cell>
          <cell r="F518" t="str">
            <v>天朝有限公司(513)</v>
          </cell>
          <cell r="G518" t="str">
            <v>含稅</v>
          </cell>
          <cell r="H518" t="str">
            <v>寄＞附發票＞自結＞</v>
          </cell>
          <cell r="I518" t="str">
            <v>8070&gt;9907百飛&gt;2806＞7488天朝＞含稅&gt;小車未稅</v>
          </cell>
          <cell r="J518">
            <v>30</v>
          </cell>
          <cell r="L518" t="str">
            <v>037-552566鄭's＞0910-284802蔡瑞祥＞傳真037-552119</v>
          </cell>
          <cell r="M518" t="str">
            <v>2-0101</v>
          </cell>
          <cell r="R518" t="b">
            <v>0</v>
          </cell>
          <cell r="S518" t="str"/>
          <cell r="T518" t="b">
            <v>0</v>
          </cell>
          <cell r="W518">
            <v>350</v>
          </cell>
          <cell r="X518" t="str">
            <v>苗栗縣竹南鎮大厝里真如路380號＞登:苗栗縣頭份鎮成功里14鄰山下街170巷2號。</v>
          </cell>
          <cell r="Y518" t="str">
            <v>苗栗縣竹南鎮</v>
          </cell>
          <cell r="Z518" t="str">
            <v>苗栗縣竹南鎮大厝里真如路380號.</v>
          </cell>
          <cell r="AA518" t="str">
            <v>350苗栗縣竹南鎮大厝里真如路380號＞登:苗栗縣頭份鎮成功里14鄰山下街170巷2號。</v>
          </cell>
          <cell r="AK518" t="str">
            <v>3473-L5</v>
          </cell>
          <cell r="AL518" t="str">
            <v>1-0232-鴻鑫&gt;寄&gt;附回郵</v>
          </cell>
          <cell r="AM518" t="str">
            <v>1-0232</v>
          </cell>
        </row>
        <row r="519">
          <cell r="B519" t="str">
            <v>1-0514</v>
          </cell>
          <cell r="C519" t="str">
            <v>102-06-21</v>
          </cell>
          <cell r="D519" t="str">
            <v>1-0514-全亞冠&gt;寄&gt;附發票&gt;2個月後匯款</v>
          </cell>
          <cell r="E519" t="str">
            <v>全亞冠科技股份有限公司＞全亞冠科技股份有限公司桃園分公司＞負:王敍屏</v>
          </cell>
          <cell r="F519" t="str">
            <v>全亞冠科技股份有限公司(514)</v>
          </cell>
          <cell r="G519" t="str">
            <v>含稅</v>
          </cell>
          <cell r="H519" t="str">
            <v>寄＞附發票＞匯款＞</v>
          </cell>
          <cell r="I519" t="str">
            <v>1679＞8087造橋＞2738＞8069桃園＞含稅＞帳分開＞中華全佑</v>
          </cell>
          <cell r="J519">
            <v>30</v>
          </cell>
          <cell r="L519" t="str">
            <v>037-651839＞03-4389687＞0910-517779林裕洲＞傳真037-651651＞03-4833683徐先生</v>
          </cell>
          <cell r="M519">
            <v>0</v>
          </cell>
          <cell r="R519" t="b">
            <v>0</v>
          </cell>
          <cell r="S519" t="str"/>
          <cell r="T519" t="b">
            <v>0</v>
          </cell>
          <cell r="W519">
            <v>361</v>
          </cell>
          <cell r="X519" t="str">
            <v>苗栗縣造橋鄉龍昇村11鄰中潭21-1號＞桃園縣觀音鄉樹林村工業一路3號。</v>
          </cell>
          <cell r="Y519" t="str">
            <v>苗栗縣造橋鄉</v>
          </cell>
          <cell r="Z519" t="str">
            <v>苗栗縣造橋鄉龍昇村11鄰中潭21之1號.</v>
          </cell>
          <cell r="AA519" t="str">
            <v>361苗栗縣造橋鄉龍昇村11鄰中潭21-1號＞桃園縣觀音鄉樹林村工業一路3號。</v>
          </cell>
          <cell r="AK519" t="str">
            <v>4065-K8</v>
          </cell>
          <cell r="AL519" t="str">
            <v>1-0232-鴻鑫&gt;寄&gt;附回郵</v>
          </cell>
          <cell r="AM519" t="str">
            <v>1-0232</v>
          </cell>
        </row>
        <row r="520">
          <cell r="B520" t="str">
            <v>1-0515</v>
          </cell>
          <cell r="C520" t="str">
            <v>102-07-03</v>
          </cell>
          <cell r="D520" t="str">
            <v>1-0515-福春&gt;寄&gt;附發票&gt;附回郵</v>
          </cell>
          <cell r="E520" t="str">
            <v>福春通運股份有限公司＞負:羅時鑌</v>
          </cell>
          <cell r="F520" t="str">
            <v>福春通運股份有限公司(515)</v>
          </cell>
          <cell r="G520" t="str">
            <v>稅外</v>
          </cell>
          <cell r="H520" t="str">
            <v>寄＞附發票＞附回郵＞</v>
          </cell>
          <cell r="I520" t="str">
            <v>4969＞9502＞稅外</v>
          </cell>
          <cell r="J520">
            <v>30</v>
          </cell>
          <cell r="L520" t="str">
            <v>037-338089劉's＞0932-525565羅時鑌＞傳真037-338079</v>
          </cell>
          <cell r="M520">
            <v>0</v>
          </cell>
          <cell r="R520" t="b">
            <v>0</v>
          </cell>
          <cell r="S520" t="str"/>
          <cell r="T520" t="b">
            <v>0</v>
          </cell>
          <cell r="W520">
            <v>362</v>
          </cell>
          <cell r="X520" t="str">
            <v>苗栗縣頭屋鄉明德村明德路4巷26號。</v>
          </cell>
          <cell r="Y520" t="str">
            <v>苗栗縣頭屋鄉</v>
          </cell>
          <cell r="Z520" t="str">
            <v>苗栗縣頭屋鄉明德村明德路4巷26號.</v>
          </cell>
          <cell r="AA520" t="str">
            <v>362苗栗縣頭屋鄉明德村明德路4巷26號。</v>
          </cell>
          <cell r="AK520" t="str">
            <v>1332-S9</v>
          </cell>
          <cell r="AL520" t="str">
            <v>1-0232-鴻鑫&gt;寄&gt;附回郵</v>
          </cell>
          <cell r="AM520" t="str">
            <v>1-0232</v>
          </cell>
        </row>
        <row r="521">
          <cell r="B521" t="str">
            <v>1-0516</v>
          </cell>
          <cell r="C521" t="str">
            <v>102-07-31</v>
          </cell>
          <cell r="D521" t="str">
            <v>1-0516-藝速&gt;寄&gt;自結</v>
          </cell>
          <cell r="E521" t="str">
            <v>藝速國際車業行＞負:巫思伶＞李明勳</v>
          </cell>
          <cell r="F521" t="str">
            <v>藝速國際車業行(516)</v>
          </cell>
          <cell r="G521" t="str">
            <v>未稅</v>
          </cell>
          <cell r="H521" t="str">
            <v>寄＞自結＞</v>
          </cell>
          <cell r="I521" t="str">
            <v>未稅</v>
          </cell>
          <cell r="J521">
            <v>30</v>
          </cell>
          <cell r="K521" t="str">
            <v>3032＞7849＞未稅</v>
          </cell>
          <cell r="L521" t="str">
            <v>0955-506890李明勳</v>
          </cell>
          <cell r="M521">
            <v>0</v>
          </cell>
          <cell r="R521" t="b">
            <v>0</v>
          </cell>
          <cell r="S521" t="str"/>
          <cell r="T521" t="b">
            <v>0</v>
          </cell>
          <cell r="W521">
            <v>300</v>
          </cell>
          <cell r="X521" t="str">
            <v>新竹市中華路6段224-1號。</v>
          </cell>
          <cell r="Y521" t="str">
            <v>新竹市中華路</v>
          </cell>
          <cell r="Z521" t="str">
            <v>新竹市中華路6段224之1號.</v>
          </cell>
          <cell r="AA521" t="str">
            <v>300新竹市中華路6段224-1號。</v>
          </cell>
          <cell r="AK521" t="str">
            <v>AAR-5210</v>
          </cell>
          <cell r="AL521" t="str">
            <v>1-0232-鴻鑫&gt;寄&gt;附回郵</v>
          </cell>
          <cell r="AM521" t="str">
            <v>1-0232</v>
          </cell>
        </row>
        <row r="522">
          <cell r="B522" t="str">
            <v>1-0517</v>
          </cell>
          <cell r="C522" t="str">
            <v>102-08-16</v>
          </cell>
          <cell r="D522" t="str">
            <v>1-0517-聖堂機械&gt;寄&gt;附發票&gt;附回郵</v>
          </cell>
          <cell r="E522" t="str">
            <v>聖堂機械工程有限公司＞負:張銀珍</v>
          </cell>
          <cell r="F522" t="str">
            <v>聖堂機械工程有限公司(517)</v>
          </cell>
          <cell r="G522" t="str">
            <v>稅外</v>
          </cell>
          <cell r="H522" t="str">
            <v>寄＞附發票＞附回郵＞</v>
          </cell>
          <cell r="I522" t="str">
            <v>2279＞0443＞稅外</v>
          </cell>
          <cell r="J522">
            <v>30</v>
          </cell>
          <cell r="L522" t="str">
            <v>037-481061周's＞0937-729356林啟聖＞傳真037-471511</v>
          </cell>
          <cell r="M522">
            <v>0</v>
          </cell>
          <cell r="R522" t="b">
            <v>0</v>
          </cell>
          <cell r="S522" t="str"/>
          <cell r="T522" t="b">
            <v>0</v>
          </cell>
          <cell r="W522">
            <v>350</v>
          </cell>
          <cell r="X522" t="str">
            <v>苗栗縣竹南鎮大厝里13鄰真如路253巷22號。</v>
          </cell>
          <cell r="Y522" t="str">
            <v>苗栗縣竹南鎮</v>
          </cell>
          <cell r="Z522" t="str">
            <v>苗栗縣竹南鎮大厝里13鄰真如路253巷22號.</v>
          </cell>
          <cell r="AA522" t="str">
            <v>350苗栗縣竹南鎮大厝里13鄰真如路253巷22號。</v>
          </cell>
          <cell r="AK522" t="str">
            <v>AGT-6003</v>
          </cell>
          <cell r="AL522" t="str">
            <v>1-0232-鴻鑫&gt;寄&gt;附回郵</v>
          </cell>
          <cell r="AM522" t="str">
            <v>1-0232</v>
          </cell>
        </row>
        <row r="523">
          <cell r="B523" t="str">
            <v>1-0518</v>
          </cell>
          <cell r="C523" t="str">
            <v>102-08-20</v>
          </cell>
          <cell r="D523" t="str">
            <v>1-0518-魏世郎&gt;寄&gt;匯款</v>
          </cell>
          <cell r="E523" t="str">
            <v>魏世郎＞靠行:苗豊交通股份有限公司,負:邱秀美</v>
          </cell>
          <cell r="F523" t="str">
            <v>魏世郎(518)</v>
          </cell>
          <cell r="G523" t="str">
            <v>未稅</v>
          </cell>
          <cell r="H523" t="str">
            <v>寄＞匯款:魏世郎&gt;現金價</v>
          </cell>
          <cell r="I523" t="str">
            <v>未稅</v>
          </cell>
          <cell r="J523">
            <v>30</v>
          </cell>
          <cell r="K523" t="str">
            <v>4969＞5421＞未稅</v>
          </cell>
          <cell r="L523" t="str">
            <v>037-723918＞0928-989068＞037-338193登電</v>
          </cell>
          <cell r="M523">
            <v>0</v>
          </cell>
          <cell r="O523">
            <v>55</v>
          </cell>
          <cell r="P523">
            <v>3</v>
          </cell>
          <cell r="Q523">
            <v>25</v>
          </cell>
          <cell r="R523">
            <v>56</v>
          </cell>
          <cell r="S523">
            <v>66</v>
          </cell>
          <cell r="T523">
            <v>24191</v>
          </cell>
          <cell r="U523" t="str">
            <v>K121007205</v>
          </cell>
          <cell r="W523">
            <v>356</v>
          </cell>
          <cell r="X523" t="str">
            <v>苗栗縣後龍鎮校椅里8鄰槺榔七街76號＞登:苗栗縣苗栗市建功里24鄰府前路121號7樓之2。</v>
          </cell>
          <cell r="Y523" t="str">
            <v>苗栗縣後龍鎮</v>
          </cell>
          <cell r="Z523" t="str">
            <v>苗栗縣後龍鎮校椅里8鄰槺榔七街76號.</v>
          </cell>
          <cell r="AA523" t="str">
            <v>356苗栗縣後龍鎮校椅里8鄰槺榔七街76號＞登:苗栗縣苗栗市建功里24鄰府前路121號7樓之2。</v>
          </cell>
          <cell r="AK523" t="str">
            <v>2619-T3</v>
          </cell>
          <cell r="AL523" t="str">
            <v>1-0232-鴻鑫&gt;寄&gt;附回郵</v>
          </cell>
          <cell r="AM523" t="str">
            <v>1-0232</v>
          </cell>
        </row>
        <row r="524">
          <cell r="B524" t="str">
            <v>1-0519</v>
          </cell>
          <cell r="C524" t="str">
            <v>102-09-03</v>
          </cell>
          <cell r="D524" t="str">
            <v>1-0519-謝志明&gt;電&gt;自結&gt;匯款0218250．0503740.</v>
          </cell>
          <cell r="E524" t="str">
            <v>謝志明＞鉅石企業有限公司&gt;靠行:志松汽車貨運股份有限公司,負:方錦珍</v>
          </cell>
          <cell r="F524" t="str">
            <v>謝志明(519)</v>
          </cell>
          <cell r="G524" t="str">
            <v>未稅</v>
          </cell>
          <cell r="H524" t="str">
            <v>電＞自結＞匯款0218250.0503740＞KLF-8181.KLF-8185</v>
          </cell>
          <cell r="I524" t="str">
            <v>未稅</v>
          </cell>
          <cell r="J524">
            <v>30</v>
          </cell>
          <cell r="K524" t="str">
            <v>4972＞6472＞未稅</v>
          </cell>
          <cell r="L524" t="str">
            <v>03-5353857＞0952-996992＞戶籍049-2917505</v>
          </cell>
          <cell r="M524">
            <v>0</v>
          </cell>
          <cell r="O524">
            <v>63</v>
          </cell>
          <cell r="P524">
            <v>8</v>
          </cell>
          <cell r="Q524">
            <v>1</v>
          </cell>
          <cell r="R524">
            <v>47</v>
          </cell>
          <cell r="S524">
            <v>74</v>
          </cell>
          <cell r="T524">
            <v>27242</v>
          </cell>
          <cell r="U524" t="str">
            <v>M120375992</v>
          </cell>
          <cell r="W524">
            <v>350</v>
          </cell>
          <cell r="X524" t="str">
            <v>苗栗縣竹南鎮明勝路290號＞戶:高雄巿小港區山明里29鄰松信路29號3樓＞登:苗栗縣頭份鎮蟠桃里3鄰中央路268號3樓。</v>
          </cell>
          <cell r="Y524" t="str">
            <v>苗栗縣竹南鎮</v>
          </cell>
          <cell r="Z524" t="str">
            <v>苗栗縣竹南鎮明勝路290號</v>
          </cell>
          <cell r="AA524" t="str">
            <v>350苗栗縣竹南鎮明勝路290號＞戶:高雄巿小港區山明里29鄰松信路29號3樓＞登:苗栗縣頭份鎮蟠桃里3鄰中央路268號3樓。</v>
          </cell>
          <cell r="AK524" t="str">
            <v>4062-K8</v>
          </cell>
          <cell r="AL524" t="str">
            <v>1-0232-鴻鑫&gt;寄&gt;附回郵</v>
          </cell>
          <cell r="AM524" t="str">
            <v>1-0232</v>
          </cell>
        </row>
        <row r="525">
          <cell r="B525" t="str">
            <v>1-0520</v>
          </cell>
          <cell r="C525" t="str">
            <v>102-09-06</v>
          </cell>
          <cell r="D525" t="str">
            <v>1-0520-陳勝義(黑友)&gt;寄&gt;自結</v>
          </cell>
          <cell r="E525" t="str">
            <v>陳勝義＞靠行:松生交通股份有限公司,負:陳漢琮</v>
          </cell>
          <cell r="F525" t="str">
            <v>陳勝義(520)</v>
          </cell>
          <cell r="G525" t="str">
            <v>未稅</v>
          </cell>
          <cell r="H525" t="str">
            <v>寄＞自結＞</v>
          </cell>
          <cell r="I525" t="str">
            <v>未稅</v>
          </cell>
          <cell r="J525">
            <v>30</v>
          </cell>
          <cell r="K525" t="str">
            <v>5008＞5480＞未稅</v>
          </cell>
          <cell r="L525" t="str">
            <v>037-550426＞0938-371575</v>
          </cell>
          <cell r="M525">
            <v>0</v>
          </cell>
          <cell r="O525">
            <v>55</v>
          </cell>
          <cell r="P525">
            <v>2</v>
          </cell>
          <cell r="Q525">
            <v>28</v>
          </cell>
          <cell r="R525">
            <v>56</v>
          </cell>
          <cell r="S525">
            <v>66</v>
          </cell>
          <cell r="T525">
            <v>24166</v>
          </cell>
          <cell r="U525" t="str">
            <v>T122015164</v>
          </cell>
          <cell r="W525">
            <v>350</v>
          </cell>
          <cell r="X525" t="str">
            <v>苗栗縣竹南鎮中美里11鄰西門48-20號＞登:苗栗縣頭份鎮蟠桃里3鄰中央路268號。</v>
          </cell>
          <cell r="Y525" t="str">
            <v>苗栗縣竹南鎮</v>
          </cell>
          <cell r="Z525" t="str">
            <v>苗栗縣竹南鎮中美里11鄰西門48之20號.</v>
          </cell>
          <cell r="AA525" t="str">
            <v>350苗栗縣竹南鎮中美里11鄰西門48-20號＞登:苗栗縣頭份鎮蟠桃里3鄰中央路268號。</v>
          </cell>
          <cell r="AK525" t="str">
            <v>0651-PQ</v>
          </cell>
          <cell r="AL525" t="str">
            <v>1-0232-鴻鑫&gt;寄&gt;附回郵</v>
          </cell>
          <cell r="AM525" t="str">
            <v>1-0232</v>
          </cell>
        </row>
        <row r="526">
          <cell r="B526" t="str">
            <v>1-0521</v>
          </cell>
          <cell r="C526" t="str">
            <v>107-01-31</v>
          </cell>
          <cell r="D526" t="str">
            <v>1-0521-竹南永德福SCANIA&gt;寄&gt;附發票&gt;2個月後匯款</v>
          </cell>
          <cell r="E526" t="str">
            <v>英屬維京群島商永德福汽車股份有限公司台灣分公司&gt;苗栗竹南廠SCANIA</v>
          </cell>
          <cell r="F526" t="str">
            <v>永德福汽車苗栗竹南廠(521)</v>
          </cell>
          <cell r="G526" t="str">
            <v>含稅</v>
          </cell>
          <cell r="H526" t="str">
            <v>寄＞附發票＞附定位數據＞匯款:GRIF＞</v>
          </cell>
          <cell r="I526" t="str">
            <v>2792＞2106＞含稅 ＞中華全佑＞20號月結&gt;1張簽單1張發票＞20號月結</v>
          </cell>
          <cell r="J526">
            <v>20</v>
          </cell>
          <cell r="L526" t="str">
            <v>037-585489&gt;傳真:037-585479&gt;</v>
          </cell>
          <cell r="M526" t="str">
            <v>2-0191</v>
          </cell>
          <cell r="R526" t="b">
            <v>0</v>
          </cell>
          <cell r="S526" t="str"/>
          <cell r="T526" t="b">
            <v>0</v>
          </cell>
          <cell r="W526">
            <v>350</v>
          </cell>
          <cell r="X526" t="str">
            <v>苗栗縣竹南鎮科義街29號</v>
          </cell>
          <cell r="Y526" t="str">
            <v>苗栗縣竹南鎮</v>
          </cell>
          <cell r="Z526" t="str">
            <v>苗栗縣竹南鎮科義街29號</v>
          </cell>
          <cell r="AA526" t="str">
            <v>350苗栗縣竹南鎮科義街29號</v>
          </cell>
          <cell r="AK526" t="str">
            <v>0576-PQ</v>
          </cell>
          <cell r="AL526" t="str">
            <v>1-0232-鴻鑫&gt;寄&gt;附回郵</v>
          </cell>
          <cell r="AM526" t="str">
            <v>1-0232</v>
          </cell>
        </row>
        <row r="527">
          <cell r="B527" t="str">
            <v>1-0522</v>
          </cell>
          <cell r="C527" t="str">
            <v>102-10-03</v>
          </cell>
          <cell r="D527" t="str">
            <v>1-0522-普惠食品&gt;寄&gt;附發票&gt;附回郵</v>
          </cell>
          <cell r="E527" t="str">
            <v>普惠食品企業有限公司＞負:陳素珍</v>
          </cell>
          <cell r="F527" t="str">
            <v>普惠食品企業有限公司(522)</v>
          </cell>
          <cell r="G527" t="str">
            <v>稅外</v>
          </cell>
          <cell r="H527" t="str">
            <v>寄＞附發票＞附回郵＞</v>
          </cell>
          <cell r="I527" t="str">
            <v>1302＞7066＞稅外</v>
          </cell>
          <cell r="J527">
            <v>30</v>
          </cell>
          <cell r="L527" t="str">
            <v>037-463581＞傳真037-482273</v>
          </cell>
          <cell r="M527">
            <v>0</v>
          </cell>
          <cell r="R527" t="b">
            <v>0</v>
          </cell>
          <cell r="S527" t="str"/>
          <cell r="T527" t="b">
            <v>0</v>
          </cell>
          <cell r="W527">
            <v>350</v>
          </cell>
          <cell r="X527" t="str">
            <v>苗栗縣竹南鎮大厝里14鄰國泰路13號。</v>
          </cell>
          <cell r="Y527" t="str">
            <v>苗栗縣竹南鎮</v>
          </cell>
          <cell r="Z527" t="str">
            <v>苗栗縣竹南鎮大厝里14鄰國泰路13號.</v>
          </cell>
          <cell r="AA527" t="str">
            <v>350苗栗縣竹南鎮大厝里14鄰國泰路13號。</v>
          </cell>
          <cell r="AK527" t="str">
            <v>4063-K8</v>
          </cell>
          <cell r="AL527" t="str">
            <v>1-0232-鴻鑫&gt;寄&gt;附回郵</v>
          </cell>
          <cell r="AM527" t="str">
            <v>1-0232</v>
          </cell>
        </row>
        <row r="528">
          <cell r="B528" t="str">
            <v>1-0523</v>
          </cell>
          <cell r="C528" t="str">
            <v>109-03-18/鍾依岑</v>
          </cell>
          <cell r="D528" t="str">
            <v>1-523-友利&gt;詠利&gt;付現</v>
          </cell>
          <cell r="E528" t="str">
            <v>張瑋安&gt;友利環保有限公司&gt;負:洪美華&gt;詠利環保有限公司&gt;負:張瑞淵</v>
          </cell>
          <cell r="F528" t="str">
            <v>友利環保有限公司(523)</v>
          </cell>
          <cell r="G528" t="str">
            <v>未稅</v>
          </cell>
          <cell r="H528" t="str">
            <v>付現&gt;</v>
          </cell>
          <cell r="J528">
            <v>30</v>
          </cell>
          <cell r="K528" t="str">
            <v>1264&gt;5998&gt;未稅</v>
          </cell>
          <cell r="L528" t="str">
            <v>0905-597369張瑋安</v>
          </cell>
          <cell r="M528">
            <v>0</v>
          </cell>
          <cell r="R528" t="b">
            <v>0</v>
          </cell>
          <cell r="S528" t="str"/>
          <cell r="T528" t="b">
            <v>0</v>
          </cell>
          <cell r="W528">
            <v>412</v>
          </cell>
          <cell r="X528" t="str">
            <v>台中市大里區成功二路185號</v>
          </cell>
          <cell r="Y528" t="str">
            <v>台中市大里區</v>
          </cell>
          <cell r="Z528" t="str">
            <v>台中市大里區成功二路185號</v>
          </cell>
          <cell r="AA528" t="str">
            <v>412台中市大里區成功二路185號</v>
          </cell>
          <cell r="AK528" t="str">
            <v>9U-637</v>
          </cell>
          <cell r="AL528" t="str">
            <v>1-0234-小龍女&gt;楊鎮銨&gt;電&gt;自結</v>
          </cell>
          <cell r="AM528" t="str">
            <v>1-0234</v>
          </cell>
        </row>
        <row r="529">
          <cell r="B529" t="str">
            <v>1-0524</v>
          </cell>
          <cell r="C529" t="str">
            <v>102-10-10</v>
          </cell>
          <cell r="D529" t="str">
            <v>1-0524-馬董&gt;親送收</v>
          </cell>
          <cell r="E529" t="str">
            <v>馬董＞陳美月</v>
          </cell>
          <cell r="F529" t="str">
            <v>馬董(524)</v>
          </cell>
          <cell r="G529" t="str">
            <v>未稅</v>
          </cell>
          <cell r="H529" t="str">
            <v>親送收＞</v>
          </cell>
          <cell r="I529" t="str">
            <v>未稅</v>
          </cell>
          <cell r="J529">
            <v>30</v>
          </cell>
          <cell r="L529" t="str">
            <v>03-5378696＞0958-139666＞0970-139888</v>
          </cell>
          <cell r="M529" t="str">
            <v>2-0139</v>
          </cell>
          <cell r="R529" t="b">
            <v>0</v>
          </cell>
          <cell r="S529" t="str"/>
          <cell r="T529" t="b">
            <v>0</v>
          </cell>
          <cell r="Y529" t="str"/>
          <cell r="AA529" t="str"/>
          <cell r="AK529" t="str">
            <v>941-ZC</v>
          </cell>
          <cell r="AL529" t="str">
            <v>1-0246-緯榮&gt;寄&gt;附發票&gt;附回郵</v>
          </cell>
          <cell r="AM529" t="str">
            <v>1-0246</v>
          </cell>
        </row>
        <row r="530">
          <cell r="B530" t="str">
            <v>1-0525</v>
          </cell>
          <cell r="C530" t="str">
            <v>102-10-15</v>
          </cell>
          <cell r="D530" t="str">
            <v>1-0525-勝興&gt;寄&gt;附發票&gt;自結</v>
          </cell>
          <cell r="E530" t="str">
            <v>勝興通運有限公司＞負:陳信男</v>
          </cell>
          <cell r="F530" t="str">
            <v>勝興通運有限公司(525)</v>
          </cell>
          <cell r="G530" t="str">
            <v>稅外</v>
          </cell>
          <cell r="H530" t="str">
            <v>寄＞附發票＞自結＞</v>
          </cell>
          <cell r="I530" t="str">
            <v>1632＞7679＞稅外</v>
          </cell>
          <cell r="J530">
            <v>30</v>
          </cell>
          <cell r="L530" t="str">
            <v>037-582866&gt;0921-984181老闆娘0913-544222陳信男＞0913-651205司機謝文昌</v>
          </cell>
          <cell r="M530">
            <v>0</v>
          </cell>
          <cell r="R530" t="b">
            <v>0</v>
          </cell>
          <cell r="S530" t="str"/>
          <cell r="T530" t="b">
            <v>0</v>
          </cell>
          <cell r="W530">
            <v>361</v>
          </cell>
          <cell r="X530" t="str">
            <v>苗栗縣造橋鄉造橋村14鄰8號＞登:苗栗縣頭份鎮自強里25鄰中華路1091之3號。</v>
          </cell>
          <cell r="Y530" t="str">
            <v>苗栗縣造橋鄉</v>
          </cell>
          <cell r="Z530" t="str">
            <v>苗栗縣造橋鄉造橋村14鄰8號.</v>
          </cell>
          <cell r="AA530" t="str">
            <v>361苗栗縣造橋鄉造橋村14鄰8號＞登:苗栗縣頭份鎮自強里25鄰中華路1091之3號。</v>
          </cell>
          <cell r="AK530" t="str">
            <v>LAM-117</v>
          </cell>
          <cell r="AL530" t="str">
            <v>1-0246-緯榮&gt;寄&gt;附發票&gt;附回郵</v>
          </cell>
          <cell r="AM530" t="str">
            <v>1-0246</v>
          </cell>
        </row>
        <row r="531">
          <cell r="B531" t="str">
            <v>1-0526</v>
          </cell>
          <cell r="C531" t="str">
            <v>102-10-19</v>
          </cell>
          <cell r="D531" t="str">
            <v>1-0526-林濬康&gt;寄&gt;自結</v>
          </cell>
          <cell r="E531" t="str">
            <v>林濬康＞靠行:德成通運有限公司,負:鄭宗哲</v>
          </cell>
          <cell r="F531" t="str">
            <v>林濬康(526)</v>
          </cell>
          <cell r="G531" t="str">
            <v>未稅</v>
          </cell>
          <cell r="H531" t="str">
            <v>寄＞自結＞</v>
          </cell>
          <cell r="I531" t="str">
            <v>未稅</v>
          </cell>
          <cell r="J531">
            <v>30</v>
          </cell>
          <cell r="K531" t="str">
            <v>8668＞6310＞未稅</v>
          </cell>
          <cell r="L531" t="str">
            <v>037-664418＞0920-559288</v>
          </cell>
          <cell r="M531">
            <v>0</v>
          </cell>
          <cell r="O531">
            <v>65</v>
          </cell>
          <cell r="P531">
            <v>9</v>
          </cell>
          <cell r="Q531">
            <v>24</v>
          </cell>
          <cell r="R531">
            <v>45</v>
          </cell>
          <cell r="S531">
            <v>76</v>
          </cell>
          <cell r="T531">
            <v>28027</v>
          </cell>
          <cell r="U531" t="str">
            <v>K121633830</v>
          </cell>
          <cell r="W531">
            <v>351</v>
          </cell>
          <cell r="X531" t="str">
            <v>苗栗縣頭份鎮和平里13號東興路37巷47號＞登:高雄市前鎮區草衙里漁港路224號。</v>
          </cell>
          <cell r="Y531" t="str">
            <v>苗栗縣頭份鎮</v>
          </cell>
          <cell r="Z531" t="str">
            <v>苗栗縣頭份鎮和平里13號東興路37巷47號.</v>
          </cell>
          <cell r="AA531" t="str">
            <v>351苗栗縣頭份鎮和平里13號東興路37巷47號＞登:高雄市前鎮區草衙里漁港路224號。</v>
          </cell>
          <cell r="AK531" t="str">
            <v>691-GD</v>
          </cell>
          <cell r="AL531" t="str">
            <v>1-0246-緯榮&gt;寄&gt;附發票&gt;附回郵</v>
          </cell>
          <cell r="AM531" t="str">
            <v>1-0246</v>
          </cell>
        </row>
        <row r="532">
          <cell r="B532" t="str">
            <v>1-0527</v>
          </cell>
          <cell r="C532" t="str">
            <v>102-11-06</v>
          </cell>
          <cell r="D532" t="str">
            <v>1-0527-秉陽&gt;現結</v>
          </cell>
          <cell r="E532" t="str">
            <v>秉陽</v>
          </cell>
          <cell r="F532" t="str">
            <v>秉陽(527)</v>
          </cell>
          <cell r="G532" t="str">
            <v>含稅</v>
          </cell>
          <cell r="H532" t="str">
            <v>現結＞</v>
          </cell>
          <cell r="I532" t="str">
            <v>7066＞9130＞含稅</v>
          </cell>
          <cell r="J532">
            <v>30</v>
          </cell>
          <cell r="L532" t="str">
            <v>03-5378881＞傳真03-5373903</v>
          </cell>
          <cell r="M532">
            <v>0</v>
          </cell>
          <cell r="R532" t="b">
            <v>0</v>
          </cell>
          <cell r="S532" t="str"/>
          <cell r="T532" t="b">
            <v>0</v>
          </cell>
          <cell r="W532">
            <v>104</v>
          </cell>
          <cell r="X532" t="str">
            <v>新竹市中華路六段799巷8弄14號10樓</v>
          </cell>
          <cell r="Y532" t="str">
            <v>新竹市中華路</v>
          </cell>
          <cell r="Z532" t="str">
            <v>新竹市中華路六段799巷8弄14號10樓.</v>
          </cell>
          <cell r="AA532" t="str">
            <v>104新竹市中華路六段799巷8弄14號10樓</v>
          </cell>
          <cell r="AK532" t="str">
            <v>HN-258</v>
          </cell>
          <cell r="AL532" t="str">
            <v>1-0246-緯榮&gt;寄&gt;附發票&gt;附回郵</v>
          </cell>
          <cell r="AM532" t="str">
            <v>1-0246</v>
          </cell>
        </row>
        <row r="533">
          <cell r="B533" t="str">
            <v>1-0528</v>
          </cell>
          <cell r="C533" t="str">
            <v>102-11-09</v>
          </cell>
          <cell r="D533" t="str">
            <v>1-0528-文鹿&gt;寄&gt;匯款4186293</v>
          </cell>
          <cell r="E533" t="str">
            <v>文鹿汽車有限公司＞負:林志成</v>
          </cell>
          <cell r="F533" t="str">
            <v>文鹿汽車有限公司(528)</v>
          </cell>
          <cell r="G533" t="str">
            <v>未稅</v>
          </cell>
          <cell r="H533" t="str">
            <v>寄＞匯款:4186293＞</v>
          </cell>
          <cell r="I533" t="str">
            <v>未稅</v>
          </cell>
          <cell r="J533">
            <v>30</v>
          </cell>
          <cell r="K533" t="str">
            <v>5305＞2759＞未稅</v>
          </cell>
          <cell r="L533" t="str">
            <v>03-2121556＞傳真03-2121585</v>
          </cell>
          <cell r="M533">
            <v>0</v>
          </cell>
          <cell r="R533" t="b">
            <v>0</v>
          </cell>
          <cell r="S533" t="str"/>
          <cell r="T533" t="b">
            <v>0</v>
          </cell>
          <cell r="W533">
            <v>338</v>
          </cell>
          <cell r="X533" t="str">
            <v>桃園縣蘆竹鄉長興村南崁路二段561號。</v>
          </cell>
          <cell r="Y533" t="str">
            <v>桃園縣蘆竹鄉</v>
          </cell>
          <cell r="Z533" t="str">
            <v>桃園縣蘆竹鄉長興村南崁路二段561號.</v>
          </cell>
          <cell r="AA533" t="str">
            <v>338桃園縣蘆竹鄉長興村南崁路二段561號。</v>
          </cell>
          <cell r="AK533" t="str">
            <v>033-HY</v>
          </cell>
          <cell r="AL533" t="str">
            <v>1-0246-緯榮&gt;寄&gt;附發票&gt;附回郵</v>
          </cell>
          <cell r="AM533" t="str">
            <v>1-0246</v>
          </cell>
        </row>
        <row r="534">
          <cell r="B534" t="str">
            <v>1-0529</v>
          </cell>
          <cell r="C534" t="str">
            <v>102-11-27</v>
          </cell>
          <cell r="D534" t="str">
            <v>1-0529-中港輪胎&gt;現結</v>
          </cell>
          <cell r="E534" t="str">
            <v>中港輪胎行＞負:鄭浙國</v>
          </cell>
          <cell r="F534" t="str">
            <v>中港輪胎行(529)</v>
          </cell>
          <cell r="G534" t="str">
            <v>未稅</v>
          </cell>
          <cell r="H534" t="str">
            <v>現結＞</v>
          </cell>
          <cell r="I534" t="str">
            <v>未稅</v>
          </cell>
          <cell r="J534">
            <v>30</v>
          </cell>
          <cell r="K534" t="str">
            <v>9390＞7839＞未稅</v>
          </cell>
          <cell r="L534" t="str">
            <v>04-26562765＞0918-315848鄭浙國＞0939-871223鄭浙揚</v>
          </cell>
          <cell r="M534">
            <v>0</v>
          </cell>
          <cell r="R534" t="b">
            <v>0</v>
          </cell>
          <cell r="S534" t="str"/>
          <cell r="T534" t="b">
            <v>0</v>
          </cell>
          <cell r="W534">
            <v>435</v>
          </cell>
          <cell r="X534" t="str">
            <v>臺中市梧棲區草湳里1鄰建國西街71號1樓。</v>
          </cell>
          <cell r="Y534" t="str">
            <v>臺中市梧棲區</v>
          </cell>
          <cell r="Z534" t="str">
            <v>臺中市梧棲區草湳里1鄰建國西街71號1樓.</v>
          </cell>
          <cell r="AA534" t="str">
            <v>435臺中市梧棲區草湳里1鄰建國西街71號1樓。</v>
          </cell>
          <cell r="AK534" t="str">
            <v>4236-YB</v>
          </cell>
          <cell r="AL534" t="str">
            <v>1-0248-咏進&gt;寄&gt;附發票&gt;附回郵</v>
          </cell>
          <cell r="AM534" t="str">
            <v>1-0248</v>
          </cell>
        </row>
        <row r="535">
          <cell r="B535" t="str">
            <v>1-0530</v>
          </cell>
          <cell r="C535" t="str">
            <v>102-12-09</v>
          </cell>
          <cell r="D535" t="str">
            <v>1-0530-李鎧丞.胖胖.&gt;寄＞匯款0151811.51816</v>
          </cell>
          <cell r="E535" t="str">
            <v>李鎧丞＞靠行:宜成運輸股份有限公司,負:曾士殷</v>
          </cell>
          <cell r="F535" t="str">
            <v>李鎧丞(530)</v>
          </cell>
          <cell r="G535" t="str">
            <v>未稅</v>
          </cell>
          <cell r="H535" t="str">
            <v>寄＞匯款:0151811＞51816</v>
          </cell>
          <cell r="I535" t="str">
            <v>未稅</v>
          </cell>
          <cell r="J535">
            <v>30</v>
          </cell>
          <cell r="K535" t="str">
            <v>8470＞9491＞未稅</v>
          </cell>
          <cell r="L535" t="str">
            <v>0916-511222</v>
          </cell>
          <cell r="M535">
            <v>0</v>
          </cell>
          <cell r="R535" t="b">
            <v>0</v>
          </cell>
          <cell r="S535" t="str"/>
          <cell r="T535" t="b">
            <v>0</v>
          </cell>
          <cell r="W535">
            <v>369</v>
          </cell>
          <cell r="X535" t="str">
            <v>苗栗縣卓蘭鎮上新里上新街25巷1號＞登:臺中市大甲區頂店里大智街73號。</v>
          </cell>
          <cell r="Y535" t="str">
            <v>苗栗縣卓蘭鎮</v>
          </cell>
          <cell r="Z535" t="str">
            <v>苗栗縣卓蘭鎮上新里上新街25巷1號.</v>
          </cell>
          <cell r="AA535" t="str">
            <v>369苗栗縣卓蘭鎮上新里上新街25巷1號＞登:臺中市大甲區頂店里大智街73號。</v>
          </cell>
          <cell r="AK535" t="str">
            <v>801-RW</v>
          </cell>
          <cell r="AL535" t="str">
            <v>1-0248-咏進&gt;寄&gt;附發票&gt;附回郵</v>
          </cell>
          <cell r="AM535" t="str">
            <v>1-0248</v>
          </cell>
        </row>
        <row r="536">
          <cell r="B536" t="str">
            <v>1-0531</v>
          </cell>
          <cell r="C536" t="str">
            <v>102-12-23</v>
          </cell>
          <cell r="D536" t="str">
            <v>1-0531-鋒魁.笠格科技&gt;寄&gt;附發票&gt;匯款(兩個月10號匯)</v>
          </cell>
          <cell r="E536" t="str">
            <v>鋒魁科技股份有限公司＞負:張錦發&gt;笠格科技</v>
          </cell>
          <cell r="F536" t="str">
            <v>鋒魁科技股份有限公司(531)</v>
          </cell>
          <cell r="G536" t="str">
            <v>稅外</v>
          </cell>
          <cell r="H536" t="str">
            <v>寄＞附發票＞匯款:笠格(次月10號匯)＞</v>
          </cell>
          <cell r="I536" t="str">
            <v>2877＞2230鋒魁&gt;2737&gt;3565笠格＞稅外＞中華全佑＞25號月結</v>
          </cell>
          <cell r="J536">
            <v>25</v>
          </cell>
          <cell r="L536" t="str">
            <v>竹南廠 會計037-586993-220蔡's＞傳真037-585987&gt;台南廠 會計06-5833758#12林'S</v>
          </cell>
          <cell r="M536" t="str">
            <v>2-0153</v>
          </cell>
          <cell r="R536" t="b">
            <v>0</v>
          </cell>
          <cell r="S536" t="str"/>
          <cell r="T536" t="b">
            <v>0</v>
          </cell>
          <cell r="W536">
            <v>350</v>
          </cell>
          <cell r="X536" t="str">
            <v>苗栗縣竹南鎮廣源科技園區友義路232號6樓＞登:苗栗縣竹南鎮公義里11鄰友義路232號。</v>
          </cell>
          <cell r="Y536" t="str">
            <v>苗栗縣竹南鎮</v>
          </cell>
          <cell r="Z536" t="str">
            <v>苗栗縣竹南鎮廣源科技園區友義路232號6樓.</v>
          </cell>
          <cell r="AA536" t="str">
            <v>350苗栗縣竹南鎮廣源科技園區友義路232號6樓＞登:苗栗縣竹南鎮公義里11鄰友義路232號。</v>
          </cell>
          <cell r="AK536" t="str">
            <v>1206-YV</v>
          </cell>
          <cell r="AL536" t="str">
            <v>1-0248-咏進&gt;寄&gt;附發票&gt;附回郵</v>
          </cell>
          <cell r="AM536" t="str">
            <v>1-0248</v>
          </cell>
        </row>
        <row r="537">
          <cell r="B537" t="str">
            <v>1-0532</v>
          </cell>
          <cell r="C537" t="str">
            <v>103-01-07</v>
          </cell>
          <cell r="D537" t="str">
            <v>1-0532-驛順&gt;寄&gt;附發票&gt;附回郵</v>
          </cell>
          <cell r="E537" t="str">
            <v>驛順企業社＞負:鄭家琦＞黃信勳＞黃信添-同學</v>
          </cell>
          <cell r="F537" t="str">
            <v>驛順企業社(532)</v>
          </cell>
          <cell r="G537" t="str">
            <v>稅外</v>
          </cell>
          <cell r="H537" t="str">
            <v>寄＞附發票＞附回郵＞</v>
          </cell>
          <cell r="I537" t="str">
            <v>9989＞5199＞稅外</v>
          </cell>
          <cell r="J537">
            <v>30</v>
          </cell>
          <cell r="L537" t="str">
            <v>037-551417夜＞0932-565999＞0921-321259黃信勳＞傳真037-551417</v>
          </cell>
          <cell r="M537">
            <v>0</v>
          </cell>
          <cell r="R537" t="b">
            <v>0</v>
          </cell>
          <cell r="S537" t="str"/>
          <cell r="T537" t="b">
            <v>0</v>
          </cell>
          <cell r="W537">
            <v>350</v>
          </cell>
          <cell r="X537" t="str">
            <v>苗栗縣竹南鎮聖福里3鄰信義街17巷2號1樓。</v>
          </cell>
          <cell r="Y537" t="str">
            <v>苗栗縣竹南鎮</v>
          </cell>
          <cell r="Z537" t="str">
            <v>苗栗縣竹南鎮聖福里3鄰信義街17巷2號1樓.</v>
          </cell>
          <cell r="AA537" t="str">
            <v>350苗栗縣竹南鎮聖福里3鄰信義街17巷2號1樓。</v>
          </cell>
          <cell r="AK537" t="str">
            <v>4193-YB</v>
          </cell>
          <cell r="AL537" t="str">
            <v>1-0248-咏進&gt;寄&gt;附發票&gt;附回郵</v>
          </cell>
          <cell r="AM537" t="str">
            <v>1-0248</v>
          </cell>
        </row>
        <row r="538">
          <cell r="B538" t="str">
            <v>1-0533</v>
          </cell>
          <cell r="C538" t="str">
            <v>103-01-22</v>
          </cell>
          <cell r="D538" t="str">
            <v>1-0533-元智&gt;余文盛&gt;菜瓜布&gt;電&gt;自結</v>
          </cell>
          <cell r="E538" t="str">
            <v>余文盛＞菜瓜布＞靠行:元智通運股份有限公司,負:傅明俊</v>
          </cell>
          <cell r="F538" t="str">
            <v>余文盛(533)</v>
          </cell>
          <cell r="G538" t="str">
            <v>未稅</v>
          </cell>
          <cell r="H538" t="str">
            <v>電＞自結＞963-W8＞</v>
          </cell>
          <cell r="I538" t="str">
            <v>未稅</v>
          </cell>
          <cell r="J538">
            <v>30</v>
          </cell>
          <cell r="K538" t="str">
            <v>8444＞3205＞未稅</v>
          </cell>
          <cell r="L538" t="str">
            <v>0932-955171</v>
          </cell>
          <cell r="M538" t="str">
            <v>2-0141</v>
          </cell>
          <cell r="R538" t="b">
            <v>0</v>
          </cell>
          <cell r="S538" t="str"/>
          <cell r="T538" t="b">
            <v>0</v>
          </cell>
          <cell r="Y538" t="str"/>
          <cell r="AA538" t="str"/>
          <cell r="AK538" t="str">
            <v>089-VB</v>
          </cell>
          <cell r="AL538" t="str">
            <v>1-0248-咏進&gt;寄&gt;附發票&gt;附回郵</v>
          </cell>
          <cell r="AM538" t="str">
            <v>1-0248</v>
          </cell>
        </row>
        <row r="539">
          <cell r="B539" t="str">
            <v>1-0534</v>
          </cell>
          <cell r="C539" t="str">
            <v>103-02-08</v>
          </cell>
          <cell r="D539" t="str">
            <v>1-0534-輝煌.金仕&gt;新棋興&gt;小額不寄&gt;自結</v>
          </cell>
          <cell r="E539" t="str">
            <v>輝煌通運有限公司＞新棋興&gt;負:盧讚祥＞盧仨宗</v>
          </cell>
          <cell r="F539" t="str">
            <v>輝煌通運有限公司(534)</v>
          </cell>
          <cell r="G539" t="str">
            <v>未稅</v>
          </cell>
          <cell r="H539" t="str">
            <v>寄＞自結＞</v>
          </cell>
          <cell r="I539" t="str">
            <v>未稅</v>
          </cell>
          <cell r="J539">
            <v>30</v>
          </cell>
          <cell r="K539" t="str">
            <v>8067＞1135＞未稅&gt;1632&gt;1838</v>
          </cell>
          <cell r="L539" t="str">
            <v>037-682127＞0935-872111盧仨宗＞傳真037-682412</v>
          </cell>
          <cell r="M539" t="str">
            <v>2-0152</v>
          </cell>
          <cell r="R539" t="b">
            <v>0</v>
          </cell>
          <cell r="S539" t="str"/>
          <cell r="T539" t="b">
            <v>0</v>
          </cell>
          <cell r="W539">
            <v>351</v>
          </cell>
          <cell r="X539" t="str">
            <v>苗栗縣頭份鎮八德一路212號＞登:苗栗縣頭份鎮建國里1鄰中華路1406號1樓。</v>
          </cell>
          <cell r="Y539" t="str">
            <v>苗栗縣頭份鎮</v>
          </cell>
          <cell r="Z539" t="str">
            <v>苗栗縣頭份鎮八德一路212號.</v>
          </cell>
          <cell r="AA539" t="str">
            <v>351苗栗縣頭份鎮八德一路212號＞登:苗栗縣頭份鎮建國里1鄰中華路1406號1樓。</v>
          </cell>
          <cell r="AK539" t="str">
            <v>906-VN</v>
          </cell>
          <cell r="AL539" t="str">
            <v>1-0248-咏進&gt;寄&gt;附發票&gt;附回郵</v>
          </cell>
          <cell r="AM539" t="str">
            <v>1-0248</v>
          </cell>
        </row>
        <row r="540">
          <cell r="B540" t="str">
            <v>1-0535</v>
          </cell>
          <cell r="C540" t="str">
            <v>103-02-09</v>
          </cell>
          <cell r="D540" t="str">
            <v>1-0535-洪勝寶&gt;寄&gt;自結</v>
          </cell>
          <cell r="E540" t="str">
            <v>洪勝寶＞靠行:天新交通股份有限公司,負:陳漢琮</v>
          </cell>
          <cell r="F540" t="str">
            <v>洪勝寶(535)</v>
          </cell>
          <cell r="G540" t="str">
            <v>未稅</v>
          </cell>
          <cell r="H540" t="str">
            <v>寄＞自結＞</v>
          </cell>
          <cell r="I540" t="str">
            <v>未稅</v>
          </cell>
          <cell r="J540">
            <v>30</v>
          </cell>
          <cell r="K540" t="str">
            <v>9722＞4771＞未稅</v>
          </cell>
          <cell r="L540" t="str">
            <v>06-2317717＞0926-760085</v>
          </cell>
          <cell r="M540">
            <v>0</v>
          </cell>
          <cell r="O540">
            <v>49</v>
          </cell>
          <cell r="P540">
            <v>3</v>
          </cell>
          <cell r="Q540">
            <v>17</v>
          </cell>
          <cell r="R540">
            <v>62</v>
          </cell>
          <cell r="S540">
            <v>60</v>
          </cell>
          <cell r="T540">
            <v>21992</v>
          </cell>
          <cell r="U540" t="str">
            <v>S121698248</v>
          </cell>
          <cell r="W540">
            <v>710</v>
          </cell>
          <cell r="X540" t="str">
            <v>台南縣永康區巿龍潭里38鄰國民路67號＞登:苗栗縣頭份鎮蟠桃里3鄰中央路268號2樓。</v>
          </cell>
          <cell r="Y540" t="str">
            <v>台南縣永康區</v>
          </cell>
          <cell r="Z540" t="str">
            <v>台南縣永康區巿龍潭里38鄰國民路67號.</v>
          </cell>
          <cell r="AA540" t="str">
            <v>710台南縣永康區巿龍潭里38鄰國民路67號＞登:苗栗縣頭份鎮蟠桃里3鄰中央路268號2樓。</v>
          </cell>
          <cell r="AK540" t="str">
            <v>185-Y7</v>
          </cell>
          <cell r="AL540" t="str">
            <v>1-0248-咏進&gt;寄&gt;附發票&gt;附回郵</v>
          </cell>
          <cell r="AM540" t="str">
            <v>1-0248</v>
          </cell>
        </row>
        <row r="541">
          <cell r="B541" t="str">
            <v>1-0536</v>
          </cell>
          <cell r="C541" t="str">
            <v>103-02-28</v>
          </cell>
          <cell r="D541" t="str">
            <v>1-0536-統成&gt;寄&gt;附發票&gt;附回郵</v>
          </cell>
          <cell r="E541" t="str">
            <v>統成遊覽車客運股份有限公司＞負:余家集＞統成國際旅行社有限公司,負:劉桂華</v>
          </cell>
          <cell r="F541" t="str">
            <v>統成遊覽車客運股份有限公司(536)</v>
          </cell>
          <cell r="G541" t="str">
            <v>稅外</v>
          </cell>
          <cell r="H541" t="str">
            <v>寄＞附發票＞附回郵＞</v>
          </cell>
          <cell r="I541" t="str">
            <v>1666＞1266統成遊覽＞2760＞3567統成旅行＞稅外</v>
          </cell>
          <cell r="J541">
            <v>30</v>
          </cell>
          <cell r="L541" t="str">
            <v>03-5982451＞03-5974682＞0933-086865余家集＞傳真03-5986862</v>
          </cell>
          <cell r="M541">
            <v>0</v>
          </cell>
          <cell r="R541" t="b">
            <v>0</v>
          </cell>
          <cell r="S541" t="str"/>
          <cell r="T541" t="b">
            <v>0</v>
          </cell>
          <cell r="W541">
            <v>303</v>
          </cell>
          <cell r="X541" t="str">
            <v>新竹縣湖口鄉中興村1鄰鐵騎路162號。</v>
          </cell>
          <cell r="Y541" t="str">
            <v>新竹縣湖口鄉</v>
          </cell>
          <cell r="Z541" t="str">
            <v>新竹縣湖口鄉中興村1鄰鐵騎路162號.</v>
          </cell>
          <cell r="AA541" t="str">
            <v>303新竹縣湖口鄉中興村1鄰鐵騎路162號。</v>
          </cell>
          <cell r="AK541" t="str">
            <v>5H-6613</v>
          </cell>
          <cell r="AL541" t="str">
            <v>1-0248-咏進&gt;寄&gt;附發票&gt;附回郵</v>
          </cell>
          <cell r="AM541" t="str">
            <v>1-0248</v>
          </cell>
        </row>
        <row r="542">
          <cell r="B542" t="str">
            <v>1-0537</v>
          </cell>
          <cell r="C542" t="str">
            <v>103-03-29</v>
          </cell>
          <cell r="D542" t="str">
            <v>1-0537-巨浩&gt;寄&gt;附發票&gt;附回郵</v>
          </cell>
          <cell r="E542" t="str">
            <v>巨浩股份有限公司＞負:陳清雲</v>
          </cell>
          <cell r="F542" t="str">
            <v>巨浩股份有限公司(537)</v>
          </cell>
          <cell r="G542" t="str">
            <v>稅外</v>
          </cell>
          <cell r="H542" t="str">
            <v>寄＞附發票＞附回郵＞</v>
          </cell>
          <cell r="I542" t="str">
            <v>1279＞1788＞稅外</v>
          </cell>
          <cell r="J542">
            <v>30</v>
          </cell>
          <cell r="L542" t="str">
            <v>037-583966王,s＞0937-775361陳敏良＞傳真037-584978</v>
          </cell>
          <cell r="M542">
            <v>0</v>
          </cell>
          <cell r="R542" t="b">
            <v>0</v>
          </cell>
          <cell r="S542" t="str"/>
          <cell r="T542" t="b">
            <v>0</v>
          </cell>
          <cell r="W542">
            <v>350</v>
          </cell>
          <cell r="X542" t="str">
            <v>苗栗縣竹南鎮崎頂里仁愛路1439號。</v>
          </cell>
          <cell r="Y542" t="str">
            <v>苗栗縣竹南鎮</v>
          </cell>
          <cell r="Z542" t="str">
            <v>苗栗縣竹南鎮崎頂里仁愛路1439號.</v>
          </cell>
          <cell r="AA542" t="str">
            <v>350苗栗縣竹南鎮崎頂里仁愛路1439號。</v>
          </cell>
          <cell r="AK542" t="str">
            <v>779-UW</v>
          </cell>
          <cell r="AL542" t="str">
            <v>1-0248-咏進&gt;寄&gt;附發票&gt;附回郵</v>
          </cell>
          <cell r="AM542" t="str">
            <v>1-0248</v>
          </cell>
        </row>
        <row r="543">
          <cell r="B543" t="str">
            <v>1-0538</v>
          </cell>
          <cell r="C543" t="str">
            <v>103-04-02</v>
          </cell>
          <cell r="D543" t="str">
            <v>1-0538-正龍&gt;寄&gt;現結</v>
          </cell>
          <cell r="E543" t="str">
            <v>正龍吊車＞陳正泉</v>
          </cell>
          <cell r="F543" t="str">
            <v>正龍吊車(538)</v>
          </cell>
          <cell r="G543" t="str">
            <v>未稅</v>
          </cell>
          <cell r="H543" t="str">
            <v>寄＞現結＞</v>
          </cell>
          <cell r="I543" t="str">
            <v>未稅</v>
          </cell>
          <cell r="J543">
            <v>30</v>
          </cell>
          <cell r="L543" t="str">
            <v>037-238040＞0910-517831陳正泉</v>
          </cell>
          <cell r="M543">
            <v>0</v>
          </cell>
          <cell r="R543" t="b">
            <v>0</v>
          </cell>
          <cell r="S543" t="str"/>
          <cell r="T543" t="b">
            <v>0</v>
          </cell>
          <cell r="W543">
            <v>363</v>
          </cell>
          <cell r="X543" t="str">
            <v>苗栗縣公館鄉南館南村10鄰269-6號。</v>
          </cell>
          <cell r="Y543" t="str">
            <v>苗栗縣公館鄉</v>
          </cell>
          <cell r="Z543" t="str">
            <v>苗栗縣公館鄉南館南村10鄰269之6號.</v>
          </cell>
          <cell r="AA543" t="str">
            <v>363苗栗縣公館鄉南館南村10鄰269-6號。</v>
          </cell>
          <cell r="AK543" t="str">
            <v>576-UW</v>
          </cell>
          <cell r="AL543" t="str">
            <v>1-0248-咏進&gt;寄&gt;附發票&gt;附回郵</v>
          </cell>
          <cell r="AM543" t="str">
            <v>1-0248</v>
          </cell>
        </row>
        <row r="544">
          <cell r="B544" t="str">
            <v>1-0539</v>
          </cell>
          <cell r="C544" t="str">
            <v>103-04-15</v>
          </cell>
          <cell r="D544" t="str">
            <v>1-0539-萬益&gt;寄&gt;自結</v>
          </cell>
          <cell r="E544" t="str">
            <v>萬益工程行＞負:陳玉南</v>
          </cell>
          <cell r="F544" t="str">
            <v>萬益工程行(539)</v>
          </cell>
          <cell r="G544" t="str">
            <v>未稅</v>
          </cell>
          <cell r="H544" t="str">
            <v>寄＞自結＞</v>
          </cell>
          <cell r="I544" t="str">
            <v>未稅</v>
          </cell>
          <cell r="J544">
            <v>30</v>
          </cell>
          <cell r="K544" t="str">
            <v>8335＞5843＞未稅</v>
          </cell>
          <cell r="L544" t="str">
            <v>037-668299＞0932-668419陳玉南</v>
          </cell>
          <cell r="M544" t="str">
            <v>2-0176</v>
          </cell>
          <cell r="R544" t="b">
            <v>0</v>
          </cell>
          <cell r="S544" t="str"/>
          <cell r="T544" t="b">
            <v>0</v>
          </cell>
          <cell r="W544">
            <v>351</v>
          </cell>
          <cell r="X544" t="str">
            <v>苗栗縣頭份鎮上興里12鄰永泰街6巷3號。</v>
          </cell>
          <cell r="Y544" t="str">
            <v>苗栗縣頭份鎮</v>
          </cell>
          <cell r="Z544" t="str">
            <v>苗栗縣頭份鎮上興里12鄰永泰街6巷3號.</v>
          </cell>
          <cell r="AA544" t="str">
            <v>351苗栗縣頭份鎮上興里12鄰永泰街6巷3號。</v>
          </cell>
          <cell r="AK544" t="str">
            <v>AHP-0081</v>
          </cell>
          <cell r="AL544" t="str">
            <v>1-0248-咏進&gt;寄&gt;附發票&gt;附回郵</v>
          </cell>
          <cell r="AM544" t="str">
            <v>1-0248</v>
          </cell>
        </row>
        <row r="545">
          <cell r="B545" t="str">
            <v>1-0540</v>
          </cell>
          <cell r="C545" t="str">
            <v>103-04-21</v>
          </cell>
          <cell r="D545" t="str">
            <v>1-0540-聯興&gt;葉秀禮&gt;寄平信&gt;自結</v>
          </cell>
          <cell r="E545" t="str">
            <v>葉秀禮＞靠行:聯興＞佰立＞東佑</v>
          </cell>
          <cell r="F545" t="str">
            <v>葉秀禮(540)</v>
          </cell>
          <cell r="G545" t="str">
            <v>未稅</v>
          </cell>
          <cell r="H545" t="str">
            <v>寄平信＞自結＞匯款99700</v>
          </cell>
          <cell r="I545" t="str">
            <v>未稅</v>
          </cell>
          <cell r="J545">
            <v>30</v>
          </cell>
          <cell r="L545" t="str">
            <v>0955-863306</v>
          </cell>
          <cell r="M545">
            <v>0</v>
          </cell>
          <cell r="O545">
            <v>61</v>
          </cell>
          <cell r="P545">
            <v>8</v>
          </cell>
          <cell r="Q545">
            <v>28</v>
          </cell>
          <cell r="R545">
            <v>49</v>
          </cell>
          <cell r="S545">
            <v>72</v>
          </cell>
          <cell r="T545">
            <v>26539</v>
          </cell>
          <cell r="U545" t="str">
            <v>M120897108</v>
          </cell>
          <cell r="W545">
            <v>557</v>
          </cell>
          <cell r="X545" t="str">
            <v>南投縣竹山鎮延平里東鄉路8-73號。</v>
          </cell>
          <cell r="Y545" t="str">
            <v>南投縣竹山鎮</v>
          </cell>
          <cell r="Z545" t="str">
            <v>南投縣竹山鎮延平里東鄉路8-73號.</v>
          </cell>
          <cell r="AA545" t="str">
            <v>557南投縣竹山鎮延平里東鄉路8-73號。</v>
          </cell>
          <cell r="AK545" t="str">
            <v>2F-8358</v>
          </cell>
          <cell r="AL545" t="str">
            <v>1-0248-咏進&gt;寄&gt;附發票&gt;附回郵</v>
          </cell>
          <cell r="AM545" t="str">
            <v>1-0248</v>
          </cell>
        </row>
        <row r="546">
          <cell r="B546" t="str">
            <v>1-0541</v>
          </cell>
          <cell r="C546" t="str">
            <v>103-04-25</v>
          </cell>
          <cell r="D546" t="str">
            <v>1-0541-威明&gt;寄&gt;附發票&gt;附回郵</v>
          </cell>
          <cell r="E546" t="str">
            <v>威明貨運有限公司＞負:葉明志</v>
          </cell>
          <cell r="F546" t="str">
            <v>威明貨運有限公司(541)</v>
          </cell>
          <cell r="G546" t="str">
            <v>含稅</v>
          </cell>
          <cell r="H546" t="str">
            <v>寄＞附發票＞附回郵＞</v>
          </cell>
          <cell r="I546" t="str">
            <v>4719＞2009＞含稅</v>
          </cell>
          <cell r="J546">
            <v>30</v>
          </cell>
          <cell r="L546" t="str">
            <v>03-5616168＞傳真03-5616167</v>
          </cell>
          <cell r="M546">
            <v>0</v>
          </cell>
          <cell r="R546" t="b">
            <v>0</v>
          </cell>
          <cell r="S546" t="str"/>
          <cell r="T546" t="b">
            <v>0</v>
          </cell>
          <cell r="W546">
            <v>300</v>
          </cell>
          <cell r="X546" t="str">
            <v>新竹市東區新光里5鄰高峰路178-2號。</v>
          </cell>
          <cell r="Y546" t="str">
            <v>新竹市東區新</v>
          </cell>
          <cell r="Z546" t="str">
            <v>新竹市東區新光里5鄰高峰路178之2號.</v>
          </cell>
          <cell r="AA546" t="str">
            <v>300新竹市東區新光里5鄰高峰路178-2號。</v>
          </cell>
          <cell r="AK546" t="str">
            <v>5553-VW</v>
          </cell>
          <cell r="AL546" t="str">
            <v>1-0248-咏進&gt;寄&gt;附發票&gt;附回郵</v>
          </cell>
          <cell r="AM546" t="str">
            <v>1-0248</v>
          </cell>
        </row>
        <row r="547">
          <cell r="B547" t="str">
            <v>1-0542</v>
          </cell>
          <cell r="C547" t="str">
            <v>103-05-08</v>
          </cell>
          <cell r="D547" t="str">
            <v>1-0542-儒鴻(苗栗廠)&gt;寄&gt;附發票&gt;一個月匯款</v>
          </cell>
          <cell r="E547" t="str">
            <v>儒鴻企業股份有限公司(苗栗廠)＞負:洪鎮海</v>
          </cell>
          <cell r="F547" t="str">
            <v>儒鴻企業股份有限公司-苗栗廠(542)</v>
          </cell>
          <cell r="G547" t="str">
            <v>稅外</v>
          </cell>
          <cell r="H547" t="str">
            <v>寄＞附發票＞1個月匯款＞隔天先傳簽單,再寄帳單＞</v>
          </cell>
          <cell r="I547" t="str">
            <v>3588＞4479＞稅外＞中華全佑</v>
          </cell>
          <cell r="J547">
            <v>30</v>
          </cell>
          <cell r="L547" t="str">
            <v>03-3861199-108康's＞0912-622774吳開元＞傳真03-3843636</v>
          </cell>
          <cell r="M547">
            <v>0</v>
          </cell>
          <cell r="R547" t="b">
            <v>0</v>
          </cell>
          <cell r="S547" t="str"/>
          <cell r="T547" t="b">
            <v>0</v>
          </cell>
          <cell r="W547">
            <v>337</v>
          </cell>
          <cell r="X547" t="str">
            <v>桃園縣大園鄉大園擴大工業區大工路134號＞登:臺北市中山區朱園里長安東路2段80號10樓之3。</v>
          </cell>
          <cell r="Y547" t="str">
            <v>桃園縣大園鄉</v>
          </cell>
          <cell r="Z547" t="str">
            <v>桃園縣大園鄉大園擴大工業區大工路134號.</v>
          </cell>
          <cell r="AA547" t="str">
            <v>337桃園縣大園鄉大園擴大工業區大工路134號＞登:臺北市中山區朱園里長安東路2段80號10樓之3。</v>
          </cell>
          <cell r="AK547" t="str">
            <v>LY-1575</v>
          </cell>
          <cell r="AL547" t="str">
            <v>1-0248-咏進&gt;寄&gt;附發票&gt;附回郵</v>
          </cell>
          <cell r="AM547" t="str">
            <v>1-0248</v>
          </cell>
        </row>
        <row r="548">
          <cell r="B548" t="str">
            <v>1-0543</v>
          </cell>
          <cell r="C548" t="str">
            <v>103-05-08</v>
          </cell>
          <cell r="D548" t="str">
            <v>1-0543-林廷陽&gt;興隆&gt;寄&gt;匯款</v>
          </cell>
          <cell r="E548" t="str">
            <v>興隆開發有限公司＞負:呂雲峰＞林廷陽</v>
          </cell>
          <cell r="F548" t="str">
            <v>興隆開發有限公司(543)</v>
          </cell>
          <cell r="G548" t="str">
            <v>未稅</v>
          </cell>
          <cell r="H548" t="str">
            <v>寄＞匯款8018979＞</v>
          </cell>
          <cell r="I548" t="str">
            <v>未稅</v>
          </cell>
          <cell r="J548">
            <v>30</v>
          </cell>
          <cell r="K548" t="str">
            <v>7046＞1032＞未稅</v>
          </cell>
          <cell r="L548" t="str">
            <v>02-22680998＞0918-353603＞0955-747886林廷陽＞傳真02-22680112</v>
          </cell>
          <cell r="M548">
            <v>0</v>
          </cell>
          <cell r="R548" t="b">
            <v>0</v>
          </cell>
          <cell r="S548" t="str"/>
          <cell r="T548" t="b">
            <v>0</v>
          </cell>
          <cell r="W548">
            <v>236</v>
          </cell>
          <cell r="X548" t="str">
            <v>新北市土城區永寧里永安街78號。</v>
          </cell>
          <cell r="Y548" t="str">
            <v>新北市土城區</v>
          </cell>
          <cell r="Z548" t="str">
            <v>新北市土城區永寧里永安街78號.</v>
          </cell>
          <cell r="AA548" t="str">
            <v>236新北市土城區永寧里永安街78號。</v>
          </cell>
          <cell r="AK548" t="str">
            <v>9788-VG</v>
          </cell>
          <cell r="AL548" t="str">
            <v>1-0248-咏進&gt;寄&gt;附發票&gt;附回郵</v>
          </cell>
          <cell r="AM548" t="str">
            <v>1-0248</v>
          </cell>
        </row>
        <row r="549">
          <cell r="B549" t="str">
            <v>1-0544</v>
          </cell>
          <cell r="C549" t="str">
            <v>103-05-09</v>
          </cell>
          <cell r="D549" t="str">
            <v>1-0544-勇和興&gt;寄&gt;附回郵</v>
          </cell>
          <cell r="E549" t="str">
            <v>勇和興輪胎行＞負:王勇和</v>
          </cell>
          <cell r="F549" t="str">
            <v>勇和興輪胎行(544)</v>
          </cell>
          <cell r="G549" t="str">
            <v>未稅</v>
          </cell>
          <cell r="H549" t="str">
            <v>寄＞附回郵＞</v>
          </cell>
          <cell r="I549" t="str">
            <v>未稅</v>
          </cell>
          <cell r="J549">
            <v>30</v>
          </cell>
          <cell r="K549" t="str">
            <v>0243＞3720＞未稅</v>
          </cell>
          <cell r="L549" t="str">
            <v>02-22633375＞0961-161088老闆＞0912-522965老闆娘</v>
          </cell>
          <cell r="M549">
            <v>0</v>
          </cell>
          <cell r="R549" t="b">
            <v>0</v>
          </cell>
          <cell r="S549" t="str"/>
          <cell r="T549" t="b">
            <v>0</v>
          </cell>
          <cell r="W549">
            <v>236</v>
          </cell>
          <cell r="X549" t="str">
            <v>新北巿三峽區佳興路3號＞登:新北市土城區延壽里金城路3段255號13樓之7。</v>
          </cell>
          <cell r="Y549" t="str">
            <v>新北巿三峽區</v>
          </cell>
          <cell r="Z549" t="str">
            <v>新北巿三峽區佳興路3號.</v>
          </cell>
          <cell r="AA549" t="str">
            <v>236新北巿三峽區佳興路3號＞登:新北市土城區延壽里金城路3段255號13樓之7。</v>
          </cell>
          <cell r="AK549" t="str">
            <v>AF-6363</v>
          </cell>
          <cell r="AL549" t="str">
            <v>1-0248-咏進&gt;寄&gt;附發票&gt;附回郵</v>
          </cell>
          <cell r="AM549" t="str">
            <v>1-0248</v>
          </cell>
        </row>
        <row r="550">
          <cell r="B550" t="str">
            <v>1-0545</v>
          </cell>
          <cell r="C550" t="str">
            <v>103-05-10</v>
          </cell>
          <cell r="D550" t="str">
            <v>1-0545-張耀中&gt;寄&gt;自結</v>
          </cell>
          <cell r="E550" t="str">
            <v>張耀中＞靠行:天新交通股份有限公司＞負:陳漢琮</v>
          </cell>
          <cell r="F550" t="str">
            <v>張耀中(545)</v>
          </cell>
          <cell r="G550" t="str">
            <v>未稅</v>
          </cell>
          <cell r="H550" t="str">
            <v>寄＞自結＞</v>
          </cell>
          <cell r="I550" t="str">
            <v>未稅</v>
          </cell>
          <cell r="J550">
            <v>30</v>
          </cell>
          <cell r="K550" t="str">
            <v>9722＞4771＞未稅</v>
          </cell>
          <cell r="L550" t="str">
            <v>0981-071141</v>
          </cell>
          <cell r="M550">
            <v>0</v>
          </cell>
          <cell r="O550">
            <v>69</v>
          </cell>
          <cell r="P550">
            <v>2</v>
          </cell>
          <cell r="Q550">
            <v>11</v>
          </cell>
          <cell r="R550">
            <v>42</v>
          </cell>
          <cell r="S550">
            <v>80</v>
          </cell>
          <cell r="T550">
            <v>29262</v>
          </cell>
          <cell r="U550" t="str">
            <v>J122016378</v>
          </cell>
          <cell r="W550">
            <v>300</v>
          </cell>
          <cell r="X550" t="str">
            <v>新竹巿大湖路71巷21弄82號＞苗栗縣頭份鎮蟠桃里3鄰中央路268號2樓。</v>
          </cell>
          <cell r="Y550" t="str">
            <v>新竹巿大湖路</v>
          </cell>
          <cell r="Z550" t="str">
            <v>新竹巿大湖路71巷21弄82號.</v>
          </cell>
          <cell r="AA550" t="str">
            <v>300新竹巿大湖路71巷21弄82號＞苗栗縣頭份鎮蟠桃里3鄰中央路268號2樓。</v>
          </cell>
          <cell r="AK550" t="str">
            <v>NA-906</v>
          </cell>
          <cell r="AL550" t="str">
            <v>1-0248-咏進&gt;寄&gt;附發票&gt;附回郵</v>
          </cell>
          <cell r="AM550" t="str">
            <v>1-0248</v>
          </cell>
        </row>
        <row r="551">
          <cell r="B551" t="str">
            <v>1-0546</v>
          </cell>
          <cell r="C551" t="str">
            <v>103-05-30</v>
          </cell>
          <cell r="D551" t="str">
            <v>1-0546-慈揚&gt;賴進烈&gt;寄&gt;1個月15號匯款</v>
          </cell>
          <cell r="E551" t="str">
            <v>賴進烈＞靠行:松生交通股份有限公司,負:陳漢琮</v>
          </cell>
          <cell r="F551" t="str">
            <v>賴進烈(546)</v>
          </cell>
          <cell r="G551" t="str">
            <v>未稅</v>
          </cell>
          <cell r="H551" t="str">
            <v>寄＞匯款:5141740.奎俐企業＞</v>
          </cell>
          <cell r="I551" t="str">
            <v>未稅</v>
          </cell>
          <cell r="J551">
            <v>30</v>
          </cell>
          <cell r="K551" t="str">
            <v>9722＞4771＞未稅</v>
          </cell>
          <cell r="L551" t="str">
            <v>037-473419盧'S＞0937-964049賴進烈＞傳真037-480446</v>
          </cell>
          <cell r="M551">
            <v>0</v>
          </cell>
          <cell r="R551" t="b">
            <v>0</v>
          </cell>
          <cell r="S551" t="str"/>
          <cell r="T551" t="b">
            <v>0</v>
          </cell>
          <cell r="W551">
            <v>350</v>
          </cell>
          <cell r="X551" t="str">
            <v>苗栗縣竹南鎮勤興街11巷16弄18號＞登:苗栗縣頭份鎮蟠桃里3鄰中央路268號。</v>
          </cell>
          <cell r="Y551" t="str">
            <v>苗栗縣竹南鎮</v>
          </cell>
          <cell r="Z551" t="str">
            <v>苗栗縣竹南鎮勤興街11巷16弄18號.</v>
          </cell>
          <cell r="AA551" t="str">
            <v>350苗栗縣竹南鎮勤興街11巷16弄18號＞登:苗栗縣頭份鎮蟠桃里3鄰中央路268號。</v>
          </cell>
          <cell r="AK551" t="str">
            <v>078-HJ</v>
          </cell>
          <cell r="AL551" t="str">
            <v>1-0249-陳正天&gt;寄&gt;自結</v>
          </cell>
          <cell r="AM551" t="str">
            <v>1-0249</v>
          </cell>
        </row>
        <row r="552">
          <cell r="B552" t="str">
            <v>1-0547</v>
          </cell>
          <cell r="C552" t="str">
            <v>103-05-31</v>
          </cell>
          <cell r="D552" t="str">
            <v>1-0547-曹坤霖&gt;寄&gt;自結</v>
          </cell>
          <cell r="E552" t="str">
            <v>曹坤霖＞靠行:尚弘汽車貨運股份有限公司,負:宋菊蘭</v>
          </cell>
          <cell r="F552" t="str">
            <v>曹坤霖(547)</v>
          </cell>
          <cell r="G552" t="str">
            <v>未稅</v>
          </cell>
          <cell r="H552" t="str">
            <v>寄＞自結＞</v>
          </cell>
          <cell r="I552" t="str">
            <v>未稅</v>
          </cell>
          <cell r="J552">
            <v>30</v>
          </cell>
          <cell r="K552" t="str">
            <v>5007＞0206＞未稅</v>
          </cell>
          <cell r="L552" t="str">
            <v>0980-433718＞0955-110963曹坤霖</v>
          </cell>
          <cell r="M552">
            <v>0</v>
          </cell>
          <cell r="O552">
            <v>52</v>
          </cell>
          <cell r="P552">
            <v>5</v>
          </cell>
          <cell r="Q552">
            <v>16</v>
          </cell>
          <cell r="R552">
            <v>58</v>
          </cell>
          <cell r="S552">
            <v>63</v>
          </cell>
          <cell r="T552">
            <v>23147</v>
          </cell>
          <cell r="U552" t="str">
            <v>M121175674</v>
          </cell>
          <cell r="W552">
            <v>351</v>
          </cell>
          <cell r="X552" t="str">
            <v>苗栗縣頭份鎮尖下里12鄰尖下182號＞登:苗栗縣頭份鎮蟠桃里6鄰建國路2段199號2樓。</v>
          </cell>
          <cell r="Y552" t="str">
            <v>苗栗縣竹南鎮</v>
          </cell>
          <cell r="Z552" t="str">
            <v>苗栗縣竹南鎮公館里大埔頂45號.</v>
          </cell>
          <cell r="AA552" t="str">
            <v>351苗栗縣頭份鎮尖下里12鄰尖下182號＞登:苗栗縣頭份鎮蟠桃里6鄰建國路2段199號2樓。</v>
          </cell>
          <cell r="AK552" t="str">
            <v>672-W6</v>
          </cell>
          <cell r="AL552" t="str">
            <v>1-0251-笙泰&gt;寄&gt;附回郵</v>
          </cell>
          <cell r="AM552" t="str">
            <v>1-0251</v>
          </cell>
        </row>
        <row r="553">
          <cell r="B553" t="str">
            <v>1-0548</v>
          </cell>
          <cell r="C553" t="str">
            <v>103-06-05</v>
          </cell>
          <cell r="D553" t="str">
            <v>1-0548-題陞&gt;寄&gt;附發票&gt;附回郵</v>
          </cell>
          <cell r="E553" t="str">
            <v>題陞企業有限公司＞負:顏芬</v>
          </cell>
          <cell r="F553" t="str">
            <v>題陞企業有限公司(548)</v>
          </cell>
          <cell r="G553" t="str">
            <v>含稅</v>
          </cell>
          <cell r="H553" t="str">
            <v>寄＞附發票＞附回郵＞</v>
          </cell>
          <cell r="I553" t="str">
            <v>8990＞3902＞含稅</v>
          </cell>
          <cell r="J553">
            <v>30</v>
          </cell>
          <cell r="L553" t="str">
            <v>總公司03-5282669＞工廠03-5641036轉122＞公司傳真03-5206381＞工程部傳真03-5641039</v>
          </cell>
          <cell r="M553" t="str">
            <v>2-0110</v>
          </cell>
          <cell r="R553" t="b">
            <v>0</v>
          </cell>
          <cell r="S553" t="str"/>
          <cell r="T553" t="b">
            <v>0</v>
          </cell>
          <cell r="W553">
            <v>300</v>
          </cell>
          <cell r="X553" t="str">
            <v>新竹市北區新雅里經國路2段438巷13號13樓之2號。</v>
          </cell>
          <cell r="Y553" t="str">
            <v>新竹市北區新</v>
          </cell>
          <cell r="Z553" t="str">
            <v>新竹市北區新雅里經國路2段438巷13號13樓之2號.</v>
          </cell>
          <cell r="AA553" t="str">
            <v>300新竹市北區新雅里經國路2段438巷13號13樓之2號。</v>
          </cell>
          <cell r="AK553" t="str">
            <v>8820-TX</v>
          </cell>
          <cell r="AL553" t="str">
            <v>1-0251-笙泰&gt;寄&gt;附回郵</v>
          </cell>
          <cell r="AM553" t="str">
            <v>1-0251</v>
          </cell>
        </row>
        <row r="554">
          <cell r="B554" t="str">
            <v>1-0549</v>
          </cell>
          <cell r="C554" t="str">
            <v>103-06-11</v>
          </cell>
          <cell r="D554" t="str">
            <v>1-0549-華品&gt;佳上&gt;冠仁&gt;寄&gt;附發票&gt;附回郵</v>
          </cell>
          <cell r="E554" t="str">
            <v>華品環保工程股份有限公司&gt;佳上環保工程有限公司&gt;冠仁環保科技有限公司＞負:陳宗聖</v>
          </cell>
          <cell r="F554" t="str">
            <v>華品環保工程股份有限公司(549)</v>
          </cell>
          <cell r="G554" t="str">
            <v>含稅</v>
          </cell>
          <cell r="H554" t="str">
            <v>寄＞附發票＞附回郵＞不算夜間費用</v>
          </cell>
          <cell r="I554" t="str">
            <v>1620＞6112＞含稅</v>
          </cell>
          <cell r="J554">
            <v>30</v>
          </cell>
          <cell r="L554" t="str">
            <v>037-370088(帳務問題)潘小姐＞0910-518477營運組謝文軒＞傳真037-336786</v>
          </cell>
          <cell r="M554" t="str">
            <v>2-0187</v>
          </cell>
          <cell r="R554" t="b">
            <v>0</v>
          </cell>
          <cell r="S554" t="str"/>
          <cell r="T554" t="b">
            <v>0</v>
          </cell>
          <cell r="W554">
            <v>360</v>
          </cell>
          <cell r="X554" t="str">
            <v>苗栗巿福安里27鄰福星253之8號＞登:苗栗縣竹南鎮中華里15鄰萬大街44號4樓。</v>
          </cell>
          <cell r="Y554" t="str">
            <v>苗栗巿福安里</v>
          </cell>
          <cell r="Z554" t="str">
            <v>苗栗巿福安里27鄰福星253之8號.</v>
          </cell>
          <cell r="AA554" t="str">
            <v>360苗栗巿福安里27鄰福星253之8號＞登:苗栗縣竹南鎮中華里15鄰萬大街44號4樓。</v>
          </cell>
          <cell r="AK554" t="str">
            <v>843-JD</v>
          </cell>
          <cell r="AL554" t="str">
            <v>1-0251-笙泰&gt;寄&gt;附回郵</v>
          </cell>
          <cell r="AM554" t="str">
            <v>1-0251</v>
          </cell>
        </row>
        <row r="555">
          <cell r="B555" t="str">
            <v>1-0550</v>
          </cell>
          <cell r="C555" t="str">
            <v>103-06-21</v>
          </cell>
          <cell r="D555" t="str">
            <v>1-0550-莊淑慧&gt;寄&gt;自結</v>
          </cell>
          <cell r="E555" t="str">
            <v>莊淑慧＞靠行:松生交通股份有限公司,負:陳漢琮</v>
          </cell>
          <cell r="F555" t="str">
            <v>莊淑慧(550)</v>
          </cell>
          <cell r="G555" t="str">
            <v>未稅</v>
          </cell>
          <cell r="H555" t="str">
            <v>寄＞自結＞</v>
          </cell>
          <cell r="I555" t="str">
            <v>未稅</v>
          </cell>
          <cell r="J555">
            <v>30</v>
          </cell>
          <cell r="K555" t="str">
            <v>9722＞4771＞未稅</v>
          </cell>
          <cell r="L555" t="str">
            <v>037-473153＞0937-729422莊淑慧</v>
          </cell>
          <cell r="M555">
            <v>0</v>
          </cell>
          <cell r="O555">
            <v>63</v>
          </cell>
          <cell r="P555">
            <v>8</v>
          </cell>
          <cell r="Q555">
            <v>12</v>
          </cell>
          <cell r="R555">
            <v>47</v>
          </cell>
          <cell r="S555">
            <v>74</v>
          </cell>
          <cell r="T555">
            <v>27253</v>
          </cell>
          <cell r="U555" t="str">
            <v>T221033991</v>
          </cell>
          <cell r="W555">
            <v>350</v>
          </cell>
          <cell r="X555" t="str">
            <v>苗栗縣竹南鎮竹興里9鄰勤興街190號＞登:苗栗縣頭份鎮蟠桃里3鄰中央路268號。</v>
          </cell>
          <cell r="Y555" t="str">
            <v>苗栗縣竹南鎮</v>
          </cell>
          <cell r="Z555" t="str">
            <v>苗栗縣竹南鎮竹興里9鄰勤興街190號.</v>
          </cell>
          <cell r="AA555" t="str">
            <v>350苗栗縣竹南鎮竹興里9鄰勤興街190號＞登:苗栗縣頭份鎮蟠桃里3鄰中央路268號。</v>
          </cell>
          <cell r="AK555" t="str">
            <v>842-GY</v>
          </cell>
          <cell r="AL555" t="str">
            <v>1-0251-笙泰&gt;寄&gt;附回郵</v>
          </cell>
          <cell r="AM555" t="str">
            <v>1-0251</v>
          </cell>
        </row>
        <row r="556">
          <cell r="B556" t="str">
            <v>1-0551</v>
          </cell>
          <cell r="C556" t="str">
            <v>103-06-30</v>
          </cell>
          <cell r="D556" t="str">
            <v>1-0551-久展&gt;寄&gt;附發票&gt;兩個月28號匯款</v>
          </cell>
          <cell r="E556" t="str">
            <v>久展建材行＞負:鍾軍輝＞久原建材五金實業有限公司＞負:鍾項琳</v>
          </cell>
          <cell r="F556" t="str">
            <v>久展建材行(551)</v>
          </cell>
          <cell r="G556" t="str">
            <v>稅外</v>
          </cell>
          <cell r="H556" t="str">
            <v>寄＞附發票＞匯款:0008236＞</v>
          </cell>
          <cell r="I556" t="str">
            <v>4970＞5309久展＞2815＞1324久原＞稅外&gt;中華全佑</v>
          </cell>
          <cell r="J556">
            <v>30</v>
          </cell>
          <cell r="L556" t="str">
            <v>037-552275＞037-722332後龍＞0921-323999老董＞0935-210616鍾燕輝＞傳真037-552360＞037-731492後龍</v>
          </cell>
          <cell r="M556" t="str">
            <v>2-0119</v>
          </cell>
          <cell r="R556" t="b">
            <v>0</v>
          </cell>
          <cell r="S556" t="str"/>
          <cell r="T556" t="b">
            <v>0</v>
          </cell>
          <cell r="W556">
            <v>350</v>
          </cell>
          <cell r="X556" t="str">
            <v>苗栗縣竹南鎮龍鳳里龍江街243之1號＞登:苗栗縣後龍鎮新民里11鄰109號。</v>
          </cell>
          <cell r="Y556" t="str">
            <v>苗栗縣竹南鎮</v>
          </cell>
          <cell r="Z556" t="str">
            <v>苗栗縣竹南鎮龍鳳里龍江街243之1號.</v>
          </cell>
          <cell r="AA556" t="str">
            <v>350苗栗縣竹南鎮龍鳳里龍江街243之1號＞登:苗栗縣後龍鎮新民里11鄰109號。</v>
          </cell>
          <cell r="AK556" t="str">
            <v>759-JB</v>
          </cell>
          <cell r="AL556" t="str">
            <v>1-0251-笙泰&gt;寄&gt;附回郵</v>
          </cell>
          <cell r="AM556" t="str">
            <v>1-0251</v>
          </cell>
        </row>
        <row r="557">
          <cell r="B557" t="str">
            <v>1-0552</v>
          </cell>
          <cell r="C557" t="str">
            <v>103-07-01</v>
          </cell>
          <cell r="D557" t="str">
            <v>1-0552-鍾錦福&gt;寄&gt;自結</v>
          </cell>
          <cell r="E557" t="str">
            <v>鍾錦福＞靠行:進寶貨運有限公司,負:郭慶昌</v>
          </cell>
          <cell r="F557" t="str">
            <v>鍾錦福(552)</v>
          </cell>
          <cell r="G557" t="str">
            <v>未稅</v>
          </cell>
          <cell r="H557" t="str">
            <v>寄＞自結＞</v>
          </cell>
          <cell r="I557" t="str">
            <v>未稅</v>
          </cell>
          <cell r="J557">
            <v>30</v>
          </cell>
          <cell r="K557" t="str">
            <v>3411＞5163＞未稅</v>
          </cell>
          <cell r="L557" t="str">
            <v>0927-834698＞</v>
          </cell>
          <cell r="M557">
            <v>0</v>
          </cell>
          <cell r="O557">
            <v>67</v>
          </cell>
          <cell r="P557">
            <v>3</v>
          </cell>
          <cell r="Q557">
            <v>1</v>
          </cell>
          <cell r="R557">
            <v>44</v>
          </cell>
          <cell r="S557">
            <v>78</v>
          </cell>
          <cell r="T557">
            <v>28550</v>
          </cell>
          <cell r="U557" t="str">
            <v>K121632253</v>
          </cell>
          <cell r="W557">
            <v>351</v>
          </cell>
          <cell r="X557" t="str">
            <v>苗栗縣頭份鎮興隆里興隆路一段266號＞登:新北市土城區大安里中央路3段116巷11號7樓。</v>
          </cell>
          <cell r="Y557" t="str">
            <v>苗栗縣頭份鎮</v>
          </cell>
          <cell r="Z557" t="str">
            <v>苗栗縣頭份鎮興隆里興隆路一段266號.</v>
          </cell>
          <cell r="AA557" t="str">
            <v>351苗栗縣頭份鎮興隆里興隆路一段266號＞登:新北市土城區大安里中央路3段116巷11號7樓。</v>
          </cell>
          <cell r="AK557" t="str">
            <v>HR-971</v>
          </cell>
          <cell r="AL557" t="str">
            <v>1-0251-笙泰&gt;寄&gt;附回郵</v>
          </cell>
          <cell r="AM557" t="str">
            <v>1-0251</v>
          </cell>
        </row>
        <row r="558">
          <cell r="B558" t="str">
            <v>1-0553</v>
          </cell>
          <cell r="C558" t="str">
            <v>103-07-15</v>
          </cell>
          <cell r="D558" t="str">
            <v>1-0553-旭峰&gt;寄&gt;附發票&gt;附回郵</v>
          </cell>
          <cell r="E558" t="str">
            <v>旭峰機械工程有限公司＞負:林慶坤</v>
          </cell>
          <cell r="F558" t="str">
            <v>旭峰機械工程有限公司(553)</v>
          </cell>
          <cell r="G558" t="str">
            <v>稅外</v>
          </cell>
          <cell r="H558" t="str">
            <v>寄＞附發票＞附回郵＞</v>
          </cell>
          <cell r="I558" t="str">
            <v>8985＞0840＞稅外</v>
          </cell>
          <cell r="J558">
            <v>30</v>
          </cell>
          <cell r="L558" t="str">
            <v>037-467239＞037-468813＞0932-526842林慶坤＞傳真037-478980</v>
          </cell>
          <cell r="M558">
            <v>0</v>
          </cell>
          <cell r="R558" t="b">
            <v>0</v>
          </cell>
          <cell r="S558" t="str"/>
          <cell r="T558" t="b">
            <v>0</v>
          </cell>
          <cell r="W558">
            <v>350</v>
          </cell>
          <cell r="X558" t="str">
            <v>苗栗縣竹南鎮聖福里12鄰建國路356巷43號。</v>
          </cell>
          <cell r="Y558" t="str">
            <v>苗栗縣竹南鎮</v>
          </cell>
          <cell r="Z558" t="str">
            <v>苗栗縣竹南鎮聖福里12鄰建國路356巷43號.</v>
          </cell>
          <cell r="AA558" t="str">
            <v>350苗栗縣竹南鎮聖福里12鄰建國路356巷43號。</v>
          </cell>
          <cell r="AK558" t="str">
            <v>578-HD</v>
          </cell>
          <cell r="AL558" t="str">
            <v>1-0251-笙泰&gt;寄&gt;附回郵</v>
          </cell>
          <cell r="AM558" t="str">
            <v>1-0251</v>
          </cell>
        </row>
        <row r="559">
          <cell r="B559" t="str">
            <v>1-0554</v>
          </cell>
          <cell r="C559" t="str">
            <v>103-07-30</v>
          </cell>
          <cell r="D559" t="str">
            <v>1-0554-蘇啟泰&gt;寄&gt;附發票&gt;附回郵</v>
          </cell>
          <cell r="E559" t="str">
            <v>蘇啟泰-中油救車</v>
          </cell>
          <cell r="F559" t="str">
            <v>蘇啟泰-中油救車(554)</v>
          </cell>
          <cell r="G559" t="str">
            <v>稅外</v>
          </cell>
          <cell r="H559" t="str">
            <v>寄＞附發票＞附回郵＞</v>
          </cell>
          <cell r="I559" t="str">
            <v>5397＞7605台永康＞1266＞2709歐特耐＞稅外</v>
          </cell>
          <cell r="J559">
            <v>30</v>
          </cell>
          <cell r="L559" t="str">
            <v>0928-608315蘇啟泰</v>
          </cell>
          <cell r="M559">
            <v>0</v>
          </cell>
          <cell r="R559" t="b">
            <v>0</v>
          </cell>
          <cell r="S559" t="str"/>
          <cell r="T559" t="b">
            <v>0</v>
          </cell>
          <cell r="W559">
            <v>900</v>
          </cell>
          <cell r="X559" t="str">
            <v>屏東縣屏東巿自立路168巷8弄17號。</v>
          </cell>
          <cell r="Y559" t="str">
            <v>屏東縣屏東巿</v>
          </cell>
          <cell r="Z559" t="str">
            <v>屏東縣屏東巿自立路168巷8弄17號.</v>
          </cell>
          <cell r="AA559" t="str">
            <v>900屏東縣屏東巿自立路168巷8弄17號。</v>
          </cell>
          <cell r="AK559" t="str">
            <v>065-ZY</v>
          </cell>
          <cell r="AL559" t="str">
            <v>1-0251-笙泰&gt;寄&gt;附回郵</v>
          </cell>
          <cell r="AM559" t="str">
            <v>1-0251</v>
          </cell>
        </row>
        <row r="560">
          <cell r="B560" t="str">
            <v>1-0555</v>
          </cell>
          <cell r="C560" t="str">
            <v>103-07-30</v>
          </cell>
          <cell r="D560" t="str">
            <v>1-0555-品旺.品鑫&gt;寄&gt;自結</v>
          </cell>
          <cell r="E560" t="str">
            <v>品旺通運有限公司＞負:劉信成</v>
          </cell>
          <cell r="F560" t="str">
            <v>品旺通運有限公司(555)</v>
          </cell>
          <cell r="G560" t="str">
            <v>未稅</v>
          </cell>
          <cell r="H560" t="str">
            <v>寄平信＞自結＞</v>
          </cell>
          <cell r="I560" t="str">
            <v>未稅</v>
          </cell>
          <cell r="J560">
            <v>30</v>
          </cell>
          <cell r="K560" t="str">
            <v>2808＞3924＞未稅</v>
          </cell>
          <cell r="L560" t="str">
            <v>02-86872786＞0912-509650周志豪＞0988-114399周志翔</v>
          </cell>
          <cell r="M560">
            <v>0</v>
          </cell>
          <cell r="R560" t="b">
            <v>0</v>
          </cell>
          <cell r="S560" t="str"/>
          <cell r="T560" t="b">
            <v>0</v>
          </cell>
          <cell r="W560">
            <v>220</v>
          </cell>
          <cell r="X560" t="str">
            <v>新北市板橋區大觀路三段50巷65-1號。</v>
          </cell>
          <cell r="Y560" t="str">
            <v>新北市板橋區</v>
          </cell>
          <cell r="Z560" t="str">
            <v>新北市板橋區大觀路三段50巷65之1號.</v>
          </cell>
          <cell r="AA560" t="str">
            <v>220新北市板橋區大觀路三段50巷65-1號。</v>
          </cell>
          <cell r="AK560" t="str">
            <v>板L7-0.4-2</v>
          </cell>
          <cell r="AL560" t="str">
            <v>1-0162-鎰利&gt;鎰金&gt;鎰加&gt;寄&gt;附發票&gt;2個月匯款</v>
          </cell>
          <cell r="AM560" t="str">
            <v>1-0162</v>
          </cell>
        </row>
        <row r="561">
          <cell r="B561" t="str">
            <v>1-0556</v>
          </cell>
          <cell r="C561" t="str">
            <v>103-07-30</v>
          </cell>
          <cell r="D561" t="str">
            <v>1-0556-呈安.天九&gt;寄&gt;附發票&gt;自結</v>
          </cell>
          <cell r="E561" t="str">
            <v>呈安企業社＞負:陳裕聰</v>
          </cell>
          <cell r="F561" t="str">
            <v>呈安企業社(556)</v>
          </cell>
          <cell r="G561" t="str">
            <v>稅外</v>
          </cell>
          <cell r="H561" t="str">
            <v>寄＞自結＞附發票＞匯款:54700.01700</v>
          </cell>
          <cell r="I561" t="str">
            <v>2187＞9659＞稅外</v>
          </cell>
          <cell r="J561">
            <v>30</v>
          </cell>
          <cell r="L561" t="str">
            <v>037-552748＞0923-861589老闆＞0925-878236老闆娘＞傳真037-552748&gt;陳淑嫻&gt;0912-372597(帳款問題)改0917-198388妹妹</v>
          </cell>
          <cell r="M561">
            <v>0</v>
          </cell>
          <cell r="R561" t="b">
            <v>0</v>
          </cell>
          <cell r="S561" t="str"/>
          <cell r="T561" t="b">
            <v>0</v>
          </cell>
          <cell r="W561">
            <v>350</v>
          </cell>
          <cell r="X561" t="str">
            <v>苗栗縣竹南鎮天文里14鄰龍昇街95號。</v>
          </cell>
          <cell r="Y561" t="str">
            <v>苗栗縣竹南鎮</v>
          </cell>
          <cell r="Z561" t="str">
            <v>苗栗縣竹南鎮天文里14鄰龍昇街95號.</v>
          </cell>
          <cell r="AA561" t="str">
            <v>350苗栗縣竹南鎮天文里14鄰龍昇街95號。</v>
          </cell>
          <cell r="AK561" t="str">
            <v>9700-ZX</v>
          </cell>
          <cell r="AL561" t="str">
            <v>1-0251-笙泰&gt;寄&gt;附回郵</v>
          </cell>
          <cell r="AM561" t="str">
            <v>1-0251</v>
          </cell>
        </row>
        <row r="562">
          <cell r="B562" t="str">
            <v>1-0557</v>
          </cell>
          <cell r="C562" t="str">
            <v>103-09-10</v>
          </cell>
          <cell r="D562" t="str">
            <v>1-0557-詹馬力&gt;電&gt;匯款</v>
          </cell>
          <cell r="E562" t="str">
            <v>詹瑋仁＞詹馬力＞靠行:正昇</v>
          </cell>
          <cell r="F562" t="str">
            <v>詹瑋仁(557)</v>
          </cell>
          <cell r="G562" t="str">
            <v>未稅</v>
          </cell>
          <cell r="H562" t="str">
            <v>電＞匯款:詹瑋仁＞</v>
          </cell>
          <cell r="I562" t="str">
            <v>未稅</v>
          </cell>
          <cell r="J562">
            <v>30</v>
          </cell>
          <cell r="L562" t="str">
            <v>0926-894233</v>
          </cell>
          <cell r="M562">
            <v>0</v>
          </cell>
          <cell r="R562" t="b">
            <v>0</v>
          </cell>
          <cell r="S562" t="str"/>
          <cell r="T562" t="b">
            <v>0</v>
          </cell>
          <cell r="Y562" t="str"/>
          <cell r="AA562" t="str"/>
          <cell r="AK562" t="str">
            <v>6760-HB</v>
          </cell>
          <cell r="AL562" t="str">
            <v>1-0251-笙泰&gt;寄&gt;附回郵</v>
          </cell>
          <cell r="AM562" t="str">
            <v>1-0251</v>
          </cell>
        </row>
        <row r="563">
          <cell r="B563" t="str">
            <v>1-0558</v>
          </cell>
          <cell r="C563" t="str">
            <v>103-10-15</v>
          </cell>
          <cell r="D563" t="str">
            <v>1-0558-苗栗客運&gt;寄&gt;附發票&gt;附回郵</v>
          </cell>
          <cell r="E563" t="str">
            <v>苗栗汽車客運股份有限公司＞負:黃雲熙</v>
          </cell>
          <cell r="F563" t="str">
            <v>苗栗汽車客運股份有限公司(558)</v>
          </cell>
          <cell r="G563" t="str">
            <v>含稅</v>
          </cell>
          <cell r="H563" t="str">
            <v>寄＞附發票＞附回郵＞</v>
          </cell>
          <cell r="I563" t="str">
            <v>5014＞3806＞含稅</v>
          </cell>
          <cell r="J563">
            <v>30</v>
          </cell>
          <cell r="L563" t="str">
            <v>037-661658＞037-663050＞0921-346194鄧煥禎&gt;會計037-662111分機208曾課長</v>
          </cell>
          <cell r="M563">
            <v>0</v>
          </cell>
          <cell r="R563" t="b">
            <v>0</v>
          </cell>
          <cell r="S563" t="str"/>
          <cell r="T563" t="b">
            <v>0</v>
          </cell>
          <cell r="W563">
            <v>351</v>
          </cell>
          <cell r="X563" t="str">
            <v>苗栗縣頭份鎮頭份里8鄰中正路206號。</v>
          </cell>
          <cell r="Y563" t="str">
            <v>苗栗縣頭份鎮</v>
          </cell>
          <cell r="Z563" t="str">
            <v>苗栗縣頭份鎮頭份里8鄰中正路206號.</v>
          </cell>
          <cell r="AA563" t="str">
            <v>351苗栗縣頭份鎮頭份里8鄰中正路206號。</v>
          </cell>
          <cell r="AK563" t="str">
            <v>016-Y7</v>
          </cell>
          <cell r="AL563" t="str">
            <v>1-0254-神將&gt;付現</v>
          </cell>
          <cell r="AM563" t="str">
            <v>1-0254</v>
          </cell>
        </row>
        <row r="564">
          <cell r="B564" t="str">
            <v>1-0559</v>
          </cell>
          <cell r="C564" t="str">
            <v>103-10-29</v>
          </cell>
          <cell r="D564" t="str">
            <v>1-0559-黃清輝&gt;寄&gt;匯款</v>
          </cell>
          <cell r="E564" t="str">
            <v>黃清輝＞靠行:正欣汽車貨運股份有限公司,負:何燕卿</v>
          </cell>
          <cell r="F564" t="str">
            <v>黃清輝(559)</v>
          </cell>
          <cell r="G564" t="str">
            <v>未稅</v>
          </cell>
          <cell r="H564" t="str">
            <v>寄＞匯款＞</v>
          </cell>
          <cell r="I564" t="str">
            <v>未稅</v>
          </cell>
          <cell r="J564">
            <v>30</v>
          </cell>
          <cell r="K564" t="str">
            <v>4976＞2954＞未稅</v>
          </cell>
          <cell r="L564" t="str">
            <v>0919-839309黃清輝</v>
          </cell>
          <cell r="M564">
            <v>0</v>
          </cell>
          <cell r="O564">
            <v>62</v>
          </cell>
          <cell r="P564">
            <v>7</v>
          </cell>
          <cell r="Q564">
            <v>4</v>
          </cell>
          <cell r="R564">
            <v>48</v>
          </cell>
          <cell r="S564">
            <v>73</v>
          </cell>
          <cell r="T564">
            <v>26849</v>
          </cell>
          <cell r="U564" t="str">
            <v>K121327640</v>
          </cell>
          <cell r="W564">
            <v>369</v>
          </cell>
          <cell r="X564" t="str">
            <v>帳:苗栗縣卓蘭鎮中華路20號＞連:苗栗縣卓蘭鎮苗豐里11鄰大埔園5號＞登:苗栗縣苗栗市玉華里4鄰復興路3段114號。</v>
          </cell>
          <cell r="Y564" t="str">
            <v>苗栗縣卓蘭鎮</v>
          </cell>
          <cell r="Z564" t="str">
            <v>苗栗縣卓蘭鎮中華路20號.</v>
          </cell>
          <cell r="AA564" t="str">
            <v>369帳:苗栗縣卓蘭鎮中華路20號＞連:苗栗縣卓蘭鎮苗豐里11鄰大埔園5號＞登:苗栗縣苗栗市玉華里4鄰復興路3段114號。</v>
          </cell>
          <cell r="AK564" t="str">
            <v>8291-RV</v>
          </cell>
          <cell r="AL564" t="str">
            <v>1-0259-高東隆&gt;現&gt;電&gt;自結</v>
          </cell>
          <cell r="AM564" t="str">
            <v>1-0259</v>
          </cell>
        </row>
        <row r="565">
          <cell r="B565" t="str">
            <v>1-0560</v>
          </cell>
          <cell r="C565" t="str">
            <v>103-11-10</v>
          </cell>
          <cell r="D565" t="str">
            <v>1-0560-億弘&gt;寄&gt;附發票&gt;附回郵</v>
          </cell>
          <cell r="E565" t="str">
            <v>億弘工程＞負:梁玉坪</v>
          </cell>
          <cell r="F565" t="str">
            <v>億弘工程(560)</v>
          </cell>
          <cell r="G565" t="str">
            <v>稅外</v>
          </cell>
          <cell r="H565" t="str">
            <v>寄＞附發票＞附回郵＞</v>
          </cell>
          <cell r="I565" t="str">
            <v>9284＞3295＞稅外</v>
          </cell>
          <cell r="J565">
            <v>30</v>
          </cell>
          <cell r="L565" t="str">
            <v>037-670047＞0932-395412古志雲&gt;0923-248113</v>
          </cell>
          <cell r="M565" t="str">
            <v>2-0203</v>
          </cell>
          <cell r="R565" t="b">
            <v>0</v>
          </cell>
          <cell r="S565" t="str"/>
          <cell r="T565" t="b">
            <v>0</v>
          </cell>
          <cell r="W565">
            <v>351</v>
          </cell>
          <cell r="X565" t="str">
            <v>帳:苗栗縣頭份鎮興隆里興三街10巷16號＞登:苗栗縣造橋鄉造橋村9鄰北興17號。</v>
          </cell>
          <cell r="Y565" t="str">
            <v>苗栗縣頭份鎮</v>
          </cell>
          <cell r="Z565" t="str">
            <v>苗栗縣頭份鎮興隆里興三街10巷16號.</v>
          </cell>
          <cell r="AA565" t="str">
            <v>351帳:苗栗縣頭份鎮興隆里興三街10巷16號＞登:苗栗縣造橋鄉造橋村9鄰北興17號。</v>
          </cell>
          <cell r="AK565" t="str">
            <v>6702-B8</v>
          </cell>
          <cell r="AL565" t="str">
            <v>1-0259-高東隆&gt;現&gt;電&gt;自結</v>
          </cell>
          <cell r="AM565" t="str">
            <v>1-0259</v>
          </cell>
        </row>
        <row r="566">
          <cell r="B566" t="str">
            <v>1-0561</v>
          </cell>
          <cell r="C566" t="str">
            <v>103-11-12</v>
          </cell>
          <cell r="D566" t="str">
            <v>1-0561-吳子權&gt;駱駝&gt;電&gt;款</v>
          </cell>
          <cell r="E566" t="str">
            <v>吳子權＞駱駝</v>
          </cell>
          <cell r="F566" t="str">
            <v>吳子權(561)</v>
          </cell>
          <cell r="G566" t="str">
            <v>未稅</v>
          </cell>
          <cell r="H566" t="str">
            <v>電＞匯款:吳子權＞</v>
          </cell>
          <cell r="I566" t="str">
            <v>未稅</v>
          </cell>
          <cell r="J566">
            <v>30</v>
          </cell>
          <cell r="L566" t="str">
            <v>0933-551874吳子權</v>
          </cell>
          <cell r="M566">
            <v>0</v>
          </cell>
          <cell r="R566" t="b">
            <v>0</v>
          </cell>
          <cell r="S566" t="str"/>
          <cell r="T566" t="b">
            <v>0</v>
          </cell>
          <cell r="Y566" t="str"/>
          <cell r="AA566" t="str"/>
          <cell r="AK566" t="str">
            <v>637-HA</v>
          </cell>
          <cell r="AL566" t="str">
            <v>1-0260-曾士豪(兩斤)&gt;正欣&gt;寄&gt;匯款</v>
          </cell>
          <cell r="AM566" t="str">
            <v>1-0260</v>
          </cell>
        </row>
        <row r="567">
          <cell r="B567" t="str">
            <v>1-0562</v>
          </cell>
          <cell r="C567" t="str">
            <v>103-11-13</v>
          </cell>
          <cell r="D567" t="str">
            <v>1-0562-蔣芳勇&gt;寄&gt;自結</v>
          </cell>
          <cell r="E567" t="str">
            <v>蔣芳勇＞靠行:鴻富通運股份有限公司,負:陳富進</v>
          </cell>
          <cell r="F567" t="str">
            <v>蔣芳勇(562)</v>
          </cell>
          <cell r="G567" t="str">
            <v>未稅</v>
          </cell>
          <cell r="H567" t="str">
            <v>寄＞自結＞</v>
          </cell>
          <cell r="I567" t="str">
            <v>未稅</v>
          </cell>
          <cell r="J567">
            <v>30</v>
          </cell>
          <cell r="K567" t="str">
            <v>8471＞1742＞未稅</v>
          </cell>
          <cell r="L567" t="str">
            <v>037-320935＞0928-975883蔣芳勇</v>
          </cell>
          <cell r="M567">
            <v>0</v>
          </cell>
          <cell r="O567">
            <v>51</v>
          </cell>
          <cell r="P567">
            <v>7</v>
          </cell>
          <cell r="Q567">
            <v>13</v>
          </cell>
          <cell r="R567">
            <v>59</v>
          </cell>
          <cell r="S567">
            <v>62</v>
          </cell>
          <cell r="T567">
            <v>22840</v>
          </cell>
          <cell r="U567" t="str">
            <v>K120001889</v>
          </cell>
          <cell r="W567">
            <v>360</v>
          </cell>
          <cell r="X567" t="str">
            <v>苗栗縣苗栗巿玉華里5鄰復興路4段18號＞登:苗栗縣苗栗市勝利里榮興1之2號1樓。</v>
          </cell>
          <cell r="Y567" t="str">
            <v>苗栗縣苗栗巿</v>
          </cell>
          <cell r="Z567" t="str">
            <v>苗栗縣苗栗巿玉華里5鄰復興路4段18號.</v>
          </cell>
          <cell r="AA567" t="str">
            <v>360苗栗縣苗栗巿玉華里5鄰復興路4段18號＞登:苗栗縣苗栗市勝利里榮興1之2號1樓。</v>
          </cell>
          <cell r="AK567" t="str">
            <v>APX-1573</v>
          </cell>
          <cell r="AL567" t="str">
            <v>1-0053-力璽&gt;寄&gt;匯款</v>
          </cell>
          <cell r="AM567" t="str">
            <v>1-0053</v>
          </cell>
        </row>
        <row r="568">
          <cell r="B568" t="str">
            <v>1-0563</v>
          </cell>
          <cell r="C568" t="str">
            <v>103-11-15</v>
          </cell>
          <cell r="D568" t="str">
            <v>1-0563-鳴倫&gt;寄&gt;附發票&gt;附回郵</v>
          </cell>
          <cell r="E568" t="str">
            <v>鳴倫機械工程有限公司＞負:譚雲光＞鑠穎企業社＞負:劉淑娟</v>
          </cell>
          <cell r="F568" t="str">
            <v>鳴倫機械工程有限公司(563)</v>
          </cell>
          <cell r="G568" t="str">
            <v>稅外</v>
          </cell>
          <cell r="H568" t="str">
            <v>寄＞附發票＞附回郵＞</v>
          </cell>
          <cell r="I568" t="str">
            <v>1650＞7855鳴倫＞9990＞8407鑠穎＞稅外</v>
          </cell>
          <cell r="J568">
            <v>30</v>
          </cell>
          <cell r="L568" t="str">
            <v>037-483939＞0937-225035譚雲光＞傳真037-465020</v>
          </cell>
          <cell r="M568" t="str">
            <v>2-0096</v>
          </cell>
          <cell r="R568" t="b">
            <v>0</v>
          </cell>
          <cell r="S568" t="str"/>
          <cell r="T568" t="b">
            <v>0</v>
          </cell>
          <cell r="W568">
            <v>350</v>
          </cell>
          <cell r="X568" t="str">
            <v>苗栗縣竹南鎮中英里保安林76-3號＞鑠穎登:苗栗縣頭份鎮尖下里14鄰尖豐路578巷11弄8號1樓。</v>
          </cell>
          <cell r="Y568" t="str">
            <v>苗栗縣竹南鎮</v>
          </cell>
          <cell r="Z568" t="str">
            <v>苗栗縣竹南鎮中英里保安林76之3號.</v>
          </cell>
          <cell r="AA568" t="str">
            <v>350苗栗縣竹南鎮中英里保安林76-3號＞鑠穎登:苗栗縣頭份鎮尖下里14鄰尖豐路578巷11弄8號1樓。</v>
          </cell>
          <cell r="AK568" t="str">
            <v>7100-M6</v>
          </cell>
          <cell r="AL568" t="str">
            <v>1-0265-鴻鈞&gt;寄&gt;附發票&gt;2個月匯款</v>
          </cell>
          <cell r="AM568" t="str">
            <v>1-0265</v>
          </cell>
        </row>
        <row r="569">
          <cell r="B569" t="str">
            <v>1-0564</v>
          </cell>
          <cell r="C569" t="str">
            <v>103-11-17</v>
          </cell>
          <cell r="D569" t="str">
            <v>1-0564-全泰&gt;寄&gt;附發票&gt;附回郵</v>
          </cell>
          <cell r="E569" t="str">
            <v>全泰砂石股份有限公司＞負:徐仲賢</v>
          </cell>
          <cell r="F569" t="str">
            <v>全泰砂石股份有限公司(564)</v>
          </cell>
          <cell r="G569" t="str">
            <v>稅外</v>
          </cell>
          <cell r="H569" t="str">
            <v>寄＞附發票＞附回郵＞</v>
          </cell>
          <cell r="I569" t="str">
            <v>2297＞3013＞稅外</v>
          </cell>
          <cell r="J569">
            <v>30</v>
          </cell>
          <cell r="L569" t="str">
            <v>04-26834961 ＞0975-697133</v>
          </cell>
          <cell r="M569">
            <v>0</v>
          </cell>
          <cell r="R569" t="b">
            <v>0</v>
          </cell>
          <cell r="S569" t="str"/>
          <cell r="T569" t="b">
            <v>0</v>
          </cell>
          <cell r="W569">
            <v>438</v>
          </cell>
          <cell r="X569" t="str">
            <v>台中巿外埔區中山路441-6號＞登:台中市外埔區子里9鄰廍子路110號1樓。</v>
          </cell>
          <cell r="Y569" t="str">
            <v>台中巿外埔區</v>
          </cell>
          <cell r="Z569" t="str">
            <v>台中巿外埔區中山路441之6號.</v>
          </cell>
          <cell r="AA569" t="str">
            <v>438台中巿外埔區中山路441-6號＞登:台中市外埔區子里9鄰廍子路110號1樓。</v>
          </cell>
          <cell r="AK569" t="str">
            <v>413-FF</v>
          </cell>
          <cell r="AL569" t="str">
            <v>1-0266-陳德欽&gt;寄&gt;自結</v>
          </cell>
          <cell r="AM569" t="str">
            <v>1-0266</v>
          </cell>
        </row>
        <row r="570">
          <cell r="B570" t="str">
            <v>1-0565</v>
          </cell>
          <cell r="C570" t="str">
            <v>103-11-20</v>
          </cell>
          <cell r="D570" t="str">
            <v>1-0565-有利&gt;寄&gt;附發票&gt;附回郵</v>
          </cell>
          <cell r="E570" t="str">
            <v>有利土木包工業＞負:江玉秋＞佶民營造有限公司＞負:張壬成</v>
          </cell>
          <cell r="F570" t="str">
            <v>有利土木包工業(565)</v>
          </cell>
          <cell r="G570" t="str">
            <v>稅外</v>
          </cell>
          <cell r="H570" t="str">
            <v>寄＞附發票＞附回郵＞</v>
          </cell>
          <cell r="I570" t="str">
            <v>8334＞1052有利＞1664＞7309佶民＞稅外</v>
          </cell>
          <cell r="J570">
            <v>30</v>
          </cell>
          <cell r="L570" t="str">
            <v>037-683795＞037683796＞0933-177099＞0937-223678張壬成＞傳真037-595197</v>
          </cell>
          <cell r="M570" t="str">
            <v>2-0063</v>
          </cell>
          <cell r="R570" t="b">
            <v>0</v>
          </cell>
          <cell r="S570" t="str"/>
          <cell r="T570" t="b">
            <v>0</v>
          </cell>
          <cell r="W570">
            <v>351</v>
          </cell>
          <cell r="X570" t="str">
            <v>苗栗縣頭份鎮後庄里10鄰幼英街163號＞有利登:苗栗縣頭份鎮後庄里12鄰幼英街163號。</v>
          </cell>
          <cell r="Y570" t="str">
            <v>苗栗縣頭份鎮</v>
          </cell>
          <cell r="Z570" t="str">
            <v>苗栗縣頭份鎮後庄里10鄰幼英街163號.</v>
          </cell>
          <cell r="AA570" t="str">
            <v>351苗栗縣頭份鎮後庄里10鄰幼英街163號＞有利登:苗栗縣頭份鎮後庄里12鄰幼英街163號。</v>
          </cell>
          <cell r="AK570" t="str">
            <v>GG-960</v>
          </cell>
          <cell r="AL570" t="str">
            <v>1-0269-台佳&gt;寄&gt;附發票</v>
          </cell>
          <cell r="AM570" t="str">
            <v>1-0269</v>
          </cell>
        </row>
        <row r="571">
          <cell r="B571" t="str">
            <v>1-0566</v>
          </cell>
          <cell r="C571" t="str">
            <v>103-11-24</v>
          </cell>
          <cell r="D571" t="str">
            <v>1-0566-順彬&gt;寄&gt;附發票&gt;附回郵</v>
          </cell>
          <cell r="E571" t="str">
            <v>順彬建材行＞負:吳溪彬</v>
          </cell>
          <cell r="F571" t="str">
            <v>順彬建材行(566)</v>
          </cell>
          <cell r="G571" t="str">
            <v>稅外</v>
          </cell>
          <cell r="H571" t="str">
            <v>寄＞附發票＞附回郵＞</v>
          </cell>
          <cell r="I571" t="str">
            <v>1985＞8340＞稅外</v>
          </cell>
          <cell r="J571">
            <v>30</v>
          </cell>
          <cell r="L571" t="str">
            <v>037-432492＞0935-901999吳溪彬＞0910-443233陳麗苑＞傳真037-433877</v>
          </cell>
          <cell r="M571" t="str">
            <v>2-0130</v>
          </cell>
          <cell r="R571" t="b">
            <v>0</v>
          </cell>
          <cell r="S571" t="str"/>
          <cell r="T571" t="b">
            <v>0</v>
          </cell>
          <cell r="W571">
            <v>356</v>
          </cell>
          <cell r="X571" t="str">
            <v>苗栗縣後龍鎮大山里2鄰明山路114號1樓。</v>
          </cell>
          <cell r="Y571" t="str">
            <v>苗栗縣後龍鎮</v>
          </cell>
          <cell r="Z571" t="str">
            <v>苗栗縣後龍鎮大山里2鄰明山路114號1樓.</v>
          </cell>
          <cell r="AA571" t="str">
            <v>356苗栗縣後龍鎮大山里2鄰明山路114號1樓。</v>
          </cell>
          <cell r="AK571" t="str">
            <v>9U-033</v>
          </cell>
          <cell r="AL571" t="str">
            <v>1-0269-台佳&gt;寄&gt;附發票</v>
          </cell>
          <cell r="AM571" t="str">
            <v>1-0269</v>
          </cell>
        </row>
        <row r="572">
          <cell r="B572" t="str">
            <v>1-0567</v>
          </cell>
          <cell r="C572" t="str">
            <v>103-12-10</v>
          </cell>
          <cell r="D572" t="str">
            <v>1-0567-東億&gt;寄&gt;附發票&gt;附回郵</v>
          </cell>
          <cell r="E572" t="str">
            <v>東億工程行＞負:林志宏</v>
          </cell>
          <cell r="F572" t="str">
            <v>東億工程行(567)</v>
          </cell>
          <cell r="G572" t="str">
            <v>稅外</v>
          </cell>
          <cell r="H572" t="str">
            <v>寄＞附發票＞附回郵＞</v>
          </cell>
          <cell r="I572" t="str">
            <v>9199＞2275＞稅外</v>
          </cell>
          <cell r="J572">
            <v>30</v>
          </cell>
          <cell r="L572" t="str">
            <v>03-5182881＞0932-117450林志宏＞傳真03-5182877</v>
          </cell>
          <cell r="M572" t="str">
            <v>2-0202</v>
          </cell>
          <cell r="R572" t="b">
            <v>0</v>
          </cell>
          <cell r="S572" t="str"/>
          <cell r="T572" t="b">
            <v>0</v>
          </cell>
          <cell r="W572">
            <v>300</v>
          </cell>
          <cell r="X572" t="str">
            <v>新竹市香山區內湖里五福路1段11巷8弄28號1樓。</v>
          </cell>
          <cell r="Y572" t="str">
            <v>新竹市香山區</v>
          </cell>
          <cell r="Z572" t="str">
            <v>新竹市香山區內湖里五福路1段11巷8弄28號1樓.</v>
          </cell>
          <cell r="AA572" t="str">
            <v>300新竹市香山區內湖里五福路1段11巷8弄28號1樓。</v>
          </cell>
          <cell r="AK572" t="str">
            <v>729-WW</v>
          </cell>
          <cell r="AL572" t="str">
            <v>1-0269-台佳&gt;寄&gt;附發票</v>
          </cell>
          <cell r="AM572" t="str">
            <v>1-0269</v>
          </cell>
        </row>
        <row r="573">
          <cell r="B573" t="str">
            <v>1-0568</v>
          </cell>
          <cell r="C573" t="str">
            <v>103-12-13</v>
          </cell>
          <cell r="D573" t="str">
            <v>1-0568-奇昇&gt;寄&gt;附回郵</v>
          </cell>
          <cell r="E573" t="str">
            <v>奇昇起重工程行＞負:陳孟琦</v>
          </cell>
          <cell r="F573" t="str">
            <v>奇昇起重工程行(568)</v>
          </cell>
          <cell r="G573" t="str">
            <v>未稅</v>
          </cell>
          <cell r="H573" t="str">
            <v>寄＞附回郵＞</v>
          </cell>
          <cell r="I573" t="str">
            <v>未稅</v>
          </cell>
          <cell r="J573">
            <v>30</v>
          </cell>
          <cell r="K573" t="str">
            <v>3986＞9324＞未稅</v>
          </cell>
          <cell r="L573" t="str">
            <v>0927-395991陳孟琦</v>
          </cell>
          <cell r="M573">
            <v>0</v>
          </cell>
          <cell r="R573" t="b">
            <v>0</v>
          </cell>
          <cell r="S573" t="str"/>
          <cell r="T573" t="b">
            <v>0</v>
          </cell>
          <cell r="W573">
            <v>350</v>
          </cell>
          <cell r="X573" t="str">
            <v>苗栗縣竹南鎮中華里4鄰25號＞登:苗栗縣竹南鎮天文里13鄰龍昇街63巷28號。</v>
          </cell>
          <cell r="Y573" t="str">
            <v>苗栗縣竹南鎮</v>
          </cell>
          <cell r="Z573" t="str">
            <v>苗栗縣竹南鎮中華里4鄰25號.</v>
          </cell>
          <cell r="AA573" t="str">
            <v>350苗栗縣竹南鎮中華里4鄰25號＞登:苗栗縣竹南鎮天文里13鄰龍昇街63巷28號。</v>
          </cell>
          <cell r="AK573" t="str">
            <v>712-WW</v>
          </cell>
          <cell r="AL573" t="str">
            <v>1-0269-台佳&gt;寄&gt;附發票</v>
          </cell>
          <cell r="AM573" t="str">
            <v>1-0269</v>
          </cell>
        </row>
        <row r="574">
          <cell r="B574" t="str">
            <v>1-0569</v>
          </cell>
          <cell r="C574" t="str">
            <v>104-01-02</v>
          </cell>
          <cell r="D574" t="str">
            <v>1-0569-洪和平&gt;松生&gt;寄&gt;自結</v>
          </cell>
          <cell r="E574" t="str">
            <v>洪和平＞靠行:松生交通股份有限公司,負:陳漢琮</v>
          </cell>
          <cell r="F574" t="str">
            <v>洪和平(569)</v>
          </cell>
          <cell r="G574" t="str">
            <v>未稅</v>
          </cell>
          <cell r="H574" t="str">
            <v>寄＞自結＞</v>
          </cell>
          <cell r="I574" t="str">
            <v>未稅</v>
          </cell>
          <cell r="J574">
            <v>30</v>
          </cell>
          <cell r="K574" t="str">
            <v>9722＞4771＞未稅</v>
          </cell>
          <cell r="L574" t="str">
            <v>037-431778＞0939-057031洪和平</v>
          </cell>
          <cell r="M574">
            <v>0</v>
          </cell>
          <cell r="O574">
            <v>69</v>
          </cell>
          <cell r="P574">
            <v>9</v>
          </cell>
          <cell r="Q574">
            <v>16</v>
          </cell>
          <cell r="R574">
            <v>41</v>
          </cell>
          <cell r="S574">
            <v>80</v>
          </cell>
          <cell r="T574">
            <v>29480</v>
          </cell>
          <cell r="U574" t="str">
            <v>K121799593</v>
          </cell>
          <cell r="W574">
            <v>356</v>
          </cell>
          <cell r="X574" t="str">
            <v>苗栗縣後龍鎮灣寶里3鄰36-1號＞登:苗栗縣頭份鎮蟠桃里3鄰中央路268號。</v>
          </cell>
          <cell r="Y574" t="str">
            <v>苗栗縣後龍鎮</v>
          </cell>
          <cell r="Z574" t="str">
            <v>苗栗縣後龍鎮灣寶里3鄰36之1號.</v>
          </cell>
          <cell r="AA574" t="str">
            <v>356苗栗縣後龍鎮灣寶里3鄰36-1號＞登:苗栗縣頭份鎮蟠桃里3鄰中央路268號。</v>
          </cell>
          <cell r="AK574" t="str">
            <v>586-QQ</v>
          </cell>
          <cell r="AL574" t="str">
            <v>1-0269-台佳&gt;寄&gt;附發票</v>
          </cell>
          <cell r="AM574" t="str">
            <v>1-0269</v>
          </cell>
        </row>
        <row r="575">
          <cell r="B575" t="str">
            <v>1-0570</v>
          </cell>
          <cell r="C575" t="str">
            <v>104-01-06</v>
          </cell>
          <cell r="D575" t="str">
            <v>1-0570-鴻昌玻璃&gt;現結&gt;附發票</v>
          </cell>
          <cell r="E575" t="str">
            <v>鴻昌玻璃有限公司＞負:林萬吉</v>
          </cell>
          <cell r="F575" t="str">
            <v>鴻昌玻璃有限公司(570)</v>
          </cell>
          <cell r="G575" t="str">
            <v>稅外</v>
          </cell>
          <cell r="H575" t="str">
            <v>現結＞附發票＞</v>
          </cell>
          <cell r="I575" t="str">
            <v>2299＞5255＞稅外</v>
          </cell>
          <cell r="J575">
            <v>30</v>
          </cell>
          <cell r="L575" t="str">
            <v>037-460643＞0935-392079林炳煌＞傳真037-468099</v>
          </cell>
          <cell r="M575">
            <v>0</v>
          </cell>
          <cell r="R575" t="b">
            <v>0</v>
          </cell>
          <cell r="S575" t="str"/>
          <cell r="T575" t="b">
            <v>0</v>
          </cell>
          <cell r="W575">
            <v>350</v>
          </cell>
          <cell r="X575" t="str">
            <v>苗栗縣竹南鎮竹興里17鄰竹圍街231巷6號。</v>
          </cell>
          <cell r="Y575" t="str">
            <v>苗栗縣竹南鎮</v>
          </cell>
          <cell r="Z575" t="str">
            <v>苗栗縣竹南鎮竹興里17鄰竹圍街231巷6號.</v>
          </cell>
          <cell r="AA575" t="str">
            <v>350苗栗縣竹南鎮竹興里17鄰竹圍街231巷6號。</v>
          </cell>
          <cell r="AK575" t="str">
            <v>Z5-360</v>
          </cell>
          <cell r="AL575" t="str">
            <v>1-0269-台佳&gt;寄&gt;附發票</v>
          </cell>
          <cell r="AM575" t="str">
            <v>1-0269</v>
          </cell>
        </row>
        <row r="576">
          <cell r="B576" t="str">
            <v>1-0571</v>
          </cell>
          <cell r="C576" t="str">
            <v>104-01-10</v>
          </cell>
          <cell r="D576" t="str">
            <v>1-0571-賴鼎龍&gt;菱揚&gt;酒空&gt;寄&gt;自結</v>
          </cell>
          <cell r="E576" t="str">
            <v>賴鼎龍＞靠行:菱揚貨運有限公司＞負:黃澤豐</v>
          </cell>
          <cell r="F576" t="str">
            <v>賴鼎龍(571)</v>
          </cell>
          <cell r="G576" t="str">
            <v>未稅</v>
          </cell>
          <cell r="H576" t="str">
            <v>寄＞自結＞</v>
          </cell>
          <cell r="I576" t="str">
            <v>未稅</v>
          </cell>
          <cell r="J576">
            <v>30</v>
          </cell>
          <cell r="K576" t="str">
            <v>8921＞3651＞未稅</v>
          </cell>
          <cell r="L576" t="str">
            <v>0930-392925賴鼎龍</v>
          </cell>
          <cell r="M576">
            <v>0</v>
          </cell>
          <cell r="O576">
            <v>48</v>
          </cell>
          <cell r="P576">
            <v>6</v>
          </cell>
          <cell r="Q576">
            <v>2</v>
          </cell>
          <cell r="R576">
            <v>62</v>
          </cell>
          <cell r="S576">
            <v>59</v>
          </cell>
          <cell r="T576">
            <v>21703</v>
          </cell>
          <cell r="U576" t="str">
            <v>K121107200</v>
          </cell>
          <cell r="W576">
            <v>352</v>
          </cell>
          <cell r="X576" t="str">
            <v>苗栗縣三灣鄉內灣村小份美17號＞登:新竹縣竹北巿中興里嘉豐六路一段21號2樓。</v>
          </cell>
          <cell r="Y576" t="str">
            <v>苗栗縣三灣鄉</v>
          </cell>
          <cell r="Z576" t="str">
            <v>苗栗縣三灣鄉內灣村小份美17號.</v>
          </cell>
          <cell r="AA576" t="str">
            <v>352苗栗縣三灣鄉內灣村小份美17號＞登:新竹縣竹北巿中興里嘉豐六路一段21號2樓。</v>
          </cell>
          <cell r="AK576" t="str">
            <v>RAC-1917</v>
          </cell>
          <cell r="AL576" t="str">
            <v>1-0276-民景&gt;寄&gt;附發票&gt;附回郵</v>
          </cell>
          <cell r="AM576" t="str">
            <v>1-0276</v>
          </cell>
        </row>
        <row r="577">
          <cell r="B577" t="str">
            <v>1-0572</v>
          </cell>
          <cell r="C577" t="str">
            <v>104-01-24</v>
          </cell>
          <cell r="D577" t="str">
            <v>1-0572-正洋&gt;寄&gt;附發票&gt;附回郵</v>
          </cell>
          <cell r="E577" t="str">
            <v>正洋機械工程有限公司＞負:李國鋒</v>
          </cell>
          <cell r="F577" t="str">
            <v>正洋機械工程有限公司(572)</v>
          </cell>
          <cell r="G577" t="str">
            <v>稅外</v>
          </cell>
          <cell r="H577" t="str">
            <v>寄＞附發票＞附回郵＞</v>
          </cell>
          <cell r="I577" t="str">
            <v>5050＞1922＞稅外</v>
          </cell>
          <cell r="J577">
            <v>30</v>
          </cell>
          <cell r="L577" t="str">
            <v>037-629995＞0919-720519李國鋒＞傳真037-629125</v>
          </cell>
          <cell r="M577">
            <v>0</v>
          </cell>
          <cell r="R577" t="b">
            <v>0</v>
          </cell>
          <cell r="S577" t="str"/>
          <cell r="T577" t="b">
            <v>0</v>
          </cell>
          <cell r="W577">
            <v>361</v>
          </cell>
          <cell r="X577" t="str">
            <v>苗栗縣造橋鄉朝陽村10鄰山脚4號。</v>
          </cell>
          <cell r="Y577" t="str">
            <v>苗栗縣造橋鄉</v>
          </cell>
          <cell r="Z577" t="str">
            <v>苗栗縣造橋鄉朝陽村10鄰山脚4號.</v>
          </cell>
          <cell r="AA577" t="str">
            <v>361苗栗縣造橋鄉朝陽村10鄰山脚4號。</v>
          </cell>
          <cell r="AK577" t="str">
            <v>1917-U2</v>
          </cell>
          <cell r="AL577" t="str">
            <v>1-0276-民景&gt;寄&gt;附發票&gt;附回郵</v>
          </cell>
          <cell r="AM577" t="str">
            <v>1-0276</v>
          </cell>
        </row>
        <row r="578">
          <cell r="B578" t="str">
            <v>1-0573</v>
          </cell>
          <cell r="C578" t="str">
            <v>104-02-09</v>
          </cell>
          <cell r="D578" t="str">
            <v>1-0573-陳秀玲&gt;天新&gt;寄&gt;匯款</v>
          </cell>
          <cell r="E578" t="str">
            <v>陳秀玲＞靠行:天新交通股份有限公司,負陳漢琮</v>
          </cell>
          <cell r="F578" t="str">
            <v>陳秀玲(573)</v>
          </cell>
          <cell r="G578" t="str">
            <v>未稅</v>
          </cell>
          <cell r="H578" t="str">
            <v>寄＞匯款＞</v>
          </cell>
          <cell r="I578" t="str">
            <v>未稅</v>
          </cell>
          <cell r="J578">
            <v>30</v>
          </cell>
          <cell r="K578" t="str">
            <v>9722＞4771＞未稅</v>
          </cell>
          <cell r="L578" t="str">
            <v>0937-132127陳秀玲</v>
          </cell>
          <cell r="M578">
            <v>0</v>
          </cell>
          <cell r="R578" t="b">
            <v>0</v>
          </cell>
          <cell r="S578" t="str"/>
          <cell r="T578" t="b">
            <v>0</v>
          </cell>
          <cell r="W578">
            <v>306</v>
          </cell>
          <cell r="X578" t="str">
            <v>新竹縣關西鎮南和里3鄰23-2號＞登:苗栗縣頭份鎮蟠桃里3鄰中央路268號2樓。</v>
          </cell>
          <cell r="Y578" t="str">
            <v>新竹縣關西鎮</v>
          </cell>
          <cell r="Z578" t="str">
            <v>新竹縣關西鎮南和里3鄰23之2號.</v>
          </cell>
          <cell r="AA578" t="str">
            <v>306新竹縣關西鎮南和里3鄰23-2號＞登:苗栗縣頭份鎮蟠桃里3鄰中央路268號2樓。</v>
          </cell>
          <cell r="AK578" t="str">
            <v>1917-YV</v>
          </cell>
          <cell r="AL578" t="str">
            <v>1-0276-民景&gt;寄&gt;附發票&gt;附回郵</v>
          </cell>
          <cell r="AM578" t="str">
            <v>1-0276</v>
          </cell>
        </row>
        <row r="579">
          <cell r="B579" t="str">
            <v>1-0574</v>
          </cell>
          <cell r="C579" t="str">
            <v>104-03-02</v>
          </cell>
          <cell r="D579" t="str">
            <v>1-0574-洪其振&gt;寄&gt;匯款:日新.周杏美.</v>
          </cell>
          <cell r="E579" t="str">
            <v>洪其振＞靠行:日新汽車貨運股份有限公司</v>
          </cell>
          <cell r="F579" t="str">
            <v>洪其振(574)</v>
          </cell>
          <cell r="G579" t="str">
            <v>未稅</v>
          </cell>
          <cell r="H579" t="str">
            <v>寄＞匯款:日新.周杏美＞1120600&gt;</v>
          </cell>
          <cell r="I579" t="str">
            <v>未稅</v>
          </cell>
          <cell r="J579">
            <v>30</v>
          </cell>
          <cell r="L579" t="str">
            <v>037-868519＞0910-051570洪其正&gt;0933-766437周小姐</v>
          </cell>
          <cell r="M579">
            <v>0</v>
          </cell>
          <cell r="R579" t="b">
            <v>0</v>
          </cell>
          <cell r="S579" t="str"/>
          <cell r="T579" t="b">
            <v>0</v>
          </cell>
          <cell r="W579">
            <v>358</v>
          </cell>
          <cell r="X579" t="str">
            <v>基隆巿信義區東信路35巷105號。</v>
          </cell>
          <cell r="Y579" t="str">
            <v>苗栗縣苑裡鎮</v>
          </cell>
          <cell r="Z579" t="str">
            <v>苗栗縣苑裡鎮慈德街31號.</v>
          </cell>
          <cell r="AA579" t="str">
            <v>358基隆巿信義區東信路35巷105號。</v>
          </cell>
          <cell r="AK579" t="str">
            <v>2817-F7</v>
          </cell>
          <cell r="AL579" t="str">
            <v>1-0276-民景&gt;寄&gt;附發票&gt;附回郵</v>
          </cell>
          <cell r="AM579" t="str">
            <v>1-0276</v>
          </cell>
        </row>
        <row r="580">
          <cell r="B580" t="str">
            <v>1-0575</v>
          </cell>
          <cell r="C580" t="str">
            <v>104-03-25</v>
          </cell>
          <cell r="D580" t="str">
            <v>1-0575-力麟&gt;寄&gt;附發票&gt;附回郵</v>
          </cell>
          <cell r="E580" t="str">
            <v>力麟水電工程有限公司＞負:羅經文</v>
          </cell>
          <cell r="F580" t="str">
            <v>力麟水電工程有限公司(575)</v>
          </cell>
          <cell r="G580" t="str">
            <v>稅外</v>
          </cell>
          <cell r="H580" t="str">
            <v>寄＞附發票＞附回郵＞</v>
          </cell>
          <cell r="I580" t="str">
            <v>7060＞4051＞稅外</v>
          </cell>
          <cell r="J580">
            <v>30</v>
          </cell>
          <cell r="L580" t="str">
            <v>037-668478＞0935-924186羅經文＞傳真037-667351</v>
          </cell>
          <cell r="M580">
            <v>0</v>
          </cell>
          <cell r="R580" t="b">
            <v>0</v>
          </cell>
          <cell r="S580" t="str"/>
          <cell r="T580" t="b">
            <v>0</v>
          </cell>
          <cell r="W580">
            <v>351</v>
          </cell>
          <cell r="X580" t="str">
            <v>帳:苗栗縣頭份鎮興隆里7鄰上坪80號＞登:新竹縣竹北市聯興里中正西路926巷1弄2號。</v>
          </cell>
          <cell r="Y580" t="str">
            <v>苗栗縣頭份鎮</v>
          </cell>
          <cell r="Z580" t="str">
            <v>苗栗縣頭份鎮興隆里7鄰上坪80號.</v>
          </cell>
          <cell r="AA580" t="str">
            <v>351帳:苗栗縣頭份鎮興隆里7鄰上坪80號＞登:新竹縣竹北市聯興里中正西路926巷1弄2號。</v>
          </cell>
          <cell r="AK580" t="str">
            <v>1917-YD</v>
          </cell>
          <cell r="AL580" t="str">
            <v>1-0276-民景&gt;寄&gt;附發票&gt;附回郵</v>
          </cell>
          <cell r="AM580" t="str">
            <v>1-0276</v>
          </cell>
        </row>
        <row r="581">
          <cell r="B581" t="str">
            <v>1-0576</v>
          </cell>
          <cell r="C581" t="str">
            <v>104-03-26</v>
          </cell>
          <cell r="D581" t="str">
            <v>1-0576-弘振&gt;寄&gt;匯款</v>
          </cell>
          <cell r="E581" t="str">
            <v>弘振快速專業保養場＞負:黃明龍</v>
          </cell>
          <cell r="F581" t="str">
            <v>弘振快速專業保養場(576)</v>
          </cell>
          <cell r="G581" t="str">
            <v>未稅</v>
          </cell>
          <cell r="H581" t="str">
            <v>寄＞匯款:弘振.蔡欣玲＞</v>
          </cell>
          <cell r="I581" t="str">
            <v>未稅</v>
          </cell>
          <cell r="J581">
            <v>30</v>
          </cell>
          <cell r="K581" t="str">
            <v>4542＞4708＞未稅</v>
          </cell>
          <cell r="L581" t="str">
            <v>037-480085＞0926-656223黃明龍</v>
          </cell>
          <cell r="M581" t="str">
            <v>2-0201</v>
          </cell>
          <cell r="R581" t="b">
            <v>0</v>
          </cell>
          <cell r="S581" t="str"/>
          <cell r="T581" t="b">
            <v>0</v>
          </cell>
          <cell r="W581">
            <v>350</v>
          </cell>
          <cell r="X581" t="str">
            <v>苗栗縣竹南鎮大厝里12鄰全天路97號。</v>
          </cell>
          <cell r="Y581" t="str">
            <v>苗栗縣竹南鎮</v>
          </cell>
          <cell r="Z581" t="str">
            <v>苗栗縣竹南鎮大厝里12鄰全天路97號.</v>
          </cell>
          <cell r="AA581" t="str">
            <v>350苗栗縣竹南鎮大厝里12鄰全天路97號。</v>
          </cell>
          <cell r="AK581" t="str">
            <v>RAC-1907</v>
          </cell>
          <cell r="AL581" t="str">
            <v>1-0276-民景&gt;寄&gt;附發票&gt;附回郵</v>
          </cell>
          <cell r="AM581" t="str">
            <v>1-0276</v>
          </cell>
        </row>
        <row r="582">
          <cell r="B582" t="str">
            <v>1-0577</v>
          </cell>
          <cell r="C582" t="str">
            <v>104-04-15</v>
          </cell>
          <cell r="D582" t="str">
            <v>1-0577-毓丰&gt;寄&gt;附發票&gt;附回郵</v>
          </cell>
          <cell r="E582" t="str">
            <v>毓丰企業社＞負:彭黎興＞裕豐修車廠</v>
          </cell>
          <cell r="F582" t="str">
            <v>毓丰企業社(577)</v>
          </cell>
          <cell r="G582" t="str">
            <v>稅外</v>
          </cell>
          <cell r="H582" t="str">
            <v>寄＞附發票＞附回郵＞</v>
          </cell>
          <cell r="I582" t="str">
            <v>0869＞5876＞稅外</v>
          </cell>
          <cell r="J582">
            <v>30</v>
          </cell>
          <cell r="L582" t="str">
            <v>03-5518948＞0937-280572彭黎興＞傳真03-5511725</v>
          </cell>
          <cell r="M582">
            <v>0</v>
          </cell>
          <cell r="R582" t="b">
            <v>0</v>
          </cell>
          <cell r="S582" t="str"/>
          <cell r="T582" t="b">
            <v>0</v>
          </cell>
          <cell r="W582">
            <v>302</v>
          </cell>
          <cell r="X582" t="str">
            <v>新竹縣竹北巿新溪街364號＞登:新竹市北區舊社里金竹路8-1號1樓。</v>
          </cell>
          <cell r="Y582" t="str">
            <v>新竹縣竹北巿</v>
          </cell>
          <cell r="Z582" t="str">
            <v>新竹縣竹北巿新溪街364號.</v>
          </cell>
          <cell r="AA582" t="str">
            <v>302新竹縣竹北巿新溪街364號＞登:新竹市北區舊社里金竹路8-1號1樓。</v>
          </cell>
          <cell r="AK582" t="str">
            <v>5B-8271</v>
          </cell>
          <cell r="AL582" t="str">
            <v>1-0276-民景&gt;寄&gt;附發票&gt;附回郵</v>
          </cell>
          <cell r="AM582" t="str">
            <v>1-0276</v>
          </cell>
        </row>
        <row r="583">
          <cell r="B583" t="str">
            <v>1-0578</v>
          </cell>
          <cell r="C583" t="str">
            <v>104-04-16</v>
          </cell>
          <cell r="D583" t="str">
            <v>1-0578-(1/2)捷盛&gt;寄&gt;附發票&gt;3個月匯款</v>
          </cell>
          <cell r="E583" t="str">
            <v>捷盛運輸股份有限公司＞負:徐重仁</v>
          </cell>
          <cell r="F583" t="str">
            <v>捷盛運輸股份有限公司-竹南(578)</v>
          </cell>
          <cell r="G583" t="str">
            <v>含稅</v>
          </cell>
          <cell r="H583" t="str">
            <v>寄＞附發票＞匯款:3個月後匯款＞</v>
          </cell>
          <cell r="I583" t="str">
            <v>出單先確定車號公司別並記錄對方確認的人員 1637＞9900捷盛&gt;含稅＞中華全佑＞25號月結</v>
          </cell>
          <cell r="J583">
            <v>25</v>
          </cell>
          <cell r="L583" t="str">
            <v>037-626711-6666＞0939-571982竹南-盧聚賢＞傳真037-628398</v>
          </cell>
          <cell r="M583">
            <v>0</v>
          </cell>
          <cell r="R583" t="b">
            <v>0</v>
          </cell>
          <cell r="S583" t="str"/>
          <cell r="T583" t="b">
            <v>0</v>
          </cell>
          <cell r="W583">
            <v>350</v>
          </cell>
          <cell r="X583" t="str">
            <v>苗栗縣竹南鎮公館里公館仔75之1號。</v>
          </cell>
          <cell r="Y583" t="str">
            <v>桃園縣中壢巿</v>
          </cell>
          <cell r="Z583" t="str">
            <v>桃園縣中壢巿北園路37號.</v>
          </cell>
          <cell r="AA583" t="str">
            <v>350苗栗縣竹南鎮公館里公館仔75之1號。</v>
          </cell>
          <cell r="AK583" t="str">
            <v>558-GF</v>
          </cell>
          <cell r="AL583" t="str">
            <v>1-0283-全瑩&gt;寄&gt;附發票&gt;附回郵</v>
          </cell>
          <cell r="AM583" t="str">
            <v>1-0283</v>
          </cell>
        </row>
        <row r="584">
          <cell r="B584" t="str">
            <v>1-0579</v>
          </cell>
          <cell r="C584" t="str">
            <v>104-04-16</v>
          </cell>
          <cell r="D584" t="str">
            <v>1-0579-(1/2)捷盛&gt;寄&gt;附發票&gt;3個月匯款</v>
          </cell>
          <cell r="E584" t="str">
            <v>捷盛運輸股份有限公司＞負:徐重仁</v>
          </cell>
          <cell r="F584" t="str">
            <v>捷盛運輸股份有限公司-苗栗(579)</v>
          </cell>
          <cell r="G584" t="str">
            <v>含稅</v>
          </cell>
          <cell r="H584" t="str">
            <v>寄＞附發票＞匯款:3個月後匯款＞</v>
          </cell>
          <cell r="I584" t="str">
            <v>出單先確定車號公司別並記錄對方確認的人員 1637＞9900捷盛＞含稅＞中華全佑＞25號月結</v>
          </cell>
          <cell r="J584">
            <v>25</v>
          </cell>
          <cell r="L584" t="str">
            <v>037-269333-8131苗栗-張家睿&gt;0928-325551龜毛</v>
          </cell>
          <cell r="M584">
            <v>0</v>
          </cell>
          <cell r="R584" t="b">
            <v>0</v>
          </cell>
          <cell r="S584" t="str"/>
          <cell r="T584" t="b">
            <v>0</v>
          </cell>
          <cell r="W584">
            <v>360</v>
          </cell>
          <cell r="X584" t="str">
            <v>苗栗巿中華路780號。</v>
          </cell>
          <cell r="Y584" t="str">
            <v>桃園縣中壢巿</v>
          </cell>
          <cell r="Z584" t="str">
            <v>桃園縣中壢巿北園路37號.</v>
          </cell>
          <cell r="AA584" t="str">
            <v>360苗栗巿中華路780號。</v>
          </cell>
          <cell r="AK584" t="str">
            <v>GY-039</v>
          </cell>
          <cell r="AL584" t="str">
            <v>1-0283-全瑩&gt;寄&gt;附發票&gt;附回郵</v>
          </cell>
          <cell r="AM584" t="str">
            <v>1-0283</v>
          </cell>
        </row>
        <row r="585">
          <cell r="B585" t="str">
            <v>1-0580</v>
          </cell>
          <cell r="C585" t="str">
            <v>104-04-16</v>
          </cell>
          <cell r="D585" t="str">
            <v>1-0580-(1/2)捷盛&gt;寄&gt;附發票&gt;3個月匯款</v>
          </cell>
          <cell r="E585" t="str">
            <v>捷盛運輸股份有限公司＞負:徐重仁</v>
          </cell>
          <cell r="F585" t="str">
            <v>捷盛運輸股份有限公司-中壢(580)</v>
          </cell>
          <cell r="G585" t="str">
            <v>含稅</v>
          </cell>
          <cell r="H585" t="str">
            <v>寄＞附發票＞匯款:3個月後匯款＞</v>
          </cell>
          <cell r="I585" t="str">
            <v>出單先確定車號公司別並記錄對方確認的人員 1637＞9900捷盛＞含稅＞中華全佑＞25號月結</v>
          </cell>
          <cell r="J585">
            <v>25</v>
          </cell>
          <cell r="L585" t="str">
            <v>03-4617890-206鍾's分機203徐小姐(維修.車輛發票別)</v>
          </cell>
          <cell r="M585">
            <v>0</v>
          </cell>
          <cell r="R585" t="b">
            <v>0</v>
          </cell>
          <cell r="S585" t="str"/>
          <cell r="T585" t="b">
            <v>0</v>
          </cell>
          <cell r="W585">
            <v>320</v>
          </cell>
          <cell r="X585" t="str">
            <v>桃園縣中壢巿北園路37號。</v>
          </cell>
          <cell r="Y585" t="str">
            <v>桃園縣中壢巿</v>
          </cell>
          <cell r="Z585" t="str">
            <v>桃園縣中壢巿北園路37號.</v>
          </cell>
          <cell r="AA585" t="str">
            <v>320桃園縣中壢巿北園路37號。</v>
          </cell>
          <cell r="AK585" t="str">
            <v>726-Q2</v>
          </cell>
          <cell r="AL585" t="str">
            <v>1-0283-全瑩&gt;寄&gt;附發票&gt;附回郵</v>
          </cell>
          <cell r="AM585" t="str">
            <v>1-0283</v>
          </cell>
        </row>
        <row r="586">
          <cell r="B586" t="str">
            <v>1-0581</v>
          </cell>
          <cell r="C586" t="str">
            <v>104-04-16</v>
          </cell>
          <cell r="D586" t="str">
            <v>1-0581-弘喬&gt;寄&gt;附發票&gt;附回郵</v>
          </cell>
          <cell r="E586" t="str">
            <v xml:space="preserve">弘喬有限公司＞負:周桂枝  </v>
          </cell>
          <cell r="F586" t="str">
            <v>弘喬有限公司(581)</v>
          </cell>
          <cell r="G586" t="str">
            <v>稅外</v>
          </cell>
          <cell r="H586" t="str">
            <v>寄＞附發票＞附回郵＞</v>
          </cell>
          <cell r="I586" t="str">
            <v>1638＞9858弘喬＞稅外</v>
          </cell>
          <cell r="J586">
            <v>30</v>
          </cell>
          <cell r="L586" t="str">
            <v>037-615872永貞&gt;037-620363尖山＞0972-691460周應欽＞0910-517155周應錫＞傳真037-616146&gt;0928-611625&gt;037-627425老闆娘</v>
          </cell>
          <cell r="M586">
            <v>0</v>
          </cell>
          <cell r="R586" t="b">
            <v>0</v>
          </cell>
          <cell r="S586" t="str"/>
          <cell r="T586" t="b">
            <v>0</v>
          </cell>
          <cell r="W586">
            <v>350</v>
          </cell>
          <cell r="X586" t="str">
            <v>苗栗縣竹南鎮公館里大埔頂9-18號.</v>
          </cell>
          <cell r="Y586" t="str">
            <v>苗栗縣竹南鎮</v>
          </cell>
          <cell r="Z586" t="str">
            <v>苗栗縣竹南鎮公館里大埔頂9-18號.</v>
          </cell>
          <cell r="AA586" t="str">
            <v>350苗栗縣竹南鎮公館里大埔頂9-18號.</v>
          </cell>
          <cell r="AK586" t="str">
            <v>136-GF</v>
          </cell>
          <cell r="AL586" t="str">
            <v>1-0283-全瑩&gt;寄&gt;附發票&gt;附回郵</v>
          </cell>
          <cell r="AM586" t="str">
            <v>1-0283</v>
          </cell>
        </row>
        <row r="587">
          <cell r="B587" t="str">
            <v>1-0582</v>
          </cell>
          <cell r="C587" t="str">
            <v>104-04-16</v>
          </cell>
          <cell r="D587" t="str">
            <v>1-0582-周應欽&gt;電&gt;自結</v>
          </cell>
          <cell r="E587" t="str">
            <v>周應欽</v>
          </cell>
          <cell r="F587" t="str">
            <v>周應欽(582)</v>
          </cell>
          <cell r="G587" t="str">
            <v>未稅</v>
          </cell>
          <cell r="H587" t="str">
            <v>電&gt;自結</v>
          </cell>
          <cell r="I587" t="str">
            <v>未稅</v>
          </cell>
          <cell r="J587">
            <v>30</v>
          </cell>
          <cell r="L587" t="str">
            <v>037-615872永貞＞037-620363尖山＞0972-691460周應欽＞0910-517155周應錫＞傳真037-616146</v>
          </cell>
          <cell r="M587">
            <v>0</v>
          </cell>
          <cell r="R587" t="b">
            <v>0</v>
          </cell>
          <cell r="S587" t="str"/>
          <cell r="T587" t="b">
            <v>0</v>
          </cell>
          <cell r="W587">
            <v>350</v>
          </cell>
          <cell r="X587" t="str">
            <v>苗栗縣竹南鎮公館里大埔頂9-18號.＞東豪登:苗栗縣通霄鎮圳頭里7鄰72號。</v>
          </cell>
          <cell r="Y587" t="str">
            <v>苗栗縣竹南鎮</v>
          </cell>
          <cell r="Z587" t="str">
            <v>苗栗縣竹南鎮公館里大埔頂9-18號.</v>
          </cell>
          <cell r="AA587" t="str">
            <v>350苗栗縣竹南鎮公館里大埔頂9-18號.＞東豪登:苗栗縣通霄鎮圳頭里7鄰72號。</v>
          </cell>
          <cell r="AK587" t="str">
            <v>QU-888</v>
          </cell>
          <cell r="AL587" t="str">
            <v>1-0286-洪鍵忠＞小香港&gt;寄&gt;附回郵</v>
          </cell>
          <cell r="AM587" t="str">
            <v>1-0286</v>
          </cell>
        </row>
        <row r="588">
          <cell r="B588" t="str">
            <v>1-0583</v>
          </cell>
          <cell r="C588" t="str">
            <v>104-10-23</v>
          </cell>
          <cell r="D588" t="str">
            <v>1-0583-天大&gt;陳秋枝&gt;寄&gt;自結</v>
          </cell>
          <cell r="E588" t="str">
            <v>天大&gt;陳秋枝＞靠行:天富交通股份有限公司,負:陳漢琮</v>
          </cell>
          <cell r="F588" t="str">
            <v>陳秋枝(583)</v>
          </cell>
          <cell r="G588" t="str">
            <v>未稅</v>
          </cell>
          <cell r="H588" t="str">
            <v>寄＞自結＞</v>
          </cell>
          <cell r="I588" t="str">
            <v>未稅</v>
          </cell>
          <cell r="J588">
            <v>30</v>
          </cell>
          <cell r="K588" t="str">
            <v>9723＞4433＞未稅</v>
          </cell>
          <cell r="L588" t="str">
            <v>037-432135＞0928-650221陳秋枝</v>
          </cell>
          <cell r="M588">
            <v>0</v>
          </cell>
          <cell r="O588">
            <v>50</v>
          </cell>
          <cell r="P588">
            <v>5</v>
          </cell>
          <cell r="Q588">
            <v>27</v>
          </cell>
          <cell r="R588">
            <v>60</v>
          </cell>
          <cell r="S588">
            <v>61</v>
          </cell>
          <cell r="T588">
            <v>22428</v>
          </cell>
          <cell r="W588">
            <v>356</v>
          </cell>
          <cell r="X588" t="str">
            <v>苗栗縣後龍鎮灣寶里122之9號＞登:苗栗縣頭份市蟠桃里3鄰中央路268號1Ｆ。</v>
          </cell>
          <cell r="Y588" t="str">
            <v>苗栗縣後龍鎮</v>
          </cell>
          <cell r="Z588" t="str">
            <v>苗栗縣後龍鎮灣寶里122之9號.</v>
          </cell>
          <cell r="AA588" t="str">
            <v>356苗栗縣後龍鎮灣寶里122之9號＞登:苗栗縣頭份市蟠桃里3鄰中央路268號1Ｆ。</v>
          </cell>
          <cell r="AK588" t="str">
            <v>8290-RN</v>
          </cell>
          <cell r="AL588" t="str">
            <v>1-0286-洪鍵忠＞小香港&gt;寄&gt;附回郵</v>
          </cell>
          <cell r="AM588" t="str">
            <v>1-0286</v>
          </cell>
        </row>
        <row r="589">
          <cell r="B589" t="str">
            <v>1-0584</v>
          </cell>
          <cell r="C589" t="str">
            <v>104-04-16</v>
          </cell>
          <cell r="D589" t="str">
            <v>1-0584-李世璋&gt;寄&gt;附發票&gt;自結</v>
          </cell>
          <cell r="E589" t="str">
            <v>瑞峰起重拖吊行＞負:陳佩琳</v>
          </cell>
          <cell r="F589" t="str">
            <v>李世璋(584)</v>
          </cell>
          <cell r="G589" t="str">
            <v>稅外</v>
          </cell>
          <cell r="H589" t="str">
            <v>寄＞附發票＞自結＞</v>
          </cell>
          <cell r="I589" t="str">
            <v>3998＞9600＞稅外</v>
          </cell>
          <cell r="J589">
            <v>30</v>
          </cell>
          <cell r="L589" t="str">
            <v>03-5371533＞0988-593339李世璋</v>
          </cell>
          <cell r="M589">
            <v>0</v>
          </cell>
          <cell r="O589">
            <v>69</v>
          </cell>
          <cell r="P589">
            <v>6</v>
          </cell>
          <cell r="Q589">
            <v>15</v>
          </cell>
          <cell r="R589">
            <v>41</v>
          </cell>
          <cell r="S589">
            <v>80</v>
          </cell>
          <cell r="T589">
            <v>29387</v>
          </cell>
          <cell r="U589" t="str">
            <v>O100421389</v>
          </cell>
          <cell r="V589" t="str">
            <v>李世璋</v>
          </cell>
          <cell r="W589">
            <v>300</v>
          </cell>
          <cell r="X589" t="str">
            <v>新竹巿大湖路151號＞登:新竹市香山區海山里大湖路149號。</v>
          </cell>
          <cell r="Y589" t="str">
            <v>新竹巿大湖路</v>
          </cell>
          <cell r="Z589" t="str">
            <v>新竹巿大湖路151號.</v>
          </cell>
          <cell r="AA589" t="str">
            <v>300新竹巿大湖路151號＞登:新竹市香山區海山里大湖路149號。</v>
          </cell>
          <cell r="AK589" t="str">
            <v>959-JD</v>
          </cell>
          <cell r="AL589" t="str">
            <v>1-0287-蘇定芳＞十二少&gt;寄平信&gt;附回郵</v>
          </cell>
          <cell r="AM589" t="str">
            <v>1-0287</v>
          </cell>
        </row>
        <row r="590">
          <cell r="B590" t="str">
            <v>1-0585</v>
          </cell>
          <cell r="C590" t="str">
            <v>104-04-16</v>
          </cell>
          <cell r="D590" t="str">
            <v>1-0585-華鴻&gt;寄&gt;附發票&gt;附回郵</v>
          </cell>
          <cell r="E590" t="str">
            <v>華鴻紙業股份有限公司＞負:郭永銘</v>
          </cell>
          <cell r="F590" t="str">
            <v>華鴻紙業股份有限公司(585)</v>
          </cell>
          <cell r="G590" t="str">
            <v>含稅</v>
          </cell>
          <cell r="H590" t="str">
            <v>寄＞附發票＞附回郵＞</v>
          </cell>
          <cell r="I590" t="str">
            <v>8005＞3794華鴻＞含稅</v>
          </cell>
          <cell r="J590">
            <v>30</v>
          </cell>
          <cell r="L590" t="str">
            <v>037-625858華鴻＞037-622777宏明</v>
          </cell>
          <cell r="M590">
            <v>0</v>
          </cell>
          <cell r="R590" t="b">
            <v>0</v>
          </cell>
          <cell r="S590" t="str"/>
          <cell r="T590" t="b">
            <v>0</v>
          </cell>
          <cell r="W590">
            <v>350</v>
          </cell>
          <cell r="X590" t="str">
            <v>苗栗縣竹南鎮公館里大埔頂8號＞登:苗栗縣頭份鎮蘆竹里2鄰永貞路一段77巷60號。</v>
          </cell>
          <cell r="Y590" t="str">
            <v>苗栗縣竹南鎮</v>
          </cell>
          <cell r="Z590" t="str">
            <v>苗栗縣竹南鎮公館里大埔頂8號.</v>
          </cell>
          <cell r="AA590" t="str">
            <v>350苗栗縣竹南鎮公館里大埔頂8號＞登:苗栗縣頭份鎮蘆竹里2鄰永貞路一段77巷60號。</v>
          </cell>
          <cell r="AK590" t="str">
            <v>809-JD</v>
          </cell>
          <cell r="AL590" t="str">
            <v>1-0287-蘇定芳＞十二少&gt;寄平信&gt;附回郵</v>
          </cell>
          <cell r="AM590" t="str">
            <v>1-0287</v>
          </cell>
        </row>
        <row r="591">
          <cell r="B591" t="str">
            <v>1-0586</v>
          </cell>
          <cell r="C591" t="str">
            <v>104-04-16</v>
          </cell>
          <cell r="D591" t="str">
            <v>1-0586-宏明&gt;寄&gt;附發票&gt;附回郵</v>
          </cell>
          <cell r="E591" t="str">
            <v>宏明紙業股份有限公司＞負:廖霞榮</v>
          </cell>
          <cell r="F591" t="str">
            <v>宏明紙業股份有限公司(586)</v>
          </cell>
          <cell r="G591" t="str">
            <v>含稅</v>
          </cell>
          <cell r="H591" t="str">
            <v>寄＞附發票＞附回郵＞</v>
          </cell>
          <cell r="I591" t="str">
            <v>4970＞3203宏明＞含稅&gt;中華全佑</v>
          </cell>
          <cell r="J591">
            <v>30</v>
          </cell>
          <cell r="L591" t="str">
            <v>037-625858華鴻＞037-622777宏明&gt;Fax:037-623046</v>
          </cell>
          <cell r="M591">
            <v>0</v>
          </cell>
          <cell r="R591" t="b">
            <v>0</v>
          </cell>
          <cell r="S591" t="str"/>
          <cell r="T591" t="b">
            <v>0</v>
          </cell>
          <cell r="W591">
            <v>350</v>
          </cell>
          <cell r="X591" t="str">
            <v>苗栗縣竹南鎮公館里7鄰大埔頂15-1號。</v>
          </cell>
          <cell r="Y591" t="str">
            <v>苗栗縣竹南鎮</v>
          </cell>
          <cell r="Z591" t="str">
            <v>苗栗縣竹南鎮公館里7鄰大埔頂15之1號.</v>
          </cell>
          <cell r="AA591" t="str">
            <v>350苗栗縣竹南鎮公館里7鄰大埔頂15-1號。</v>
          </cell>
          <cell r="AK591" t="str">
            <v>706-W8</v>
          </cell>
          <cell r="AL591" t="str">
            <v>1-0296-黃正男&gt;阿呆&gt;寄&gt;自結</v>
          </cell>
          <cell r="AM591" t="str">
            <v>1-0296</v>
          </cell>
        </row>
        <row r="592">
          <cell r="B592" t="str">
            <v>1-0587</v>
          </cell>
          <cell r="C592" t="str">
            <v>104-04-25</v>
          </cell>
          <cell r="D592" t="str">
            <v>1-0587-志竹&gt;現收</v>
          </cell>
          <cell r="E592" t="str">
            <v>志竹實業有限公司＞負:林淑美</v>
          </cell>
          <cell r="F592" t="str">
            <v>志竹實業有限公司(587)</v>
          </cell>
          <cell r="G592" t="str">
            <v>未稅</v>
          </cell>
          <cell r="H592" t="str">
            <v>現收＞</v>
          </cell>
          <cell r="I592" t="str">
            <v>未稅</v>
          </cell>
          <cell r="J592">
            <v>30</v>
          </cell>
          <cell r="K592" t="str">
            <v>8955＞2011＞未稅</v>
          </cell>
          <cell r="L592" t="str">
            <v>037-626939＞613366＞627372＞0937-728831張順興＞傳真037-633655</v>
          </cell>
          <cell r="M592">
            <v>0</v>
          </cell>
          <cell r="R592" t="b">
            <v>0</v>
          </cell>
          <cell r="S592" t="str"/>
          <cell r="T592" t="b">
            <v>0</v>
          </cell>
          <cell r="W592">
            <v>351</v>
          </cell>
          <cell r="X592" t="str">
            <v>苗栗縣頭份鎮後庄里信義路771號。</v>
          </cell>
          <cell r="Y592" t="str">
            <v>苗栗縣頭份鎮</v>
          </cell>
          <cell r="Z592" t="str">
            <v>苗栗縣頭份鎮後庄里信義路771號.</v>
          </cell>
          <cell r="AA592" t="str">
            <v>351苗栗縣頭份鎮後庄里信義路771號。</v>
          </cell>
          <cell r="AK592" t="str">
            <v>KLE-8209</v>
          </cell>
          <cell r="AL592" t="str">
            <v>1-0296-黃正男&gt;阿呆&gt;寄&gt;自結</v>
          </cell>
          <cell r="AM592" t="str">
            <v>1-0296</v>
          </cell>
        </row>
        <row r="593">
          <cell r="B593" t="str">
            <v>1-0588</v>
          </cell>
          <cell r="C593" t="str">
            <v>104-04-29</v>
          </cell>
          <cell r="D593" t="str">
            <v>1-0588-蔡長永(原華)&gt;寄&gt;自結</v>
          </cell>
          <cell r="E593" t="str">
            <v>蔡長永＞靠行:原華交通有限公司,負:張永欽</v>
          </cell>
          <cell r="F593" t="str">
            <v>蔡長永(588)</v>
          </cell>
          <cell r="G593" t="str">
            <v>未稅</v>
          </cell>
          <cell r="H593" t="str">
            <v>寄＞自結＞匯款:0065383＞</v>
          </cell>
          <cell r="I593" t="str">
            <v>未稅</v>
          </cell>
          <cell r="J593">
            <v>30</v>
          </cell>
          <cell r="K593" t="str">
            <v>3392＞8331＞未稅</v>
          </cell>
          <cell r="L593" t="str">
            <v>0918-033201蔡長永</v>
          </cell>
          <cell r="M593">
            <v>0</v>
          </cell>
          <cell r="R593" t="b">
            <v>0</v>
          </cell>
          <cell r="S593" t="str"/>
          <cell r="T593" t="b">
            <v>0</v>
          </cell>
          <cell r="U593" t="str">
            <v>N124710247</v>
          </cell>
          <cell r="W593">
            <v>503</v>
          </cell>
          <cell r="X593" t="str">
            <v>彰化縣花壇鄉長沙村中山路二段70巷31弄13號。</v>
          </cell>
          <cell r="Y593" t="str">
            <v>彰化縣花壇嫏</v>
          </cell>
          <cell r="Z593" t="str">
            <v>彰化縣花壇嫏長沙村中山路二段70巷31弄13號.</v>
          </cell>
          <cell r="AA593" t="str">
            <v>503彰化縣花壇鄉長沙村中山路二段70巷31弄13號。</v>
          </cell>
          <cell r="AK593" t="str">
            <v>SW-556</v>
          </cell>
          <cell r="AL593" t="str">
            <v>1-0296-黃正男&gt;阿呆&gt;寄&gt;自結</v>
          </cell>
          <cell r="AM593" t="str">
            <v>1-0296</v>
          </cell>
        </row>
        <row r="594">
          <cell r="B594" t="str">
            <v>1-0589</v>
          </cell>
          <cell r="C594" t="str">
            <v>104-05-13</v>
          </cell>
          <cell r="D594" t="str">
            <v>1-0589-汯宸&gt;寄&gt;附發票&gt;一個月匯款</v>
          </cell>
          <cell r="E594" t="str">
            <v>汯宸股份有限公司＞負:曹晉瑞</v>
          </cell>
          <cell r="F594" t="str">
            <v>汯宸有限公司(589)</v>
          </cell>
          <cell r="G594" t="str">
            <v>含稅</v>
          </cell>
          <cell r="H594" t="str">
            <v>寄＞附發票＞1個月匯款＞</v>
          </cell>
          <cell r="I594" t="str">
            <v>2437＞7440＞含稅＞中華全佑&gt;一張簽單一張發票</v>
          </cell>
          <cell r="J594">
            <v>30</v>
          </cell>
          <cell r="L594" t="str">
            <v>03-5301566＞傳真03-5301522</v>
          </cell>
          <cell r="M594">
            <v>0</v>
          </cell>
          <cell r="R594" t="b">
            <v>0</v>
          </cell>
          <cell r="S594" t="str"/>
          <cell r="T594" t="b">
            <v>0</v>
          </cell>
          <cell r="W594">
            <v>300</v>
          </cell>
          <cell r="X594" t="str">
            <v>新竹市香山區育德街117號7樓。</v>
          </cell>
          <cell r="Y594" t="str">
            <v>新竹市香山區</v>
          </cell>
          <cell r="Z594" t="str">
            <v>新竹市香山區育德街117號7樓.</v>
          </cell>
          <cell r="AA594" t="str">
            <v>300新竹市香山區育德街117號7樓。</v>
          </cell>
          <cell r="AK594" t="str">
            <v>ABG-6113</v>
          </cell>
          <cell r="AL594" t="str">
            <v>1-0296-黃正男&gt;阿呆&gt;寄&gt;自結</v>
          </cell>
          <cell r="AM594" t="str">
            <v>1-0296</v>
          </cell>
        </row>
        <row r="595">
          <cell r="B595" t="str">
            <v>1-0590</v>
          </cell>
          <cell r="C595" t="str">
            <v>104-05-15</v>
          </cell>
          <cell r="D595" t="str">
            <v>1-0590-電機葆&gt;張正葆&gt;寄&gt;自結</v>
          </cell>
          <cell r="E595" t="str">
            <v>張正葆＞阿葆汽車工作室</v>
          </cell>
          <cell r="F595" t="str">
            <v>張正葆(590)</v>
          </cell>
          <cell r="G595" t="str">
            <v>未稅</v>
          </cell>
          <cell r="H595" t="str">
            <v>寄＞自結＞</v>
          </cell>
          <cell r="I595" t="str">
            <v>未稅</v>
          </cell>
          <cell r="J595">
            <v>30</v>
          </cell>
          <cell r="L595" t="str">
            <v>0916-120066張正葆</v>
          </cell>
          <cell r="M595" t="str">
            <v>2-0173</v>
          </cell>
          <cell r="R595" t="b">
            <v>0</v>
          </cell>
          <cell r="S595" t="str"/>
          <cell r="T595" t="b">
            <v>0</v>
          </cell>
          <cell r="W595">
            <v>361</v>
          </cell>
          <cell r="X595" t="str">
            <v>苗栗縣造橋鄉朝陽村1鄰2號。</v>
          </cell>
          <cell r="Y595" t="str">
            <v>苗栗縣造橋鄉</v>
          </cell>
          <cell r="Z595" t="str">
            <v>苗栗縣造橋鄉朝陽村1鄰2號.</v>
          </cell>
          <cell r="AA595" t="str">
            <v>361苗栗縣造橋鄉朝陽村1鄰2號。</v>
          </cell>
          <cell r="AK595" t="str">
            <v>946-G5</v>
          </cell>
          <cell r="AL595" t="str">
            <v>1-0303-江正榮＞阿妙-永慶&gt;寄&gt;自結</v>
          </cell>
          <cell r="AM595" t="str">
            <v>1-0303</v>
          </cell>
        </row>
        <row r="596">
          <cell r="B596" t="str">
            <v>1-0591</v>
          </cell>
          <cell r="C596" t="str">
            <v>104-05-14</v>
          </cell>
          <cell r="D596" t="str">
            <v>1-0591-羅正宏&gt;寄&gt;自結</v>
          </cell>
          <cell r="E596" t="str">
            <v>羅正宏＞靠行:蓬樂交通股份有限公司,負陳鳳盛</v>
          </cell>
          <cell r="F596" t="str">
            <v>羅正宏(591)</v>
          </cell>
          <cell r="G596" t="str">
            <v>未稅</v>
          </cell>
          <cell r="H596" t="str">
            <v>寄＞自結＞</v>
          </cell>
          <cell r="I596" t="str">
            <v>未稅</v>
          </cell>
          <cell r="J596">
            <v>30</v>
          </cell>
          <cell r="K596" t="str">
            <v>4968＞1448＞未稅</v>
          </cell>
          <cell r="L596" t="str">
            <v>0920-969657羅正宏0920-969650</v>
          </cell>
          <cell r="M596">
            <v>0</v>
          </cell>
          <cell r="R596" t="b">
            <v>0</v>
          </cell>
          <cell r="S596" t="str"/>
          <cell r="T596" t="b">
            <v>0</v>
          </cell>
          <cell r="W596">
            <v>360</v>
          </cell>
          <cell r="X596" t="str">
            <v>苗栗縣苗栗市福安里21鄰新村62號。</v>
          </cell>
          <cell r="Y596" t="str">
            <v>苗栗縣苗栗市</v>
          </cell>
          <cell r="Z596" t="str">
            <v>苗栗縣苗栗市福安里21鄰新村62號.</v>
          </cell>
          <cell r="AA596" t="str">
            <v>360苗栗縣苗栗市福安里21鄰新村62號。</v>
          </cell>
          <cell r="AK596" t="str">
            <v>261-JC</v>
          </cell>
          <cell r="AL596" t="str">
            <v>1-0303-江正榮＞阿妙-永慶&gt;寄&gt;自結</v>
          </cell>
          <cell r="AM596" t="str">
            <v>1-0303</v>
          </cell>
        </row>
        <row r="597">
          <cell r="B597" t="str">
            <v>1-0592</v>
          </cell>
          <cell r="C597" t="str">
            <v>104-05-18</v>
          </cell>
          <cell r="D597" t="str">
            <v>1-0592-嘉安&gt;寄&gt;附發票&gt;附回郵</v>
          </cell>
          <cell r="E597" t="str">
            <v>嘉安通運股份有限公司＞負:吳禮名</v>
          </cell>
          <cell r="F597" t="str">
            <v>嘉安通運股份有限公司(592)</v>
          </cell>
          <cell r="G597" t="str">
            <v>含稅</v>
          </cell>
          <cell r="H597" t="str">
            <v>寄＞附發票＞附回郵＞</v>
          </cell>
          <cell r="I597" t="str">
            <v>8692＞8794＞含稅＞一張8萬</v>
          </cell>
          <cell r="J597">
            <v>30</v>
          </cell>
          <cell r="L597" t="str">
            <v>04-26561715＞04-26577286＞0925-103310吳禮名＞傳真04-26572683</v>
          </cell>
          <cell r="M597">
            <v>0</v>
          </cell>
          <cell r="R597" t="b">
            <v>0</v>
          </cell>
          <cell r="S597" t="str"/>
          <cell r="T597" t="b">
            <v>0</v>
          </cell>
          <cell r="W597">
            <v>435</v>
          </cell>
          <cell r="X597" t="str">
            <v>台中縣梧棲鎮信義街60巷9號＞登:臺中市梧棲區大庄里信義街77巷78弄9號。</v>
          </cell>
          <cell r="Y597" t="str">
            <v>台中縣梧棲鎮</v>
          </cell>
          <cell r="Z597" t="str">
            <v>台中縣梧棲鎮信義街60巷9號.</v>
          </cell>
          <cell r="AA597" t="str">
            <v>435台中縣梧棲鎮信義街60巷9號＞登:臺中市梧棲區大庄里信義街77巷78弄9號。</v>
          </cell>
          <cell r="AK597" t="str">
            <v>773-W6</v>
          </cell>
          <cell r="AL597" t="str">
            <v>1-0303-江正榮＞阿妙-永慶&gt;寄&gt;自結</v>
          </cell>
          <cell r="AM597" t="str">
            <v>1-0303</v>
          </cell>
        </row>
        <row r="598">
          <cell r="B598" t="str">
            <v>1-0593</v>
          </cell>
          <cell r="C598" t="str">
            <v>104-05-20</v>
          </cell>
          <cell r="D598" t="str">
            <v>1-0593-大宇&gt;寄&gt;附發票&gt;附回郵</v>
          </cell>
          <cell r="E598" t="str">
            <v>大宇通運有限公司＞負:梁禮仁</v>
          </cell>
          <cell r="F598" t="str">
            <v>大宇通運有限公司(593)</v>
          </cell>
          <cell r="G598" t="str">
            <v>稅外</v>
          </cell>
          <cell r="H598" t="str">
            <v>寄＞附發票＞附回郵＞</v>
          </cell>
          <cell r="I598" t="str">
            <v>8685＞9261＞稅外</v>
          </cell>
          <cell r="J598">
            <v>30</v>
          </cell>
          <cell r="L598" t="str">
            <v>03-5824825＞傳真03-5829710</v>
          </cell>
          <cell r="M598">
            <v>0</v>
          </cell>
          <cell r="R598" t="b">
            <v>0</v>
          </cell>
          <cell r="S598" t="str"/>
          <cell r="T598" t="b">
            <v>0</v>
          </cell>
          <cell r="W598">
            <v>310</v>
          </cell>
          <cell r="X598" t="str">
            <v>新竹縣竹東鎮二重里民族路89巷1之1號。</v>
          </cell>
          <cell r="Y598" t="str">
            <v>新竹縣竹東鎮</v>
          </cell>
          <cell r="Z598" t="str">
            <v>新竹縣竹東鎮二重里民族路89巷1之1號.</v>
          </cell>
          <cell r="AA598" t="str">
            <v>310新竹縣竹東鎮二重里民族路89巷1之1號。</v>
          </cell>
          <cell r="AK598" t="str">
            <v>490-W9</v>
          </cell>
          <cell r="AL598" t="str">
            <v>1-0309-龍聖&gt;嘉盛&gt;寄&gt;自結</v>
          </cell>
          <cell r="AM598" t="str">
            <v>1-0309</v>
          </cell>
        </row>
        <row r="599">
          <cell r="B599" t="str">
            <v>1-0594</v>
          </cell>
          <cell r="C599" t="str">
            <v>104-05-20</v>
          </cell>
          <cell r="D599" t="str">
            <v>1-0594-景明&gt;寄&gt;附發票&gt;三個月匯款</v>
          </cell>
          <cell r="E599" t="str">
            <v>景明化工股份有限公司＞負:熊道英</v>
          </cell>
          <cell r="F599" t="str">
            <v>景明化工股份有限公司(594)</v>
          </cell>
          <cell r="G599" t="str">
            <v>稅外</v>
          </cell>
          <cell r="H599" t="str">
            <v>寄＞附發票＞3個月匯款＞</v>
          </cell>
          <cell r="I599" t="str">
            <v>5053＞1334＞稅外＞中華全佑＞25號月結</v>
          </cell>
          <cell r="J599">
            <v>25</v>
          </cell>
          <cell r="L599" t="str">
            <v>037-621088＞傳真037-621090&gt;037-629988#518會計</v>
          </cell>
          <cell r="M599">
            <v>0</v>
          </cell>
          <cell r="R599" t="b">
            <v>0</v>
          </cell>
          <cell r="S599" t="str"/>
          <cell r="T599" t="b">
            <v>0</v>
          </cell>
          <cell r="W599">
            <v>351</v>
          </cell>
          <cell r="X599" t="str">
            <v>苗栗縣頭份鎮蘆竹里16鄰工業路16號。</v>
          </cell>
          <cell r="Y599" t="str">
            <v>苗栗縣頭份鎮</v>
          </cell>
          <cell r="Z599" t="str">
            <v>苗栗縣頭份鎮蘆竹里16鄰工業路16號.</v>
          </cell>
          <cell r="AA599" t="str">
            <v>351苗栗縣頭份鎮蘆竹里16鄰工業路16號。</v>
          </cell>
          <cell r="AK599" t="str">
            <v>9331-N5</v>
          </cell>
          <cell r="AL599" t="str">
            <v>1-0077-德龍紙業&gt;寄&gt;附發票＞親收</v>
          </cell>
          <cell r="AM599" t="str">
            <v>1-0077</v>
          </cell>
        </row>
        <row r="600">
          <cell r="B600" t="str">
            <v>1-0595</v>
          </cell>
          <cell r="C600" t="str">
            <v>104-06-02</v>
          </cell>
          <cell r="D600" t="str">
            <v>1-0595-順鑫&gt;寄&gt;附發票&gt;附回郵</v>
          </cell>
          <cell r="E600" t="str">
            <v>順鑫企業社＞負:宋月鳳</v>
          </cell>
          <cell r="F600" t="str">
            <v>順鑫企業社(595)</v>
          </cell>
          <cell r="G600" t="str">
            <v>含稅</v>
          </cell>
          <cell r="H600" t="str">
            <v>寄＞附發票＞附回郵＞</v>
          </cell>
          <cell r="I600" t="str">
            <v>2520＞3663＞含稅</v>
          </cell>
          <cell r="J600">
            <v>30</v>
          </cell>
          <cell r="L600" t="str">
            <v>037-664537＞0932-614030＞0921-738110黎維進＞傳真037-591370</v>
          </cell>
          <cell r="M600">
            <v>0</v>
          </cell>
          <cell r="R600" t="b">
            <v>0</v>
          </cell>
          <cell r="S600" t="str"/>
          <cell r="T600" t="b">
            <v>0</v>
          </cell>
          <cell r="W600">
            <v>351</v>
          </cell>
          <cell r="X600" t="str">
            <v>苗栗縣頭份鎮文化里9鄰吉龍5號。</v>
          </cell>
          <cell r="Y600" t="str">
            <v>苗栗縣頭份鎮</v>
          </cell>
          <cell r="Z600" t="str">
            <v>苗栗縣頭份鎮文化里9鄰吉龍5號.</v>
          </cell>
          <cell r="AA600" t="str">
            <v>351苗栗縣頭份鎮文化里9鄰吉龍5號。</v>
          </cell>
          <cell r="AK600" t="str">
            <v>953-W8</v>
          </cell>
          <cell r="AL600" t="str">
            <v>1-0046-(1/4)鴻阜&gt;寄&gt;附發票&gt;附回郵</v>
          </cell>
          <cell r="AM600" t="str">
            <v>1-0046</v>
          </cell>
        </row>
        <row r="601">
          <cell r="B601" t="str">
            <v>1-0596</v>
          </cell>
          <cell r="C601" t="str">
            <v>104-06-09</v>
          </cell>
          <cell r="D601" t="str">
            <v>1-0596-龍翔&gt;寄&gt;匯款</v>
          </cell>
          <cell r="E601" t="str">
            <v>龍翔貨櫃運輸股份有限公司＞負:  張朝應</v>
          </cell>
          <cell r="F601" t="str">
            <v>龍翔貨櫃運輸股份有限公司(596)</v>
          </cell>
          <cell r="G601" t="str">
            <v>未稅</v>
          </cell>
          <cell r="H601" t="str">
            <v>寄＞匯款＞</v>
          </cell>
          <cell r="I601" t="str">
            <v>未稅</v>
          </cell>
          <cell r="J601">
            <v>30</v>
          </cell>
          <cell r="K601" t="str">
            <v>8425＞0348＞未稅</v>
          </cell>
          <cell r="L601" t="str">
            <v>03-3507755＞傳真03-3509922</v>
          </cell>
          <cell r="M601">
            <v>0</v>
          </cell>
          <cell r="R601" t="b">
            <v>0</v>
          </cell>
          <cell r="S601" t="str"/>
          <cell r="T601" t="b">
            <v>0</v>
          </cell>
          <cell r="W601">
            <v>333</v>
          </cell>
          <cell r="X601" t="str">
            <v>桃園縣龜山鄉萬壽路一段1476號＞登:桃園市龜山區迴龍里宏慶街31巷2弄8號2樓。</v>
          </cell>
          <cell r="Y601" t="str">
            <v>桃園縣龜山鄉</v>
          </cell>
          <cell r="Z601" t="str">
            <v>桃園縣龜山鄉萬壽路一段1476號.</v>
          </cell>
          <cell r="AA601" t="str">
            <v>333桃園縣龜山鄉萬壽路一段1476號＞登:桃園市龜山區迴龍里宏慶街31巷2弄8號2樓。</v>
          </cell>
          <cell r="AK601" t="str">
            <v>2680-V3</v>
          </cell>
          <cell r="AL601" t="str">
            <v>1-0060-源鴻&gt;寄&gt;親收</v>
          </cell>
          <cell r="AM601" t="str">
            <v>1-0060</v>
          </cell>
        </row>
        <row r="602">
          <cell r="B602" t="str">
            <v>1-0597</v>
          </cell>
          <cell r="C602" t="str">
            <v>104-06-27</v>
          </cell>
          <cell r="D602" t="str">
            <v>1-0597-佳明玻璃&gt;寄&gt;附回郵</v>
          </cell>
          <cell r="E602" t="str">
            <v>佳明玻璃行＞負:馮志明</v>
          </cell>
          <cell r="F602" t="str">
            <v>佳明玻璃行(597)</v>
          </cell>
          <cell r="G602" t="str">
            <v>未稅</v>
          </cell>
          <cell r="H602" t="str">
            <v>寄＞附回郵＞</v>
          </cell>
          <cell r="I602" t="str">
            <v>未稅</v>
          </cell>
          <cell r="J602">
            <v>30</v>
          </cell>
          <cell r="K602" t="str">
            <v>1986＞8109＞未稅</v>
          </cell>
          <cell r="L602" t="str">
            <v>037-562688＞0919-361432馮志明</v>
          </cell>
          <cell r="M602">
            <v>0</v>
          </cell>
          <cell r="R602" t="b">
            <v>0</v>
          </cell>
          <cell r="S602" t="str"/>
          <cell r="T602" t="b">
            <v>0</v>
          </cell>
          <cell r="W602">
            <v>351</v>
          </cell>
          <cell r="X602" t="str">
            <v>苗栗縣造橋鄉朝陽村大湖內33-2號</v>
          </cell>
          <cell r="Y602" t="str">
            <v>苗栗縣造橋鄉</v>
          </cell>
          <cell r="Z602" t="str">
            <v>苗栗縣造橋鄉朝陽村大湖內33-2號</v>
          </cell>
          <cell r="AA602" t="str">
            <v>351苗栗縣造橋鄉朝陽村大湖內33-2號</v>
          </cell>
          <cell r="AK602" t="str">
            <v>875-JD</v>
          </cell>
          <cell r="AL602" t="str">
            <v>1-0313-蘇煥淇&gt;冠德&gt;寄&gt;附發票&gt;匯款</v>
          </cell>
          <cell r="AM602" t="str">
            <v>1-0313</v>
          </cell>
        </row>
        <row r="603">
          <cell r="B603" t="str">
            <v>1-0598</v>
          </cell>
          <cell r="C603" t="str">
            <v>104-06-30</v>
          </cell>
          <cell r="D603" t="str">
            <v>1-0598-全佳託運&gt;寄&gt;附發票&gt;附回郵</v>
          </cell>
          <cell r="E603" t="str">
            <v>全佳托運行＞負:謝志遠</v>
          </cell>
          <cell r="F603" t="str">
            <v>全佳托運行(598)</v>
          </cell>
          <cell r="G603" t="str">
            <v>含稅</v>
          </cell>
          <cell r="H603" t="str">
            <v>寄＞附發票＞附回郵＞</v>
          </cell>
          <cell r="I603" t="str">
            <v>0930＞0746＞含稅</v>
          </cell>
          <cell r="J603">
            <v>30</v>
          </cell>
          <cell r="L603" t="str">
            <v>04-7992071＞0938-058611謝鴻澤＞傳真04-7994012</v>
          </cell>
          <cell r="M603">
            <v>0</v>
          </cell>
          <cell r="R603" t="b">
            <v>0</v>
          </cell>
          <cell r="S603" t="str"/>
          <cell r="T603" t="b">
            <v>0</v>
          </cell>
          <cell r="W603">
            <v>509</v>
          </cell>
          <cell r="X603" t="str">
            <v>彰化縣伸港鄉溪底村溪底路130號旁1樓。</v>
          </cell>
          <cell r="Y603" t="str">
            <v>彰化縣伸港鄉</v>
          </cell>
          <cell r="Z603" t="str">
            <v>彰化縣伸港鄉溪底村溪底路130號旁1樓.</v>
          </cell>
          <cell r="AA603" t="str">
            <v>509彰化縣伸港鄉溪底村溪底路130號旁1樓。</v>
          </cell>
          <cell r="AK603" t="str">
            <v>145-ZT</v>
          </cell>
          <cell r="AL603" t="str">
            <v>1-0313-蘇煥淇&gt;冠德&gt;寄&gt;附發票&gt;匯款</v>
          </cell>
          <cell r="AM603" t="str">
            <v>1-0313</v>
          </cell>
        </row>
        <row r="604">
          <cell r="B604" t="str">
            <v>1-0599</v>
          </cell>
          <cell r="C604" t="str">
            <v>104-06-29</v>
          </cell>
          <cell r="D604" t="str">
            <v>1-0599-順菖&gt;寄&gt;附回郵</v>
          </cell>
          <cell r="E604" t="str">
            <v>順菖輪胎有限公司</v>
          </cell>
          <cell r="F604" t="str">
            <v>順菖輪胎有限公司(599)</v>
          </cell>
          <cell r="G604" t="str">
            <v>未稅</v>
          </cell>
          <cell r="H604" t="str">
            <v>寄＞附回郵＞</v>
          </cell>
          <cell r="I604" t="str">
            <v>未稅&gt;2815＞4413＞登祿普和昆侖含稅</v>
          </cell>
          <cell r="J604">
            <v>30</v>
          </cell>
          <cell r="K604" t="str">
            <v>2815＞4413＞未稅</v>
          </cell>
          <cell r="L604" t="str">
            <v>04-23360025＞0916-168845詹順利</v>
          </cell>
          <cell r="M604">
            <v>0</v>
          </cell>
          <cell r="R604" t="b">
            <v>0</v>
          </cell>
          <cell r="S604" t="str"/>
          <cell r="T604" t="b">
            <v>0</v>
          </cell>
          <cell r="W604">
            <v>414</v>
          </cell>
          <cell r="X604" t="str">
            <v>台中巿烏日區光明里五光路682-25號。</v>
          </cell>
          <cell r="Y604" t="str">
            <v>台中巿烏日區</v>
          </cell>
          <cell r="Z604" t="str">
            <v>台中巿烏日區光明里五光路682-25號.</v>
          </cell>
          <cell r="AA604" t="str">
            <v>414台中巿烏日區光明里五光路682-25號。</v>
          </cell>
          <cell r="AK604" t="str">
            <v>776-W8</v>
          </cell>
          <cell r="AL604" t="str">
            <v>1-0315-簡錦郎&gt;松生&gt;寄&gt;附回郵</v>
          </cell>
          <cell r="AM604" t="str">
            <v>1-0315</v>
          </cell>
        </row>
        <row r="605">
          <cell r="B605" t="str">
            <v>1-0600</v>
          </cell>
          <cell r="C605" t="str">
            <v>104-07-21</v>
          </cell>
          <cell r="D605" t="str">
            <v>1-0600-葉興寄&gt;附發票&gt;附回郵</v>
          </cell>
          <cell r="E605" t="str">
            <v>葉興土木包工業＞負:葉文華＞坤星</v>
          </cell>
          <cell r="F605" t="str">
            <v>葉興土木包工業(600)</v>
          </cell>
          <cell r="G605" t="str">
            <v>稅外</v>
          </cell>
          <cell r="H605" t="str">
            <v>寄＞附發票＞附回郵＞</v>
          </cell>
          <cell r="I605" t="str">
            <v>1422＞8843＞稅外</v>
          </cell>
          <cell r="J605">
            <v>30</v>
          </cell>
          <cell r="L605" t="str">
            <v>037-433033＞0937-727530葉輝風＞傳真037-433151</v>
          </cell>
          <cell r="M605">
            <v>0</v>
          </cell>
          <cell r="R605" t="b">
            <v>0</v>
          </cell>
          <cell r="S605" t="str"/>
          <cell r="T605" t="b">
            <v>0</v>
          </cell>
          <cell r="W605">
            <v>356</v>
          </cell>
          <cell r="X605" t="str">
            <v>苗栗縣後龍鎮海埔里3鄰42之41號＞登:苗栗縣後龍鎮外埔里1鄰56之5號。</v>
          </cell>
          <cell r="Y605" t="str">
            <v>苗栗縣後龍鎮</v>
          </cell>
          <cell r="Z605" t="str">
            <v>苗栗縣後龍鎮海埔里3鄰42之41號.</v>
          </cell>
          <cell r="AA605" t="str">
            <v>356苗栗縣後龍鎮海埔里3鄰42之41號＞登:苗栗縣後龍鎮外埔里1鄰56之5號。</v>
          </cell>
          <cell r="AK605" t="str">
            <v>NF-441</v>
          </cell>
          <cell r="AL605" t="str">
            <v>1-0315-簡錦郎&gt;松生&gt;寄&gt;附回郵</v>
          </cell>
          <cell r="AM605" t="str">
            <v>1-0315</v>
          </cell>
        </row>
        <row r="606">
          <cell r="B606" t="str">
            <v>1-0601</v>
          </cell>
          <cell r="C606" t="str">
            <v>104-07-28</v>
          </cell>
          <cell r="D606" t="str">
            <v>1-0601-鴻友&gt;寄&gt;自結</v>
          </cell>
          <cell r="E606" t="str">
            <v>鴻友企業社＞負: 賴炎生</v>
          </cell>
          <cell r="F606" t="str">
            <v>鴻友企業社(601)</v>
          </cell>
          <cell r="G606" t="str">
            <v>未稅</v>
          </cell>
          <cell r="H606" t="str">
            <v>寄＞自結＞</v>
          </cell>
          <cell r="I606" t="str">
            <v>未稅</v>
          </cell>
          <cell r="J606">
            <v>30</v>
          </cell>
          <cell r="K606" t="str">
            <v>4973＞2333＞未稅</v>
          </cell>
          <cell r="L606" t="str">
            <v>0919-073782賴榮村</v>
          </cell>
          <cell r="M606">
            <v>0</v>
          </cell>
          <cell r="R606" t="b">
            <v>0</v>
          </cell>
          <cell r="S606" t="str"/>
          <cell r="T606" t="b">
            <v>0</v>
          </cell>
          <cell r="W606">
            <v>350</v>
          </cell>
          <cell r="X606" t="str">
            <v>苗栗縣竹南鎮公館里9鄰29號。</v>
          </cell>
          <cell r="Y606" t="str">
            <v>苗栗縣竹南鎮</v>
          </cell>
          <cell r="Z606" t="str">
            <v>苗栗縣竹南鎮公館里9鄰29號.</v>
          </cell>
          <cell r="AA606" t="str">
            <v>350苗栗縣竹南鎮公館里9鄰29號。</v>
          </cell>
          <cell r="AK606" t="str">
            <v>723-UW</v>
          </cell>
          <cell r="AL606" t="str">
            <v>1-0315-簡錦郎&gt;松生&gt;寄&gt;附回郵</v>
          </cell>
          <cell r="AM606" t="str">
            <v>1-0315</v>
          </cell>
        </row>
        <row r="607">
          <cell r="B607" t="str">
            <v>1-0602</v>
          </cell>
          <cell r="C607" t="str">
            <v>104-08-05</v>
          </cell>
          <cell r="D607" t="str">
            <v>1-0602-新復發&gt;寄&gt;附發票&gt;附回郵</v>
          </cell>
          <cell r="E607" t="str">
            <v>新復發氣體有限公司＞負: 戴坤輝</v>
          </cell>
          <cell r="F607" t="str">
            <v>新復發氣體有限公司(602)</v>
          </cell>
          <cell r="G607" t="str">
            <v>稅外</v>
          </cell>
          <cell r="H607" t="str">
            <v>寄＞附發票＞附回郵＞</v>
          </cell>
          <cell r="I607" t="str">
            <v>5024＞8219＞稅外</v>
          </cell>
          <cell r="J607">
            <v>30</v>
          </cell>
          <cell r="L607" t="str">
            <v>037-472877</v>
          </cell>
          <cell r="M607" t="str">
            <v>2-0048</v>
          </cell>
          <cell r="R607" t="b">
            <v>0</v>
          </cell>
          <cell r="S607" t="str"/>
          <cell r="T607" t="b">
            <v>0</v>
          </cell>
          <cell r="W607">
            <v>350</v>
          </cell>
          <cell r="X607" t="str">
            <v>苗栗縣竹南鎮照南里9鄰光復路320號。</v>
          </cell>
          <cell r="Y607" t="str">
            <v>苗栗縣竹南鎮</v>
          </cell>
          <cell r="Z607" t="str">
            <v>苗栗縣竹南鎮照南里9鄰光復路320號.</v>
          </cell>
          <cell r="AA607" t="str">
            <v>350苗栗縣竹南鎮照南里9鄰光復路320號。</v>
          </cell>
          <cell r="AK607" t="str">
            <v>968-HY</v>
          </cell>
          <cell r="AL607" t="str">
            <v>1-0315-簡錦郎&gt;松生&gt;寄&gt;附回郵</v>
          </cell>
          <cell r="AM607" t="str">
            <v>1-0315</v>
          </cell>
        </row>
        <row r="608">
          <cell r="B608" t="str">
            <v>1-0603</v>
          </cell>
          <cell r="C608" t="str">
            <v>104-08-05</v>
          </cell>
          <cell r="D608" t="str">
            <v>1-0603-邱志銘&gt;寄平信&gt;自結</v>
          </cell>
          <cell r="E608" t="str">
            <v>邱志銘＞靠行:天新交通股份有限公司,負: 陳漢琮＞利宏達</v>
          </cell>
          <cell r="F608" t="str">
            <v>邱志銘(603)</v>
          </cell>
          <cell r="G608" t="str">
            <v>未稅</v>
          </cell>
          <cell r="H608" t="str">
            <v>寄平信&gt;自結＞</v>
          </cell>
          <cell r="I608" t="str">
            <v>未稅</v>
          </cell>
          <cell r="J608">
            <v>30</v>
          </cell>
          <cell r="K608" t="str">
            <v>9722＞4771＞未稅</v>
          </cell>
          <cell r="L608" t="str">
            <v>037-725471＞0982-577061邱志銘</v>
          </cell>
          <cell r="M608">
            <v>0</v>
          </cell>
          <cell r="O608">
            <v>65</v>
          </cell>
          <cell r="P608">
            <v>9</v>
          </cell>
          <cell r="Q608">
            <v>20</v>
          </cell>
          <cell r="R608">
            <v>45</v>
          </cell>
          <cell r="S608">
            <v>76</v>
          </cell>
          <cell r="T608">
            <v>28023</v>
          </cell>
          <cell r="U608" t="str">
            <v>K121588661</v>
          </cell>
          <cell r="W608">
            <v>356</v>
          </cell>
          <cell r="X608" t="str">
            <v>帳:苗栗縣後龍鎮永興路27號＞地:苗栗縣竹南鎮佳興里2鄰永貞路三段59巷36弄2號＞登:苗栗縣頭份鎮蟠桃里3鄰中央路268號2樓。</v>
          </cell>
          <cell r="Y608" t="str">
            <v>苗栗縣後龍鎮</v>
          </cell>
          <cell r="Z608" t="str">
            <v>苗栗縣後龍鎮永興路27號.</v>
          </cell>
          <cell r="AA608" t="str">
            <v>356帳:苗栗縣後龍鎮永興路27號＞地:苗栗縣竹南鎮佳興里2鄰永貞路三段59巷36弄2號＞登:苗栗縣頭份鎮蟠桃里3鄰中央路268號2樓。</v>
          </cell>
          <cell r="AK608" t="str">
            <v>LAG-715</v>
          </cell>
          <cell r="AL608" t="str">
            <v>1-0315-簡錦郎&gt;松生&gt;寄&gt;附回郵</v>
          </cell>
          <cell r="AM608" t="str">
            <v>1-0315</v>
          </cell>
        </row>
        <row r="609">
          <cell r="B609" t="str">
            <v>1-0604</v>
          </cell>
          <cell r="C609" t="str">
            <v>104-08-06</v>
          </cell>
          <cell r="D609" t="str">
            <v>1-0604-新瑞僑&gt;寄&gt;附發票&gt;附回郵</v>
          </cell>
          <cell r="E609" t="str">
            <v>新瑞僑氣體股份有限公司＞負:吳宗懋</v>
          </cell>
          <cell r="F609" t="str">
            <v>新瑞僑氣體股份有限公司(604)</v>
          </cell>
          <cell r="G609" t="str">
            <v>稅外</v>
          </cell>
          <cell r="H609" t="str">
            <v>寄＞附發票＞附回郵＞</v>
          </cell>
          <cell r="I609" t="str">
            <v>8921＞7283＞稅外</v>
          </cell>
          <cell r="J609">
            <v>30</v>
          </cell>
          <cell r="L609" t="str">
            <v>03-5377155＞0910-171771吳宗懋＞傳真03-5377005</v>
          </cell>
          <cell r="M609">
            <v>0</v>
          </cell>
          <cell r="R609" t="b">
            <v>0</v>
          </cell>
          <cell r="S609" t="str"/>
          <cell r="T609" t="b">
            <v>0</v>
          </cell>
          <cell r="W609">
            <v>300</v>
          </cell>
          <cell r="X609" t="str">
            <v>新竹巿大湖路171之1號。</v>
          </cell>
          <cell r="Y609" t="str">
            <v>新竹巿大湖路</v>
          </cell>
          <cell r="Z609" t="str">
            <v>新竹巿大湖路171之1號.</v>
          </cell>
          <cell r="AA609" t="str">
            <v>300新竹巿大湖路171之1號。</v>
          </cell>
          <cell r="AK609" t="str">
            <v>292-JD</v>
          </cell>
          <cell r="AL609" t="str">
            <v>1-0315-簡錦郎&gt;松生&gt;寄&gt;附回郵</v>
          </cell>
          <cell r="AM609" t="str">
            <v>1-0315</v>
          </cell>
        </row>
        <row r="610">
          <cell r="B610" t="str">
            <v>1-0605</v>
          </cell>
          <cell r="C610" t="str">
            <v>106-06-08</v>
          </cell>
          <cell r="D610" t="str">
            <v>1-0605-大信玻璃&gt;寄&gt;附回郵</v>
          </cell>
          <cell r="E610" t="str">
            <v>大信玻璃股份有限公司</v>
          </cell>
          <cell r="F610" t="str">
            <v>大信玻璃股份有限公司(605)</v>
          </cell>
          <cell r="G610" t="str">
            <v>稅外</v>
          </cell>
          <cell r="H610" t="str">
            <v>寄＞附發票&gt;附回郵＞</v>
          </cell>
          <cell r="I610" t="str">
            <v>8694&gt;8638&gt;稅外</v>
          </cell>
          <cell r="J610">
            <v>30</v>
          </cell>
          <cell r="L610" t="str">
            <v>037-461100&gt;0972-971380黃國豪&gt;傳真037-469911</v>
          </cell>
          <cell r="M610">
            <v>0</v>
          </cell>
          <cell r="R610" t="b">
            <v>0</v>
          </cell>
          <cell r="S610" t="str"/>
          <cell r="T610" t="b">
            <v>0</v>
          </cell>
          <cell r="W610">
            <v>350</v>
          </cell>
          <cell r="X610" t="str">
            <v>苗栗縣竹南鎮海口里14鄰保福路97號</v>
          </cell>
          <cell r="Y610" t="str">
            <v>苗栗縣竹南鎮</v>
          </cell>
          <cell r="Z610" t="str">
            <v>苗栗縣竹南鎮海口里14鄰保福路97號.</v>
          </cell>
          <cell r="AA610" t="str">
            <v>350苗栗縣竹南鎮海口里14鄰保福路97號</v>
          </cell>
          <cell r="AK610" t="str">
            <v>097-HP</v>
          </cell>
          <cell r="AL610" t="str">
            <v>1-0315-簡錦郎&gt;松生&gt;寄&gt;附回郵</v>
          </cell>
          <cell r="AM610" t="str">
            <v>1-0315</v>
          </cell>
        </row>
        <row r="611">
          <cell r="B611" t="str">
            <v>1-0606</v>
          </cell>
          <cell r="C611" t="str">
            <v>104-08-08</v>
          </cell>
          <cell r="D611" t="str">
            <v>1-0606-(1/2)冠德&gt;寄&gt;附發票&gt;附回郵</v>
          </cell>
          <cell r="E611" t="str">
            <v>冠德交通股份有限公司＞負:溫駿軒(1/2)</v>
          </cell>
          <cell r="F611" t="str">
            <v>冠德交通股份有限公司(606)</v>
          </cell>
          <cell r="G611" t="str">
            <v>含稅</v>
          </cell>
          <cell r="H611" t="str">
            <v>寄＞附發票＞附回郵＞</v>
          </cell>
          <cell r="I611" t="str">
            <v>8497＞8474＞含稅</v>
          </cell>
          <cell r="J611">
            <v>30</v>
          </cell>
          <cell r="L611" t="str">
            <v>037-540625＞037-540626＞0919-826576＞傳真037-540630</v>
          </cell>
          <cell r="M611">
            <v>0</v>
          </cell>
          <cell r="R611" t="b">
            <v>0</v>
          </cell>
          <cell r="S611" t="str"/>
          <cell r="T611" t="b">
            <v>0</v>
          </cell>
          <cell r="W611">
            <v>351</v>
          </cell>
          <cell r="X611" t="str">
            <v>苗栗縣頭份巿濫坑里尖豐路825號＞冠登:苗栗縣頭份鎮忠孝里 22鄰五福街25號。</v>
          </cell>
          <cell r="Y611" t="str">
            <v>苗栗縣頭份巿</v>
          </cell>
          <cell r="Z611" t="str">
            <v>苗栗縣頭份巿濫坑里尖豐路825號.</v>
          </cell>
          <cell r="AA611" t="str">
            <v>351苗栗縣頭份巿濫坑里尖豐路825號＞冠登:苗栗縣頭份鎮忠孝里 22鄰五福街25號。</v>
          </cell>
          <cell r="AK611" t="str">
            <v>LD-9187</v>
          </cell>
          <cell r="AL611" t="str">
            <v>1-0315-簡錦郎&gt;松生&gt;寄&gt;附回郵</v>
          </cell>
          <cell r="AM611" t="str">
            <v>1-0315</v>
          </cell>
        </row>
        <row r="612">
          <cell r="B612" t="str">
            <v>1-0607</v>
          </cell>
          <cell r="C612" t="str">
            <v>104-08-09</v>
          </cell>
          <cell r="D612" t="str">
            <v>1-0607-(2/2)瑋鎰&gt;寄&gt;附發票&gt;附回郵</v>
          </cell>
          <cell r="E612" t="str">
            <v>瑋鎰貨運股份有限公司＞負:溫駿軒(2/2)</v>
          </cell>
          <cell r="F612" t="str">
            <v>瑋鎰貨運股份有限公司(607)</v>
          </cell>
          <cell r="G612" t="str">
            <v>含稅</v>
          </cell>
          <cell r="H612" t="str">
            <v>寄＞附發票＞附回郵＞與編號606一起請</v>
          </cell>
          <cell r="I612" t="str">
            <v>8938＞6196＞含稅</v>
          </cell>
          <cell r="J612">
            <v>30</v>
          </cell>
          <cell r="L612" t="str">
            <v>037-540625＞037-540626＞0919-826576＞傳真037-540630</v>
          </cell>
          <cell r="M612" t="str">
            <v>2-0158</v>
          </cell>
          <cell r="R612" t="b">
            <v>0</v>
          </cell>
          <cell r="S612" t="str"/>
          <cell r="T612" t="b">
            <v>0</v>
          </cell>
          <cell r="W612">
            <v>351</v>
          </cell>
          <cell r="X612" t="str">
            <v>苗栗縣頭份巿濫坑里尖豐路825號＞瑋登:苗栗縣頭份鎮頭份里顯會路73巷三衖40弄26號。</v>
          </cell>
          <cell r="Y612" t="str">
            <v>苗栗縣頭份巿</v>
          </cell>
          <cell r="Z612" t="str">
            <v>苗栗縣頭份巿濫坑里尖豐路825號.</v>
          </cell>
          <cell r="AA612" t="str">
            <v>351苗栗縣頭份巿濫坑里尖豐路825號＞瑋登:苗栗縣頭份鎮頭份里顯會路73巷三衖40弄26號。</v>
          </cell>
          <cell r="AK612" t="str">
            <v>7J-347</v>
          </cell>
          <cell r="AL612" t="str">
            <v>1-0315-簡錦郎&gt;松生&gt;寄&gt;附回郵</v>
          </cell>
          <cell r="AM612" t="str">
            <v>1-0315</v>
          </cell>
        </row>
        <row r="613">
          <cell r="B613" t="str">
            <v>1-0608</v>
          </cell>
          <cell r="C613" t="str">
            <v>104-08-10</v>
          </cell>
          <cell r="D613" t="str">
            <v>1-0608-聯倉&gt;寄&gt;附發票&gt;附回郵</v>
          </cell>
          <cell r="E613" t="str">
            <v>聯倉交通股份有限公司＞負:呂學萬</v>
          </cell>
          <cell r="F613" t="str">
            <v>聯倉交通股份有限公司(608)</v>
          </cell>
          <cell r="G613" t="str">
            <v>含稅</v>
          </cell>
          <cell r="H613" t="str">
            <v>寄＞附發票＞附回郵＞</v>
          </cell>
          <cell r="I613" t="str">
            <v>4362＞2035＞含稅&gt;中華全佑</v>
          </cell>
          <cell r="J613">
            <v>30</v>
          </cell>
          <cell r="L613" t="str">
            <v>03-3222960#600&gt;chichi@mail.lcwebs.com黃麗華＞輪胎chichi@lcwebs.com.tw&gt;641118@lcwebs.com.tw陳怡君0960-717166＞新竹站馮銹蘭0960-717092＞傳真03-3119526</v>
          </cell>
          <cell r="M613">
            <v>0</v>
          </cell>
          <cell r="R613" t="b">
            <v>0</v>
          </cell>
          <cell r="S613" t="str"/>
          <cell r="T613" t="b">
            <v>0</v>
          </cell>
          <cell r="W613">
            <v>338</v>
          </cell>
          <cell r="X613" t="str">
            <v>桃園巿蘆竹區八股路3號＞登:桃園市蘆竹區錦興里光復路130巷16號1樓。</v>
          </cell>
          <cell r="Y613" t="str">
            <v>桃園巿蘆竹區</v>
          </cell>
          <cell r="Z613" t="str">
            <v>桃園巿蘆竹區八股路3號.</v>
          </cell>
          <cell r="AA613" t="str">
            <v>338桃園巿蘆竹區八股路3號＞登:桃園市蘆竹區錦興里光復路130巷16號1樓。</v>
          </cell>
          <cell r="AK613" t="str">
            <v>925-JD</v>
          </cell>
          <cell r="AL613" t="str">
            <v>1-0315-簡錦郎&gt;松生&gt;寄&gt;附回郵</v>
          </cell>
          <cell r="AM613" t="str">
            <v>1-0315</v>
          </cell>
        </row>
        <row r="614">
          <cell r="B614" t="str">
            <v>1-0609</v>
          </cell>
          <cell r="C614" t="str">
            <v>104-08-11</v>
          </cell>
          <cell r="D614" t="str">
            <v>1-0609-吉寅&gt;寄&gt;附發票&gt;附回郵</v>
          </cell>
          <cell r="E614" t="str">
            <v>吉寅企業有限公司＞負: 賴建宏</v>
          </cell>
          <cell r="F614" t="str">
            <v>吉寅企業有限公司(609)</v>
          </cell>
          <cell r="G614" t="str">
            <v>稅外</v>
          </cell>
          <cell r="H614" t="str">
            <v>寄＞附發票＞附回郵＞</v>
          </cell>
          <cell r="I614" t="str">
            <v>8698＞3297＞稅外</v>
          </cell>
          <cell r="J614">
            <v>30</v>
          </cell>
          <cell r="L614" t="str">
            <v>03-5827938＞0910-000814賴建宏＞傳真03-5826274</v>
          </cell>
          <cell r="M614">
            <v>0</v>
          </cell>
          <cell r="R614" t="b">
            <v>0</v>
          </cell>
          <cell r="S614" t="str"/>
          <cell r="T614" t="b">
            <v>0</v>
          </cell>
          <cell r="W614">
            <v>310</v>
          </cell>
          <cell r="X614" t="str">
            <v>新竹縣竹東鎮二重里自由街9號2樓＞登:新北市汐止區秀峰路81巷32號3樓。</v>
          </cell>
          <cell r="Y614" t="str">
            <v>新竹縣竹東鎮</v>
          </cell>
          <cell r="Z614" t="str">
            <v>新竹縣竹東鎮二重里自由街9號2樓.</v>
          </cell>
          <cell r="AA614" t="str">
            <v>310新竹縣竹東鎮二重里自由街9號2樓＞登:新北市汐止區秀峰路81巷32號3樓。</v>
          </cell>
          <cell r="AK614" t="str">
            <v>965-ZC</v>
          </cell>
          <cell r="AL614" t="str">
            <v>1-0315-簡錦郎&gt;松生&gt;寄&gt;附回郵</v>
          </cell>
          <cell r="AM614" t="str">
            <v>1-0315</v>
          </cell>
        </row>
        <row r="615">
          <cell r="B615" t="str">
            <v>1-0610</v>
          </cell>
          <cell r="C615" t="str">
            <v>104-08-12</v>
          </cell>
          <cell r="D615" t="str">
            <v>1-0610-恆陽&gt;聯鋮&gt;寄&gt;附發票&gt;附回郵</v>
          </cell>
          <cell r="E615" t="str">
            <v>恆陽興業有限公司＞負:王文成＞聯鋮</v>
          </cell>
          <cell r="F615" t="str">
            <v>恆陽興業有限公司(610)</v>
          </cell>
          <cell r="G615" t="str">
            <v>稅外</v>
          </cell>
          <cell r="H615" t="str">
            <v>寄＞附發票&gt;附回郵＞</v>
          </cell>
          <cell r="I615" t="str">
            <v>5479&gt;2583&gt;稅外</v>
          </cell>
          <cell r="J615">
            <v>30</v>
          </cell>
          <cell r="L615" t="str">
            <v>037-552968＞0928-605678王文成＞傳真037-552966</v>
          </cell>
          <cell r="M615">
            <v>0</v>
          </cell>
          <cell r="R615" t="b">
            <v>0</v>
          </cell>
          <cell r="S615" t="str"/>
          <cell r="T615" t="b">
            <v>0</v>
          </cell>
          <cell r="U615" t="str">
            <v>K121586916</v>
          </cell>
          <cell r="V615" t="str">
            <v>王文城</v>
          </cell>
          <cell r="W615">
            <v>435</v>
          </cell>
          <cell r="X615" t="str">
            <v>苗栗縣竹南鎮竹興里竹圍仔87之2號＞登:苗栗縣頭份鎮成功里建國路160巷4弄18號。</v>
          </cell>
          <cell r="Y615" t="str">
            <v>台中港第26</v>
          </cell>
          <cell r="Z615" t="str">
            <v>台中港第269號信箱</v>
          </cell>
          <cell r="AA615" t="str">
            <v>435苗栗縣竹南鎮竹興里竹圍仔87之2號＞登:苗栗縣頭份鎮成功里建國路160巷4弄18號。</v>
          </cell>
          <cell r="AK615" t="str">
            <v>ZJ-347</v>
          </cell>
          <cell r="AL615" t="str">
            <v>1-0315-簡錦郎&gt;松生&gt;寄&gt;附回郵</v>
          </cell>
          <cell r="AM615" t="str">
            <v>1-0315</v>
          </cell>
        </row>
        <row r="616">
          <cell r="B616" t="str">
            <v>1-0611</v>
          </cell>
          <cell r="C616" t="str">
            <v>104-08-13</v>
          </cell>
          <cell r="D616" t="str">
            <v>1-0611-青沐&gt;寄&gt;附發票&gt;附回郵</v>
          </cell>
          <cell r="E616" t="str">
            <v>青沐工程有限公司＞負:李月蘭</v>
          </cell>
          <cell r="F616" t="str">
            <v>青沐工程有限公司(611)</v>
          </cell>
          <cell r="G616" t="str">
            <v>稅外</v>
          </cell>
          <cell r="H616" t="str">
            <v>寄＞附發票＞附回郵＞</v>
          </cell>
          <cell r="I616" t="str">
            <v>5306＞4798＞稅外</v>
          </cell>
          <cell r="J616">
            <v>30</v>
          </cell>
          <cell r="L616" t="str">
            <v>037-689127＞傳真037-689107</v>
          </cell>
          <cell r="M616">
            <v>0</v>
          </cell>
          <cell r="R616" t="b">
            <v>0</v>
          </cell>
          <cell r="S616" t="str"/>
          <cell r="T616" t="b">
            <v>0</v>
          </cell>
          <cell r="W616">
            <v>351</v>
          </cell>
          <cell r="X616" t="str">
            <v>苗栗縣頭份鎮濱江街17-13號＞登:苗栗縣竹南鎮中華里19鄰文心街14號4樓。</v>
          </cell>
          <cell r="Y616" t="str">
            <v>苗栗縣頭份鎮</v>
          </cell>
          <cell r="Z616" t="str">
            <v>苗栗縣頭份鎮濱江街17之13號.</v>
          </cell>
          <cell r="AA616" t="str">
            <v>351苗栗縣頭份鎮濱江街17-13號＞登:苗栗縣竹南鎮中華里19鄰文心街14號4樓。</v>
          </cell>
          <cell r="AK616" t="str">
            <v>011-HY</v>
          </cell>
          <cell r="AL616" t="str">
            <v>1-0319-彭坤盛&gt;龍祥&gt;寄&gt;附發票&gt;匯款</v>
          </cell>
          <cell r="AM616" t="str">
            <v>1-0319</v>
          </cell>
        </row>
        <row r="617">
          <cell r="B617" t="str">
            <v>1-0612</v>
          </cell>
          <cell r="C617" t="str">
            <v>104-08-14</v>
          </cell>
          <cell r="D617" t="str">
            <v>1-0612-祖揚&gt;寄&gt;附發票&gt;附回郵</v>
          </cell>
          <cell r="E617" t="str">
            <v>祖揚工程有限公司＞負:簡三貴.泰揚.弘揚.唯煇</v>
          </cell>
          <cell r="F617" t="str">
            <v>祖揚工程有限公司(612)</v>
          </cell>
          <cell r="G617" t="str">
            <v>稅外</v>
          </cell>
          <cell r="H617" t="str">
            <v>寄＞附發票＞附回郵＞</v>
          </cell>
          <cell r="I617" t="str">
            <v>8968＞5672＞稅外</v>
          </cell>
          <cell r="J617">
            <v>30</v>
          </cell>
          <cell r="L617" t="str">
            <v>03-5402883＞0910-156123簡三貴＞傳真03-5309321</v>
          </cell>
          <cell r="M617">
            <v>0</v>
          </cell>
          <cell r="R617" t="b">
            <v>0</v>
          </cell>
          <cell r="S617" t="str"/>
          <cell r="T617" t="b">
            <v>0</v>
          </cell>
          <cell r="W617">
            <v>302</v>
          </cell>
          <cell r="X617" t="str">
            <v>新竹縣新竹巿海埔路171巷134號＞登:桃園巿楊梅區裕新里裕成南路331號11樓。</v>
          </cell>
          <cell r="Y617" t="str">
            <v>新竹縣新竹巿</v>
          </cell>
          <cell r="Z617" t="str">
            <v>新竹縣新竹巿海埔路171巷134號.</v>
          </cell>
          <cell r="AA617" t="str">
            <v>302新竹縣新竹巿海埔路171巷134號＞登:桃園巿楊梅區裕新里裕成南路331號11樓。</v>
          </cell>
          <cell r="AK617" t="str">
            <v>HR-173</v>
          </cell>
          <cell r="AL617" t="str">
            <v>1-0320-陳俊華&gt;寄&gt;自結</v>
          </cell>
          <cell r="AM617" t="str">
            <v>1-0320</v>
          </cell>
        </row>
        <row r="618">
          <cell r="B618" t="str">
            <v>1-0613</v>
          </cell>
          <cell r="C618" t="str">
            <v>104-08-15</v>
          </cell>
          <cell r="D618" t="str">
            <v>1-0613-大盈&gt;寄&gt;附發票&gt;匯款</v>
          </cell>
          <cell r="E618" t="str">
            <v>大盈氣體有限公司</v>
          </cell>
          <cell r="F618" t="str">
            <v>大盈氣體有限公司(613)</v>
          </cell>
          <cell r="G618" t="str">
            <v>稅外</v>
          </cell>
          <cell r="H618" t="str">
            <v>寄＞附發票＞現金＞匯款＞</v>
          </cell>
          <cell r="I618" t="str">
            <v>5479＞0776＞稅外＞中華全佑</v>
          </cell>
          <cell r="J618">
            <v>30</v>
          </cell>
          <cell r="L618" t="str">
            <v>03-5563313</v>
          </cell>
          <cell r="M618">
            <v>0</v>
          </cell>
          <cell r="R618" t="b">
            <v>0</v>
          </cell>
          <cell r="S618" t="str"/>
          <cell r="T618" t="b">
            <v>0</v>
          </cell>
          <cell r="W618">
            <v>302</v>
          </cell>
          <cell r="X618" t="str">
            <v>新竹南寮郵局14號信箱&gt;登:新竹縣竹北市聯興里15鄰新興路206號</v>
          </cell>
          <cell r="Y618" t="str">
            <v>新竹南寮郵局</v>
          </cell>
          <cell r="Z618" t="str">
            <v>新竹南寮郵局14號信箱.</v>
          </cell>
          <cell r="AA618" t="str">
            <v>302新竹南寮郵局14號信箱&gt;登:新竹縣竹北市聯興里15鄰新興路206號</v>
          </cell>
          <cell r="AK618" t="str">
            <v>930-W8</v>
          </cell>
          <cell r="AL618" t="str">
            <v>1-0320-陳俊華&gt;寄&gt;自結</v>
          </cell>
          <cell r="AM618" t="str">
            <v>1-0320</v>
          </cell>
        </row>
        <row r="619">
          <cell r="B619" t="str">
            <v>1-0614</v>
          </cell>
          <cell r="C619" t="str">
            <v>104-08-16</v>
          </cell>
          <cell r="D619" t="str">
            <v>1-0614-李緯宸&gt;比佛利汽車&gt;寄&gt;自結</v>
          </cell>
          <cell r="E619" t="str">
            <v>比佛利汽車</v>
          </cell>
          <cell r="F619" t="str">
            <v>比佛利汽車(614)</v>
          </cell>
          <cell r="G619" t="str">
            <v>未稅</v>
          </cell>
          <cell r="H619" t="str">
            <v>寄＞自結＞</v>
          </cell>
          <cell r="I619" t="str">
            <v>未稅</v>
          </cell>
          <cell r="J619">
            <v>30</v>
          </cell>
          <cell r="L619" t="str">
            <v>037-683388&gt;0937-280626李緯宸</v>
          </cell>
          <cell r="M619">
            <v>0</v>
          </cell>
          <cell r="R619" t="b">
            <v>0</v>
          </cell>
          <cell r="S619" t="str"/>
          <cell r="T619" t="b">
            <v>0</v>
          </cell>
          <cell r="W619">
            <v>351</v>
          </cell>
          <cell r="X619" t="str">
            <v>苗栗縣頭份市中華路737號</v>
          </cell>
          <cell r="Y619" t="str">
            <v>苗栗縣頭份市</v>
          </cell>
          <cell r="Z619" t="str">
            <v>苗栗縣頭份市中華路737號.</v>
          </cell>
          <cell r="AA619" t="str">
            <v>351苗栗縣頭份市中華路737號</v>
          </cell>
          <cell r="AK619" t="str">
            <v>363-GW</v>
          </cell>
          <cell r="AL619" t="str">
            <v>1-0320-陳俊華&gt;寄&gt;自結</v>
          </cell>
          <cell r="AM619" t="str">
            <v>1-0320</v>
          </cell>
        </row>
        <row r="620">
          <cell r="B620" t="str">
            <v>1-0615</v>
          </cell>
          <cell r="C620" t="str">
            <v>104-08-17</v>
          </cell>
          <cell r="D620" t="str">
            <v>1-0615-弘陞&gt;寄&gt;自結</v>
          </cell>
          <cell r="E620" t="str">
            <v>弘陞食品有限公司</v>
          </cell>
          <cell r="F620" t="str">
            <v>弘陞食品有限公司(615)</v>
          </cell>
          <cell r="G620" t="str">
            <v>含稅</v>
          </cell>
          <cell r="H620" t="str">
            <v>寄＞自結＞附發票</v>
          </cell>
          <cell r="I620" t="str">
            <v>5480＞9661＞含稅</v>
          </cell>
          <cell r="J620">
            <v>30</v>
          </cell>
          <cell r="L620" t="str">
            <v>037-256098&gt;0932-538705羅日陞&gt;傳真037-256268</v>
          </cell>
          <cell r="M620" t="str">
            <v>2-0164</v>
          </cell>
          <cell r="R620" t="b">
            <v>0</v>
          </cell>
          <cell r="S620" t="str"/>
          <cell r="T620" t="b">
            <v>0</v>
          </cell>
          <cell r="W620">
            <v>362</v>
          </cell>
          <cell r="X620" t="str">
            <v>苗栗縣頭屋鄉獅潭村9鄰109-2號&gt;戶:苗栗縣竹南鎮海口里21鄰明勝路516號</v>
          </cell>
          <cell r="Y620" t="str">
            <v>苗栗縣頭屋鄉</v>
          </cell>
          <cell r="Z620" t="str">
            <v>苗栗縣頭屋鄉獅潭村9鄰109之2號.</v>
          </cell>
          <cell r="AA620" t="str">
            <v>362苗栗縣頭屋鄉獅潭村9鄰109-2號&gt;戶:苗栗縣竹南鎮海口里21鄰明勝路516號</v>
          </cell>
          <cell r="AK620" t="str">
            <v>570-AN</v>
          </cell>
          <cell r="AL620" t="str">
            <v>1-0320-陳俊華&gt;寄&gt;自結</v>
          </cell>
          <cell r="AM620" t="str">
            <v>1-0320</v>
          </cell>
        </row>
        <row r="621">
          <cell r="B621" t="str">
            <v>1-0616</v>
          </cell>
          <cell r="C621" t="str">
            <v>104-08-18</v>
          </cell>
          <cell r="D621" t="str">
            <v>1-0616-榮隆輪胎&gt;寄&gt;附回郵</v>
          </cell>
          <cell r="E621" t="str">
            <v>榮隆輪胎行</v>
          </cell>
          <cell r="F621" t="str">
            <v>榮隆輪胎行(616)</v>
          </cell>
          <cell r="G621" t="str">
            <v>未稅</v>
          </cell>
          <cell r="H621" t="str">
            <v>寄＞附回郵＞</v>
          </cell>
          <cell r="I621" t="str">
            <v>未稅</v>
          </cell>
          <cell r="J621">
            <v>30</v>
          </cell>
          <cell r="K621" t="str">
            <v>0656＞6398＞未稅</v>
          </cell>
          <cell r="L621" t="str">
            <v>06-5831577&gt;0956-100988陳永華</v>
          </cell>
          <cell r="M621">
            <v>0</v>
          </cell>
          <cell r="R621" t="b">
            <v>0</v>
          </cell>
          <cell r="S621" t="str"/>
          <cell r="T621" t="b">
            <v>0</v>
          </cell>
          <cell r="W621">
            <v>741</v>
          </cell>
          <cell r="X621" t="str">
            <v>台南市善化區小新里321號&gt;戶:台南市善化區小新里小新營321號</v>
          </cell>
          <cell r="Y621" t="str">
            <v>台南市善化區</v>
          </cell>
          <cell r="Z621" t="str">
            <v>台南市善化區小新里321號.</v>
          </cell>
          <cell r="AA621" t="str">
            <v>741台南市善化區小新里321號&gt;戶:台南市善化區小新里小新營321號</v>
          </cell>
          <cell r="AK621" t="str">
            <v>803-JD</v>
          </cell>
          <cell r="AL621" t="str">
            <v>1-0320-陳俊華&gt;寄&gt;自結</v>
          </cell>
          <cell r="AM621" t="str">
            <v>1-0320</v>
          </cell>
        </row>
        <row r="622">
          <cell r="B622" t="str">
            <v>1-0617</v>
          </cell>
          <cell r="C622" t="str">
            <v>104-08-19</v>
          </cell>
          <cell r="D622" t="str">
            <v>1-0617-福盈&gt;高陞&gt;寄&gt;附回郵</v>
          </cell>
          <cell r="E622" t="str">
            <v>福盈工程有限公司</v>
          </cell>
          <cell r="F622" t="str">
            <v>福盈工程有限公司(617)</v>
          </cell>
          <cell r="G622" t="str">
            <v>稅外</v>
          </cell>
          <cell r="H622" t="str">
            <v>寄＞附回郵＞</v>
          </cell>
          <cell r="I622" t="str">
            <v>5452＞0627福盈＞3967＞4600高陞＞稅外</v>
          </cell>
          <cell r="J622">
            <v>30</v>
          </cell>
          <cell r="L622" t="str">
            <v>03-5183371&gt;0918-025308沈志豪</v>
          </cell>
          <cell r="M622">
            <v>0</v>
          </cell>
          <cell r="R622" t="b">
            <v>0</v>
          </cell>
          <cell r="S622" t="str"/>
          <cell r="T622" t="b">
            <v>0</v>
          </cell>
          <cell r="W622">
            <v>302</v>
          </cell>
          <cell r="X622" t="str">
            <v>新竹市成德路161號5F-3&gt;戶:新竹市東區綠水里園後街85巷4號</v>
          </cell>
          <cell r="Y622" t="str">
            <v>新竹市成德路</v>
          </cell>
          <cell r="Z622" t="str">
            <v>新竹市成德路161號5F之3.</v>
          </cell>
          <cell r="AA622" t="str">
            <v>302新竹市成德路161號5F-3&gt;戶:新竹市東區綠水里園後街85巷4號</v>
          </cell>
          <cell r="AK622" t="str">
            <v>E9-1790</v>
          </cell>
          <cell r="AL622" t="str">
            <v>1-0320-陳俊華&gt;寄&gt;自結</v>
          </cell>
          <cell r="AM622" t="str">
            <v>1-0320</v>
          </cell>
        </row>
        <row r="623">
          <cell r="B623" t="str">
            <v>1-0618</v>
          </cell>
          <cell r="C623" t="str">
            <v>104-08-20</v>
          </cell>
          <cell r="D623" t="str">
            <v>1-0618-新諺&gt;寄&gt;附發票&gt;附回郵</v>
          </cell>
          <cell r="E623" t="str">
            <v>新諺實業有限公司</v>
          </cell>
          <cell r="F623" t="str">
            <v>新諺實業有限公司(618)</v>
          </cell>
          <cell r="G623" t="str">
            <v>稅外</v>
          </cell>
          <cell r="H623" t="str">
            <v>寄＞附發票＞附回郵＞</v>
          </cell>
          <cell r="I623" t="str">
            <v>2206＞2325＞稅外</v>
          </cell>
          <cell r="J623">
            <v>30</v>
          </cell>
          <cell r="L623" t="str">
            <v>037-584267#202游小姐&gt;0916-394444黃仁耀&gt;FAX:037-584290</v>
          </cell>
          <cell r="M623">
            <v>0</v>
          </cell>
          <cell r="R623" t="b">
            <v>0</v>
          </cell>
          <cell r="S623" t="str"/>
          <cell r="T623" t="b">
            <v>0</v>
          </cell>
          <cell r="W623">
            <v>350</v>
          </cell>
          <cell r="X623" t="str">
            <v>苗栗縣竹南鎮科義路5號&gt;苗栗縣竹南鎮崎頂里16鄰和興路354號</v>
          </cell>
          <cell r="Y623" t="str">
            <v>苗栗縣竹南鎮</v>
          </cell>
          <cell r="Z623" t="str">
            <v>苗栗縣竹南鎮科義路5號.</v>
          </cell>
          <cell r="AA623" t="str">
            <v>350苗栗縣竹南鎮科義路5號&gt;苗栗縣竹南鎮崎頂里16鄰和興路354號</v>
          </cell>
          <cell r="AK623" t="str">
            <v>406-TY</v>
          </cell>
          <cell r="AL623" t="str">
            <v>1-0324-陳清輝&gt;生建&gt;寄&gt;附回郵</v>
          </cell>
          <cell r="AM623" t="str">
            <v>1-0324</v>
          </cell>
        </row>
        <row r="624">
          <cell r="B624" t="str">
            <v>1-0619</v>
          </cell>
          <cell r="C624" t="str">
            <v>104-08-21</v>
          </cell>
          <cell r="D624" t="str">
            <v>1-0619-永兆豐&gt;寄&gt;附發票&gt;附回郵</v>
          </cell>
          <cell r="E624" t="str">
            <v>永兆豐輪胎有限公司&gt;負:蘇建榮</v>
          </cell>
          <cell r="F624" t="str">
            <v>永兆豐輪胎有限公司(619)</v>
          </cell>
          <cell r="G624" t="str">
            <v>含稅</v>
          </cell>
          <cell r="H624" t="str">
            <v>寄&gt;附發票&gt;附回郵＞</v>
          </cell>
          <cell r="I624" t="str">
            <v>8353&gt;7387含稅</v>
          </cell>
          <cell r="J624">
            <v>30</v>
          </cell>
          <cell r="L624" t="str">
            <v>04-23300316&gt;FAX:04-23309949</v>
          </cell>
          <cell r="M624">
            <v>0</v>
          </cell>
          <cell r="R624" t="b">
            <v>0</v>
          </cell>
          <cell r="S624" t="str"/>
          <cell r="T624" t="b">
            <v>0</v>
          </cell>
          <cell r="W624">
            <v>414</v>
          </cell>
          <cell r="X624" t="str">
            <v>台中市霧峰區中投東路二段438號</v>
          </cell>
          <cell r="Y624" t="str">
            <v>台中市霧峰區</v>
          </cell>
          <cell r="Z624" t="str">
            <v>台中市霧峰區中投東路二段438號</v>
          </cell>
          <cell r="AA624" t="str">
            <v>414台中市霧峰區中投東路二段438號</v>
          </cell>
          <cell r="AK624" t="str">
            <v>MH-3832</v>
          </cell>
          <cell r="AL624" t="str">
            <v>1-0328-平順&gt;寄&gt;附發票&gt;附回郵</v>
          </cell>
          <cell r="AM624" t="str">
            <v>1-0328</v>
          </cell>
        </row>
        <row r="625">
          <cell r="B625" t="str">
            <v>1-0620</v>
          </cell>
          <cell r="C625" t="str">
            <v>104-08-22</v>
          </cell>
          <cell r="D625" t="str">
            <v>1-0620-敏銓&gt;寄&gt;親收</v>
          </cell>
          <cell r="E625" t="str">
            <v xml:space="preserve">敏銓輪胎行＞負:鍾寶龍 </v>
          </cell>
          <cell r="F625" t="str">
            <v>敏銓輪胎行(620)</v>
          </cell>
          <cell r="G625" t="str">
            <v>未稅</v>
          </cell>
          <cell r="H625" t="str">
            <v>寄＞自結＞匯款:劉秀珠.02625＞</v>
          </cell>
          <cell r="I625" t="str">
            <v>未稅</v>
          </cell>
          <cell r="J625">
            <v>30</v>
          </cell>
          <cell r="K625" t="str">
            <v>3780＞5227＞未稅</v>
          </cell>
          <cell r="L625" t="str">
            <v>0980-760625＞0982-245266鍾寶龍＞傳真:03-3710218</v>
          </cell>
          <cell r="M625">
            <v>0</v>
          </cell>
          <cell r="R625" t="b">
            <v>0</v>
          </cell>
          <cell r="S625" t="str"/>
          <cell r="T625" t="b">
            <v>0</v>
          </cell>
          <cell r="W625">
            <v>330</v>
          </cell>
          <cell r="X625" t="str">
            <v>桃園市桃園區龍壽街235號</v>
          </cell>
          <cell r="Y625" t="str">
            <v>桃園市桃園區</v>
          </cell>
          <cell r="Z625" t="str">
            <v>桃園市桃園區龍壽街235號</v>
          </cell>
          <cell r="AA625" t="str">
            <v>330桃園市桃園區龍壽街235號</v>
          </cell>
          <cell r="AK625" t="str">
            <v>MF-2293</v>
          </cell>
          <cell r="AL625" t="str">
            <v>1-0328-平順&gt;寄&gt;附發票&gt;附回郵</v>
          </cell>
          <cell r="AM625" t="str">
            <v>1-0328</v>
          </cell>
        </row>
        <row r="626">
          <cell r="B626" t="str">
            <v>1-0621</v>
          </cell>
          <cell r="C626" t="str">
            <v>104-08-23</v>
          </cell>
          <cell r="D626" t="str">
            <v>1-0621-順輝&gt;順暉輪胎&gt;寄&gt;親收</v>
          </cell>
          <cell r="E626" t="str">
            <v>順輝&gt;順暉輪胎行＞負:吳榮坤</v>
          </cell>
          <cell r="F626" t="str">
            <v>順暉輪胎行(621)</v>
          </cell>
          <cell r="G626" t="str">
            <v>未稅</v>
          </cell>
          <cell r="H626" t="str">
            <v>寄＞親收＞</v>
          </cell>
          <cell r="I626" t="str">
            <v>未稅</v>
          </cell>
          <cell r="J626">
            <v>30</v>
          </cell>
          <cell r="K626" t="str">
            <v>9285＞9818＞未稅</v>
          </cell>
          <cell r="L626" t="str">
            <v>037-747535＞0932-524783吳榮坤</v>
          </cell>
          <cell r="M626">
            <v>0</v>
          </cell>
          <cell r="R626" t="b">
            <v>0</v>
          </cell>
          <cell r="S626" t="str"/>
          <cell r="T626" t="b">
            <v>0</v>
          </cell>
          <cell r="W626">
            <v>358</v>
          </cell>
          <cell r="X626" t="str">
            <v>苗栗縣苑裡鎮山柑里6鄰65-33號＞登:苗栗縣通霄鎮平安里18鄰平元108號。</v>
          </cell>
          <cell r="Y626" t="str">
            <v>苗栗縣苑裡鎮</v>
          </cell>
          <cell r="Z626" t="str">
            <v>苗栗縣苑裡鎮山柑里6鄰65之33號.</v>
          </cell>
          <cell r="AA626" t="str">
            <v>358苗栗縣苑裡鎮山柑里6鄰65-33號＞登:苗栗縣通霄鎮平安里18鄰平元108號。</v>
          </cell>
          <cell r="AK626" t="str">
            <v>9F-739</v>
          </cell>
          <cell r="AL626" t="str">
            <v>1-0328-平順&gt;寄&gt;附發票&gt;附回郵</v>
          </cell>
          <cell r="AM626" t="str">
            <v>1-0328</v>
          </cell>
        </row>
        <row r="627">
          <cell r="B627" t="str">
            <v>1-0622</v>
          </cell>
          <cell r="C627" t="str">
            <v>104-08-24</v>
          </cell>
          <cell r="D627" t="str">
            <v>1-0622-永順輪胎&gt;現結</v>
          </cell>
          <cell r="E627" t="str">
            <v>永順</v>
          </cell>
          <cell r="F627" t="str">
            <v>永順輪胎行(622)</v>
          </cell>
          <cell r="G627" t="str">
            <v>未稅</v>
          </cell>
          <cell r="H627" t="str">
            <v>現結＞</v>
          </cell>
          <cell r="I627" t="str">
            <v>未稅</v>
          </cell>
          <cell r="J627">
            <v>30</v>
          </cell>
          <cell r="L627" t="str">
            <v>037-872486&gt;0928-936-181&gt;永順兒子</v>
          </cell>
          <cell r="M627">
            <v>0</v>
          </cell>
          <cell r="R627" t="b">
            <v>0</v>
          </cell>
          <cell r="S627" t="str"/>
          <cell r="T627" t="b">
            <v>0</v>
          </cell>
          <cell r="Y627" t="str"/>
          <cell r="AA627" t="str"/>
          <cell r="AK627" t="str">
            <v>8160-B6</v>
          </cell>
          <cell r="AL627" t="str">
            <v>1-0328-平順&gt;寄&gt;附發票&gt;附回郵</v>
          </cell>
          <cell r="AM627" t="str">
            <v>1-0328</v>
          </cell>
        </row>
        <row r="628">
          <cell r="B628" t="str">
            <v>1-0623</v>
          </cell>
          <cell r="C628" t="str">
            <v>104-08-25</v>
          </cell>
          <cell r="D628" t="str">
            <v>1-0623-卓蘭許秋田&gt;溪底田&gt;語恩企業社&gt;寄&gt;親收</v>
          </cell>
          <cell r="E628" t="str">
            <v>卓蘭.許秋田&gt;語恩企業社</v>
          </cell>
          <cell r="F628" t="str">
            <v>卓蘭.許秋田(623)</v>
          </cell>
          <cell r="G628" t="str">
            <v>未稅</v>
          </cell>
          <cell r="H628" t="str">
            <v>寄&gt;親收＞</v>
          </cell>
          <cell r="I628" t="str">
            <v>未稅</v>
          </cell>
          <cell r="J628">
            <v>30</v>
          </cell>
          <cell r="L628" t="str">
            <v>04-8818836&gt;0933-473663許秋田&gt;0976-830233兒子帳務問題</v>
          </cell>
          <cell r="M628">
            <v>0</v>
          </cell>
          <cell r="R628" t="b">
            <v>0</v>
          </cell>
          <cell r="S628" t="str"/>
          <cell r="T628" t="b">
            <v>0</v>
          </cell>
          <cell r="W628">
            <v>516</v>
          </cell>
          <cell r="X628" t="str">
            <v>彰化縣埔鹽鄉埔菜路41-25號</v>
          </cell>
          <cell r="Y628" t="str">
            <v>彰化縣埔鹽鄉</v>
          </cell>
          <cell r="Z628" t="str">
            <v>彰化縣埔鹽鄉埔菜路41之25號.</v>
          </cell>
          <cell r="AA628" t="str">
            <v>516彰化縣埔鹽鄉埔菜路41-25號</v>
          </cell>
          <cell r="AK628" t="str">
            <v>8775-RK</v>
          </cell>
          <cell r="AL628" t="str">
            <v>1-0328-平順&gt;寄&gt;附發票&gt;附回郵</v>
          </cell>
          <cell r="AM628" t="str">
            <v>1-0328</v>
          </cell>
        </row>
        <row r="629">
          <cell r="B629" t="str">
            <v>1-0624</v>
          </cell>
          <cell r="C629" t="str">
            <v>109-04-06/郭雯瑀</v>
          </cell>
          <cell r="D629" t="str">
            <v>1-0624-聖麒工程&gt;閎元&gt;永金&gt;寄&gt;附回郵&gt;現金價</v>
          </cell>
          <cell r="E629" t="str">
            <v>閎元營造股份有限公司&gt;聖麒工程開發有限公司&gt;永金通運有限公司&gt;負:簡鴻宇</v>
          </cell>
          <cell r="F629" t="str">
            <v>聖麒工程開發有限公司(624)</v>
          </cell>
          <cell r="G629" t="str">
            <v>含稅</v>
          </cell>
          <cell r="H629" t="str">
            <v>寄&gt;附回郵&gt;先不用開發票&gt;現金價</v>
          </cell>
          <cell r="I629" t="str">
            <v>4277&gt;6813聖麒(開這家)&gt;5091&gt;2072閎元&gt;2892&gt;2012永金&gt;含稅</v>
          </cell>
          <cell r="J629">
            <v>30</v>
          </cell>
          <cell r="L629" t="str">
            <v>聖麒工程03-3600735林小姐&gt;傳真:03-3600755&gt;0966-660586簡鴻宇</v>
          </cell>
          <cell r="M629">
            <v>0</v>
          </cell>
          <cell r="R629" t="b">
            <v>0</v>
          </cell>
          <cell r="S629" t="str"/>
          <cell r="T629" t="b">
            <v>0</v>
          </cell>
          <cell r="W629">
            <v>337</v>
          </cell>
          <cell r="X629" t="str">
            <v>桃園市大園區青昇路一段25號</v>
          </cell>
          <cell r="Y629" t="str">
            <v>桃園市中壢區</v>
          </cell>
          <cell r="Z629" t="str">
            <v>桃園市中壢區復興里復華九街137號3樓</v>
          </cell>
          <cell r="AA629" t="str">
            <v>337桃園市大園區青昇路一段25號</v>
          </cell>
          <cell r="AK629" t="str">
            <v>2F-4466</v>
          </cell>
          <cell r="AL629" t="str">
            <v>1-0328-平順&gt;寄&gt;附發票&gt;附回郵</v>
          </cell>
          <cell r="AM629" t="str">
            <v>1-0328</v>
          </cell>
        </row>
        <row r="630">
          <cell r="B630" t="str">
            <v>1-0625</v>
          </cell>
          <cell r="C630" t="str">
            <v>104-08-27</v>
          </cell>
          <cell r="D630" t="str">
            <v>1-0625-(2/3)永矩(卡車)&gt;寄&gt;附發票&gt;附回郵</v>
          </cell>
          <cell r="E630" t="str">
            <v>永矩企業股份有限公司＞負:羅居波＞竹南廠(2/3)</v>
          </cell>
          <cell r="F630" t="str">
            <v>永矩企業股份有限公司&gt;竹南廠(625)</v>
          </cell>
          <cell r="G630" t="str">
            <v>含稅</v>
          </cell>
          <cell r="H630" t="str">
            <v>寄＞附發票＞附回郵＞</v>
          </cell>
          <cell r="I630" t="str">
            <v>8486＞6935＞含稅＞一張五萬</v>
          </cell>
          <cell r="J630">
            <v>30</v>
          </cell>
          <cell r="L630" t="str">
            <v>037-628388＞0976-591025車管 葉耀光＞傳真037-625646</v>
          </cell>
          <cell r="M630" t="str">
            <v>2-0016</v>
          </cell>
          <cell r="R630" t="b">
            <v>0</v>
          </cell>
          <cell r="S630" t="str"/>
          <cell r="T630" t="b">
            <v>0</v>
          </cell>
          <cell r="W630">
            <v>350</v>
          </cell>
          <cell r="X630" t="str">
            <v>苗栗縣竹南鎮公館里六鄰公館仔79號＞登:新竹縣竹東鎮中正里15鄰中正路168號。</v>
          </cell>
          <cell r="Y630" t="str">
            <v>苗栗縣竹南鎮</v>
          </cell>
          <cell r="Z630" t="str">
            <v>苗栗縣竹南鎮公館里六鄰公館仔79號.</v>
          </cell>
          <cell r="AA630" t="str">
            <v>350苗栗縣竹南鎮公館里六鄰公館仔79號＞登:新竹縣竹東鎮中正里15鄰中正路168號。</v>
          </cell>
          <cell r="AK630" t="str">
            <v>4773-B6</v>
          </cell>
          <cell r="AL630" t="str">
            <v>1-0328-平順&gt;寄&gt;附發票&gt;附回郵</v>
          </cell>
          <cell r="AM630" t="str">
            <v>1-0328</v>
          </cell>
        </row>
        <row r="631">
          <cell r="B631" t="str">
            <v>1-0626</v>
          </cell>
          <cell r="C631" t="str">
            <v>104-08-28</v>
          </cell>
          <cell r="D631" t="str">
            <v>1-0626-永協(湖口)&gt;寄&gt;附發票&gt;附回郵</v>
          </cell>
          <cell r="E631" t="str">
            <v>永協企業股份有限公司＞湖口廠</v>
          </cell>
          <cell r="F631" t="str">
            <v>永協企業股份有限公司&gt;湖口廠(626)</v>
          </cell>
          <cell r="G631" t="str">
            <v>含稅</v>
          </cell>
          <cell r="H631" t="str">
            <v>寄＞附發票＞附回郵＞</v>
          </cell>
          <cell r="I631" t="str">
            <v>8419＞5774＞含稅＞批發，維修發票分開開立</v>
          </cell>
          <cell r="J631">
            <v>30</v>
          </cell>
          <cell r="L631" t="str">
            <v>03-5996000呂小姐&gt;傳真03-5996126; 會計專線:03-5908871呂小姐</v>
          </cell>
          <cell r="M631">
            <v>0</v>
          </cell>
          <cell r="R631" t="b">
            <v>0</v>
          </cell>
          <cell r="S631" t="str"/>
          <cell r="T631" t="b">
            <v>0</v>
          </cell>
          <cell r="W631">
            <v>303</v>
          </cell>
          <cell r="X631" t="str">
            <v>新竹縣湖口鄉信義村7鄰成功路910號</v>
          </cell>
          <cell r="Y631" t="str">
            <v>新竹縣湖口鄉</v>
          </cell>
          <cell r="Z631" t="str">
            <v>新竹縣湖口鄉信義村7鄰成功路910號.</v>
          </cell>
          <cell r="AA631" t="str">
            <v>303新竹縣湖口鄉信義村7鄰成功路910號</v>
          </cell>
          <cell r="AK631" t="str">
            <v>020-GU</v>
          </cell>
          <cell r="AL631" t="str">
            <v>1-0329-新萬俊&gt;寄&gt;匯款</v>
          </cell>
          <cell r="AM631" t="str">
            <v>1-0329</v>
          </cell>
        </row>
        <row r="632">
          <cell r="B632" t="str">
            <v>1-0627</v>
          </cell>
          <cell r="C632" t="str">
            <v>104-08-29</v>
          </cell>
          <cell r="D632" t="str">
            <v>1-0627-永瑄(竹東)&gt;寄&gt;附發票&gt;附回郵</v>
          </cell>
          <cell r="E632" t="str">
            <v>永瑄股份有限公司&gt;負:羅煥綺&gt;竹東廠</v>
          </cell>
          <cell r="F632" t="str">
            <v>永瑄股份有限公司&gt;竹東廠(627)</v>
          </cell>
          <cell r="G632" t="str">
            <v>含稅</v>
          </cell>
          <cell r="H632" t="str">
            <v>寄＞附發票＞附回郵＞</v>
          </cell>
          <cell r="I632" t="str">
            <v>2395＞0024＞含稅</v>
          </cell>
          <cell r="J632">
            <v>30</v>
          </cell>
          <cell r="L632" t="str">
            <v>03-5923322&gt;0981-150263許萬豪經理&gt;傳真03-5923327</v>
          </cell>
          <cell r="M632">
            <v>0</v>
          </cell>
          <cell r="R632" t="b">
            <v>0</v>
          </cell>
          <cell r="S632" t="str"/>
          <cell r="T632" t="b">
            <v>0</v>
          </cell>
          <cell r="W632">
            <v>310</v>
          </cell>
          <cell r="X632" t="str">
            <v>新竹縣竹東鎮仁愛里北岸6號</v>
          </cell>
          <cell r="Y632" t="str">
            <v>新竹縣竹東鎮</v>
          </cell>
          <cell r="Z632" t="str">
            <v>新竹縣竹東鎮仁愛里北岸6號.</v>
          </cell>
          <cell r="AA632" t="str">
            <v>310新竹縣竹東鎮仁愛里北岸6號</v>
          </cell>
          <cell r="AK632" t="str">
            <v>205-HF</v>
          </cell>
          <cell r="AL632" t="str">
            <v>1-0329-新萬俊&gt;寄&gt;匯款</v>
          </cell>
          <cell r="AM632" t="str">
            <v>1-0329</v>
          </cell>
        </row>
        <row r="633">
          <cell r="B633" t="str">
            <v>1-0628</v>
          </cell>
          <cell r="C633" t="str">
            <v>104-08-30</v>
          </cell>
          <cell r="D633" t="str">
            <v>1-0628-永炬(楊梅)&gt;寄&gt;附發票&gt;附回郵</v>
          </cell>
          <cell r="E633" t="str">
            <v>永炬企業股份有限公司＞負:羅煥綺&gt;楊梅廠</v>
          </cell>
          <cell r="F633" t="str">
            <v>永炬企業股份有限公司&gt;楊梅廠(628)</v>
          </cell>
          <cell r="G633" t="str">
            <v>含稅</v>
          </cell>
          <cell r="H633" t="str">
            <v>寄＞附發票＞附回郵＞</v>
          </cell>
          <cell r="I633" t="str">
            <v>4725＞1457＞含稅</v>
          </cell>
          <cell r="J633">
            <v>30</v>
          </cell>
          <cell r="L633" t="str">
            <v>03-4787299＞03-4781330會計專線＞傳真03-4726374</v>
          </cell>
          <cell r="M633">
            <v>0</v>
          </cell>
          <cell r="R633" t="b">
            <v>0</v>
          </cell>
          <cell r="S633" t="str"/>
          <cell r="T633" t="b">
            <v>0</v>
          </cell>
          <cell r="W633">
            <v>326</v>
          </cell>
          <cell r="X633" t="str">
            <v>桃園市楊梅區高獅路836巷3號＞登:新竹縣竹東鎮仁愛里北岸6號</v>
          </cell>
          <cell r="Y633" t="str">
            <v>桃園市楊梅區</v>
          </cell>
          <cell r="Z633" t="str">
            <v>桃園市楊梅區高獅路836巷3號.</v>
          </cell>
          <cell r="AA633" t="str">
            <v>326桃園市楊梅區高獅路836巷3號＞登:新竹縣竹東鎮仁愛里北岸6號</v>
          </cell>
          <cell r="AK633" t="str">
            <v>LF-1993</v>
          </cell>
          <cell r="AL633" t="str">
            <v>1-0338-東馴&gt;寄&gt;附發票&gt;附回郵</v>
          </cell>
          <cell r="AM633" t="str">
            <v>1-0338</v>
          </cell>
        </row>
        <row r="634">
          <cell r="B634" t="str">
            <v>1-0629</v>
          </cell>
          <cell r="C634" t="str">
            <v>104-09-01</v>
          </cell>
          <cell r="D634" t="str">
            <v>1-0629-國順土城&gt;寄&gt;附發票&gt;附回郵</v>
          </cell>
          <cell r="E634" t="str">
            <v>國順預拌混凝土股份有限公司&gt;土城廠</v>
          </cell>
          <cell r="F634" t="str">
            <v>國順預拌混凝土有限公司&gt;土城廠(629)</v>
          </cell>
          <cell r="G634" t="str">
            <v>稅外</v>
          </cell>
          <cell r="H634" t="str">
            <v>寄＞附發票＞附回郵＞</v>
          </cell>
          <cell r="I634" t="str">
            <v>2804＞1220＞稅外</v>
          </cell>
          <cell r="J634">
            <v>30</v>
          </cell>
          <cell r="L634" t="str">
            <v>02-22679315&gt;0939-264587潘俊榕&gt;傳真02-22671593</v>
          </cell>
          <cell r="M634">
            <v>0</v>
          </cell>
          <cell r="R634" t="b">
            <v>0</v>
          </cell>
          <cell r="S634" t="str"/>
          <cell r="T634" t="b">
            <v>0</v>
          </cell>
          <cell r="W634">
            <v>236</v>
          </cell>
          <cell r="X634" t="str">
            <v>新北市土城工業區中山路75-1號</v>
          </cell>
          <cell r="Y634" t="str">
            <v>新北市土城工</v>
          </cell>
          <cell r="Z634" t="str">
            <v>新北市土城工業區中山路75之1號.</v>
          </cell>
          <cell r="AA634" t="str">
            <v>236新北市土城工業區中山路75-1號</v>
          </cell>
          <cell r="AK634" t="str">
            <v>396-VB</v>
          </cell>
          <cell r="AL634" t="str">
            <v>1-0338-東馴&gt;寄&gt;附發票&gt;附回郵</v>
          </cell>
          <cell r="AM634" t="str">
            <v>1-0338</v>
          </cell>
        </row>
        <row r="635">
          <cell r="B635" t="str">
            <v>1-0630</v>
          </cell>
          <cell r="C635" t="str">
            <v>104-09-02</v>
          </cell>
          <cell r="D635" t="str">
            <v>1-0630-國順苗栗&gt;寄&gt;附發票&gt;附回郵</v>
          </cell>
          <cell r="E635" t="str">
            <v>國順預拌混凝土股份有限公司&gt;苗栗廠&gt;名豐運輸(股)公司</v>
          </cell>
          <cell r="F635" t="str">
            <v>國順預拌混凝土有限公司&gt;苗栗廠(630)</v>
          </cell>
          <cell r="G635" t="str">
            <v>稅外</v>
          </cell>
          <cell r="H635" t="str">
            <v>寄＞附發票＞附回郵＞</v>
          </cell>
          <cell r="I635" t="str">
            <v xml:space="preserve">2425＞5827國順＞5306＞9999名豐＞稅外＞中華全佑＞一台車一份帳單 </v>
          </cell>
          <cell r="J635">
            <v>30</v>
          </cell>
          <cell r="L635" t="str">
            <v>037-581386&gt;0912-962151石董&gt;0912-278969叮當&gt;0918-025308沈志豪&gt;傳真:037-581513</v>
          </cell>
          <cell r="M635">
            <v>0</v>
          </cell>
          <cell r="R635" t="b">
            <v>0</v>
          </cell>
          <cell r="S635" t="str"/>
          <cell r="T635" t="b">
            <v>0</v>
          </cell>
          <cell r="W635">
            <v>350</v>
          </cell>
          <cell r="X635" t="str">
            <v>苗栗縣竹南鎮崎頂里15鄰仁愛路1633號</v>
          </cell>
          <cell r="Y635" t="str">
            <v>苗栗縣竹南鎮</v>
          </cell>
          <cell r="Z635" t="str">
            <v>苗栗縣竹南鎮崎頂里15鄰仁愛路1633號.</v>
          </cell>
          <cell r="AA635" t="str">
            <v>350苗栗縣竹南鎮崎頂里15鄰仁愛路1633號</v>
          </cell>
          <cell r="AK635" t="str">
            <v>4436-N5</v>
          </cell>
          <cell r="AL635" t="str">
            <v>1-0338-東馴&gt;寄&gt;附發票&gt;附回郵</v>
          </cell>
          <cell r="AM635" t="str">
            <v>1-0338</v>
          </cell>
        </row>
        <row r="636">
          <cell r="B636" t="str">
            <v>1-0631</v>
          </cell>
          <cell r="C636" t="str">
            <v>104-09-03</v>
          </cell>
          <cell r="D636" t="str">
            <v>1-0631-長源苗栗&gt;寄＞附發票＞匯款</v>
          </cell>
          <cell r="E636" t="str">
            <v>長源汽車股份有限公司&gt;苗栗廠</v>
          </cell>
          <cell r="F636" t="str">
            <v>長源汽車股份有限公司&gt;苗栗廠(631)</v>
          </cell>
          <cell r="G636" t="str">
            <v>稅外</v>
          </cell>
          <cell r="H636" t="str">
            <v>寄＞附發票＞匯款＞</v>
          </cell>
          <cell r="I636" t="str">
            <v>1663＞0047＞稅外＞中華全佑＞一張簽單一張發票＞25號月結</v>
          </cell>
          <cell r="J636">
            <v>25</v>
          </cell>
          <cell r="L636" t="str">
            <v>037-332060 &gt;0930388168吳振圖 &gt;0910-477068張鍚根&gt;傳真037-358453</v>
          </cell>
          <cell r="M636">
            <v>0</v>
          </cell>
          <cell r="R636" t="b">
            <v>0</v>
          </cell>
          <cell r="S636" t="str"/>
          <cell r="T636" t="b">
            <v>0</v>
          </cell>
          <cell r="W636">
            <v>360</v>
          </cell>
          <cell r="X636" t="str">
            <v>苗栗市國華路812號</v>
          </cell>
          <cell r="Y636" t="str">
            <v>苗栗市國華路</v>
          </cell>
          <cell r="Z636" t="str">
            <v>苗栗市國華路812號.</v>
          </cell>
          <cell r="AA636" t="str">
            <v>360苗栗市國華路812號</v>
          </cell>
          <cell r="AK636" t="str">
            <v>W5-2996</v>
          </cell>
          <cell r="AL636" t="str">
            <v>1-0339-龍俐&gt;寄&gt;附發票&gt;附回郵</v>
          </cell>
          <cell r="AM636" t="str">
            <v>1-0339</v>
          </cell>
        </row>
        <row r="637">
          <cell r="B637" t="str">
            <v>1-0632</v>
          </cell>
          <cell r="C637" t="str">
            <v>104-09-04</v>
          </cell>
          <cell r="D637" t="str">
            <v>1-0632-長源新竹&gt;寄＞附發票＞三個月匯款</v>
          </cell>
          <cell r="E637" t="str">
            <v>長源汽車股份有限公司&gt;新竹廠</v>
          </cell>
          <cell r="F637" t="str">
            <v>長源汽車股份有限公司&gt;新竹廠(632)</v>
          </cell>
          <cell r="G637" t="str">
            <v>稅外</v>
          </cell>
          <cell r="H637" t="str">
            <v>寄＞附發票＞匯款:三個月後15號滙款＞附定位數據＞中華全佑&gt;1張簽單1張發票＞</v>
          </cell>
          <cell r="I637" t="str">
            <v>1663＞0047＞稅外＞中華全佑＞25號月結&gt;如果月底前不能讓對方收到，發票開完先傳真</v>
          </cell>
          <cell r="J637">
            <v>25</v>
          </cell>
          <cell r="L637" t="str">
            <v>03-5389811&gt;0918-767400林振宏 &gt;傳真03-5303805</v>
          </cell>
          <cell r="M637">
            <v>0</v>
          </cell>
          <cell r="R637" t="b">
            <v>0</v>
          </cell>
          <cell r="S637" t="str"/>
          <cell r="T637" t="b">
            <v>0</v>
          </cell>
          <cell r="W637">
            <v>300</v>
          </cell>
          <cell r="X637" t="str">
            <v>新竹市中華路四段561號</v>
          </cell>
          <cell r="Y637" t="str">
            <v>新竹市中華路</v>
          </cell>
          <cell r="Z637" t="str">
            <v>新竹市中華路四段561號.</v>
          </cell>
          <cell r="AA637" t="str">
            <v>300新竹市中華路四段561號</v>
          </cell>
          <cell r="AK637" t="str">
            <v>3H-9097</v>
          </cell>
          <cell r="AL637" t="str">
            <v>1-0339-龍俐&gt;寄&gt;附發票&gt;附回郵</v>
          </cell>
          <cell r="AM637" t="str">
            <v>1-0339</v>
          </cell>
        </row>
        <row r="638">
          <cell r="B638" t="str">
            <v>1-0633</v>
          </cell>
          <cell r="C638" t="str">
            <v>109-12-30/黃凱筠</v>
          </cell>
          <cell r="D638" t="str">
            <v>1-0633-振順輪胎行&gt;寄&gt;附發票&gt;附回郵</v>
          </cell>
          <cell r="E638" t="str">
            <v>振順輪胎行&gt;負:賴國彬</v>
          </cell>
          <cell r="F638" t="str">
            <v>振順輪胎行(633)</v>
          </cell>
          <cell r="G638" t="str">
            <v>含稅</v>
          </cell>
          <cell r="H638" t="str">
            <v>寄&gt;附發票&gt;附回郵</v>
          </cell>
          <cell r="I638" t="str">
            <v>1986&gt;9058&gt;稅外＞25號月結</v>
          </cell>
          <cell r="J638">
            <v>25</v>
          </cell>
          <cell r="L638" t="str">
            <v>037-990393&gt;0910518345老闆</v>
          </cell>
          <cell r="M638" t="str">
            <v>0</v>
          </cell>
          <cell r="O638">
            <v>58</v>
          </cell>
          <cell r="P638">
            <v>11</v>
          </cell>
          <cell r="Q638">
            <v>6</v>
          </cell>
          <cell r="R638">
            <v>52</v>
          </cell>
          <cell r="S638">
            <v>69</v>
          </cell>
          <cell r="T638">
            <v>25513</v>
          </cell>
          <cell r="U638" t="str">
            <v>K121360663</v>
          </cell>
          <cell r="V638" t="str">
            <v>賴國彬</v>
          </cell>
          <cell r="W638">
            <v>354</v>
          </cell>
          <cell r="X638" t="str">
            <v>苗栗縣獅潭鄉竹木村16鄰汶水13-1號</v>
          </cell>
          <cell r="Y638" t="str">
            <v>苗栗縣獅潭鄉</v>
          </cell>
          <cell r="Z638" t="str">
            <v>苗栗縣獅潭鄉竹木村16鄰汶水13-1號</v>
          </cell>
          <cell r="AA638" t="str">
            <v>354苗栗縣獅潭鄉竹木村16鄰汶水13-1號</v>
          </cell>
          <cell r="AK638" t="str">
            <v>8570-YV</v>
          </cell>
          <cell r="AL638" t="str">
            <v>1-0339-龍俐&gt;寄&gt;附發票&gt;附回郵</v>
          </cell>
          <cell r="AM638" t="str">
            <v>1-0339</v>
          </cell>
        </row>
        <row r="639">
          <cell r="B639" t="str">
            <v>1-0634</v>
          </cell>
          <cell r="C639" t="str">
            <v>109-04-28/郭雯瑀</v>
          </cell>
          <cell r="D639" t="str">
            <v>1-0634-裕益新竹&gt;寄＞附發票＞匯款</v>
          </cell>
          <cell r="E639" t="str">
            <v>裕益汽車股份有限公司&gt;新竹廠</v>
          </cell>
          <cell r="F639" t="str">
            <v>裕益汽車股份有限公司&gt;新竹廠(634)</v>
          </cell>
          <cell r="G639" t="str">
            <v>稅外</v>
          </cell>
          <cell r="H639" t="str">
            <v>寄＞附發票＞匯款&gt;tai@syc.com.tw＞</v>
          </cell>
          <cell r="I639" t="str">
            <v>3546＞6307＞稅外＞中華全佑＞1張簽單1張發票＞25號月結</v>
          </cell>
          <cell r="J639">
            <v>25</v>
          </cell>
          <cell r="L639" t="str">
            <v>03-6565555&gt;0933-115083戴志霖課長&gt;傳真03-6569558</v>
          </cell>
          <cell r="M639">
            <v>0</v>
          </cell>
          <cell r="R639" t="b">
            <v>0</v>
          </cell>
          <cell r="S639" t="str"/>
          <cell r="T639" t="b">
            <v>0</v>
          </cell>
          <cell r="W639">
            <v>236</v>
          </cell>
          <cell r="X639" t="str">
            <v>新竹縣竹北市環北路二段68號</v>
          </cell>
          <cell r="Y639" t="str">
            <v>新竹縣竹北市</v>
          </cell>
          <cell r="Z639" t="str">
            <v>新竹縣竹北市環北路二段68號</v>
          </cell>
          <cell r="AA639" t="str">
            <v>236新竹縣竹北市環北路二段68號</v>
          </cell>
          <cell r="AK639" t="str">
            <v>9468-N5</v>
          </cell>
          <cell r="AL639" t="str">
            <v>1-0346-進發&gt;寄&gt;附發票&gt;附回郵</v>
          </cell>
          <cell r="AM639" t="str">
            <v>1-0346</v>
          </cell>
        </row>
        <row r="640">
          <cell r="B640" t="str">
            <v>1-0635</v>
          </cell>
          <cell r="C640" t="str">
            <v>104-09-07</v>
          </cell>
          <cell r="D640" t="str">
            <v>1-0635-台中永德福SCANIA&gt;寄＞附發票＞匯款</v>
          </cell>
          <cell r="E640" t="str">
            <v>英屬維京群島商永德福汽車股份有限公司台灣分公司&gt;台中廠SCANIA</v>
          </cell>
          <cell r="F640" t="str">
            <v>永德福汽車股份有限公司&gt;台中廠(635)</v>
          </cell>
          <cell r="G640" t="str">
            <v>含稅</v>
          </cell>
          <cell r="H640" t="str">
            <v>寄＞附發票＞附定位數據＞匯款:GRIF2個月後滙款＞</v>
          </cell>
          <cell r="I640" t="str">
            <v>2792＞2106＞含稅 ＞中華全佑＞1張簽單1張發票＞20號月結</v>
          </cell>
          <cell r="J640">
            <v>20</v>
          </cell>
          <cell r="L640" t="str">
            <v>04-27081090&gt;傳真04-27081101</v>
          </cell>
          <cell r="M640">
            <v>0</v>
          </cell>
          <cell r="R640" t="b">
            <v>0</v>
          </cell>
          <cell r="S640" t="str"/>
          <cell r="T640" t="b">
            <v>0</v>
          </cell>
          <cell r="W640">
            <v>407</v>
          </cell>
          <cell r="X640" t="str">
            <v>台中市西屯區廣福路155-3號&gt;登:台北市中山區南京東路3段77號13F</v>
          </cell>
          <cell r="Y640" t="str">
            <v>台中市西屯區</v>
          </cell>
          <cell r="Z640" t="str">
            <v>台中市西屯區廣福路155之3號.</v>
          </cell>
          <cell r="AA640" t="str">
            <v>407台中市西屯區廣福路155-3號&gt;登:台北市中山區南京東路3段77號13F</v>
          </cell>
          <cell r="AK640" t="str">
            <v>9812-FV</v>
          </cell>
          <cell r="AL640" t="str">
            <v>1-0346-進發&gt;寄&gt;附發票&gt;附回郵</v>
          </cell>
          <cell r="AM640" t="str">
            <v>1-0346</v>
          </cell>
        </row>
        <row r="641">
          <cell r="B641" t="str">
            <v>1-0636</v>
          </cell>
          <cell r="C641" t="str">
            <v>104-09-08</v>
          </cell>
          <cell r="D641" t="str">
            <v>1-0636-桃園永德福SCANIA&gt;寄＞附發票＞匯款</v>
          </cell>
          <cell r="E641" t="str">
            <v>英屬維京群島商永德福汽車股份有限公司台灣分公司&gt;桃園廠SCANIA</v>
          </cell>
          <cell r="F641" t="str">
            <v>永德福汽車股份有限公司&gt;桃園廠(636)</v>
          </cell>
          <cell r="G641" t="str">
            <v>含稅</v>
          </cell>
          <cell r="H641" t="str">
            <v>寄＞附發票＞附定位數據＞匯款＞</v>
          </cell>
          <cell r="I641" t="str">
            <v>2792＞2106＞含稅＞中華全佑＞1張簽單1張發票＞20號月結</v>
          </cell>
          <cell r="J641">
            <v>20</v>
          </cell>
          <cell r="L641" t="str">
            <v>03-4922128&gt;0988-927550羅文厚&gt;傳真03-4504190</v>
          </cell>
          <cell r="M641">
            <v>0</v>
          </cell>
          <cell r="R641" t="b">
            <v>0</v>
          </cell>
          <cell r="S641" t="str"/>
          <cell r="T641" t="b">
            <v>0</v>
          </cell>
          <cell r="W641">
            <v>324</v>
          </cell>
          <cell r="X641" t="str">
            <v>桃園市平鎮區延平路3段102號</v>
          </cell>
          <cell r="Y641" t="str">
            <v>桃園市平鎮區</v>
          </cell>
          <cell r="Z641" t="str">
            <v>桃園市平鎮區延平路3段102號.</v>
          </cell>
          <cell r="AA641" t="str">
            <v>324桃園市平鎮區延平路3段102號</v>
          </cell>
          <cell r="AK641" t="str">
            <v>ABJ-1787</v>
          </cell>
          <cell r="AL641" t="str">
            <v>1-0346-進發&gt;寄&gt;附發票&gt;附回郵</v>
          </cell>
          <cell r="AM641" t="str">
            <v>1-0346</v>
          </cell>
        </row>
        <row r="642">
          <cell r="B642" t="str">
            <v>1-0637</v>
          </cell>
          <cell r="C642" t="str">
            <v>104-09-09</v>
          </cell>
          <cell r="D642" t="str">
            <v>1-0637-中壢永德福SCANIA&gt;寄＞附發票＞匯款</v>
          </cell>
          <cell r="E642" t="str">
            <v>英屬維京群島商永德福汽車股份有限公司台灣分公司＞中壢廠SCANIA</v>
          </cell>
          <cell r="F642" t="str">
            <v>永德福汽車股份有限公司&gt;中壢廠(637)</v>
          </cell>
          <cell r="G642" t="str">
            <v>含稅</v>
          </cell>
          <cell r="H642" t="str">
            <v>寄＞附發票＞匯款:GRIF2個月後匯款＞附定位數據＞</v>
          </cell>
          <cell r="I642" t="str">
            <v>2792＞2106＞含稅＞中華全佑＞1張簽單1張發票＞20號月結</v>
          </cell>
          <cell r="J642">
            <v>20</v>
          </cell>
          <cell r="L642" t="str">
            <v>03-4922128＞傳真03-4922165</v>
          </cell>
          <cell r="M642">
            <v>0</v>
          </cell>
          <cell r="R642" t="b">
            <v>0</v>
          </cell>
          <cell r="S642" t="str"/>
          <cell r="T642" t="b">
            <v>0</v>
          </cell>
          <cell r="W642">
            <v>324</v>
          </cell>
          <cell r="X642" t="str">
            <v>桃園縣平鎮巿延平路3段102號＞嘉義縣太保巿北港路二段241號＞登:臺北市中山區復華里南京東路三段77號13樓。</v>
          </cell>
          <cell r="Y642" t="str">
            <v>桃園縣平鎮巿</v>
          </cell>
          <cell r="Z642" t="str">
            <v>桃園縣平鎮巿延平路3段102號.</v>
          </cell>
          <cell r="AA642" t="str">
            <v>324桃園縣平鎮巿延平路3段102號＞嘉義縣太保巿北港路二段241號＞登:臺北市中山區復華里南京東路三段77號13樓。</v>
          </cell>
          <cell r="AK642" t="str">
            <v>865-RT</v>
          </cell>
          <cell r="AL642" t="str">
            <v>1-0346-進發&gt;寄&gt;附發票&gt;附回郵</v>
          </cell>
          <cell r="AM642" t="str">
            <v>1-0346</v>
          </cell>
        </row>
        <row r="643">
          <cell r="B643" t="str">
            <v>1-0638</v>
          </cell>
          <cell r="C643" t="str">
            <v>104-09-10</v>
          </cell>
          <cell r="D643" t="str">
            <v>1-0638-永德福總公司SCANIA&gt;寄＞附發票＞匯款</v>
          </cell>
          <cell r="E643" t="str">
            <v>英屬維京群島商永德福汽車股份有限公司台灣分公司＞總公司SCANIA</v>
          </cell>
          <cell r="F643" t="str">
            <v>永德福汽車股份有限公司＞總公司(638)</v>
          </cell>
          <cell r="G643" t="str">
            <v>含稅</v>
          </cell>
          <cell r="H643" t="str">
            <v>寄＞附發票＞匯款:GRIF2個月後匯款＞附定位數據＞</v>
          </cell>
          <cell r="I643" t="str">
            <v>2792＞2106＞含稅＞中華全佑＞1張簽單1張發票＞20號月結</v>
          </cell>
          <cell r="J643">
            <v>20</v>
          </cell>
          <cell r="L643" t="str">
            <v>02-25098200#807洪于婷&gt;傳真02-25096950&gt;售後服務02-22929350#205吳長銘&gt;傳真02-22927720</v>
          </cell>
          <cell r="M643">
            <v>0</v>
          </cell>
          <cell r="R643" t="b">
            <v>0</v>
          </cell>
          <cell r="S643" t="str"/>
          <cell r="T643" t="b">
            <v>0</v>
          </cell>
          <cell r="W643">
            <v>104</v>
          </cell>
          <cell r="X643" t="str">
            <v>台北市中山區南京東路3段77號13F</v>
          </cell>
          <cell r="Y643" t="str">
            <v>台北市中山區</v>
          </cell>
          <cell r="Z643" t="str">
            <v>台北市中山區南京東路3段77號13樓.</v>
          </cell>
          <cell r="AA643" t="str">
            <v>104台北市中山區南京東路3段77號13F</v>
          </cell>
          <cell r="AK643" t="str">
            <v>409-VD</v>
          </cell>
          <cell r="AL643" t="str">
            <v>1-0352-永裕豐&gt;松江&gt;寄&gt;附回郵</v>
          </cell>
          <cell r="AM643" t="str">
            <v>1-0352</v>
          </cell>
        </row>
        <row r="644">
          <cell r="B644" t="str">
            <v>1-0639</v>
          </cell>
          <cell r="C644" t="str">
            <v>104-09-11</v>
          </cell>
          <cell r="D644" t="str">
            <v>1-0639-台南永德福SCANIA&gt;寄＞附發票＞匯款</v>
          </cell>
          <cell r="E644" t="str">
            <v>英屬維京群島商永德福汽車股份有限公司台灣分公司＞台南SCANIA</v>
          </cell>
          <cell r="F644" t="str">
            <v>永德福汽車股份有限公司＞台南廠(639)</v>
          </cell>
          <cell r="G644" t="str">
            <v>含稅</v>
          </cell>
          <cell r="H644" t="str">
            <v>寄＞附發票＞匯款:GRIF2個月後匯款＞附定位數據＞</v>
          </cell>
          <cell r="I644" t="str">
            <v>2792＞2106＞含稅＞中華全佑＞1張簽單1張發票＞20號月結</v>
          </cell>
          <cell r="J644">
            <v>20</v>
          </cell>
          <cell r="L644" t="str">
            <v>0903-368781吳先生</v>
          </cell>
          <cell r="M644">
            <v>0</v>
          </cell>
          <cell r="R644" t="b">
            <v>0</v>
          </cell>
          <cell r="S644" t="str"/>
          <cell r="T644" t="b">
            <v>0</v>
          </cell>
          <cell r="W644">
            <v>710</v>
          </cell>
          <cell r="X644" t="str">
            <v>台南市永康區正北一路135號</v>
          </cell>
          <cell r="Y644" t="str">
            <v>台南市永康區</v>
          </cell>
          <cell r="Z644" t="str">
            <v>台南市永康區正北一路135號.</v>
          </cell>
          <cell r="AA644" t="str">
            <v>710台南市永康區正北一路135號</v>
          </cell>
          <cell r="AK644" t="str">
            <v>IN-505</v>
          </cell>
          <cell r="AL644" t="str">
            <v>1-0352-永裕豐&gt;松江&gt;寄&gt;附回郵</v>
          </cell>
          <cell r="AM644" t="str">
            <v>1-0352</v>
          </cell>
        </row>
        <row r="645">
          <cell r="B645" t="str">
            <v>1-0640</v>
          </cell>
          <cell r="C645" t="str">
            <v>104-09-12</v>
          </cell>
          <cell r="D645" t="str">
            <v>1-0640-(1/2)紀志易.公司帳&gt;寄&gt;自結</v>
          </cell>
          <cell r="E645" t="str">
            <v>紀志易＞靠行:志松汽車貨運股份有限公司&gt;公司帳(1/2)</v>
          </cell>
          <cell r="F645" t="str">
            <v>紀志易&gt;公司帳(640)</v>
          </cell>
          <cell r="G645" t="str">
            <v>未稅</v>
          </cell>
          <cell r="H645" t="str">
            <v>寄＞自結＞</v>
          </cell>
          <cell r="I645" t="str">
            <v>未稅</v>
          </cell>
          <cell r="J645">
            <v>30</v>
          </cell>
          <cell r="K645" t="str">
            <v>4972＞6472＞未稅</v>
          </cell>
          <cell r="L645" t="str">
            <v>0937-223622紀志易</v>
          </cell>
          <cell r="M645">
            <v>0</v>
          </cell>
          <cell r="O645">
            <v>52</v>
          </cell>
          <cell r="P645">
            <v>4</v>
          </cell>
          <cell r="Q645">
            <v>24</v>
          </cell>
          <cell r="R645">
            <v>58</v>
          </cell>
          <cell r="S645">
            <v>63</v>
          </cell>
          <cell r="T645">
            <v>23125</v>
          </cell>
          <cell r="U645" t="str">
            <v>K120769920</v>
          </cell>
          <cell r="V645" t="str">
            <v>紀志易</v>
          </cell>
          <cell r="W645">
            <v>350</v>
          </cell>
          <cell r="X645" t="str">
            <v>苗栗縣竹南鎮博愛街313巷5號10樓＞登:苗栗縣頭份鎮蟠桃里3鄰中央路268號3樓。</v>
          </cell>
          <cell r="Y645" t="str">
            <v>苗栗縣竹南鎮</v>
          </cell>
          <cell r="Z645" t="str">
            <v>苗栗縣竹南鎮博愛街313巷5號10樓.</v>
          </cell>
          <cell r="AA645" t="str">
            <v>350苗栗縣竹南鎮博愛街313巷5號10樓＞登:苗栗縣頭份鎮蟠桃里3鄰中央路268號3樓。</v>
          </cell>
          <cell r="AK645" t="str">
            <v>777-TE</v>
          </cell>
          <cell r="AL645" t="str">
            <v>1-0352-永裕豐&gt;松江&gt;寄&gt;附回郵</v>
          </cell>
          <cell r="AM645" t="str">
            <v>1-0352</v>
          </cell>
        </row>
        <row r="646">
          <cell r="B646" t="str">
            <v>1-0641</v>
          </cell>
          <cell r="C646" t="str">
            <v>104-09-13</v>
          </cell>
          <cell r="D646" t="str">
            <v>1-0641-(2/2)紀志易.私人帳&gt;寄&gt;自結</v>
          </cell>
          <cell r="E646" t="str">
            <v>紀志易＞靠行:志松汽車貨運股份有限公司&gt;私人帳(2/2)</v>
          </cell>
          <cell r="F646" t="str">
            <v>紀志易&gt;私人帳(641)</v>
          </cell>
          <cell r="G646" t="str">
            <v>未稅</v>
          </cell>
          <cell r="H646" t="str">
            <v>寄＞自結＞</v>
          </cell>
          <cell r="I646" t="str">
            <v>未稅</v>
          </cell>
          <cell r="J646">
            <v>30</v>
          </cell>
          <cell r="K646" t="str">
            <v>4972＞6472＞未稅</v>
          </cell>
          <cell r="L646" t="str">
            <v>0937-223622紀志易</v>
          </cell>
          <cell r="M646">
            <v>0</v>
          </cell>
          <cell r="R646" t="b">
            <v>0</v>
          </cell>
          <cell r="S646" t="str"/>
          <cell r="T646" t="b">
            <v>0</v>
          </cell>
          <cell r="W646">
            <v>350</v>
          </cell>
          <cell r="X646" t="str">
            <v>苗栗縣竹南鎮博愛街313巷5號10樓＞登:苗栗縣頭份鎮蟠桃里3鄰中央路268號3樓。</v>
          </cell>
          <cell r="Y646" t="str">
            <v>苗栗縣竹南鎮</v>
          </cell>
          <cell r="Z646" t="str">
            <v>苗栗縣竹南鎮博愛街313巷5號10樓.</v>
          </cell>
          <cell r="AA646" t="str">
            <v>350苗栗縣竹南鎮博愛街313巷5號10樓＞登:苗栗縣頭份鎮蟠桃里3鄰中央路268號3樓。</v>
          </cell>
          <cell r="AK646" t="str">
            <v>767-RW</v>
          </cell>
          <cell r="AL646" t="str">
            <v>1-0358-愛德華&gt;寄&gt;附發票&gt;2個月後匯款</v>
          </cell>
          <cell r="AM646" t="str">
            <v>1-0358</v>
          </cell>
        </row>
        <row r="647">
          <cell r="B647" t="str">
            <v>1-0642</v>
          </cell>
          <cell r="C647" t="str">
            <v>104-09-14</v>
          </cell>
          <cell r="D647" t="str">
            <v>1-0642-峰奇&gt;寄&gt;附發票&gt;附回郵</v>
          </cell>
          <cell r="E647" t="str">
            <v>峰奇企業社＞負:張玉琴</v>
          </cell>
          <cell r="F647" t="str">
            <v>峰奇企業社(642)</v>
          </cell>
          <cell r="G647" t="str">
            <v>含稅</v>
          </cell>
          <cell r="H647" t="str">
            <v>寄＞附發票＞附回郵＞</v>
          </cell>
          <cell r="I647" t="str">
            <v>1381＞9932＞含稅＞現金價*0.97(請款單.單價.已扣3%.已現金價了)</v>
          </cell>
          <cell r="J647">
            <v>30</v>
          </cell>
          <cell r="L647" t="str">
            <v>04-24060909＞0912-376049,0933-512049梁惠志</v>
          </cell>
          <cell r="M647">
            <v>0</v>
          </cell>
          <cell r="R647" t="b">
            <v>0</v>
          </cell>
          <cell r="S647" t="str"/>
          <cell r="T647" t="b">
            <v>0</v>
          </cell>
          <cell r="W647">
            <v>412</v>
          </cell>
          <cell r="X647" t="str">
            <v>台中巿大里區大里路515號之1＞登:臺中市大里區東湖里公園街425巷92號。</v>
          </cell>
          <cell r="Y647" t="str">
            <v>台中巿大里區</v>
          </cell>
          <cell r="Z647" t="str">
            <v>台中巿大里區大里路515號之1.</v>
          </cell>
          <cell r="AA647" t="str">
            <v>412台中巿大里區大里路515號之1＞登:臺中市大里區東湖里公園街425巷92號。</v>
          </cell>
          <cell r="AK647" t="str">
            <v>818-RW</v>
          </cell>
          <cell r="AL647" t="str">
            <v>1-0361-亨福&gt;寄&gt;附發票&gt;匯款(三個月15天)</v>
          </cell>
          <cell r="AM647" t="str">
            <v>1-0361</v>
          </cell>
        </row>
        <row r="648">
          <cell r="B648" t="str">
            <v>1-0643</v>
          </cell>
          <cell r="C648" t="str">
            <v>104-09-15</v>
          </cell>
          <cell r="D648" t="str">
            <v>1-0643-永倡興.億豐.棺&gt;寄&gt;自結</v>
          </cell>
          <cell r="E648" t="str">
            <v>億豐木器</v>
          </cell>
          <cell r="F648" t="str">
            <v>億豐木器(643)</v>
          </cell>
          <cell r="G648" t="str">
            <v>未稅</v>
          </cell>
          <cell r="H648" t="str">
            <v>寄＞自結＞</v>
          </cell>
          <cell r="I648" t="str">
            <v>未稅</v>
          </cell>
          <cell r="J648">
            <v>30</v>
          </cell>
          <cell r="L648" t="str">
            <v>037-366308&gt;0972-375868邱文中&gt;傳真037-366309</v>
          </cell>
          <cell r="M648">
            <v>0</v>
          </cell>
          <cell r="R648" t="b">
            <v>0</v>
          </cell>
          <cell r="S648" t="str"/>
          <cell r="T648" t="b">
            <v>0</v>
          </cell>
          <cell r="W648">
            <v>360</v>
          </cell>
          <cell r="X648" t="str">
            <v>苗栗市南勢里南勢5-7號</v>
          </cell>
          <cell r="Y648" t="str">
            <v>苗栗市南勢里</v>
          </cell>
          <cell r="Z648" t="str">
            <v>苗栗市南勢里南勢5之7號.</v>
          </cell>
          <cell r="AA648" t="str">
            <v>360苗栗市南勢里南勢5-7號</v>
          </cell>
          <cell r="AK648" t="str">
            <v>AGU-9686</v>
          </cell>
          <cell r="AL648" t="str">
            <v>1-0361-亨福&gt;寄&gt;附發票&gt;匯款(三個月15天)</v>
          </cell>
          <cell r="AM648" t="str">
            <v>1-0361</v>
          </cell>
        </row>
        <row r="649">
          <cell r="B649" t="str">
            <v>1-0644</v>
          </cell>
          <cell r="C649" t="str">
            <v>104-09-16</v>
          </cell>
          <cell r="D649" t="str">
            <v>1-0644-和新.育達&gt;寄&gt;附發票&gt;匯款(和新小客)</v>
          </cell>
          <cell r="E649" t="str">
            <v>和新小客車租賃股份有限公司</v>
          </cell>
          <cell r="F649" t="str">
            <v>和新小客車租賃股份有限公司(644)</v>
          </cell>
          <cell r="G649" t="str">
            <v>稅外</v>
          </cell>
          <cell r="H649" t="str">
            <v>寄＞現金＞匯款:和新小客＞</v>
          </cell>
          <cell r="I649" t="str">
            <v>1629＞4516＞稅外＞中華全佑</v>
          </cell>
          <cell r="J649">
            <v>30</v>
          </cell>
          <cell r="L649" t="str">
            <v>02-22227588#565&gt;0921-674360林加男&gt;</v>
          </cell>
          <cell r="M649">
            <v>0</v>
          </cell>
          <cell r="R649" t="b">
            <v>0</v>
          </cell>
          <cell r="S649" t="str"/>
          <cell r="T649" t="b">
            <v>0</v>
          </cell>
          <cell r="W649">
            <v>235</v>
          </cell>
          <cell r="X649" t="str">
            <v>新北市中和區建康路89號3F&gt;登:台北市中山區中央里松江路121號7F</v>
          </cell>
          <cell r="Y649" t="str">
            <v>新北市中和區</v>
          </cell>
          <cell r="Z649" t="str">
            <v>新北市中和區建康路89號3樓.</v>
          </cell>
          <cell r="AA649" t="str">
            <v>235新北市中和區建康路89號3F&gt;登:台北市中山區中央里松江路121號7F</v>
          </cell>
          <cell r="AK649" t="str">
            <v>633-RD</v>
          </cell>
          <cell r="AL649" t="str">
            <v>1-0361-亨福&gt;寄&gt;附發票&gt;匯款(三個月15天)</v>
          </cell>
          <cell r="AM649" t="str">
            <v>1-0361</v>
          </cell>
        </row>
        <row r="650">
          <cell r="B650" t="str">
            <v>1-0645</v>
          </cell>
          <cell r="C650" t="str">
            <v>104-09-17</v>
          </cell>
          <cell r="D650" t="str">
            <v>1-0645-宏道.欣甫&gt;寄&gt;附發票&gt;匯款</v>
          </cell>
          <cell r="E650" t="str">
            <v>宏道交通事業有限公司</v>
          </cell>
          <cell r="F650" t="str">
            <v>宏道交通事業有限公司(645)</v>
          </cell>
          <cell r="G650" t="str">
            <v>稅外</v>
          </cell>
          <cell r="H650" t="str">
            <v>寄＞附發票＞匯款＞</v>
          </cell>
          <cell r="I650" t="str">
            <v>8950＞7403＞稅外＞中華全佑</v>
          </cell>
          <cell r="J650">
            <v>30</v>
          </cell>
          <cell r="L650" t="str">
            <v>03-3136595&gt;傳真03-3136597</v>
          </cell>
          <cell r="M650">
            <v>0</v>
          </cell>
          <cell r="R650" t="b">
            <v>0</v>
          </cell>
          <cell r="S650" t="str"/>
          <cell r="T650" t="b">
            <v>0</v>
          </cell>
          <cell r="W650">
            <v>338</v>
          </cell>
          <cell r="X650" t="str">
            <v>桃園市蘆竹區上興路77巷61弄5號&gt;登:彰化縣員林市三義里13鄰惠安街66號1F</v>
          </cell>
          <cell r="Y650" t="str">
            <v>桃園市蘆竹區</v>
          </cell>
          <cell r="Z650" t="str">
            <v>桃園市蘆竹區上興路77巷61弄5號.</v>
          </cell>
          <cell r="AA650" t="str">
            <v>338桃園市蘆竹區上興路77巷61弄5號&gt;登:彰化縣員林市三義里13鄰惠安街66號1F</v>
          </cell>
          <cell r="AK650" t="str">
            <v>9F-135</v>
          </cell>
          <cell r="AL650" t="str">
            <v>1-0361-亨福&gt;寄&gt;附發票&gt;匯款(三個月15天)</v>
          </cell>
          <cell r="AM650" t="str">
            <v>1-0361</v>
          </cell>
        </row>
        <row r="651">
          <cell r="B651" t="str">
            <v>1-0646</v>
          </cell>
          <cell r="C651" t="str">
            <v>109-04-06/郭雯瑀</v>
          </cell>
          <cell r="D651" t="str">
            <v>1-0646-許丘銘&gt;電&gt;付現</v>
          </cell>
          <cell r="E651" t="str">
            <v>許丘銘</v>
          </cell>
          <cell r="F651" t="str">
            <v>許丘銘(646)</v>
          </cell>
          <cell r="G651" t="str">
            <v>未稅</v>
          </cell>
          <cell r="H651" t="str">
            <v>電&gt;付現</v>
          </cell>
          <cell r="J651">
            <v>30</v>
          </cell>
          <cell r="L651" t="str">
            <v>0933-768790許丘銘</v>
          </cell>
          <cell r="M651">
            <v>0</v>
          </cell>
          <cell r="R651" t="b">
            <v>0</v>
          </cell>
          <cell r="S651" t="str"/>
          <cell r="T651" t="b">
            <v>0</v>
          </cell>
          <cell r="Y651" t="str"/>
          <cell r="AA651" t="str"/>
          <cell r="AK651" t="str">
            <v>AGK-6228</v>
          </cell>
          <cell r="AL651" t="str">
            <v>1-0361-亨福&gt;寄&gt;附發票&gt;匯款(三個月15天)</v>
          </cell>
          <cell r="AM651" t="str">
            <v>1-0361</v>
          </cell>
        </row>
        <row r="652">
          <cell r="B652" t="str">
            <v>1-0647</v>
          </cell>
          <cell r="C652" t="str">
            <v>104-09-19</v>
          </cell>
          <cell r="D652" t="str">
            <v>1-0647-邱文華.國順.棺材哥哥&gt;電&gt;自結</v>
          </cell>
          <cell r="E652" t="str">
            <v>邱文華&gt;國順&gt;棺材哥哥</v>
          </cell>
          <cell r="F652" t="str">
            <v>邱文華&gt;國順&gt;棺材哥哥(647)</v>
          </cell>
          <cell r="G652" t="str">
            <v>未稅</v>
          </cell>
          <cell r="H652" t="str">
            <v>電＞自結＞</v>
          </cell>
          <cell r="I652" t="str">
            <v>未稅</v>
          </cell>
          <cell r="J652">
            <v>30</v>
          </cell>
          <cell r="L652" t="str">
            <v>0939-983092邱文華&gt;0911-086932李霖景</v>
          </cell>
          <cell r="M652">
            <v>0</v>
          </cell>
          <cell r="R652" t="b">
            <v>0</v>
          </cell>
          <cell r="S652" t="str"/>
          <cell r="T652" t="b">
            <v>0</v>
          </cell>
          <cell r="Y652" t="str"/>
          <cell r="AA652" t="str"/>
          <cell r="AK652" t="str">
            <v>238-TK</v>
          </cell>
          <cell r="AL652" t="str">
            <v>1-0363-廣霖配管&gt;寄&gt;附發票&gt;附回郵</v>
          </cell>
          <cell r="AM652" t="str">
            <v>1-0363</v>
          </cell>
        </row>
        <row r="653">
          <cell r="B653" t="str">
            <v>1-0648</v>
          </cell>
          <cell r="C653" t="str">
            <v>104-09-20</v>
          </cell>
          <cell r="D653" t="str">
            <v>1-0648-和謙.葉文欽&gt;寄&gt;附發票&gt;附回郵</v>
          </cell>
          <cell r="E653" t="str">
            <v>和謙機械工程股份有限公司</v>
          </cell>
          <cell r="F653" t="str">
            <v>和謙機械工程股份有限公司(648)</v>
          </cell>
          <cell r="G653" t="str">
            <v>含稅</v>
          </cell>
          <cell r="H653" t="str">
            <v>寄＞附發票＞附回郵＞</v>
          </cell>
          <cell r="I653" t="str">
            <v>8972＞8291＞含稅</v>
          </cell>
          <cell r="J653">
            <v>30</v>
          </cell>
          <cell r="L653" t="str">
            <v>037-475701~2&gt;0932-507728&gt;傳真037-475703</v>
          </cell>
          <cell r="M653">
            <v>0</v>
          </cell>
          <cell r="R653" t="b">
            <v>0</v>
          </cell>
          <cell r="S653" t="str"/>
          <cell r="T653" t="b">
            <v>0</v>
          </cell>
          <cell r="W653">
            <v>350</v>
          </cell>
          <cell r="X653" t="str">
            <v>苗栗縣竹南鎮海口里14鄰17-10號</v>
          </cell>
          <cell r="Y653" t="str">
            <v>苗栗縣竹南鎮</v>
          </cell>
          <cell r="Z653" t="str">
            <v>苗栗縣竹南鎮海口里14鄰17之10號.</v>
          </cell>
          <cell r="AA653" t="str">
            <v>350苗栗縣竹南鎮海口里14鄰17-10號</v>
          </cell>
          <cell r="AK653" t="str">
            <v>7561-YW</v>
          </cell>
          <cell r="AL653" t="str">
            <v>1-0363-廣霖配管&gt;寄&gt;附發票&gt;附回郵</v>
          </cell>
          <cell r="AM653" t="str">
            <v>1-0363</v>
          </cell>
        </row>
        <row r="654">
          <cell r="B654" t="str">
            <v>1-0649</v>
          </cell>
          <cell r="C654" t="str">
            <v>104-09-21</v>
          </cell>
          <cell r="D654" t="str">
            <v>1-0649-豐車.勞倫斯&gt;寄&gt;匯款</v>
          </cell>
          <cell r="E654" t="str">
            <v>豐車實業有限公司,勞倫斯設備公司(美國)</v>
          </cell>
          <cell r="F654" t="str">
            <v>豐車實業有限公司(649)</v>
          </cell>
          <cell r="G654" t="str">
            <v>未稅</v>
          </cell>
          <cell r="H654" t="str">
            <v>寄＞匯款:0715800.07156＞</v>
          </cell>
          <cell r="I654" t="str">
            <v>未稅</v>
          </cell>
          <cell r="J654">
            <v>30</v>
          </cell>
          <cell r="K654" t="str">
            <v>8686＞1225＞未稅</v>
          </cell>
          <cell r="L654" t="str">
            <v>02-28583505&gt;0988-766229廖承宗&gt;傳真02-28584019</v>
          </cell>
          <cell r="M654">
            <v>0</v>
          </cell>
          <cell r="R654" t="b">
            <v>0</v>
          </cell>
          <cell r="S654" t="str"/>
          <cell r="T654" t="b">
            <v>0</v>
          </cell>
          <cell r="W654">
            <v>112</v>
          </cell>
          <cell r="X654" t="str">
            <v>台北市北投區大度路3段187號＞登:台北市北投區東華里東華街2段412巷4號</v>
          </cell>
          <cell r="Y654" t="str">
            <v>台北市北投區</v>
          </cell>
          <cell r="Z654" t="str">
            <v>台北市北投區大度路3段187號.</v>
          </cell>
          <cell r="AA654" t="str">
            <v>112台北市北投區大度路3段187號＞登:台北市北投區東華里東華街2段412巷4號</v>
          </cell>
          <cell r="AK654" t="str">
            <v>7131-N9</v>
          </cell>
          <cell r="AL654" t="str">
            <v>1-0363-廣霖配管&gt;寄&gt;附發票&gt;附回郵</v>
          </cell>
          <cell r="AM654" t="str">
            <v>1-0363</v>
          </cell>
        </row>
        <row r="655">
          <cell r="B655" t="str">
            <v>1-0650</v>
          </cell>
          <cell r="C655" t="str">
            <v>104-09-22</v>
          </cell>
          <cell r="D655" t="str">
            <v>1-0650-祥通&gt;寄&gt;附發票&gt;現金</v>
          </cell>
          <cell r="E655" t="str">
            <v>祥通輪胎行</v>
          </cell>
          <cell r="F655" t="str">
            <v>祥通輪胎行(650)</v>
          </cell>
          <cell r="G655" t="str">
            <v>含稅</v>
          </cell>
          <cell r="H655" t="str">
            <v>寄＞附發票＞</v>
          </cell>
          <cell r="I655" t="str">
            <v>9984＞4495＞含稅</v>
          </cell>
          <cell r="J655">
            <v>30</v>
          </cell>
          <cell r="L655" t="str">
            <v>03-5897272&gt;0919-580620蕭顯武&gt;傳真03-5897545</v>
          </cell>
          <cell r="M655">
            <v>0</v>
          </cell>
          <cell r="R655" t="b">
            <v>0</v>
          </cell>
          <cell r="S655" t="str"/>
          <cell r="T655" t="b">
            <v>0</v>
          </cell>
          <cell r="W655">
            <v>305</v>
          </cell>
          <cell r="X655" t="str">
            <v>新竹縣新埔鎮新關路581-1號</v>
          </cell>
          <cell r="Y655" t="str">
            <v>新竹縣新埔鎮</v>
          </cell>
          <cell r="Z655" t="str">
            <v>新竹縣新埔鎮新關路581之1號.</v>
          </cell>
          <cell r="AA655" t="str">
            <v>305新竹縣新埔鎮新關路581-1號</v>
          </cell>
          <cell r="AK655" t="str">
            <v>3852-F6</v>
          </cell>
          <cell r="AL655" t="str">
            <v>1-0363-廣霖配管&gt;寄&gt;附發票&gt;附回郵</v>
          </cell>
          <cell r="AM655" t="str">
            <v>1-0363</v>
          </cell>
        </row>
        <row r="656">
          <cell r="B656" t="str">
            <v>1-0651</v>
          </cell>
          <cell r="C656" t="str">
            <v>104-09-23</v>
          </cell>
          <cell r="D656" t="str">
            <v>1-0651-王嘉昇.尚弘&gt;電&gt;自結</v>
          </cell>
          <cell r="E656" t="str">
            <v>王嘉昇.尚弘汽車貨運股份有限公司</v>
          </cell>
          <cell r="F656" t="str">
            <v>王嘉昇.尚弘汽車貨運股份有限公司(651)</v>
          </cell>
          <cell r="G656" t="str">
            <v>未稅</v>
          </cell>
          <cell r="H656" t="str">
            <v>電＞自結＞</v>
          </cell>
          <cell r="I656" t="str">
            <v>未稅</v>
          </cell>
          <cell r="J656">
            <v>30</v>
          </cell>
          <cell r="K656" t="str">
            <v>5007＞0206＞未稅</v>
          </cell>
          <cell r="L656" t="str">
            <v>0966-567225王嘉昇</v>
          </cell>
          <cell r="M656">
            <v>0</v>
          </cell>
          <cell r="R656" t="b">
            <v>0</v>
          </cell>
          <cell r="S656" t="str"/>
          <cell r="T656" t="b">
            <v>0</v>
          </cell>
          <cell r="W656">
            <v>351</v>
          </cell>
          <cell r="X656" t="str">
            <v>登:苗栗縣頭份市蟠桃里6鄰建國路2段199號2F</v>
          </cell>
          <cell r="Y656" t="str"/>
          <cell r="AA656" t="str">
            <v>351登:苗栗縣頭份市蟠桃里6鄰建國路2段199號2F</v>
          </cell>
          <cell r="AK656" t="str">
            <v>5588-N2</v>
          </cell>
          <cell r="AL656" t="str">
            <v>1-0363-廣霖配管&gt;寄&gt;附發票&gt;附回郵</v>
          </cell>
          <cell r="AM656" t="str">
            <v>1-0363</v>
          </cell>
        </row>
        <row r="657">
          <cell r="B657" t="str">
            <v>1-0652</v>
          </cell>
          <cell r="C657" t="str">
            <v>104-09-24</v>
          </cell>
          <cell r="D657" t="str">
            <v>1-0652-章化輪胎&gt;寄&gt;附發票&gt;匯款</v>
          </cell>
          <cell r="E657" t="str">
            <v>章化輪胎有限公司&gt;負:楊氏雪金</v>
          </cell>
          <cell r="F657" t="str">
            <v>章化輪胎(652)</v>
          </cell>
          <cell r="G657" t="str">
            <v>未稅</v>
          </cell>
          <cell r="H657" t="str">
            <v>寄＞現金價&gt;匯款:章化輪胎＞</v>
          </cell>
          <cell r="I657" t="str">
            <v>未稅</v>
          </cell>
          <cell r="J657">
            <v>30</v>
          </cell>
          <cell r="K657" t="str">
            <v>5382＞9366＞未稅</v>
          </cell>
          <cell r="L657" t="str">
            <v>03-4200125＞0913-326115陳昭任</v>
          </cell>
          <cell r="M657" t="str">
            <v>2-0161</v>
          </cell>
          <cell r="R657" t="b">
            <v>0</v>
          </cell>
          <cell r="S657" t="str"/>
          <cell r="T657" t="b">
            <v>0</v>
          </cell>
          <cell r="V657" t="str">
            <v>楊氏雪金</v>
          </cell>
          <cell r="W657">
            <v>327</v>
          </cell>
          <cell r="X657" t="str">
            <v>桃園縣新屋鄉頭洲村犁頭洲20-6號＞登:桃園縣中壢巿過嶺里松勤路101巷3號1樓。</v>
          </cell>
          <cell r="Y657" t="str">
            <v>桃園縣新屋鄉</v>
          </cell>
          <cell r="Z657" t="str">
            <v>桃園縣新屋鄉頭洲村犁頭洲20之6號.</v>
          </cell>
          <cell r="AA657" t="str">
            <v>327桃園縣新屋鄉頭洲村犁頭洲20-6號＞登:桃園縣中壢巿過嶺里松勤路101巷3號1樓。</v>
          </cell>
          <cell r="AK657" t="str">
            <v>009-QC</v>
          </cell>
          <cell r="AL657" t="str">
            <v>1-0363-廣霖配管&gt;寄&gt;附發票&gt;附回郵</v>
          </cell>
          <cell r="AM657" t="str">
            <v>1-0363</v>
          </cell>
        </row>
        <row r="658">
          <cell r="B658" t="str">
            <v>1-0653</v>
          </cell>
          <cell r="C658" t="str">
            <v>104-09-25</v>
          </cell>
          <cell r="D658" t="str">
            <v>1-0653-祐立&gt;寄&gt;附發票&gt;附回郵</v>
          </cell>
          <cell r="E658" t="str">
            <v>祐立資源再利用股份有限公司</v>
          </cell>
          <cell r="F658" t="str">
            <v>祐立資源再利用股份有限公司(653)</v>
          </cell>
          <cell r="G658" t="str">
            <v>含稅</v>
          </cell>
          <cell r="H658" t="str">
            <v>寄＞附發票＞附回郵＞</v>
          </cell>
          <cell r="I658" t="str">
            <v>2888＞8106＞含稅</v>
          </cell>
          <cell r="J658">
            <v>30</v>
          </cell>
          <cell r="L658" t="str">
            <v>03-5505668&gt;0975-215756胡育崧&gt;傳真03-5505669</v>
          </cell>
          <cell r="M658">
            <v>0</v>
          </cell>
          <cell r="R658" t="b">
            <v>0</v>
          </cell>
          <cell r="S658" t="str"/>
          <cell r="T658" t="b">
            <v>0</v>
          </cell>
          <cell r="W658">
            <v>302</v>
          </cell>
          <cell r="X658" t="str">
            <v>新竹縣竹北市興隆路3段55號&gt;登:新竹縣竹北市東平里興隆路3段57號1F</v>
          </cell>
          <cell r="Y658" t="str">
            <v>新竹市香山區</v>
          </cell>
          <cell r="Z658" t="str">
            <v>新竹市香山區五福路二段707號(中華大學育成中心I503室)</v>
          </cell>
          <cell r="AA658" t="str">
            <v>302新竹縣竹北市興隆路3段55號&gt;登:新竹縣竹北市東平里興隆路3段57號1F</v>
          </cell>
          <cell r="AK658" t="str">
            <v>8116-YZ</v>
          </cell>
          <cell r="AL658" t="str">
            <v>1-0363-廣霖配管&gt;寄&gt;附發票&gt;附回郵</v>
          </cell>
          <cell r="AM658" t="str">
            <v>1-0363</v>
          </cell>
        </row>
        <row r="659">
          <cell r="B659" t="str">
            <v>1-0654</v>
          </cell>
          <cell r="C659" t="str">
            <v>104-09-26</v>
          </cell>
          <cell r="D659" t="str">
            <v>1-0654-雷騰&gt;現結</v>
          </cell>
          <cell r="E659" t="str">
            <v>雷騰科技有限公司</v>
          </cell>
          <cell r="F659" t="str">
            <v>雷騰科技有限公司(654)</v>
          </cell>
          <cell r="G659" t="str">
            <v>未稅</v>
          </cell>
          <cell r="H659" t="str">
            <v>現結＞</v>
          </cell>
          <cell r="I659" t="str">
            <v>未稅</v>
          </cell>
          <cell r="J659">
            <v>30</v>
          </cell>
          <cell r="K659" t="str">
            <v>2872＞2730＞未稅</v>
          </cell>
          <cell r="L659" t="str">
            <v>037-660810&gt;0986-372532林崑寅&gt;傳真037-660771</v>
          </cell>
          <cell r="M659">
            <v>0</v>
          </cell>
          <cell r="R659" t="b">
            <v>0</v>
          </cell>
          <cell r="S659" t="str"/>
          <cell r="T659" t="b">
            <v>0</v>
          </cell>
          <cell r="W659">
            <v>351</v>
          </cell>
          <cell r="X659" t="str">
            <v>苗栗縣頭份市中山路202號&gt;登:頭份市仁愛里1鄰中山路202號1F&gt;戶:頭份市山下里17鄰山下街155巷16號</v>
          </cell>
          <cell r="Y659" t="str">
            <v>苗栗縣頭份市</v>
          </cell>
          <cell r="Z659" t="str">
            <v>苗栗縣頭份市中山路202號.</v>
          </cell>
          <cell r="AA659" t="str">
            <v>351苗栗縣頭份市中山路202號&gt;登:頭份市仁愛里1鄰中山路202號1F&gt;戶:頭份市山下里17鄰山下街155巷16號</v>
          </cell>
          <cell r="AK659" t="str">
            <v>V8-1288</v>
          </cell>
          <cell r="AL659" t="str">
            <v>1-0364-弘翔.東大&gt;寄&gt;附發票&gt;附回郵</v>
          </cell>
          <cell r="AM659" t="str">
            <v>1-0364</v>
          </cell>
        </row>
        <row r="660">
          <cell r="B660" t="str">
            <v>1-0655</v>
          </cell>
          <cell r="C660" t="str">
            <v>104-09-27</v>
          </cell>
          <cell r="D660" t="str">
            <v>1-0655-祥城&gt;現結</v>
          </cell>
          <cell r="E660" t="str">
            <v>祥城企業社</v>
          </cell>
          <cell r="F660" t="str">
            <v>祥城企業社(655)</v>
          </cell>
          <cell r="G660" t="str">
            <v>含稅</v>
          </cell>
          <cell r="H660" t="str">
            <v>現結＞</v>
          </cell>
          <cell r="I660" t="str">
            <v>3492＞0929＞含稅</v>
          </cell>
          <cell r="J660">
            <v>30</v>
          </cell>
          <cell r="L660" t="str">
            <v>03-5962130&gt;0933-795604莊仁杰&gt; 0989-813850&gt;傳真03-5100996</v>
          </cell>
          <cell r="M660">
            <v>0</v>
          </cell>
          <cell r="R660" t="b">
            <v>0</v>
          </cell>
          <cell r="S660" t="str"/>
          <cell r="T660" t="b">
            <v>0</v>
          </cell>
          <cell r="W660">
            <v>310</v>
          </cell>
          <cell r="X660" t="str">
            <v>新竹縣竹東鎮北興路一段339號&gt;登:新竹縣竹東鎮東寧里4鄰北興路1段95巷5弄33號1F</v>
          </cell>
          <cell r="Y660" t="str">
            <v>新竹縣竹東鎮</v>
          </cell>
          <cell r="Z660" t="str">
            <v>新竹縣竹東鎮北興路一段339號.</v>
          </cell>
          <cell r="AA660" t="str">
            <v>310新竹縣竹東鎮北興路一段339號&gt;登:新竹縣竹東鎮東寧里4鄰北興路1段95巷5弄33號1F</v>
          </cell>
          <cell r="AK660" t="str">
            <v>742-TZ</v>
          </cell>
          <cell r="AL660" t="str">
            <v>1-0364-弘翔.東大&gt;寄&gt;附發票&gt;附回郵</v>
          </cell>
          <cell r="AM660" t="str">
            <v>1-0364</v>
          </cell>
        </row>
        <row r="661">
          <cell r="B661" t="str">
            <v>1-0656</v>
          </cell>
          <cell r="C661" t="str">
            <v>104-09-28</v>
          </cell>
          <cell r="D661" t="str">
            <v>1-0656-萬豐輪胎&gt;寄&gt;附發票&gt;匯款</v>
          </cell>
          <cell r="E661" t="str">
            <v>萬豐輪胎行.毅豐企業社</v>
          </cell>
          <cell r="F661" t="str">
            <v>萬豐輪胎行.新毅豐企業社(656)</v>
          </cell>
          <cell r="G661" t="str">
            <v>含稅</v>
          </cell>
          <cell r="H661" t="str">
            <v>寄＞附發票＞匯款21817.72238</v>
          </cell>
          <cell r="I661" t="str">
            <v>8335＞4561&gt;萬豐&gt;1920&gt;3125&gt;鑫毅＞571含稅(救車未稅)&gt;25號月結</v>
          </cell>
          <cell r="J661">
            <v>25</v>
          </cell>
          <cell r="L661" t="str">
            <v>0937-703963老闆邱慶鋒&gt;0932-458376</v>
          </cell>
          <cell r="M661">
            <v>0</v>
          </cell>
          <cell r="R661" t="b">
            <v>0</v>
          </cell>
          <cell r="S661" t="str"/>
          <cell r="T661" t="b">
            <v>0</v>
          </cell>
          <cell r="W661">
            <v>356</v>
          </cell>
          <cell r="X661" t="str">
            <v>苗栗縣後龍鎮南港23-10號&gt;萬豐 登:通霄鎮平元里5鄰崇仁路490巷26號.新毅</v>
          </cell>
          <cell r="Y661" t="str">
            <v>苗栗縣後龍鎮</v>
          </cell>
          <cell r="Z661" t="str">
            <v>苗栗縣後龍鎮南港23之10號.</v>
          </cell>
          <cell r="AA661" t="str">
            <v>356苗栗縣後龍鎮南港23-10號&gt;萬豐 登:通霄鎮平元里5鄰崇仁路490巷26號.新毅</v>
          </cell>
          <cell r="AK661" t="str">
            <v>825-TU</v>
          </cell>
          <cell r="AL661" t="str">
            <v>1-0364-弘翔.東大&gt;寄&gt;附發票&gt;附回郵</v>
          </cell>
          <cell r="AM661" t="str">
            <v>1-0364</v>
          </cell>
        </row>
        <row r="662">
          <cell r="B662" t="str">
            <v>1-0657</v>
          </cell>
          <cell r="C662" t="str">
            <v>104-09-29</v>
          </cell>
          <cell r="D662" t="str">
            <v>1-0657-統順&gt;寄&gt;附發票&gt;附回郵</v>
          </cell>
          <cell r="E662" t="str">
            <v>統順汽車貨運有限公司＞負:鍾裕成</v>
          </cell>
          <cell r="F662" t="str">
            <v>統順汽車貨運有限公司(657)</v>
          </cell>
          <cell r="G662" t="str">
            <v>稅外</v>
          </cell>
          <cell r="H662" t="str">
            <v>寄＞附發票＞附回郵＞</v>
          </cell>
          <cell r="I662" t="str">
            <v>9700＞6830＞稅外</v>
          </cell>
          <cell r="J662">
            <v>30</v>
          </cell>
          <cell r="L662" t="str">
            <v>037-470589.037-476812&gt;0935-122993鍾裕成</v>
          </cell>
          <cell r="M662">
            <v>0</v>
          </cell>
          <cell r="R662" t="b">
            <v>0</v>
          </cell>
          <cell r="S662" t="str"/>
          <cell r="T662" t="b">
            <v>0</v>
          </cell>
          <cell r="W662">
            <v>350</v>
          </cell>
          <cell r="X662" t="str">
            <v>苗栗縣竹南鎮大營路139號</v>
          </cell>
          <cell r="Y662" t="str">
            <v>苗栗縣竹南鎮</v>
          </cell>
          <cell r="Z662" t="str">
            <v>苗栗縣竹南鎮大營路139號.</v>
          </cell>
          <cell r="AA662" t="str">
            <v>350苗栗縣竹南鎮大營路139號</v>
          </cell>
          <cell r="AK662" t="str">
            <v>741-TZ</v>
          </cell>
          <cell r="AL662" t="str">
            <v>1-0364-弘翔.東大&gt;寄&gt;附發票&gt;附回郵</v>
          </cell>
          <cell r="AM662" t="str">
            <v>1-0364</v>
          </cell>
        </row>
        <row r="663">
          <cell r="B663" t="str">
            <v>1-0658</v>
          </cell>
          <cell r="C663" t="str">
            <v>104-09-30</v>
          </cell>
          <cell r="D663" t="str">
            <v>1-0658-順同&gt;尚泰行.弘舜&gt;寄&gt;附發票&gt;附回郵</v>
          </cell>
          <cell r="E663" t="str">
            <v>順同&gt;弘舜&gt;尚泰行&gt;負:曾文雄</v>
          </cell>
          <cell r="F663" t="str">
            <v>順同&gt;尚泰行(658)</v>
          </cell>
          <cell r="G663" t="str">
            <v>含稅</v>
          </cell>
          <cell r="H663" t="str">
            <v>寄＞附發票＞附回郵＞</v>
          </cell>
          <cell r="I663" t="str">
            <v>4294&gt;8180順同&gt;2616＞1923尚泰＞含稅＞發票開:順同</v>
          </cell>
          <cell r="J663">
            <v>30</v>
          </cell>
          <cell r="L663" t="str">
            <v>03-5309368＞03-5309398＞0910-319422曾文雄＞傳真03-5309298</v>
          </cell>
          <cell r="M663">
            <v>0</v>
          </cell>
          <cell r="R663" t="b">
            <v>0</v>
          </cell>
          <cell r="S663" t="str"/>
          <cell r="T663" t="b">
            <v>0</v>
          </cell>
          <cell r="W663">
            <v>300</v>
          </cell>
          <cell r="X663" t="str">
            <v xml:space="preserve">新竹市海埔路227巷91-5號＞登:新竹市北區客雅里延平路一段261巷7弄8號 </v>
          </cell>
          <cell r="Y663" t="str">
            <v>新竹市海埔路</v>
          </cell>
          <cell r="Z663" t="str">
            <v>新竹市海埔路227巷91之5號.</v>
          </cell>
          <cell r="AA663" t="str">
            <v xml:space="preserve">300新竹市海埔路227巷91-5號＞登:新竹市北區客雅里延平路一段261巷7弄8號 </v>
          </cell>
          <cell r="AK663" t="str">
            <v>8086-VS</v>
          </cell>
          <cell r="AL663" t="str">
            <v>1-0364-弘翔.東大&gt;寄&gt;附發票&gt;附回郵</v>
          </cell>
          <cell r="AM663" t="str">
            <v>1-0364</v>
          </cell>
        </row>
        <row r="664">
          <cell r="B664" t="str">
            <v>1-0659</v>
          </cell>
          <cell r="C664" t="str">
            <v>104-10-01</v>
          </cell>
          <cell r="D664" t="str">
            <v>1-0659-昌鑫.錩達&gt;寄&gt;附發票&gt;附回郵</v>
          </cell>
          <cell r="E664" t="str">
            <v>昌鑫起重工程行＞錩達起重工程有限公司＞負:陳國樑</v>
          </cell>
          <cell r="F664" t="str">
            <v>昌鑫起重工程有限公司(659)</v>
          </cell>
          <cell r="G664" t="str">
            <v>稅外</v>
          </cell>
          <cell r="H664" t="str">
            <v>寄＞公司&gt;附發票＞附回郵＞現金＞</v>
          </cell>
          <cell r="I664" t="str">
            <v>1335＞1485昌鑫＞1688＞9951錩達＞稅外</v>
          </cell>
          <cell r="J664">
            <v>30</v>
          </cell>
          <cell r="L664" t="str">
            <v>037-923663＞0919-485566.0912-964881陳國樑＞傳真037-923667</v>
          </cell>
          <cell r="M664">
            <v>0</v>
          </cell>
          <cell r="R664" t="b">
            <v>0</v>
          </cell>
          <cell r="S664" t="str"/>
          <cell r="T664" t="b">
            <v>0</v>
          </cell>
          <cell r="W664">
            <v>368</v>
          </cell>
          <cell r="X664" t="str">
            <v>苗栗縣西湖鄉四湖村11鄰37號＞登:苗栗縣西湖鄉四湖村11鄰槺榔埔37號1樓。</v>
          </cell>
          <cell r="Y664" t="str">
            <v>苗栗縣西湖鄉</v>
          </cell>
          <cell r="Z664" t="str">
            <v>苗栗縣西湖鄉四湖村11鄰37號.</v>
          </cell>
          <cell r="AA664" t="str">
            <v>368苗栗縣西湖鄉四湖村11鄰37號＞登:苗栗縣西湖鄉四湖村11鄰槺榔埔37號1樓。</v>
          </cell>
          <cell r="AK664" t="str">
            <v>5012-KY</v>
          </cell>
          <cell r="AL664" t="str">
            <v>1-0364-弘翔.東大&gt;寄&gt;附發票&gt;附回郵</v>
          </cell>
          <cell r="AM664" t="str">
            <v>1-0364</v>
          </cell>
        </row>
        <row r="665">
          <cell r="B665" t="str">
            <v>1-0660</v>
          </cell>
          <cell r="C665" t="str">
            <v>104-10-02</v>
          </cell>
          <cell r="D665" t="str">
            <v>1-0660-竹新.頂烽&gt;寄&gt;附發票&gt;匯款</v>
          </cell>
          <cell r="E665" t="str">
            <v>頂烽企業股份有限公司＞竹新化學股份有限公司＞負:方明發</v>
          </cell>
          <cell r="F665" t="str">
            <v>竹新化學股份有限公司(660)</v>
          </cell>
          <cell r="G665" t="str">
            <v>含稅</v>
          </cell>
          <cell r="H665" t="str">
            <v>寄＞附發票＞匯款＞</v>
          </cell>
          <cell r="I665" t="str">
            <v>2296＞2584頂烽＞4717＞5607竹新＞含稅&gt;發票開中華全佑</v>
          </cell>
          <cell r="J665">
            <v>30</v>
          </cell>
          <cell r="L665" t="str">
            <v>03-5372126＞0912-328671副總經理方鈺杰＞傳真03-5372911</v>
          </cell>
          <cell r="M665">
            <v>0</v>
          </cell>
          <cell r="R665" t="b">
            <v>0</v>
          </cell>
          <cell r="S665" t="str"/>
          <cell r="T665" t="b">
            <v>0</v>
          </cell>
          <cell r="W665">
            <v>300</v>
          </cell>
          <cell r="X665" t="str">
            <v>新竹巿中華路六段67巷3號＞竹登:新竹市香山區鹽水里13鄰中華路6段67巷3號.頂登:新竹市東區中華路六段6巷3弄1號。</v>
          </cell>
          <cell r="Y665" t="str">
            <v>新竹巿中華路</v>
          </cell>
          <cell r="Z665" t="str">
            <v>新竹巿中華路六段67巷3號.</v>
          </cell>
          <cell r="AA665" t="str">
            <v>300新竹巿中華路六段67巷3號＞竹登:新竹市香山區鹽水里13鄰中華路6段67巷3號.頂登:新竹市東區中華路六段6巷3弄1號。</v>
          </cell>
          <cell r="AK665" t="str">
            <v>4071-RZ</v>
          </cell>
          <cell r="AL665" t="str">
            <v>1-0364-弘翔.東大&gt;寄&gt;附發票&gt;附回郵</v>
          </cell>
          <cell r="AM665" t="str">
            <v>1-0364</v>
          </cell>
        </row>
        <row r="666">
          <cell r="B666" t="str">
            <v>1-0661</v>
          </cell>
          <cell r="C666" t="str">
            <v>104-10-03</v>
          </cell>
          <cell r="D666" t="str">
            <v>1-0661-泰華通運&gt;寄&gt;附發票&gt;附回郵</v>
          </cell>
          <cell r="E666" t="str">
            <v>泰華通運股份有限公司＞負:施松濤</v>
          </cell>
          <cell r="F666" t="str">
            <v>泰華通運股份有限公司(661)</v>
          </cell>
          <cell r="G666" t="str">
            <v>稅外</v>
          </cell>
          <cell r="H666" t="str">
            <v>寄＞附發票＞附回郵＞</v>
          </cell>
          <cell r="I666" t="str">
            <v>2335＞7207＞稅外&gt;一張6萬以下</v>
          </cell>
          <cell r="J666">
            <v>30</v>
          </cell>
          <cell r="L666" t="str">
            <v>帳:02-24552505周&gt;03-4832800＞0930-050723經理周禮章＞傳真03-4830153</v>
          </cell>
          <cell r="M666">
            <v>0</v>
          </cell>
          <cell r="R666" t="b">
            <v>0</v>
          </cell>
          <cell r="S666" t="str"/>
          <cell r="T666" t="b">
            <v>0</v>
          </cell>
          <cell r="W666">
            <v>328</v>
          </cell>
          <cell r="X666" t="str">
            <v>桃園縣觀音鄉玉林路二段901號＞登:新北市汐止區水源路一段126號5樓</v>
          </cell>
          <cell r="Y666" t="str">
            <v>桃園縣觀音鄉</v>
          </cell>
          <cell r="Z666" t="str">
            <v>桃園縣觀音鄉玉林路二段901號.</v>
          </cell>
          <cell r="AA666" t="str">
            <v>328桃園縣觀音鄉玉林路二段901號＞登:新北市汐止區水源路一段126號5樓</v>
          </cell>
          <cell r="AK666" t="str">
            <v>680-Y7</v>
          </cell>
          <cell r="AL666" t="str">
            <v>1-0364-弘翔.東大&gt;寄&gt;附發票&gt;附回郵</v>
          </cell>
          <cell r="AM666" t="str">
            <v>1-0364</v>
          </cell>
        </row>
        <row r="667">
          <cell r="B667" t="str">
            <v>1-0662</v>
          </cell>
          <cell r="C667" t="str">
            <v>104-10-04</v>
          </cell>
          <cell r="D667" t="str">
            <v>1-0662-得嘉鑫&gt;明鑫&gt;光明&gt;寄&gt;附回郵</v>
          </cell>
          <cell r="E667" t="str">
            <v>得嘉鑫實業有限公司＞明鑫國際實業有限公司</v>
          </cell>
          <cell r="F667" t="str">
            <v>得嘉鑫實業有限公司(662)</v>
          </cell>
          <cell r="G667" t="str">
            <v>稅外</v>
          </cell>
          <cell r="H667" t="str">
            <v>寄＞附回郵＞附發票</v>
          </cell>
          <cell r="I667" t="str">
            <v>5858&gt;7459&gt;得嘉鑫&gt;1300＞7857光明＞2517＞3669明鑫＞稅外</v>
          </cell>
          <cell r="J667">
            <v>30</v>
          </cell>
          <cell r="L667" t="str">
            <v>037-612078&gt;傳真07-612110</v>
          </cell>
          <cell r="M667" t="str">
            <v>2-0133</v>
          </cell>
          <cell r="R667" t="b">
            <v>0</v>
          </cell>
          <cell r="S667" t="str"/>
          <cell r="T667" t="b">
            <v>0</v>
          </cell>
          <cell r="W667">
            <v>361</v>
          </cell>
          <cell r="X667" t="str">
            <v>苗栗縣造橋鄉朝陽村6鄰中洲仔18-6號</v>
          </cell>
          <cell r="Y667" t="str">
            <v>苗栗縣造橋鄉</v>
          </cell>
          <cell r="Z667" t="str">
            <v>苗栗縣造橋鄉朝陽村6鄰中洲仔18-6號</v>
          </cell>
          <cell r="AA667" t="str">
            <v>361苗栗縣造橋鄉朝陽村6鄰中洲仔18-6號</v>
          </cell>
          <cell r="AK667" t="str">
            <v>4596-B6</v>
          </cell>
          <cell r="AL667" t="str">
            <v>1-0368-銀城&gt;寄&gt;附發票&gt;附回郵</v>
          </cell>
          <cell r="AM667" t="str">
            <v>1-0368</v>
          </cell>
        </row>
        <row r="668">
          <cell r="B668" t="str">
            <v>1-0663</v>
          </cell>
          <cell r="C668" t="str">
            <v>104-10-05</v>
          </cell>
          <cell r="D668" t="str">
            <v>1-0663-劉博塏.國鑫&gt;寄&gt;附發票&gt;匯款4392886.</v>
          </cell>
          <cell r="E668" t="str">
            <v>國鑫交通事業有限公司＞負:張貴清</v>
          </cell>
          <cell r="F668" t="str">
            <v>國鑫交通事業有限公司(663)</v>
          </cell>
          <cell r="G668" t="str">
            <v>稅外</v>
          </cell>
          <cell r="H668" t="str">
            <v>寄＞附發票＞匯款:4392886＞</v>
          </cell>
          <cell r="I668" t="str">
            <v>1624＞7140＞稅外＞中華全佑</v>
          </cell>
          <cell r="J668">
            <v>30</v>
          </cell>
          <cell r="L668" t="str">
            <v>0905-125089劉博塏</v>
          </cell>
          <cell r="M668">
            <v>0</v>
          </cell>
          <cell r="R668" t="b">
            <v>0</v>
          </cell>
          <cell r="S668" t="str"/>
          <cell r="T668" t="b">
            <v>0</v>
          </cell>
          <cell r="W668">
            <v>366</v>
          </cell>
          <cell r="X668" t="str">
            <v>苗栗縣銅鑼鄉中平村28鄰中興路39號＞登:桃園市平鎮區廣達里廣西路4巷41弄15號</v>
          </cell>
          <cell r="Y668" t="str">
            <v>苗栗縣銅鑼鄉</v>
          </cell>
          <cell r="Z668" t="str">
            <v>苗栗縣銅鑼鄉中平村28鄰中興路39號.</v>
          </cell>
          <cell r="AA668" t="str">
            <v>366苗栗縣銅鑼鄉中平村28鄰中興路39號＞登:桃園市平鎮區廣達里廣西路4巷41弄15號</v>
          </cell>
          <cell r="AK668" t="str">
            <v>3V-328</v>
          </cell>
          <cell r="AL668" t="str">
            <v>1-0368-銀城&gt;寄&gt;附發票&gt;附回郵</v>
          </cell>
          <cell r="AM668" t="str">
            <v>1-0368</v>
          </cell>
        </row>
        <row r="669">
          <cell r="B669" t="str">
            <v>1-0664</v>
          </cell>
          <cell r="C669" t="str">
            <v>104-10-06</v>
          </cell>
          <cell r="D669" t="str">
            <v>1-0664-福誼&gt;寄&gt;附發票&gt;附回郵</v>
          </cell>
          <cell r="E669" t="str">
            <v>福誼企業股份有限公司＞負:王國儒</v>
          </cell>
          <cell r="F669" t="str">
            <v>福誼企業股份有限公司(664)</v>
          </cell>
          <cell r="G669" t="str">
            <v>含稅</v>
          </cell>
          <cell r="H669" t="str">
            <v>寄＞附發票＞附回郵＞</v>
          </cell>
          <cell r="I669" t="str">
            <v>0422＞8083＞含稅</v>
          </cell>
          <cell r="J669">
            <v>30</v>
          </cell>
          <cell r="L669" t="str">
            <v>037-614625#205＞0936-106820林丁貴課長＞傳真037-623577</v>
          </cell>
          <cell r="M669">
            <v>0</v>
          </cell>
          <cell r="R669" t="b">
            <v>0</v>
          </cell>
          <cell r="S669" t="str"/>
          <cell r="T669" t="b">
            <v>0</v>
          </cell>
          <cell r="W669">
            <v>361</v>
          </cell>
          <cell r="X669" t="str">
            <v>苗栗縣造橋鄉龍昇村渡船頭22-1號＞登:苗栗縣造橋鄉龍昇村渡船頭22-1號。</v>
          </cell>
          <cell r="Y669" t="str">
            <v>苗栗縣造橋鄉</v>
          </cell>
          <cell r="Z669" t="str">
            <v>苗栗縣造橋鄉龍昇村渡船頭22之1號.</v>
          </cell>
          <cell r="AA669" t="str">
            <v>361苗栗縣造橋鄉龍昇村渡船頭22-1號＞登:苗栗縣造橋鄉龍昇村渡船頭22-1號。</v>
          </cell>
          <cell r="AK669" t="str">
            <v>3V-321</v>
          </cell>
          <cell r="AL669" t="str">
            <v>1-0368-銀城&gt;寄&gt;附發票&gt;附回郵</v>
          </cell>
          <cell r="AM669" t="str">
            <v>1-0368</v>
          </cell>
        </row>
        <row r="670">
          <cell r="B670" t="str">
            <v>1-0665</v>
          </cell>
          <cell r="C670" t="str">
            <v>104-10-07</v>
          </cell>
          <cell r="D670" t="str">
            <v>1-0665-冠宏.吳明芳.敏詮&gt;寄&gt;匯款:冠宏</v>
          </cell>
          <cell r="E670" t="str">
            <v>冠宏輪胎有限公司</v>
          </cell>
          <cell r="F670" t="str">
            <v>冠宏輪胎有限公司(665)</v>
          </cell>
          <cell r="G670" t="str">
            <v>未稅</v>
          </cell>
          <cell r="H670" t="str">
            <v>寄＞匯款:冠宏＞</v>
          </cell>
          <cell r="I670" t="str">
            <v>未稅</v>
          </cell>
          <cell r="J670">
            <v>30</v>
          </cell>
          <cell r="K670" t="str">
            <v>2810＞1459＞未稅</v>
          </cell>
          <cell r="L670" t="str">
            <v>02-29061197&gt;0937-420177吳明芳</v>
          </cell>
          <cell r="M670">
            <v>0</v>
          </cell>
          <cell r="R670" t="b">
            <v>0</v>
          </cell>
          <cell r="S670" t="str"/>
          <cell r="T670" t="b">
            <v>0</v>
          </cell>
          <cell r="W670">
            <v>243</v>
          </cell>
          <cell r="X670" t="str">
            <v>新北市泰山區中山路2段730號&gt;登:新北市新莊區建福里建福路69巷31號3F</v>
          </cell>
          <cell r="Y670" t="str">
            <v>新北市泰山區</v>
          </cell>
          <cell r="Z670" t="str">
            <v>新北市泰山區中山路2段730號.</v>
          </cell>
          <cell r="AA670" t="str">
            <v>243新北市泰山區中山路2段730號&gt;登:新北市新莊區建福里建福路69巷31號3F</v>
          </cell>
          <cell r="AK670" t="str">
            <v>5381-M6</v>
          </cell>
          <cell r="AL670" t="str">
            <v>1-0368-銀城&gt;寄&gt;附發票&gt;附回郵</v>
          </cell>
          <cell r="AM670" t="str">
            <v>1-0368</v>
          </cell>
        </row>
        <row r="671">
          <cell r="B671" t="str">
            <v>1-0666</v>
          </cell>
          <cell r="C671" t="str">
            <v>104-10-08</v>
          </cell>
          <cell r="D671" t="str">
            <v>1-0666-翔運&gt;寄&gt;附發票&gt;附回郵</v>
          </cell>
          <cell r="E671" t="str">
            <v>翔運企業社</v>
          </cell>
          <cell r="F671" t="str">
            <v>翔運企業社(666)</v>
          </cell>
          <cell r="G671" t="str">
            <v>稅外</v>
          </cell>
          <cell r="H671" t="str">
            <v>寄＞附發票＞附回郵＞</v>
          </cell>
          <cell r="I671" t="str">
            <v>3987＞6893＞稅外</v>
          </cell>
          <cell r="J671">
            <v>30</v>
          </cell>
          <cell r="L671" t="str">
            <v>0933-980001老闆盧俊臣</v>
          </cell>
          <cell r="M671">
            <v>0</v>
          </cell>
          <cell r="R671" t="b">
            <v>0</v>
          </cell>
          <cell r="S671" t="str"/>
          <cell r="T671" t="b">
            <v>0</v>
          </cell>
          <cell r="W671">
            <v>351</v>
          </cell>
          <cell r="X671" t="str">
            <v>苗栗縣頭份市興隆里17鄰興三街14巷2號1F&gt;登:苗栗縣頭份市興隆里17鄰興三街14巷2號1F</v>
          </cell>
          <cell r="Y671" t="str">
            <v>苗栗縣頭份市</v>
          </cell>
          <cell r="Z671" t="str">
            <v>苗栗縣頭份市興隆里17鄰興三街14巷2號1樓.</v>
          </cell>
          <cell r="AA671" t="str">
            <v>351苗栗縣頭份市興隆里17鄰興三街14巷2號1F&gt;登:苗栗縣頭份市興隆里17鄰興三街14巷2號1F</v>
          </cell>
          <cell r="AK671" t="str">
            <v>F5-961</v>
          </cell>
          <cell r="AL671" t="str">
            <v>1-0368-銀城&gt;寄&gt;附發票&gt;附回郵</v>
          </cell>
          <cell r="AM671" t="str">
            <v>1-0368</v>
          </cell>
        </row>
        <row r="672">
          <cell r="B672" t="str">
            <v>1-0667</v>
          </cell>
          <cell r="C672" t="str">
            <v>104-10-09</v>
          </cell>
          <cell r="D672" t="str">
            <v>1-0667-益勝輪胎行&gt;寄&gt;附回郵</v>
          </cell>
          <cell r="E672" t="str">
            <v>益勝輪胎行＞負:黃俊明</v>
          </cell>
          <cell r="F672" t="str">
            <v>益勝輪胎行(667)</v>
          </cell>
          <cell r="G672" t="str">
            <v>未稅</v>
          </cell>
          <cell r="H672" t="str">
            <v>寄＞附回郵＞</v>
          </cell>
          <cell r="I672" t="str">
            <v>未稅</v>
          </cell>
          <cell r="J672">
            <v>30</v>
          </cell>
          <cell r="K672" t="str">
            <v>5016＞7308＞未稅</v>
          </cell>
          <cell r="L672" t="str">
            <v>037-722732＞037-722729＞0952-150630黃俊明</v>
          </cell>
          <cell r="M672">
            <v>0</v>
          </cell>
          <cell r="R672" t="b">
            <v>0</v>
          </cell>
          <cell r="S672" t="str"/>
          <cell r="T672" t="b">
            <v>0</v>
          </cell>
          <cell r="W672">
            <v>356</v>
          </cell>
          <cell r="X672" t="str">
            <v>苗栗縣後龍鎮中華路52-1號＞登:苗栗縣後龍鎮北龍里1鄰中華路52-1號。</v>
          </cell>
          <cell r="Y672" t="str">
            <v>苗栗縣後龍鎮</v>
          </cell>
          <cell r="Z672" t="str">
            <v>苗栗縣後龍鎮中華路521號.</v>
          </cell>
          <cell r="AA672" t="str">
            <v>356苗栗縣後龍鎮中華路52-1號＞登:苗栗縣後龍鎮北龍里1鄰中華路52-1號。</v>
          </cell>
          <cell r="AK672" t="str">
            <v>8U-953</v>
          </cell>
          <cell r="AL672" t="str">
            <v>1-0368-銀城&gt;寄&gt;附發票&gt;附回郵</v>
          </cell>
          <cell r="AM672" t="str">
            <v>1-0368</v>
          </cell>
        </row>
        <row r="673">
          <cell r="B673" t="str">
            <v>1-0668</v>
          </cell>
          <cell r="C673" t="str">
            <v>104-10-10</v>
          </cell>
          <cell r="D673" t="str">
            <v>1-0668-陳鈺蓁.福聖&gt;寄&gt;附發票&gt;一個月匯款</v>
          </cell>
          <cell r="E673" t="str">
            <v>陳鈺蓁.福聖貨運股份有限公司&gt;余增榮</v>
          </cell>
          <cell r="F673" t="str">
            <v>陳鈺蓁.福聖貨運股份有限公司(668)</v>
          </cell>
          <cell r="G673" t="str">
            <v>稅外</v>
          </cell>
          <cell r="H673" t="str">
            <v>寄平信＞附發票＞1個月匯款</v>
          </cell>
          <cell r="I673" t="str">
            <v xml:space="preserve">5054&gt;2579&gt;福聖4296&gt;1280&gt;益順心有限公司&gt;109.07.14統編改開福聖 6681＞2970&gt;承益企業社＞稅外  </v>
          </cell>
          <cell r="J673">
            <v>30</v>
          </cell>
          <cell r="L673" t="str">
            <v>0932-959018陳鈺蓁&gt;0910-359504&gt;余曾榮</v>
          </cell>
          <cell r="M673">
            <v>0</v>
          </cell>
          <cell r="R673" t="b">
            <v>0</v>
          </cell>
          <cell r="S673" t="str"/>
          <cell r="T673" t="b">
            <v>0</v>
          </cell>
          <cell r="W673">
            <v>360</v>
          </cell>
          <cell r="X673" t="str">
            <v>苗栗市新英里天祥10鄰309號&gt;登:苗栗縣後龍鎮龍坑里15鄰169-7號</v>
          </cell>
          <cell r="Y673" t="str">
            <v>苗栗市新英里</v>
          </cell>
          <cell r="Z673" t="str">
            <v>苗栗市新英里天祥10鄰309號.</v>
          </cell>
          <cell r="AA673" t="str">
            <v>360苗栗市新英里天祥10鄰309號&gt;登:苗栗縣後龍鎮龍坑里15鄰169-7號</v>
          </cell>
          <cell r="AK673" t="str">
            <v>Q7-525</v>
          </cell>
          <cell r="AL673" t="str">
            <v>1-0368-銀城&gt;寄&gt;附發票&gt;附回郵</v>
          </cell>
          <cell r="AM673" t="str">
            <v>1-0368</v>
          </cell>
        </row>
        <row r="674">
          <cell r="B674" t="str">
            <v>1-0669</v>
          </cell>
          <cell r="C674" t="str">
            <v>109-03-12/黃凱筠</v>
          </cell>
          <cell r="D674" t="str">
            <v>1-0669-高雄(章化)輪胎&gt;統駿輪胎&gt;寄&gt;親收&gt;匯款</v>
          </cell>
          <cell r="E674" t="str">
            <v>統駿輪胎行＞負:陳昭安</v>
          </cell>
          <cell r="F674" t="str">
            <v>統駿輪胎行(669)</v>
          </cell>
          <cell r="G674" t="str">
            <v>未稅</v>
          </cell>
          <cell r="H674" t="str">
            <v>寄＞親收&gt;匯款蔡淑惠</v>
          </cell>
          <cell r="I674" t="str">
            <v>未稅</v>
          </cell>
          <cell r="J674">
            <v>30</v>
          </cell>
          <cell r="K674" t="str">
            <v>章化2044＞2406＞未稅&gt;統駿2768&gt;8853</v>
          </cell>
          <cell r="L674" t="str">
            <v>07-8220587＞0927-996226</v>
          </cell>
          <cell r="M674" t="str">
            <v>2-0105</v>
          </cell>
          <cell r="R674" t="b">
            <v>0</v>
          </cell>
          <cell r="S674" t="str"/>
          <cell r="T674" t="b">
            <v>0</v>
          </cell>
          <cell r="W674">
            <v>812</v>
          </cell>
          <cell r="X674" t="str">
            <v>高雄市小港區港墘里平和路132號 .統駿:高雄市小港區漢威街180巷12號</v>
          </cell>
          <cell r="Y674" t="str">
            <v>高雄市小港區</v>
          </cell>
          <cell r="Z674" t="str">
            <v>高雄市小港區港墘里平和路132號.</v>
          </cell>
          <cell r="AA674" t="str">
            <v>812高雄市小港區港墘里平和路132號 .統駿:高雄市小港區漢威街180巷12號</v>
          </cell>
          <cell r="AK674" t="str">
            <v>789-RD</v>
          </cell>
          <cell r="AL674" t="str">
            <v>1-0368-銀城&gt;寄&gt;附發票&gt;附回郵</v>
          </cell>
          <cell r="AM674" t="str">
            <v>1-0368</v>
          </cell>
        </row>
        <row r="675">
          <cell r="B675" t="str">
            <v>1-0670</v>
          </cell>
          <cell r="C675" t="str">
            <v>104-10-12</v>
          </cell>
          <cell r="D675" t="str">
            <v>1-0670-大順&gt;寄&gt;自結</v>
          </cell>
          <cell r="E675" t="str">
            <v>大順輪胎行</v>
          </cell>
          <cell r="F675" t="str">
            <v>大順輪胎行(670)</v>
          </cell>
          <cell r="G675" t="str">
            <v>未稅</v>
          </cell>
          <cell r="H675" t="str">
            <v>寄&gt;自結&gt;匯款:詹瑞梅</v>
          </cell>
          <cell r="I675" t="str">
            <v>未稅&gt;9295&gt;0273&gt;DP中型胎含稅&gt;奔牛含稅</v>
          </cell>
          <cell r="J675">
            <v>30</v>
          </cell>
          <cell r="L675" t="str">
            <v>03-5693437&gt;03-5693439&gt;0937-949847</v>
          </cell>
          <cell r="M675">
            <v>0</v>
          </cell>
          <cell r="R675" t="b">
            <v>0</v>
          </cell>
          <cell r="S675" t="str"/>
          <cell r="T675" t="b">
            <v>0</v>
          </cell>
          <cell r="W675">
            <v>303</v>
          </cell>
          <cell r="X675" t="str">
            <v>新竹縣湖口鄉八德路一段386號</v>
          </cell>
          <cell r="Y675" t="str">
            <v>新竹縣湖口鄉</v>
          </cell>
          <cell r="Z675" t="str">
            <v>新竹縣湖口鄉八德路一段386號</v>
          </cell>
          <cell r="AA675" t="str">
            <v>303新竹縣湖口鄉八德路一段386號</v>
          </cell>
          <cell r="AK675" t="str">
            <v>0699-WB</v>
          </cell>
          <cell r="AL675" t="str">
            <v>1-0368-銀城&gt;寄&gt;附發票&gt;附回郵</v>
          </cell>
          <cell r="AM675" t="str">
            <v>1-0368</v>
          </cell>
        </row>
        <row r="676">
          <cell r="B676" t="str">
            <v>1-0671</v>
          </cell>
          <cell r="C676" t="str">
            <v>105-06-01</v>
          </cell>
          <cell r="D676" t="str">
            <v>1-0671-和鑫肉品&gt;電聯&gt;自結</v>
          </cell>
          <cell r="E676" t="str">
            <v xml:space="preserve">和鑫肉品行＞負:陳志和 </v>
          </cell>
          <cell r="F676" t="str">
            <v>和鑫肉品行(671)</v>
          </cell>
          <cell r="G676" t="str">
            <v>未稅</v>
          </cell>
          <cell r="H676" t="str">
            <v>電聯&gt;自結&gt;</v>
          </cell>
          <cell r="I676" t="str">
            <v>未稅</v>
          </cell>
          <cell r="J676">
            <v>30</v>
          </cell>
          <cell r="K676" t="str">
            <v>2521＞4628＞未稅</v>
          </cell>
          <cell r="L676" t="str">
            <v>0937-771444陳志和</v>
          </cell>
          <cell r="M676" t="str">
            <v>2-0107</v>
          </cell>
          <cell r="R676" t="b">
            <v>0</v>
          </cell>
          <cell r="S676" t="str"/>
          <cell r="T676" t="b">
            <v>0</v>
          </cell>
          <cell r="W676">
            <v>350</v>
          </cell>
          <cell r="X676" t="str">
            <v>苗栗縣竹南鎮海口里16鄰保安林7-23號1樓。</v>
          </cell>
          <cell r="Y676" t="str">
            <v>苗栗縣竹南鎮</v>
          </cell>
          <cell r="Z676" t="str">
            <v>苗栗縣竹南鎮海口里16鄰保安林7之23號1樓.</v>
          </cell>
          <cell r="AA676" t="str">
            <v>350苗栗縣竹南鎮海口里16鄰保安林7-23號1樓。</v>
          </cell>
          <cell r="AK676" t="str">
            <v>2769-YU</v>
          </cell>
          <cell r="AL676" t="str">
            <v>1-0368-銀城&gt;寄&gt;附發票&gt;附回郵</v>
          </cell>
          <cell r="AM676" t="str">
            <v>1-0368</v>
          </cell>
        </row>
        <row r="677">
          <cell r="B677" t="str">
            <v>1-0672</v>
          </cell>
          <cell r="C677" t="str">
            <v>105-10-01</v>
          </cell>
          <cell r="D677" t="str">
            <v>1-0672-鴻茂&gt;鴻準&gt;寄&gt;附發票&gt;匯款(兩個月月底匯款)</v>
          </cell>
          <cell r="E677" t="str">
            <v>鴻茂環境科技股份有限公司＞負:黃清譽，鴻準企業有限公司＞負:林思語</v>
          </cell>
          <cell r="F677" t="str">
            <v>鴻茂環境科技股份有限公司(672)</v>
          </cell>
          <cell r="G677" t="str">
            <v>含稅</v>
          </cell>
          <cell r="H677" t="str">
            <v>寄＞附發票＞匯款＞AAR-3168此車發票開鴻準</v>
          </cell>
          <cell r="I677" t="str">
            <v>2891 ＞5011鴻茂＞2501＞7794鴻準＞含稅</v>
          </cell>
          <cell r="J677">
            <v>30</v>
          </cell>
          <cell r="L677" t="str">
            <v>037-987989＞0913-936603陳明芝&gt;Fax:037-987111</v>
          </cell>
          <cell r="M677">
            <v>0</v>
          </cell>
          <cell r="R677" t="b">
            <v>0</v>
          </cell>
          <cell r="S677" t="str"/>
          <cell r="T677" t="b">
            <v>0</v>
          </cell>
          <cell r="W677">
            <v>366</v>
          </cell>
          <cell r="X677" t="str">
            <v>苗栗縣銅鑼鄉銅鑼村23鄰民有路23號＞準登：苗栗縣苗栗市水源里21鄰金龍街108號。</v>
          </cell>
          <cell r="Y677" t="str">
            <v>苗栗縣銅鑼鄉</v>
          </cell>
          <cell r="Z677" t="str">
            <v>苗栗縣銅鑼鄉銅鑼村23鄰民有路23號.</v>
          </cell>
          <cell r="AA677" t="str">
            <v>366苗栗縣銅鑼鄉銅鑼村23鄰民有路23號＞準登：苗栗縣苗栗市水源里21鄰金龍街108號。</v>
          </cell>
          <cell r="AK677" t="str">
            <v>366-VB</v>
          </cell>
          <cell r="AL677" t="str">
            <v>1-0368-銀城&gt;寄&gt;附發票&gt;附回郵</v>
          </cell>
          <cell r="AM677" t="str">
            <v>1-0368</v>
          </cell>
        </row>
        <row r="678">
          <cell r="B678" t="str">
            <v>1-0673</v>
          </cell>
          <cell r="C678" t="str">
            <v>105-10-21</v>
          </cell>
          <cell r="D678" t="str">
            <v>1-0673-徐育生&gt;寄&gt;自結</v>
          </cell>
          <cell r="E678" t="str">
            <v>徐育生＞靠行:正昇</v>
          </cell>
          <cell r="F678" t="str">
            <v>徐育生(673)</v>
          </cell>
          <cell r="G678" t="str">
            <v>未稅</v>
          </cell>
          <cell r="H678" t="str">
            <v>寄＞自結＞</v>
          </cell>
          <cell r="I678" t="str">
            <v>未稅</v>
          </cell>
          <cell r="J678">
            <v>30</v>
          </cell>
          <cell r="L678" t="str">
            <v>0932-614218徐育生</v>
          </cell>
          <cell r="M678">
            <v>0</v>
          </cell>
          <cell r="O678">
            <v>64</v>
          </cell>
          <cell r="P678">
            <v>4</v>
          </cell>
          <cell r="Q678">
            <v>9</v>
          </cell>
          <cell r="R678">
            <v>46</v>
          </cell>
          <cell r="S678">
            <v>75</v>
          </cell>
          <cell r="T678">
            <v>27493</v>
          </cell>
          <cell r="U678" t="str">
            <v>K121495769</v>
          </cell>
          <cell r="V678" t="str">
            <v>徐育生</v>
          </cell>
          <cell r="W678">
            <v>351</v>
          </cell>
          <cell r="X678" t="str">
            <v>苗栗縣頭份鎮廣興里1鄰廣興1號。</v>
          </cell>
          <cell r="Y678" t="str">
            <v>苗栗縣頭份鎮</v>
          </cell>
          <cell r="Z678" t="str">
            <v>苗栗縣頭份鎮廣興里1鄰廣興1號.</v>
          </cell>
          <cell r="AA678" t="str">
            <v>351苗栗縣頭份鎮廣興里1鄰廣興1號。</v>
          </cell>
          <cell r="AK678" t="str">
            <v>8790-KP</v>
          </cell>
          <cell r="AL678" t="str">
            <v>1-0368-銀城&gt;寄&gt;附發票&gt;附回郵</v>
          </cell>
          <cell r="AM678" t="str">
            <v>1-0368</v>
          </cell>
        </row>
        <row r="679">
          <cell r="B679" t="str">
            <v>1-0674</v>
          </cell>
          <cell r="C679" t="str">
            <v>105-10-22</v>
          </cell>
          <cell r="D679" t="str">
            <v>1-0674-翔威.翔鑫&gt;付現&gt;不能簽帳</v>
          </cell>
          <cell r="E679" t="str">
            <v>翔威通運股份有限公司＞負:曾泰翔</v>
          </cell>
          <cell r="F679" t="str">
            <v>翔威通運股份有限公司(674)</v>
          </cell>
          <cell r="G679" t="str">
            <v>稅外</v>
          </cell>
          <cell r="H679" t="str">
            <v>付現＞現金價</v>
          </cell>
          <cell r="I679" t="str">
            <v>8124＞1084＞稅外</v>
          </cell>
          <cell r="J679">
            <v>30</v>
          </cell>
          <cell r="L679" t="str">
            <v>Fax:037-463802＞0926-347383＞0930-347383鍾裕隆＞0916-748562鍾雅婷</v>
          </cell>
          <cell r="M679">
            <v>0</v>
          </cell>
          <cell r="R679" t="b">
            <v>0</v>
          </cell>
          <cell r="S679" t="str"/>
          <cell r="T679" t="b">
            <v>0</v>
          </cell>
          <cell r="W679">
            <v>361</v>
          </cell>
          <cell r="X679" t="str">
            <v>苗栗縣造橋鄉造橋村13鄰東興13號＞登：高雄市路竹區竹東里11鄰中興路7號1樓。</v>
          </cell>
          <cell r="Y679" t="str">
            <v>苗栗縣造橋鄉</v>
          </cell>
          <cell r="Z679" t="str">
            <v>苗栗縣造橋鄉造橋村13鄰東興13號 &lt;鍾聿惟&gt;收</v>
          </cell>
          <cell r="AA679" t="str">
            <v>361苗栗縣造橋鄉造橋村13鄰東興13號＞登：高雄市路竹區竹東里11鄰中興路7號1樓。</v>
          </cell>
          <cell r="AK679" t="str">
            <v>2635-PM</v>
          </cell>
          <cell r="AL679" t="str">
            <v>1-0368-銀城&gt;寄&gt;附發票&gt;附回郵</v>
          </cell>
          <cell r="AM679" t="str">
            <v>1-0368</v>
          </cell>
        </row>
        <row r="680">
          <cell r="B680" t="str">
            <v>1-0675</v>
          </cell>
          <cell r="C680" t="str">
            <v>105-10-20</v>
          </cell>
          <cell r="D680" t="str">
            <v>1-0675-帝豪努.哇克&gt;寄&gt;自結&gt;附發票</v>
          </cell>
          <cell r="E680" t="str">
            <v>豪宣有限公司 ＞負:黃德貴，努哇克商行＞負:黃德富</v>
          </cell>
          <cell r="F680" t="str">
            <v>豪宣有限公司(675)</v>
          </cell>
          <cell r="G680" t="str">
            <v>稅外</v>
          </cell>
          <cell r="H680" t="str">
            <v>寄＞自結＞附發票＞</v>
          </cell>
          <cell r="I680" t="str">
            <v>2465＞2868帝豪＞2522＞4386努哇克＞稅外</v>
          </cell>
          <cell r="J680">
            <v>30</v>
          </cell>
          <cell r="L680" t="str">
            <v>0918-409609黃德貴&gt;0918-409607黃德富</v>
          </cell>
          <cell r="M680">
            <v>0</v>
          </cell>
          <cell r="R680" t="b">
            <v>0</v>
          </cell>
          <cell r="S680" t="str"/>
          <cell r="T680" t="b">
            <v>0</v>
          </cell>
          <cell r="W680">
            <v>351</v>
          </cell>
          <cell r="X680" t="str">
            <v>苗栗縣頭份市民權里中華路742號。</v>
          </cell>
          <cell r="Y680" t="str">
            <v>苗栗縣頭份市</v>
          </cell>
          <cell r="Z680" t="str">
            <v>苗栗縣頭份市民權里中華路742號.</v>
          </cell>
          <cell r="AA680" t="str">
            <v>351苗栗縣頭份市民權里中華路742號。</v>
          </cell>
          <cell r="AK680" t="str">
            <v>5165-D5</v>
          </cell>
          <cell r="AL680" t="str">
            <v>1-0368-銀城&gt;寄&gt;附發票&gt;附回郵</v>
          </cell>
          <cell r="AM680" t="str">
            <v>1-0368</v>
          </cell>
        </row>
        <row r="681">
          <cell r="B681" t="str">
            <v>1-0676</v>
          </cell>
          <cell r="C681" t="str">
            <v>105-11-24</v>
          </cell>
          <cell r="D681" t="str">
            <v>1-0676-寰揚&gt;寄&gt;附發票&gt;附回郵</v>
          </cell>
          <cell r="E681" t="str">
            <v>寰揚實業股份有限公司＞負:林芝伶</v>
          </cell>
          <cell r="F681" t="str">
            <v>寰揚實業股份有限公司(676)</v>
          </cell>
          <cell r="G681" t="str">
            <v>稅外</v>
          </cell>
          <cell r="H681" t="str">
            <v>寄＞附發票＞附回郵＞</v>
          </cell>
          <cell r="I681" t="str">
            <v>5054＞1699＞稅外</v>
          </cell>
          <cell r="J681">
            <v>30</v>
          </cell>
          <cell r="L681" t="str">
            <v>037-479486＞0933-190503老闆娘＞傳真037-479481</v>
          </cell>
          <cell r="M681">
            <v>0</v>
          </cell>
          <cell r="R681" t="b">
            <v>0</v>
          </cell>
          <cell r="S681" t="str"/>
          <cell r="T681" t="b">
            <v>0</v>
          </cell>
          <cell r="W681">
            <v>350</v>
          </cell>
          <cell r="X681" t="str">
            <v>苗栗縣竹南鎮建國路302號＞登:臺北市中山區新生北路2段60巷2號8樓之6。</v>
          </cell>
          <cell r="Y681" t="str">
            <v>苗栗縣竹南鎮</v>
          </cell>
          <cell r="Z681" t="str">
            <v>苗栗縣竹南鎮建國路302號.</v>
          </cell>
          <cell r="AA681" t="str">
            <v>350苗栗縣竹南鎮建國路302號＞登:臺北市中山區新生北路2段60巷2號8樓之6。</v>
          </cell>
          <cell r="AK681" t="str">
            <v>357-Y7</v>
          </cell>
          <cell r="AL681" t="str">
            <v>1-0368-銀城&gt;寄&gt;附發票&gt;附回郵</v>
          </cell>
          <cell r="AM681" t="str">
            <v>1-0368</v>
          </cell>
        </row>
        <row r="682">
          <cell r="B682" t="str">
            <v>1-0677</v>
          </cell>
          <cell r="C682" t="str">
            <v>105-11-24</v>
          </cell>
          <cell r="D682" t="str">
            <v>1-0677-朱文展&gt;寄&gt;自結</v>
          </cell>
          <cell r="E682" t="str">
            <v>朱文展＞靠行,尚弘汽車貨運股份有限公司,負:宋菊蘭</v>
          </cell>
          <cell r="F682" t="str">
            <v>朱文展(677)</v>
          </cell>
          <cell r="G682" t="str">
            <v>未稅</v>
          </cell>
          <cell r="H682" t="str">
            <v>寄＞自結＞</v>
          </cell>
          <cell r="I682" t="str">
            <v>未稅</v>
          </cell>
          <cell r="J682">
            <v>30</v>
          </cell>
          <cell r="K682" t="str">
            <v>5007＞0206＞未稅</v>
          </cell>
          <cell r="L682" t="str">
            <v>037-484047＞0972-228554朱文展＞公司037-682762</v>
          </cell>
          <cell r="M682">
            <v>0</v>
          </cell>
          <cell r="R682" t="b">
            <v>0</v>
          </cell>
          <cell r="S682" t="str"/>
          <cell r="T682" t="b">
            <v>0</v>
          </cell>
          <cell r="W682">
            <v>350</v>
          </cell>
          <cell r="X682" t="str">
            <v>苗栗縣竹南鎮聖福里15鄰建國路288巷197號＞登:苗栗縣頭份市蟠桃里6鄰建國路2段199號二樓6。</v>
          </cell>
          <cell r="Y682" t="str">
            <v>苗栗縣竹南鎮</v>
          </cell>
          <cell r="Z682" t="str">
            <v>苗栗縣竹南鎮聖福里15鄰建國路288巷197號.</v>
          </cell>
          <cell r="AA682" t="str">
            <v>350苗栗縣竹南鎮聖福里15鄰建國路288巷197號＞登:苗栗縣頭份市蟠桃里6鄰建國路2段199號二樓6。</v>
          </cell>
          <cell r="AK682" t="str">
            <v>AHD-2339</v>
          </cell>
          <cell r="AL682" t="str">
            <v>1-0368-銀城&gt;寄&gt;附發票&gt;附回郵</v>
          </cell>
          <cell r="AM682" t="str">
            <v>1-0368</v>
          </cell>
        </row>
        <row r="683">
          <cell r="B683" t="str">
            <v>1-0678</v>
          </cell>
          <cell r="C683" t="str">
            <v>105-11-29</v>
          </cell>
          <cell r="D683" t="str">
            <v>1-0678-大自然&gt;寄&gt;附發票&gt;附回郵</v>
          </cell>
          <cell r="E683" t="str">
            <v>大自然綠化有限公司</v>
          </cell>
          <cell r="F683" t="str">
            <v>大自然綠化有限公司(678)</v>
          </cell>
          <cell r="G683" t="str">
            <v>含稅</v>
          </cell>
          <cell r="H683" t="str">
            <v>寄＞附發票＞附回郵＞</v>
          </cell>
          <cell r="I683" t="str">
            <v>5326＞1067＞含稅</v>
          </cell>
          <cell r="J683">
            <v>30</v>
          </cell>
          <cell r="L683" t="str">
            <v>037-688784＞0931-977898葉治和＞傳真037-688984</v>
          </cell>
          <cell r="M683">
            <v>0</v>
          </cell>
          <cell r="R683" t="b">
            <v>0</v>
          </cell>
          <cell r="S683" t="str"/>
          <cell r="T683" t="b">
            <v>0</v>
          </cell>
          <cell r="W683">
            <v>351</v>
          </cell>
          <cell r="X683" t="str">
            <v>苗栗縣頭份鎮頭份里131-10號。</v>
          </cell>
          <cell r="Y683" t="str">
            <v>苗栗縣頭份鎮</v>
          </cell>
          <cell r="Z683" t="str">
            <v>苗栗縣頭份鎮頭份里131之10號.</v>
          </cell>
          <cell r="AA683" t="str">
            <v>351苗栗縣頭份鎮頭份里131-10號。</v>
          </cell>
          <cell r="AK683" t="str">
            <v>025-GG</v>
          </cell>
          <cell r="AL683" t="str">
            <v>1-0370-驊泰&gt;寄&gt;附發票&gt;附回郵</v>
          </cell>
          <cell r="AM683" t="str">
            <v>1-0370</v>
          </cell>
        </row>
        <row r="684">
          <cell r="B684" t="str">
            <v>1-0679</v>
          </cell>
          <cell r="C684" t="str">
            <v>105-12-02</v>
          </cell>
          <cell r="D684" t="str">
            <v>1-0679-彭仕豐&gt;電&gt;自結在開立附發票</v>
          </cell>
          <cell r="E684" t="str">
            <v>彭仕豐＞靠行,苗豐交通股份有限公司,負:邱秀美</v>
          </cell>
          <cell r="F684" t="str">
            <v>彭仕豐(679)</v>
          </cell>
          <cell r="G684" t="str">
            <v>含稅</v>
          </cell>
          <cell r="H684" t="str">
            <v>電&gt;自結</v>
          </cell>
          <cell r="I684" t="str">
            <v>4969＞5421＞含稅&gt;結帳時再開立發票</v>
          </cell>
          <cell r="J684">
            <v>30</v>
          </cell>
          <cell r="L684" t="str">
            <v>0910-961246彭仕豐</v>
          </cell>
          <cell r="M684">
            <v>0</v>
          </cell>
          <cell r="O684">
            <v>55</v>
          </cell>
          <cell r="P684">
            <v>12</v>
          </cell>
          <cell r="Q684">
            <v>12</v>
          </cell>
          <cell r="R684">
            <v>55</v>
          </cell>
          <cell r="S684">
            <v>66</v>
          </cell>
          <cell r="T684">
            <v>24453</v>
          </cell>
          <cell r="U684" t="str">
            <v>K120663674</v>
          </cell>
          <cell r="V684" t="str">
            <v>彭仕豐</v>
          </cell>
          <cell r="W684">
            <v>362</v>
          </cell>
          <cell r="X684" t="str">
            <v>苗栗縣頭屋鄉頭屋村14鄰尖豐路124號＞登:苗栗縣苗栗市建功里24鄰府前路121號7樓之2。</v>
          </cell>
          <cell r="Y684" t="str">
            <v>苗栗縣頭屋鄉</v>
          </cell>
          <cell r="Z684" t="str">
            <v>苗栗縣頭屋鄉頭屋村14鄰尖豐路124號.</v>
          </cell>
          <cell r="AA684" t="str">
            <v>362苗栗縣頭屋鄉頭屋村14鄰尖豐路124號＞登:苗栗縣苗栗市建功里24鄰府前路121號7樓之2。</v>
          </cell>
          <cell r="AK684" t="str">
            <v>421-DD</v>
          </cell>
          <cell r="AL684" t="str">
            <v>1-0370-驊泰&gt;寄&gt;附發票&gt;附回郵</v>
          </cell>
          <cell r="AM684" t="str">
            <v>1-0370</v>
          </cell>
        </row>
        <row r="685">
          <cell r="B685" t="str">
            <v>1-0680</v>
          </cell>
          <cell r="C685" t="str">
            <v>105-12-05</v>
          </cell>
          <cell r="D685" t="str">
            <v>1-0680-偉珍&gt;寄&gt;附發票&gt;附回郵</v>
          </cell>
          <cell r="E685" t="str">
            <v>偉珍有限公司＞負:戴文偉</v>
          </cell>
          <cell r="F685" t="str">
            <v>偉珍有限公司(680)</v>
          </cell>
          <cell r="G685" t="str">
            <v>稅外</v>
          </cell>
          <cell r="H685" t="str">
            <v>寄＞附發票＞附回郵＞</v>
          </cell>
          <cell r="I685" t="str">
            <v>7070＞1862＞1686&gt;9364稅外</v>
          </cell>
          <cell r="J685">
            <v>30</v>
          </cell>
          <cell r="L685" t="str">
            <v>03-5153737</v>
          </cell>
          <cell r="M685">
            <v>0</v>
          </cell>
          <cell r="R685" t="b">
            <v>0</v>
          </cell>
          <cell r="S685" t="str"/>
          <cell r="T685" t="b">
            <v>0</v>
          </cell>
          <cell r="W685">
            <v>300</v>
          </cell>
          <cell r="X685" t="str">
            <v>新竹巿公道五路三段638之1號＞登:新竹市東區豐功里東美路105號。</v>
          </cell>
          <cell r="Y685" t="str">
            <v>新竹巿公道五</v>
          </cell>
          <cell r="Z685" t="str">
            <v>新竹巿公道五路三段638之1號.</v>
          </cell>
          <cell r="AA685" t="str">
            <v>300新竹巿公道五路三段638之1號＞登:新竹市東區豐功里東美路105號。</v>
          </cell>
          <cell r="AK685" t="str">
            <v>QM-912</v>
          </cell>
          <cell r="AL685" t="str">
            <v>1-0372-銅鑼陳江山&gt;寄&gt;匯款</v>
          </cell>
          <cell r="AM685" t="str">
            <v>1-0372</v>
          </cell>
        </row>
        <row r="686">
          <cell r="B686" t="str">
            <v>1-0681</v>
          </cell>
          <cell r="C686" t="str">
            <v>105-12-06</v>
          </cell>
          <cell r="D686" t="str">
            <v>1-0681-祐興昌&gt;寄&gt;附回郵</v>
          </cell>
          <cell r="E686" t="str">
            <v>祐興昌企業有限公司＞負:邱顯祐</v>
          </cell>
          <cell r="F686" t="str">
            <v>祐興昌企業有限公司(681)</v>
          </cell>
          <cell r="G686" t="str">
            <v>未稅</v>
          </cell>
          <cell r="H686" t="str">
            <v>寄＞附回郵＞</v>
          </cell>
          <cell r="I686" t="str">
            <v>未稅</v>
          </cell>
          <cell r="J686">
            <v>30</v>
          </cell>
          <cell r="K686" t="str">
            <v>2739＞4230＞未稅</v>
          </cell>
          <cell r="L686" t="str">
            <v>02-27956603＞0910-001518邱顯祐＞傳真:02-27953950</v>
          </cell>
          <cell r="M686">
            <v>0</v>
          </cell>
          <cell r="R686" t="b">
            <v>0</v>
          </cell>
          <cell r="S686" t="str"/>
          <cell r="T686" t="b">
            <v>0</v>
          </cell>
          <cell r="W686">
            <v>114</v>
          </cell>
          <cell r="X686" t="str">
            <v>台北巿內湖區南京東路6段368巷30號＞登:臺北市內湖區石潭里新明路121號1樓。</v>
          </cell>
          <cell r="Y686" t="str">
            <v>台北巿內湖區</v>
          </cell>
          <cell r="Z686" t="str">
            <v>台北巿內湖區南京東路6段368巷30號.</v>
          </cell>
          <cell r="AA686" t="str">
            <v>114台北巿內湖區南京東路6段368巷30號＞登:臺北市內湖區石潭里新明路121號1樓。</v>
          </cell>
          <cell r="AK686" t="str">
            <v>357-JB</v>
          </cell>
          <cell r="AL686" t="str">
            <v>1-0372-銅鑼陳江山&gt;寄&gt;匯款</v>
          </cell>
          <cell r="AM686" t="str">
            <v>1-0372</v>
          </cell>
        </row>
        <row r="687">
          <cell r="B687" t="str">
            <v>1-0682</v>
          </cell>
          <cell r="C687" t="str">
            <v>105-12-14</v>
          </cell>
          <cell r="D687" t="str">
            <v>1-0682-進富&gt;寄&gt;附回郵</v>
          </cell>
          <cell r="E687" t="str">
            <v>進富國際有限公司</v>
          </cell>
          <cell r="F687" t="str">
            <v>進富國際有限公司(682)</v>
          </cell>
          <cell r="G687" t="str">
            <v>未稅</v>
          </cell>
          <cell r="H687" t="str">
            <v>寄＞附回郵＞</v>
          </cell>
          <cell r="I687" t="str">
            <v>未稅</v>
          </cell>
          <cell r="J687">
            <v>30</v>
          </cell>
          <cell r="L687" t="str">
            <v>03-3471547 ＞0931-687898＞0983-687898黃堂峰＞傳真03-3327074</v>
          </cell>
          <cell r="M687">
            <v>0</v>
          </cell>
          <cell r="R687" t="b">
            <v>0</v>
          </cell>
          <cell r="S687" t="str"/>
          <cell r="T687" t="b">
            <v>0</v>
          </cell>
          <cell r="W687">
            <v>330</v>
          </cell>
          <cell r="X687" t="str">
            <v>桃園巿桃園區大同西路32號。</v>
          </cell>
          <cell r="Y687" t="str">
            <v>桃園巿桃園區</v>
          </cell>
          <cell r="Z687" t="str">
            <v>桃園巿桃園區大同西路32號.</v>
          </cell>
          <cell r="AA687" t="str">
            <v>330桃園巿桃園區大同西路32號。</v>
          </cell>
          <cell r="AK687" t="str">
            <v>4117-YG</v>
          </cell>
          <cell r="AL687" t="str">
            <v>1-0372-銅鑼陳江山&gt;寄&gt;匯款</v>
          </cell>
          <cell r="AM687" t="str">
            <v>1-0372</v>
          </cell>
        </row>
        <row r="688">
          <cell r="B688" t="str">
            <v>1-0683</v>
          </cell>
          <cell r="C688" t="str">
            <v>105-12-15</v>
          </cell>
          <cell r="D688" t="str">
            <v>1-0683-竹南鎮公所.公園路燈管理所&gt;寄&gt;附回郵</v>
          </cell>
          <cell r="E688" t="str">
            <v>竹南鎮公所.公園路燈管理所</v>
          </cell>
          <cell r="F688" t="str">
            <v>竹南鎮公所.公園路燈管理所(683)</v>
          </cell>
          <cell r="G688" t="str">
            <v>含稅</v>
          </cell>
          <cell r="H688" t="str">
            <v>寄＞附發票＞附回郵＞</v>
          </cell>
          <cell r="I688" t="str">
            <v>5040＞0804＞含稅＞中華全佑＞請款單上加蓋統編章</v>
          </cell>
          <cell r="J688">
            <v>30</v>
          </cell>
          <cell r="L688" t="str">
            <v>037-625648鍾英男</v>
          </cell>
          <cell r="M688">
            <v>0</v>
          </cell>
          <cell r="R688" t="b">
            <v>0</v>
          </cell>
          <cell r="S688" t="str"/>
          <cell r="T688" t="b">
            <v>0</v>
          </cell>
          <cell r="W688">
            <v>350</v>
          </cell>
          <cell r="X688" t="str">
            <v>苗栗縣竹南鎮中正路112號。</v>
          </cell>
          <cell r="Y688" t="str">
            <v>苗栗縣竹南鎮</v>
          </cell>
          <cell r="Z688" t="str">
            <v>苗栗縣竹南鎮中正路112號.</v>
          </cell>
          <cell r="AA688" t="str">
            <v>350苗栗縣竹南鎮中正路112號。</v>
          </cell>
          <cell r="AK688" t="str">
            <v>855-JD</v>
          </cell>
          <cell r="AL688" t="str">
            <v>1-0372-銅鑼陳江山&gt;寄&gt;匯款</v>
          </cell>
          <cell r="AM688" t="str">
            <v>1-0372</v>
          </cell>
        </row>
        <row r="689">
          <cell r="B689" t="str">
            <v>1-0684</v>
          </cell>
          <cell r="C689" t="str">
            <v>105-12-20</v>
          </cell>
          <cell r="D689" t="str">
            <v>1-0684-泰昇&gt;寄&gt;附發票&gt;附回郵</v>
          </cell>
          <cell r="E689" t="str">
            <v>泰昇定位輪胎行</v>
          </cell>
          <cell r="F689" t="str">
            <v>泰昇定位輪胎行(684)</v>
          </cell>
          <cell r="G689" t="str">
            <v>含稅</v>
          </cell>
          <cell r="H689" t="str">
            <v>寄＞附發票＞附回郵＞</v>
          </cell>
          <cell r="I689" t="str">
            <v>2680＞3222＞含稅</v>
          </cell>
          <cell r="J689">
            <v>30</v>
          </cell>
          <cell r="L689" t="str">
            <v>04-26885636&gt;04-26886085&gt;0910-587893王紹琪</v>
          </cell>
          <cell r="M689">
            <v>0</v>
          </cell>
          <cell r="R689" t="b">
            <v>0</v>
          </cell>
          <cell r="S689" t="str"/>
          <cell r="T689" t="b">
            <v>0</v>
          </cell>
          <cell r="W689">
            <v>437</v>
          </cell>
          <cell r="X689" t="str">
            <v>台中市大甲區中山路一段302號</v>
          </cell>
          <cell r="Y689" t="str">
            <v>台中市大甲區</v>
          </cell>
          <cell r="Z689" t="str">
            <v>台中市大甲區中山路一段302號.</v>
          </cell>
          <cell r="AA689" t="str">
            <v>437台中市大甲區中山路一段302號</v>
          </cell>
          <cell r="AK689" t="str">
            <v>290-ZC</v>
          </cell>
          <cell r="AL689" t="str">
            <v>1-0373-三詠&gt;源松&gt;華都&gt;寄&gt;自結</v>
          </cell>
          <cell r="AM689" t="str">
            <v>1-0373</v>
          </cell>
        </row>
        <row r="690">
          <cell r="B690" t="str">
            <v>1-0685</v>
          </cell>
          <cell r="C690" t="str">
            <v>105-12-20</v>
          </cell>
          <cell r="D690" t="str">
            <v>1-0685-鴻諭輪胎行&gt;寄&gt;附發票&gt;匯款</v>
          </cell>
          <cell r="E690" t="str">
            <v>鴻諭輪胎行&gt;大型車專業定位</v>
          </cell>
          <cell r="F690" t="str">
            <v>鴻諭輪胎行(685)</v>
          </cell>
          <cell r="G690" t="str">
            <v>含稅</v>
          </cell>
          <cell r="H690" t="str">
            <v>寄&gt;附發票&gt;匯款28435</v>
          </cell>
          <cell r="I690" t="str">
            <v>0622&gt;9559&gt;含稅&gt;25號月結</v>
          </cell>
          <cell r="J690">
            <v>25</v>
          </cell>
          <cell r="L690" t="str">
            <v>05-6938767&gt;傳真:05&gt;6931219&gt;0963179521老闆</v>
          </cell>
          <cell r="M690">
            <v>0</v>
          </cell>
          <cell r="O690">
            <v>72</v>
          </cell>
          <cell r="P690">
            <v>9</v>
          </cell>
          <cell r="Q690">
            <v>23</v>
          </cell>
          <cell r="R690">
            <v>38</v>
          </cell>
          <cell r="S690">
            <v>83</v>
          </cell>
          <cell r="T690">
            <v>30582</v>
          </cell>
          <cell r="V690" t="str">
            <v>林逸群</v>
          </cell>
          <cell r="W690">
            <v>638</v>
          </cell>
          <cell r="X690" t="str">
            <v>雲林縣麥寮鄉瓦磘村霄仁厝2號之178</v>
          </cell>
          <cell r="Y690" t="str">
            <v>雲林縣麥寮鄉</v>
          </cell>
          <cell r="Z690" t="str">
            <v>雲林縣麥寮鄉瓦磘村霄仁厝2號之178</v>
          </cell>
          <cell r="AA690" t="str">
            <v>638雲林縣麥寮鄉瓦磘村霄仁厝2號之178</v>
          </cell>
          <cell r="AK690" t="str">
            <v>GS-038</v>
          </cell>
          <cell r="AL690" t="str">
            <v>1-0375-陳緯華&gt;美樂&gt;現&gt;自結</v>
          </cell>
          <cell r="AM690" t="str">
            <v>1-0375</v>
          </cell>
        </row>
        <row r="691">
          <cell r="B691" t="str">
            <v>1-0686</v>
          </cell>
          <cell r="C691" t="str">
            <v>105-12-21</v>
          </cell>
          <cell r="D691" t="str">
            <v>1-0686-日亨&gt;寄&gt;附回郵</v>
          </cell>
          <cell r="E691" t="str">
            <v>日亨輪胎有限公司</v>
          </cell>
          <cell r="F691" t="str">
            <v>日亨輪胎有限公司(686)</v>
          </cell>
          <cell r="G691" t="str">
            <v>未稅</v>
          </cell>
          <cell r="H691" t="str">
            <v>寄＞附回郵＞匯款83700.02099</v>
          </cell>
          <cell r="I691" t="str">
            <v>未稅</v>
          </cell>
          <cell r="J691">
            <v>30</v>
          </cell>
          <cell r="L691" t="str">
            <v>03-4828593&gt;傳真03-4817386</v>
          </cell>
          <cell r="M691">
            <v>0</v>
          </cell>
          <cell r="R691" t="b">
            <v>0</v>
          </cell>
          <cell r="S691" t="str"/>
          <cell r="T691" t="b">
            <v>0</v>
          </cell>
          <cell r="W691">
            <v>326</v>
          </cell>
          <cell r="X691" t="str">
            <v>桃園市楊梅區永美路410號</v>
          </cell>
          <cell r="Y691" t="str">
            <v>桃園市楊梅區</v>
          </cell>
          <cell r="Z691" t="str">
            <v>桃園市楊梅區永美路410號</v>
          </cell>
          <cell r="AA691" t="str">
            <v>326桃園市楊梅區永美路410號</v>
          </cell>
          <cell r="AK691" t="str">
            <v>690-RT</v>
          </cell>
          <cell r="AL691" t="str">
            <v>1-0461-釧宏&gt;寄&gt;附發票&gt;附回郵</v>
          </cell>
          <cell r="AM691" t="str">
            <v>1-0461</v>
          </cell>
        </row>
        <row r="692">
          <cell r="B692" t="str">
            <v>1-0687</v>
          </cell>
          <cell r="C692" t="str">
            <v>105-12-30</v>
          </cell>
          <cell r="D692" t="str">
            <v>1-0687-佳泰&gt;寄&gt;附發票&gt;附回郵</v>
          </cell>
          <cell r="E692" t="str">
            <v>佳泰機械行＞負:柯靜婷</v>
          </cell>
          <cell r="F692" t="str">
            <v>佳泰機械行(687)</v>
          </cell>
          <cell r="G692" t="str">
            <v>稅外</v>
          </cell>
          <cell r="H692" t="str">
            <v>寄＞附發票＞附回郵＞</v>
          </cell>
          <cell r="I692" t="str">
            <v>1097＞8153＞稅外</v>
          </cell>
          <cell r="J692">
            <v>30</v>
          </cell>
          <cell r="L692" t="str">
            <v>04-23893862＞0963-299169柯靜婷＞傳真:04-23862686</v>
          </cell>
          <cell r="M692">
            <v>0</v>
          </cell>
          <cell r="R692" t="b">
            <v>0</v>
          </cell>
          <cell r="S692" t="str"/>
          <cell r="T692" t="b">
            <v>0</v>
          </cell>
          <cell r="W692">
            <v>408</v>
          </cell>
          <cell r="X692" t="str">
            <v>台中巿南屯區黎明路二段71巷10號1樓。</v>
          </cell>
          <cell r="Y692" t="str">
            <v>台中巿南屯區</v>
          </cell>
          <cell r="Z692" t="str">
            <v>台中巿南屯區黎明路二段71巷10號1樓.</v>
          </cell>
          <cell r="AA692" t="str">
            <v>408台中巿南屯區黎明路二段71巷10號1樓。</v>
          </cell>
          <cell r="AK692" t="str">
            <v>222-GR</v>
          </cell>
          <cell r="AL692" t="str">
            <v>1-0608-聯倉&gt;寄&gt;附發票&gt;附回郵</v>
          </cell>
          <cell r="AM692" t="str">
            <v>1-0608</v>
          </cell>
        </row>
        <row r="693">
          <cell r="B693" t="str">
            <v>1-0688</v>
          </cell>
          <cell r="C693" t="str">
            <v>106-01-07</v>
          </cell>
          <cell r="D693" t="str">
            <v>1-0688-上福輪胎&gt;寄&gt;附發票&gt;附回郵</v>
          </cell>
          <cell r="E693" t="str">
            <v>上福輪胎實業有限公司＞負:陳可迎</v>
          </cell>
          <cell r="F693" t="str">
            <v>上福輪胎實業有限公司(688)</v>
          </cell>
          <cell r="G693" t="str">
            <v>含稅</v>
          </cell>
          <cell r="H693" t="str">
            <v>寄＞附發票＞附回郵＞</v>
          </cell>
          <cell r="I693" t="str">
            <v>6631＞2742＞含稅＞25號月結</v>
          </cell>
          <cell r="J693">
            <v>25</v>
          </cell>
          <cell r="L693" t="str">
            <v>02-26102178＞帳:02-26102680陳小姐&gt;0960-529969＞0973-522588蔡宜宏＞傳真02-26102078</v>
          </cell>
          <cell r="M693">
            <v>0</v>
          </cell>
          <cell r="R693" t="b">
            <v>0</v>
          </cell>
          <cell r="S693" t="str"/>
          <cell r="T693" t="b">
            <v>0</v>
          </cell>
          <cell r="W693">
            <v>249</v>
          </cell>
          <cell r="X693" t="str">
            <v>新北巿八里區中山路2段540巷13號1樓＞登:桃園市桃園區中信里德華街197巷15號1樓。</v>
          </cell>
          <cell r="Y693" t="str">
            <v>新北巿八里區</v>
          </cell>
          <cell r="Z693" t="str">
            <v>新北巿八里區中山路2段540巷13號1樓</v>
          </cell>
          <cell r="AA693" t="str">
            <v>249新北巿八里區中山路2段540巷13號1樓＞登:桃園市桃園區中信里德華街197巷15號1樓。</v>
          </cell>
          <cell r="AK693" t="str">
            <v>6473-RV</v>
          </cell>
          <cell r="AL693" t="str">
            <v>1-0379-崴武&gt;寄&gt;附發票&gt;附回郵</v>
          </cell>
          <cell r="AM693" t="str">
            <v>1-0379</v>
          </cell>
        </row>
        <row r="694">
          <cell r="B694" t="str">
            <v>1-0689</v>
          </cell>
          <cell r="C694" t="str">
            <v>106-01-07</v>
          </cell>
          <cell r="D694" t="str">
            <v>1-0689-新竹縣寶山鄉公所&gt;寄&gt;附發票&gt;附回郵</v>
          </cell>
          <cell r="E694" t="str">
            <v>新竹縣寶山鄉公所</v>
          </cell>
          <cell r="F694" t="str">
            <v>新竹縣寶山鄉公所(689)</v>
          </cell>
          <cell r="G694" t="str">
            <v>含稅</v>
          </cell>
          <cell r="H694" t="str">
            <v>寄＞附發票＞附回郵＞</v>
          </cell>
          <cell r="I694" t="str">
            <v>4681＞4704＞含稅＞中華全佑＞發票項目:1X輪胎=總計</v>
          </cell>
          <cell r="J694">
            <v>30</v>
          </cell>
          <cell r="L694" t="str">
            <v>03-5201524楊小姐＞傳真03-5296742＞E-mail：10009874@hchg.gov.tw</v>
          </cell>
          <cell r="M694">
            <v>0</v>
          </cell>
          <cell r="R694" t="b">
            <v>0</v>
          </cell>
          <cell r="S694" t="str"/>
          <cell r="T694" t="b">
            <v>0</v>
          </cell>
          <cell r="W694">
            <v>308</v>
          </cell>
          <cell r="X694" t="str">
            <v>新竹縣寶山鄉雙園路二段325號。</v>
          </cell>
          <cell r="Y694" t="str">
            <v>新竹縣寶山鄉</v>
          </cell>
          <cell r="Z694" t="str">
            <v>新竹縣寶山鄉雙園路二段325號.</v>
          </cell>
          <cell r="AA694" t="str">
            <v>308新竹縣寶山鄉雙園路二段325號。</v>
          </cell>
          <cell r="AK694" t="str">
            <v>1663-KE</v>
          </cell>
          <cell r="AL694" t="str">
            <v>1-0379-崴武&gt;寄&gt;附發票&gt;附回郵</v>
          </cell>
          <cell r="AM694" t="str">
            <v>1-0379</v>
          </cell>
        </row>
        <row r="695">
          <cell r="B695" t="str">
            <v>1-0690</v>
          </cell>
          <cell r="C695" t="str">
            <v>106-01-13</v>
          </cell>
          <cell r="D695" t="str">
            <v>1-0690-洽隆&gt;寄&gt;附發票&gt;匯款</v>
          </cell>
          <cell r="E695" t="str">
            <v>洽隆企業有限公司＞負:洪大木</v>
          </cell>
          <cell r="F695" t="str">
            <v>洽隆企業有限公司(690)</v>
          </cell>
          <cell r="G695" t="str">
            <v>稅外</v>
          </cell>
          <cell r="H695" t="str">
            <v>寄＞附發票＞匯款</v>
          </cell>
          <cell r="I695" t="str">
            <v>4713＞8081＞稅外＞中華全佑</v>
          </cell>
          <cell r="J695">
            <v>30</v>
          </cell>
          <cell r="L695" t="str">
            <v>03-5245162＞傳真:03-5239134&gt;0916-222371姚榮華</v>
          </cell>
          <cell r="M695">
            <v>0</v>
          </cell>
          <cell r="R695" t="b">
            <v>0</v>
          </cell>
          <cell r="S695" t="str"/>
          <cell r="T695" t="b">
            <v>0</v>
          </cell>
          <cell r="W695">
            <v>300</v>
          </cell>
          <cell r="X695" t="str">
            <v>新竹市北區曲溪里中華路三段202號。</v>
          </cell>
          <cell r="Y695" t="str">
            <v>新竹市北區曲</v>
          </cell>
          <cell r="Z695" t="str">
            <v>新竹市北區曲溪里中華路三段202號.</v>
          </cell>
          <cell r="AA695" t="str">
            <v>300新竹市北區曲溪里中華路三段202號。</v>
          </cell>
          <cell r="AK695" t="str">
            <v>1958-RF</v>
          </cell>
          <cell r="AL695" t="str">
            <v>1-0379-崴武&gt;寄&gt;附發票&gt;附回郵</v>
          </cell>
          <cell r="AM695" t="str">
            <v>1-0379</v>
          </cell>
        </row>
        <row r="696">
          <cell r="B696" t="str">
            <v>1-0691</v>
          </cell>
          <cell r="C696" t="str">
            <v>106-01-19</v>
          </cell>
          <cell r="D696" t="str">
            <v>1-0691-高金水&gt;寄&gt;匯款:林澤滄&gt;拒絕往來戶</v>
          </cell>
          <cell r="E696" t="str">
            <v>高金水＞靠行:志鴻</v>
          </cell>
          <cell r="F696" t="str">
            <v>高金水(691)</v>
          </cell>
          <cell r="G696" t="str">
            <v>未稅</v>
          </cell>
          <cell r="H696" t="str">
            <v>寄＞匯款:林澤滄＞</v>
          </cell>
          <cell r="I696" t="str">
            <v>未稅</v>
          </cell>
          <cell r="J696">
            <v>30</v>
          </cell>
          <cell r="K696" t="str">
            <v>8692&gt;7660</v>
          </cell>
          <cell r="L696" t="str">
            <v>0918-972629高金水</v>
          </cell>
          <cell r="M696">
            <v>0</v>
          </cell>
          <cell r="O696">
            <v>45</v>
          </cell>
          <cell r="P696">
            <v>5</v>
          </cell>
          <cell r="Q696">
            <v>26</v>
          </cell>
          <cell r="R696">
            <v>65</v>
          </cell>
          <cell r="S696">
            <v>56</v>
          </cell>
          <cell r="T696">
            <v>20601</v>
          </cell>
          <cell r="U696" t="str">
            <v>L121698091</v>
          </cell>
          <cell r="V696" t="str">
            <v>高金水</v>
          </cell>
          <cell r="W696">
            <v>435</v>
          </cell>
          <cell r="X696" t="str">
            <v>臺中巿梧棲區建國北街315巷7弄7號。</v>
          </cell>
          <cell r="Y696" t="str">
            <v>臺中巿梧棲區</v>
          </cell>
          <cell r="Z696" t="str">
            <v>臺中巿梧棲區建國北街315巷7弄7號.</v>
          </cell>
          <cell r="AA696" t="str">
            <v>435臺中巿梧棲區建國北街315巷7弄7號。</v>
          </cell>
          <cell r="AK696" t="str">
            <v>012-BP</v>
          </cell>
          <cell r="AL696" t="str">
            <v>1-0382-味王&gt;寄&gt;附發票&gt;匯款</v>
          </cell>
          <cell r="AM696" t="str">
            <v>1-0382</v>
          </cell>
        </row>
        <row r="697">
          <cell r="B697" t="str">
            <v>1-0692</v>
          </cell>
          <cell r="C697" t="str">
            <v>106-01-20</v>
          </cell>
          <cell r="D697" t="str">
            <v>1-0692-信利行&gt;寄&gt;匯款:吳素蜜</v>
          </cell>
          <cell r="E697" t="str">
            <v>信利行</v>
          </cell>
          <cell r="F697" t="str">
            <v>信利行(692)</v>
          </cell>
          <cell r="G697" t="str">
            <v>未稅</v>
          </cell>
          <cell r="H697" t="str">
            <v>寄＞匯款:吳素蜜＞</v>
          </cell>
          <cell r="I697" t="str">
            <v>未稅</v>
          </cell>
          <cell r="J697">
            <v>30</v>
          </cell>
          <cell r="L697" t="str">
            <v>07-8220080＞0933-479909李翰岳＞傳真:07-8220060</v>
          </cell>
          <cell r="M697">
            <v>0</v>
          </cell>
          <cell r="R697" t="b">
            <v>0</v>
          </cell>
          <cell r="S697" t="str"/>
          <cell r="T697" t="b">
            <v>0</v>
          </cell>
          <cell r="W697">
            <v>812</v>
          </cell>
          <cell r="X697" t="str">
            <v>高雄巿小港區港安街113號。</v>
          </cell>
          <cell r="Y697" t="str">
            <v>高雄巿小港區</v>
          </cell>
          <cell r="Z697" t="str">
            <v>高雄巿小港區港安街113號.</v>
          </cell>
          <cell r="AA697" t="str">
            <v>812高雄巿小港區港安街113號。</v>
          </cell>
          <cell r="AK697" t="str">
            <v>BL-38</v>
          </cell>
          <cell r="AL697" t="str">
            <v>1-0385-竹豐&gt;寄&gt;附發票&gt;附回郵</v>
          </cell>
          <cell r="AM697" t="str">
            <v>1-0385</v>
          </cell>
        </row>
        <row r="698">
          <cell r="B698" t="str">
            <v>1-0693</v>
          </cell>
          <cell r="C698" t="str">
            <v>106-01-20</v>
          </cell>
          <cell r="D698" t="str">
            <v>1-0693-意鑫&gt;寄&gt;附發票&gt;匯款</v>
          </cell>
          <cell r="E698" t="str">
            <v>意鑫合金工業股份有限公司＞負:范傳銘</v>
          </cell>
          <cell r="F698" t="str">
            <v>意鑫合金工業股份有限公司(693)</v>
          </cell>
          <cell r="G698" t="str">
            <v>稅外</v>
          </cell>
          <cell r="H698" t="str">
            <v>寄＞附發票＞匯款＞</v>
          </cell>
          <cell r="I698" t="str">
            <v>2304＞2122＞稅外＞中華全佑＞1張簽單1張發票＞25號月結</v>
          </cell>
          <cell r="J698">
            <v>25</v>
          </cell>
          <cell r="L698" t="str">
            <v xml:space="preserve">037-776088＞傳真:037-733968 </v>
          </cell>
          <cell r="M698" t="str">
            <v>2-0165</v>
          </cell>
          <cell r="R698" t="b">
            <v>0</v>
          </cell>
          <cell r="S698" t="str"/>
          <cell r="T698" t="b">
            <v>0</v>
          </cell>
          <cell r="W698">
            <v>356</v>
          </cell>
          <cell r="X698" t="str">
            <v>苗栗縣後龍鎮溪洲里8鄰勝利路296號＞登:台北巿中正區羅斯福路3段76號2樓之2。</v>
          </cell>
          <cell r="Y698" t="str">
            <v>苗栗縣後龍鎮</v>
          </cell>
          <cell r="Z698" t="str">
            <v>苗栗縣後龍鎮溪洲里8鄰勝利路296號.</v>
          </cell>
          <cell r="AA698" t="str">
            <v>356苗栗縣後龍鎮溪洲里8鄰勝利路296號＞登:台北巿中正區羅斯福路3段76號2樓之2。</v>
          </cell>
          <cell r="AK698" t="str">
            <v>838-MM</v>
          </cell>
          <cell r="AL698" t="str">
            <v>1-0387-陳宏康&gt;現結</v>
          </cell>
          <cell r="AM698" t="str">
            <v>1-0387</v>
          </cell>
        </row>
        <row r="699">
          <cell r="B699" t="str">
            <v>1-0694</v>
          </cell>
          <cell r="C699" t="str">
            <v>106-01-23</v>
          </cell>
          <cell r="D699" t="str">
            <v>1-0694-永發&gt;寄&gt;附發票&gt;附回郵</v>
          </cell>
          <cell r="E699" t="str">
            <v>永發紙業股份有限公司＞負:胡文發</v>
          </cell>
          <cell r="F699" t="str">
            <v>永發紙業股份有限公司(694)</v>
          </cell>
          <cell r="G699" t="str">
            <v>含稅</v>
          </cell>
          <cell r="H699" t="str">
            <v>寄＞附發票＞附回郵＞</v>
          </cell>
          <cell r="I699" t="str">
            <v>5003＞3619＞含稅</v>
          </cell>
          <cell r="J699">
            <v>30</v>
          </cell>
          <cell r="L699" t="str">
            <v>037-720561#33會計&gt;#28林課長＞傳真:037-731730&gt;傳真:037-729048業務部</v>
          </cell>
          <cell r="M699" t="str">
            <v>2-0095</v>
          </cell>
          <cell r="R699" t="b">
            <v>0</v>
          </cell>
          <cell r="S699" t="str"/>
          <cell r="T699" t="b">
            <v>0</v>
          </cell>
          <cell r="W699">
            <v>356</v>
          </cell>
          <cell r="X699" t="str">
            <v>苗栗縣後龍鎮東明里8鄰宏陽路99號。</v>
          </cell>
          <cell r="Y699" t="str">
            <v>苗栗縣後龍鎮</v>
          </cell>
          <cell r="Z699" t="str">
            <v>苗栗縣後龍鎮東明里8鄰宏陽路99號.</v>
          </cell>
          <cell r="AA699" t="str">
            <v>356苗栗縣後龍鎮東明里8鄰宏陽路99號。</v>
          </cell>
          <cell r="AK699" t="str">
            <v>633-AN</v>
          </cell>
          <cell r="AL699" t="str">
            <v>1-0391-邱政義&gt;寄&gt;自結</v>
          </cell>
          <cell r="AM699" t="str">
            <v>1-0391</v>
          </cell>
        </row>
        <row r="700">
          <cell r="B700" t="str">
            <v>1-0695</v>
          </cell>
          <cell r="C700" t="str">
            <v>106-02-02</v>
          </cell>
          <cell r="D700" t="str">
            <v>1-0695-邱佑七&gt;寄&gt;自結</v>
          </cell>
          <cell r="E700" t="str">
            <v>邱佑七＞聯航</v>
          </cell>
          <cell r="F700" t="str">
            <v>邱佑七.聯航(695)</v>
          </cell>
          <cell r="G700" t="str">
            <v>未稅</v>
          </cell>
          <cell r="H700" t="str">
            <v>寄&gt;自結&gt;</v>
          </cell>
          <cell r="I700" t="str">
            <v>未稅</v>
          </cell>
          <cell r="J700">
            <v>30</v>
          </cell>
          <cell r="L700" t="str">
            <v>0918-666006&gt;037-981688</v>
          </cell>
          <cell r="M700">
            <v>0</v>
          </cell>
          <cell r="O700">
            <v>61</v>
          </cell>
          <cell r="P700">
            <v>5</v>
          </cell>
          <cell r="Q700">
            <v>20</v>
          </cell>
          <cell r="R700">
            <v>49</v>
          </cell>
          <cell r="S700">
            <v>72</v>
          </cell>
          <cell r="T700">
            <v>26439</v>
          </cell>
          <cell r="U700" t="str">
            <v xml:space="preserve"> K120504376</v>
          </cell>
          <cell r="W700">
            <v>366</v>
          </cell>
          <cell r="X700" t="str">
            <v>苗栗縣銅鑼鄉銅鑼村29鄰成功街3之3號。</v>
          </cell>
          <cell r="Y700" t="str">
            <v>苗栗縣銅鑼鄉</v>
          </cell>
          <cell r="Z700" t="str">
            <v>苗栗縣銅鑼鄉銅鑼村29鄰成功街3之3號.</v>
          </cell>
          <cell r="AA700" t="str">
            <v>366苗栗縣銅鑼鄉銅鑼村29鄰成功街3之3號。</v>
          </cell>
          <cell r="AK700" t="str">
            <v>373-ZY</v>
          </cell>
          <cell r="AL700" t="str">
            <v>1-0391-邱政義&gt;寄&gt;自結</v>
          </cell>
          <cell r="AM700" t="str">
            <v>1-0391</v>
          </cell>
        </row>
        <row r="701">
          <cell r="B701" t="str">
            <v>1-0696</v>
          </cell>
          <cell r="C701" t="str">
            <v>107-02-03</v>
          </cell>
          <cell r="D701" t="str">
            <v>1-0696-永鉅汽車&gt;寄&gt;附發票&gt;附回郵</v>
          </cell>
          <cell r="E701" t="str">
            <v>永傳汽車有限公司&gt;永鉅汽車</v>
          </cell>
          <cell r="F701" t="str">
            <v>永傳汽車有限公司(696)</v>
          </cell>
          <cell r="G701" t="str">
            <v>稅外</v>
          </cell>
          <cell r="H701" t="str">
            <v>寄&gt;附發票&gt;附回郵&gt;</v>
          </cell>
          <cell r="I701" t="str">
            <v>2486&gt;5237&gt;稅外</v>
          </cell>
          <cell r="J701">
            <v>30</v>
          </cell>
          <cell r="L701" t="str">
            <v>034-622110&gt;0919-933894陳凱明&gt;傳真:037-622600</v>
          </cell>
          <cell r="M701">
            <v>0</v>
          </cell>
          <cell r="R701" t="b">
            <v>0</v>
          </cell>
          <cell r="S701" t="str"/>
          <cell r="T701" t="b">
            <v>0</v>
          </cell>
          <cell r="W701">
            <v>351</v>
          </cell>
          <cell r="X701" t="str">
            <v>苗栗縣頭份鎮蘆竹里永貞路一段118號。</v>
          </cell>
          <cell r="Y701" t="str">
            <v>苗栗縣頭份鎮</v>
          </cell>
          <cell r="Z701" t="str">
            <v>苗栗縣頭份鎮蘆竹里永貞路一段118號.</v>
          </cell>
          <cell r="AA701" t="str">
            <v>351苗栗縣頭份鎮蘆竹里永貞路一段118號。</v>
          </cell>
          <cell r="AK701" t="str">
            <v>0730-KC</v>
          </cell>
          <cell r="AL701" t="str">
            <v>1-0391-邱政義&gt;寄&gt;自結</v>
          </cell>
          <cell r="AM701" t="str">
            <v>1-0391</v>
          </cell>
        </row>
        <row r="702">
          <cell r="B702" t="str">
            <v>1-0697</v>
          </cell>
          <cell r="C702" t="str">
            <v>106-02-13</v>
          </cell>
          <cell r="D702" t="str">
            <v>1-0697-永冠&gt;寄&gt;附回郵</v>
          </cell>
          <cell r="E702" t="str">
            <v>永冠汽車行</v>
          </cell>
          <cell r="F702" t="str">
            <v>永冠汽車行程(697)</v>
          </cell>
          <cell r="G702" t="str">
            <v>未稅</v>
          </cell>
          <cell r="H702" t="str">
            <v>寄&gt;附回郵&gt;</v>
          </cell>
          <cell r="I702" t="str">
            <v>未稅</v>
          </cell>
          <cell r="J702">
            <v>30</v>
          </cell>
          <cell r="K702" t="str">
            <v>8794&gt;4060&gt;未稅</v>
          </cell>
          <cell r="L702" t="str">
            <v>082-335296&gt;0921-710789辛智永&gt;傳真 082-335389</v>
          </cell>
          <cell r="M702">
            <v>0</v>
          </cell>
          <cell r="R702" t="b">
            <v>0</v>
          </cell>
          <cell r="S702" t="str"/>
          <cell r="T702" t="b">
            <v>0</v>
          </cell>
          <cell r="W702">
            <v>891</v>
          </cell>
          <cell r="X702" t="str">
            <v>金門縣金湖鎮瓊林9之 2之2號。</v>
          </cell>
          <cell r="Y702" t="str">
            <v>金門縣金湖鎮</v>
          </cell>
          <cell r="Z702" t="str">
            <v>金門縣金湖鎮瓊林9之 2之2號.</v>
          </cell>
          <cell r="AA702" t="str">
            <v>891金門縣金湖鎮瓊林9之 2之2號。</v>
          </cell>
          <cell r="AK702" t="str">
            <v>188-JJ</v>
          </cell>
          <cell r="AL702" t="str">
            <v>1-0394-宸羽&gt;寄&gt;親收</v>
          </cell>
          <cell r="AM702" t="str">
            <v>1-0394</v>
          </cell>
        </row>
        <row r="703">
          <cell r="B703" t="str">
            <v>1-0698</v>
          </cell>
          <cell r="C703" t="str">
            <v>106-02-28</v>
          </cell>
          <cell r="D703" t="str">
            <v>1-0698-張芫誠&gt;志鈞&gt;寄平信&gt;匯款</v>
          </cell>
          <cell r="E703" t="str">
            <v>張芸誠&gt;志鈞&gt;大山菜車</v>
          </cell>
          <cell r="F703" t="str">
            <v>張芸誠(698)</v>
          </cell>
          <cell r="G703" t="str">
            <v>未稅</v>
          </cell>
          <cell r="H703" t="str">
            <v>寄平信&gt;匯款6076795.9022391&gt;</v>
          </cell>
          <cell r="I703" t="str">
            <v>未稅</v>
          </cell>
          <cell r="J703">
            <v>30</v>
          </cell>
          <cell r="L703" t="str">
            <v>0905-769198張芫誠</v>
          </cell>
          <cell r="M703">
            <v>0</v>
          </cell>
          <cell r="R703" t="b">
            <v>0</v>
          </cell>
          <cell r="S703" t="str"/>
          <cell r="T703" t="b">
            <v>0</v>
          </cell>
          <cell r="W703">
            <v>356</v>
          </cell>
          <cell r="X703" t="str">
            <v>苗栗縣後龍鎮龍津里169號</v>
          </cell>
          <cell r="Y703" t="str">
            <v>苗栗縣後龍鎮</v>
          </cell>
          <cell r="Z703" t="str">
            <v>苗栗縣後龍鎮龍津里169號.</v>
          </cell>
          <cell r="AA703" t="str">
            <v>356苗栗縣後龍鎮龍津里169號</v>
          </cell>
          <cell r="AK703" t="str">
            <v>673-GG</v>
          </cell>
          <cell r="AL703" t="str">
            <v>1-0394-宸羽&gt;寄&gt;親收</v>
          </cell>
          <cell r="AM703" t="str">
            <v>1-0394</v>
          </cell>
        </row>
        <row r="704">
          <cell r="B704" t="str">
            <v>1-0699</v>
          </cell>
          <cell r="C704" t="str">
            <v>106-03-09</v>
          </cell>
          <cell r="D704" t="str">
            <v>1-0699-寶固&gt;寄&gt;附回郵</v>
          </cell>
          <cell r="E704" t="str">
            <v>寶固輪胎有限公司</v>
          </cell>
          <cell r="F704" t="str">
            <v>寶固輪胎有限公司(699)</v>
          </cell>
          <cell r="G704" t="str">
            <v>未稅</v>
          </cell>
          <cell r="H704" t="str">
            <v>寄＞附回郵＞</v>
          </cell>
          <cell r="I704" t="str">
            <v>未稅</v>
          </cell>
          <cell r="J704">
            <v>30</v>
          </cell>
          <cell r="K704" t="str">
            <v>8459&gt;0297&gt;未稅</v>
          </cell>
          <cell r="L704" t="str">
            <v>04-2639-1448&gt;04-2639-2705FAX&gt;0988-525061陳勳寶</v>
          </cell>
          <cell r="M704">
            <v>0</v>
          </cell>
          <cell r="R704" t="b">
            <v>0</v>
          </cell>
          <cell r="S704" t="str"/>
          <cell r="T704" t="b">
            <v>0</v>
          </cell>
          <cell r="W704">
            <v>434</v>
          </cell>
          <cell r="X704" t="str">
            <v>台中縣龍井區西濱路二段16號</v>
          </cell>
          <cell r="Y704" t="str">
            <v>台中縣龍井區</v>
          </cell>
          <cell r="Z704" t="str">
            <v>台中縣龍井區西濱路二段16號</v>
          </cell>
          <cell r="AA704" t="str">
            <v>434台中縣龍井區西濱路二段16號</v>
          </cell>
          <cell r="AK704" t="str">
            <v>AX-333</v>
          </cell>
          <cell r="AL704" t="str">
            <v>1-0398-天文.坤成&gt;寄&gt;附發票&gt;附回郵</v>
          </cell>
          <cell r="AM704" t="str">
            <v>1-0398</v>
          </cell>
        </row>
        <row r="705">
          <cell r="B705" t="str">
            <v>1-0700</v>
          </cell>
          <cell r="C705" t="str">
            <v>106-03-22</v>
          </cell>
          <cell r="D705" t="str">
            <v>1-0700-朱金森&gt;松生&gt;寄&gt;自結</v>
          </cell>
          <cell r="E705" t="str">
            <v>朱金森&gt;松生交通股份有限公司,負:陳漢琮</v>
          </cell>
          <cell r="F705" t="str">
            <v>朱金森(700)</v>
          </cell>
          <cell r="G705" t="str">
            <v>未稅</v>
          </cell>
          <cell r="H705" t="str">
            <v>寄&gt;自結&gt;</v>
          </cell>
          <cell r="I705" t="str">
            <v>未稅</v>
          </cell>
          <cell r="J705">
            <v>30</v>
          </cell>
          <cell r="L705" t="str">
            <v>037-550740&gt;0933-493370朱金森</v>
          </cell>
          <cell r="M705">
            <v>0</v>
          </cell>
          <cell r="O705">
            <v>51</v>
          </cell>
          <cell r="P705">
            <v>3</v>
          </cell>
          <cell r="Q705">
            <v>6</v>
          </cell>
          <cell r="R705">
            <v>60</v>
          </cell>
          <cell r="S705">
            <v>62</v>
          </cell>
          <cell r="T705">
            <v>22711</v>
          </cell>
          <cell r="U705" t="str">
            <v>K121048019</v>
          </cell>
          <cell r="V705" t="str">
            <v>朱金森</v>
          </cell>
          <cell r="W705">
            <v>356</v>
          </cell>
          <cell r="X705" t="str">
            <v>苗栗縣竹南鎮正南里環市路一段138巷2弄1號2樓</v>
          </cell>
          <cell r="Y705" t="str">
            <v>苗栗縣後龍鎮</v>
          </cell>
          <cell r="Z705" t="str">
            <v>苗栗縣後龍鎮海埔里15鄰76號-1</v>
          </cell>
          <cell r="AA705" t="str">
            <v>356苗栗縣竹南鎮正南里環市路一段138巷2弄1號2樓</v>
          </cell>
          <cell r="AK705" t="str">
            <v>3413-L2</v>
          </cell>
          <cell r="AL705" t="str">
            <v>1-0398-天文.坤成&gt;寄&gt;附發票&gt;附回郵</v>
          </cell>
          <cell r="AM705" t="str">
            <v>1-0398</v>
          </cell>
        </row>
        <row r="706">
          <cell r="B706" t="str">
            <v>1-0701</v>
          </cell>
          <cell r="C706" t="str">
            <v>106-03-29</v>
          </cell>
          <cell r="D706" t="str">
            <v>1-0701-串昌&gt;兑玖開發&gt;寄&gt;附發票&gt;附回郵</v>
          </cell>
          <cell r="E706" t="str">
            <v>兑玖開發有限公司</v>
          </cell>
          <cell r="F706" t="str">
            <v>兑玖開發有限公司(701)</v>
          </cell>
          <cell r="G706" t="str">
            <v>含稅</v>
          </cell>
          <cell r="H706" t="str">
            <v>寄＞附發票＞附回郵</v>
          </cell>
          <cell r="I706" t="str">
            <v>5397&gt;3137兌玖-大車&gt;3129&gt;6133串昌&gt;含稅&gt;全威企業社&gt;25號月結</v>
          </cell>
          <cell r="J706">
            <v>25</v>
          </cell>
          <cell r="L706" t="str">
            <v>037-229580#205 FAX:037-232696 宋美智小姐</v>
          </cell>
          <cell r="M706">
            <v>0</v>
          </cell>
          <cell r="R706" t="b">
            <v>0</v>
          </cell>
          <cell r="S706" t="str"/>
          <cell r="T706" t="b">
            <v>0</v>
          </cell>
          <cell r="W706">
            <v>366</v>
          </cell>
          <cell r="X706" t="str">
            <v>苗栗縣銅鑼鄉中興工業區瑞興街4號</v>
          </cell>
          <cell r="Y706" t="str">
            <v>苗栗縣銅鑼鄉</v>
          </cell>
          <cell r="Z706" t="str">
            <v>苗栗縣銅鑼鄉中興工業區瑞興街4號.</v>
          </cell>
          <cell r="AA706" t="str">
            <v>366苗栗縣銅鑼鄉中興工業區瑞興街4號</v>
          </cell>
          <cell r="AK706" t="str">
            <v>4573-K7</v>
          </cell>
          <cell r="AL706" t="str">
            <v>1-0398-天文.坤成&gt;寄&gt;附發票&gt;附回郵</v>
          </cell>
          <cell r="AM706" t="str">
            <v>1-0398</v>
          </cell>
        </row>
        <row r="707">
          <cell r="B707" t="str">
            <v>1-0702</v>
          </cell>
          <cell r="C707" t="str">
            <v>106-03-30</v>
          </cell>
          <cell r="D707" t="str">
            <v>1-0702-交通大學&gt;寄&gt;附發票&gt;匯款</v>
          </cell>
          <cell r="E707" t="str">
            <v>國立交通大學</v>
          </cell>
          <cell r="F707" t="str">
            <v>國立交通大學(702)</v>
          </cell>
          <cell r="G707" t="str">
            <v>含稅</v>
          </cell>
          <cell r="H707" t="str">
            <v>寄＞附發票＞匯款＞</v>
          </cell>
          <cell r="I707" t="str">
            <v>4680&gt;4706&gt;含稅&gt;中華全佑</v>
          </cell>
          <cell r="J707">
            <v>30</v>
          </cell>
          <cell r="L707" t="str">
            <v>03-5131342#513孫先生&gt;0928-887778車管熊士靜&gt;0976-074524邱司機</v>
          </cell>
          <cell r="M707" t="str">
            <v>2-0061</v>
          </cell>
          <cell r="R707" t="b">
            <v>0</v>
          </cell>
          <cell r="S707" t="str"/>
          <cell r="T707" t="b">
            <v>0</v>
          </cell>
          <cell r="V707" t="str">
            <v> </v>
          </cell>
          <cell r="W707">
            <v>300</v>
          </cell>
          <cell r="X707" t="str">
            <v>新竹市大學路1001號</v>
          </cell>
          <cell r="Y707" t="str">
            <v>新竹市大學路</v>
          </cell>
          <cell r="Z707" t="str">
            <v>新竹市大學路1001號.</v>
          </cell>
          <cell r="AA707" t="str">
            <v>300新竹市大學路1001號</v>
          </cell>
          <cell r="AK707" t="str">
            <v>431-KP</v>
          </cell>
          <cell r="AL707" t="str">
            <v>1-0398-天文.坤成&gt;寄&gt;附發票&gt;附回郵</v>
          </cell>
          <cell r="AM707" t="str">
            <v>1-0398</v>
          </cell>
        </row>
        <row r="708">
          <cell r="B708" t="str">
            <v>1-0703</v>
          </cell>
          <cell r="C708" t="str">
            <v>106-03-31</v>
          </cell>
          <cell r="D708" t="str">
            <v>1-0703-洪晟金屬&gt;寄&gt;附發票&gt;附回郵</v>
          </cell>
          <cell r="E708" t="str">
            <v>洪晟金屬股份有限公司</v>
          </cell>
          <cell r="F708" t="str">
            <v>洪晟金屬股份有限公司(703)</v>
          </cell>
          <cell r="G708" t="str">
            <v>稅外</v>
          </cell>
          <cell r="H708" t="str">
            <v>寄＞附發票＞附回郵＞</v>
          </cell>
          <cell r="I708" t="str">
            <v>2326&gt;0055&gt;稅外</v>
          </cell>
          <cell r="J708">
            <v>30</v>
          </cell>
          <cell r="L708" t="str">
            <v xml:space="preserve">037-791845&gt;帳:037-765345.765101分機317陳小姐&gt; FAX:037-791841 </v>
          </cell>
          <cell r="M708">
            <v>0</v>
          </cell>
          <cell r="R708" t="b">
            <v>0</v>
          </cell>
          <cell r="S708" t="str"/>
          <cell r="T708" t="b">
            <v>0</v>
          </cell>
          <cell r="W708">
            <v>357</v>
          </cell>
          <cell r="X708" t="str">
            <v>苗栗縣通霄鎮內島里7鄰內島57-1號</v>
          </cell>
          <cell r="Y708" t="str">
            <v>苗栗縣通霄鎮</v>
          </cell>
          <cell r="Z708" t="str">
            <v>苗栗縣通霄鎮通灣里10鄰101之6號.</v>
          </cell>
          <cell r="AA708" t="str">
            <v>357苗栗縣通霄鎮內島里7鄰內島57-1號</v>
          </cell>
          <cell r="AK708" t="str">
            <v>579-KD</v>
          </cell>
          <cell r="AL708" t="str">
            <v>1-0398-天文.坤成&gt;寄&gt;附發票&gt;附回郵</v>
          </cell>
          <cell r="AM708" t="str">
            <v>1-0398</v>
          </cell>
        </row>
        <row r="709">
          <cell r="B709" t="str">
            <v>1-0704</v>
          </cell>
          <cell r="C709" t="str">
            <v>106-06-21</v>
          </cell>
          <cell r="D709" t="str">
            <v>1-0704-成權有限公司&gt;寄&gt;匯款</v>
          </cell>
          <cell r="E709" t="str">
            <v>成權有限公司</v>
          </cell>
          <cell r="F709" t="str">
            <v>成權有限公司(704)</v>
          </cell>
          <cell r="G709" t="str">
            <v>未稅</v>
          </cell>
          <cell r="H709" t="str">
            <v>寄＞匯款:1331556&gt;成權＞</v>
          </cell>
          <cell r="I709" t="str">
            <v>未稅</v>
          </cell>
          <cell r="J709">
            <v>30</v>
          </cell>
          <cell r="K709" t="str">
            <v>5662&gt;1939&gt;未稅</v>
          </cell>
          <cell r="L709" t="str">
            <v>04-8855866&gt;0925-320338</v>
          </cell>
          <cell r="M709">
            <v>0</v>
          </cell>
          <cell r="R709" t="b">
            <v>0</v>
          </cell>
          <cell r="S709" t="str"/>
          <cell r="T709" t="b">
            <v>0</v>
          </cell>
          <cell r="W709">
            <v>514</v>
          </cell>
          <cell r="X709" t="str">
            <v>彰化縣溪湖鎮光平里彰水路3段355號</v>
          </cell>
          <cell r="Y709" t="str">
            <v>彰化縣溪湖鎮</v>
          </cell>
          <cell r="Z709" t="str">
            <v>彰化縣溪湖鎮光平里彰水路3段355號.</v>
          </cell>
          <cell r="AA709" t="str">
            <v>514彰化縣溪湖鎮光平里彰水路3段355號</v>
          </cell>
          <cell r="AK709" t="str">
            <v>0106-HN</v>
          </cell>
          <cell r="AL709" t="str">
            <v>1-0398-天文.坤成&gt;寄&gt;附發票&gt;附回郵</v>
          </cell>
          <cell r="AM709" t="str">
            <v>1-0398</v>
          </cell>
        </row>
        <row r="710">
          <cell r="B710" t="str">
            <v>1-0705</v>
          </cell>
          <cell r="C710" t="str">
            <v>106-07-07</v>
          </cell>
          <cell r="D710" t="str">
            <v>1-0705-(1/3)福瑞&gt;寄&gt;附發票&gt;附回郵</v>
          </cell>
          <cell r="E710" t="str">
            <v>福瑞通運股份有限公司(1/3)</v>
          </cell>
          <cell r="F710" t="str">
            <v>福瑞通運股份有限公司(705)</v>
          </cell>
          <cell r="G710" t="str">
            <v>稅外</v>
          </cell>
          <cell r="H710" t="str">
            <v>寄＞附發票＞附回郵＞非上班時段出車加300.來店不加價</v>
          </cell>
          <cell r="I710" t="str">
            <v>2815&gt;6475福瑞&gt;稅外&gt;中華全威&gt;25號月結</v>
          </cell>
          <cell r="J710">
            <v>25</v>
          </cell>
          <cell r="L710" t="str">
            <v>03-5378515#130林小姐&gt;0963-382966鄭主任&gt;傳真:03-5374461&gt;帳務:04-26398163何雅婷 Fax:04-26398148</v>
          </cell>
          <cell r="M710">
            <v>0</v>
          </cell>
          <cell r="R710" t="b">
            <v>0</v>
          </cell>
          <cell r="S710" t="str"/>
          <cell r="T710" t="b">
            <v>0</v>
          </cell>
          <cell r="W710">
            <v>435</v>
          </cell>
          <cell r="X710" t="str">
            <v>新竹市中華路六段636號&gt;台中市梧棲區自立二街122號</v>
          </cell>
          <cell r="Y710" t="str">
            <v>台中市梧棲區</v>
          </cell>
          <cell r="Z710" t="str">
            <v>台中市梧棲區自立二街122號.</v>
          </cell>
          <cell r="AA710" t="str">
            <v>435新竹市中華路六段636號&gt;台中市梧棲區自立二街122號</v>
          </cell>
          <cell r="AK710" t="str">
            <v>086-GH</v>
          </cell>
          <cell r="AL710" t="str">
            <v>1-0398-天文.坤成&gt;寄&gt;附發票&gt;附回郵</v>
          </cell>
          <cell r="AM710" t="str">
            <v>1-0398</v>
          </cell>
        </row>
        <row r="711">
          <cell r="B711" t="str">
            <v>1-0706</v>
          </cell>
          <cell r="C711" t="str">
            <v>106-07-19</v>
          </cell>
          <cell r="D711" t="str">
            <v>1-0706-(2/3)福民&gt;寄&gt;附發票&gt;附回郵</v>
          </cell>
          <cell r="E711" t="str">
            <v>福民通運股份有限公司(2/3)</v>
          </cell>
          <cell r="F711" t="str">
            <v>福民通運股份有限公司(706)</v>
          </cell>
          <cell r="G711" t="str">
            <v>稅外</v>
          </cell>
          <cell r="H711" t="str">
            <v>寄＞附發票＞附回郵＞與編號705一起請&gt;非上班時段出車加300.來店不加價</v>
          </cell>
          <cell r="I711" t="str">
            <v>0087&gt;2223福民&gt;稅外&gt;中華全威&gt;25號月結</v>
          </cell>
          <cell r="J711">
            <v>25</v>
          </cell>
          <cell r="L711" t="str">
            <v>03-5378515#130林小姐&gt;0963-382966鄭主任&gt;傳真:03-5374461&gt;帳務:04-26398163陳思卉 Fax:04-26398148</v>
          </cell>
          <cell r="M711">
            <v>0</v>
          </cell>
          <cell r="R711" t="b">
            <v>0</v>
          </cell>
          <cell r="S711" t="str"/>
          <cell r="T711" t="b">
            <v>0</v>
          </cell>
          <cell r="W711">
            <v>435</v>
          </cell>
          <cell r="X711" t="str">
            <v>新竹市中華路六段636號&gt;台中市梧棲區自立二街122號</v>
          </cell>
          <cell r="Y711" t="str">
            <v>台中市梧棲區</v>
          </cell>
          <cell r="Z711" t="str">
            <v>台中市梧棲區自立二街122號.</v>
          </cell>
          <cell r="AA711" t="str">
            <v>435新竹市中華路六段636號&gt;台中市梧棲區自立二街122號</v>
          </cell>
          <cell r="AK711" t="str">
            <v>041-X8</v>
          </cell>
          <cell r="AL711" t="str">
            <v>1-0398-天文.坤成&gt;寄&gt;附發票&gt;附回郵</v>
          </cell>
          <cell r="AM711" t="str">
            <v>1-0398</v>
          </cell>
        </row>
        <row r="712">
          <cell r="B712" t="str">
            <v>1-0707</v>
          </cell>
          <cell r="C712" t="str">
            <v>106-07-21</v>
          </cell>
          <cell r="D712" t="str">
            <v>1-0707-(3/3)福麗&gt;寄&gt;附發票&gt;附回郵</v>
          </cell>
          <cell r="E712" t="str">
            <v>福麗通運股份有限公司(3/3)</v>
          </cell>
          <cell r="F712" t="str">
            <v>福麗通運股份有限公司(707)</v>
          </cell>
          <cell r="G712" t="str">
            <v>稅外</v>
          </cell>
          <cell r="H712" t="str">
            <v>寄＞附發票＞附回郵＞與編號705一起請&gt;非上班時段出車加300.來店不加價</v>
          </cell>
          <cell r="I712" t="str">
            <v>2893&gt;1552福麗&gt;稅外&gt;中華全威&gt;25號月結</v>
          </cell>
          <cell r="J712">
            <v>25</v>
          </cell>
          <cell r="L712" t="str">
            <v>03-5378515#130林小姐&gt;0963-382966鄭主任&gt;傳真:03-5374461&gt;帳務:04-26398163陳之縈 Fax:04-26398148</v>
          </cell>
          <cell r="M712">
            <v>0</v>
          </cell>
          <cell r="R712" t="b">
            <v>0</v>
          </cell>
          <cell r="S712" t="str"/>
          <cell r="T712" t="b">
            <v>0</v>
          </cell>
          <cell r="W712">
            <v>435</v>
          </cell>
          <cell r="X712" t="str">
            <v>新竹市中華路六段636號&gt;台中市梧棲區自立二街122號</v>
          </cell>
          <cell r="Y712" t="str">
            <v>台中市梧棲區</v>
          </cell>
          <cell r="Z712" t="str">
            <v>台中市梧棲區自立二街122號.</v>
          </cell>
          <cell r="AA712" t="str">
            <v>435新竹市中華路六段636號&gt;台中市梧棲區自立二街122號</v>
          </cell>
          <cell r="AK712" t="str">
            <v>7015-T5</v>
          </cell>
          <cell r="AL712" t="str">
            <v>1-0398-天文.坤成&gt;寄&gt;附發票&gt;附回郵</v>
          </cell>
          <cell r="AM712" t="str">
            <v>1-0398</v>
          </cell>
        </row>
        <row r="713">
          <cell r="B713" t="str">
            <v>1-0708</v>
          </cell>
          <cell r="C713" t="str">
            <v>106-07-07</v>
          </cell>
          <cell r="D713" t="str">
            <v>1-0708-久久環保&gt;寄&gt;附回郵&gt;附發票</v>
          </cell>
          <cell r="E713" t="str">
            <v>久久環保有限公司</v>
          </cell>
          <cell r="F713" t="str">
            <v>久久環保有限公司(708)</v>
          </cell>
          <cell r="G713" t="str">
            <v>稅外</v>
          </cell>
          <cell r="H713" t="str">
            <v>寄＞附發票＞附回郵＞</v>
          </cell>
          <cell r="I713" t="str">
            <v>1694&gt;1767&gt;稅外</v>
          </cell>
          <cell r="J713">
            <v>30</v>
          </cell>
          <cell r="L713" t="str">
            <v>0986-703280葉明傑&gt;037-484777溫州大餛飩</v>
          </cell>
          <cell r="M713" t="str">
            <v>2-0177</v>
          </cell>
          <cell r="R713" t="b">
            <v>0</v>
          </cell>
          <cell r="S713" t="str"/>
          <cell r="T713" t="b">
            <v>0</v>
          </cell>
          <cell r="W713">
            <v>350</v>
          </cell>
          <cell r="X713" t="str">
            <v>苗栗縣竹南鎮民治街34號</v>
          </cell>
          <cell r="Y713" t="str">
            <v>苗栗縣竹南鎮</v>
          </cell>
          <cell r="Z713" t="str">
            <v>苗栗縣竹南鎮民治街34號.</v>
          </cell>
          <cell r="AA713" t="str">
            <v>350苗栗縣竹南鎮民治街34號</v>
          </cell>
          <cell r="AK713" t="str">
            <v>4611-ZW</v>
          </cell>
          <cell r="AL713" t="str">
            <v>1-0398-天文.坤成&gt;寄&gt;附發票&gt;附回郵</v>
          </cell>
          <cell r="AM713" t="str">
            <v>1-0398</v>
          </cell>
        </row>
        <row r="714">
          <cell r="B714" t="str">
            <v>1-0709</v>
          </cell>
          <cell r="C714" t="str">
            <v>106-07-21</v>
          </cell>
          <cell r="D714" t="str">
            <v>1-0709-(3/3)金正汽車貨運&gt;寄&gt;附回郵</v>
          </cell>
          <cell r="E714" t="str">
            <v>金正汽車貨運有限公司(3/3)</v>
          </cell>
          <cell r="F714" t="str">
            <v>金正汽車貨運有限公司(709)</v>
          </cell>
          <cell r="G714" t="str">
            <v>含稅</v>
          </cell>
          <cell r="H714" t="str">
            <v>寄＞附發票＞附回郵＞與編號625一起請</v>
          </cell>
          <cell r="I714" t="str">
            <v>4806&gt;2778&gt;含稅</v>
          </cell>
          <cell r="J714">
            <v>30</v>
          </cell>
          <cell r="L714" t="str">
            <v>03-5924889&gt;FAX:625646&gt;0981-364429何文正</v>
          </cell>
          <cell r="M714">
            <v>0</v>
          </cell>
          <cell r="R714" t="b">
            <v>0</v>
          </cell>
          <cell r="S714" t="str"/>
          <cell r="T714" t="b">
            <v>0</v>
          </cell>
          <cell r="W714">
            <v>310</v>
          </cell>
          <cell r="X714" t="str">
            <v>新竹縣竹東鎮仁愛里北岸6號.帳單寄送:苗栗縣竹南鎮公館里六鄰公館仔79號.</v>
          </cell>
          <cell r="Y714" t="str">
            <v>苗栗縣竹南鎮</v>
          </cell>
          <cell r="Z714" t="str">
            <v>苗栗縣竹南鎮公館里六鄰公館仔79號.</v>
          </cell>
          <cell r="AA714" t="str">
            <v>310新竹縣竹東鎮仁愛里北岸6號.帳單寄送:苗栗縣竹南鎮公館里六鄰公館仔79號.</v>
          </cell>
          <cell r="AK714" t="str">
            <v>311-AN</v>
          </cell>
          <cell r="AL714" t="str">
            <v>1-0398-天文.坤成&gt;寄&gt;附發票&gt;附回郵</v>
          </cell>
          <cell r="AM714" t="str">
            <v>1-0398</v>
          </cell>
        </row>
        <row r="715">
          <cell r="B715" t="str">
            <v>1-0710</v>
          </cell>
          <cell r="C715" t="str">
            <v>106-08-18</v>
          </cell>
          <cell r="D715" t="str">
            <v>1-0710-仁宇輪胎&gt;寄&gt;親收</v>
          </cell>
          <cell r="E715" t="str">
            <v>仁宇輪胎企業社</v>
          </cell>
          <cell r="F715" t="str">
            <v>仁宇輪胎企業社(710)</v>
          </cell>
          <cell r="G715" t="str">
            <v>未稅</v>
          </cell>
          <cell r="H715" t="str">
            <v>寄＞親收＞</v>
          </cell>
          <cell r="I715" t="str">
            <v>未稅</v>
          </cell>
          <cell r="J715">
            <v>30</v>
          </cell>
          <cell r="L715" t="str">
            <v>03-3638869&gt;0932273066&gt;0955049551潘信輝</v>
          </cell>
          <cell r="M715">
            <v>0</v>
          </cell>
          <cell r="R715" t="b">
            <v>0</v>
          </cell>
          <cell r="S715" t="str"/>
          <cell r="T715" t="b">
            <v>0</v>
          </cell>
          <cell r="W715">
            <v>334</v>
          </cell>
          <cell r="X715" t="str">
            <v>桃園縣八德市大福街97巷8號</v>
          </cell>
          <cell r="Y715" t="str">
            <v>桃園縣八德市</v>
          </cell>
          <cell r="Z715" t="str">
            <v>桃園縣八德市大福街97巷8號.</v>
          </cell>
          <cell r="AA715" t="str">
            <v>334桃園縣八德市大福街97巷8號</v>
          </cell>
          <cell r="AK715" t="str">
            <v>625-KL</v>
          </cell>
          <cell r="AL715" t="str">
            <v>1-0398-天文.坤成&gt;寄&gt;附發票&gt;附回郵</v>
          </cell>
          <cell r="AM715" t="str">
            <v>1-0398</v>
          </cell>
        </row>
        <row r="716">
          <cell r="B716" t="str">
            <v>1-0711</v>
          </cell>
          <cell r="C716" t="str">
            <v>106-08-21</v>
          </cell>
          <cell r="D716" t="str">
            <v>1-0711-耕溢&gt;寄&gt;附發票&gt;附回郵</v>
          </cell>
          <cell r="E716" t="str">
            <v>耕溢股份有限公司</v>
          </cell>
          <cell r="F716" t="str">
            <v>耕溢股份有限公司(711)</v>
          </cell>
          <cell r="G716" t="str">
            <v>含稅</v>
          </cell>
          <cell r="H716" t="str">
            <v>寄＞附發票＞附回郵＞</v>
          </cell>
          <cell r="I716" t="str">
            <v>7062&gt;1903&gt;含稅</v>
          </cell>
          <cell r="J716">
            <v>30</v>
          </cell>
          <cell r="L716" t="str">
            <v>037-583010&gt;037-583961傳真&gt;0910663994鄭建成</v>
          </cell>
          <cell r="M716">
            <v>0</v>
          </cell>
          <cell r="R716" t="b">
            <v>0</v>
          </cell>
          <cell r="S716" t="str"/>
          <cell r="T716" t="b">
            <v>0</v>
          </cell>
          <cell r="W716">
            <v>350</v>
          </cell>
          <cell r="X716" t="str">
            <v>苗栗縣竹南鎮仁愛路1363巷20號&gt;桃園辦公室:桃園平鎮市忠孝路188之2號1F</v>
          </cell>
          <cell r="Y716" t="str">
            <v>苗栗縣竹南鎮</v>
          </cell>
          <cell r="Z716" t="str">
            <v>苗栗縣竹南鎮仁愛路1363巷20號.</v>
          </cell>
          <cell r="AA716" t="str">
            <v>350苗栗縣竹南鎮仁愛路1363巷20號&gt;桃園辦公室:桃園平鎮市忠孝路188之2號1F</v>
          </cell>
          <cell r="AK716" t="str">
            <v>OL-7571</v>
          </cell>
          <cell r="AL716" t="str">
            <v>1-0398-天文.坤成&gt;寄&gt;附發票&gt;附回郵</v>
          </cell>
          <cell r="AM716" t="str">
            <v>1-0398</v>
          </cell>
        </row>
        <row r="717">
          <cell r="B717" t="str">
            <v>1-0712</v>
          </cell>
          <cell r="C717" t="str">
            <v>106-09-06</v>
          </cell>
          <cell r="D717" t="str">
            <v>1-0712-佑鑫起重&gt;寄&gt;附回郵</v>
          </cell>
          <cell r="E717" t="str">
            <v>佑鑫起重拖吊行</v>
          </cell>
          <cell r="F717" t="str">
            <v>佑鑫起重拖吊行(712)</v>
          </cell>
          <cell r="G717" t="str">
            <v>未稅</v>
          </cell>
          <cell r="H717" t="str">
            <v>寄&gt;附回郵&gt;</v>
          </cell>
          <cell r="I717" t="str">
            <v>未稅</v>
          </cell>
          <cell r="J717">
            <v>30</v>
          </cell>
          <cell r="L717" t="str">
            <v>037-583003&gt;0938-782290&gt;0976-908117&gt;陳文賜</v>
          </cell>
          <cell r="M717">
            <v>0</v>
          </cell>
          <cell r="O717">
            <v>58</v>
          </cell>
          <cell r="P717">
            <v>12</v>
          </cell>
          <cell r="Q717">
            <v>25</v>
          </cell>
          <cell r="R717">
            <v>52</v>
          </cell>
          <cell r="S717">
            <v>69</v>
          </cell>
          <cell r="T717">
            <v>25562</v>
          </cell>
          <cell r="U717" t="str">
            <v>J121269188</v>
          </cell>
          <cell r="V717" t="str">
            <v>陳文賜</v>
          </cell>
          <cell r="W717">
            <v>350</v>
          </cell>
          <cell r="X717" t="str">
            <v>苗栗縣竹南鎮大埔里13鄰仁愛路1110巷7弄14號</v>
          </cell>
          <cell r="Y717" t="str">
            <v>苗栗縣竹南鎮</v>
          </cell>
          <cell r="Z717" t="str">
            <v>苗栗縣竹南鎮大埔里13鄰仁愛路1110巷7弄14號.</v>
          </cell>
          <cell r="AA717" t="str">
            <v>350苗栗縣竹南鎮大埔里13鄰仁愛路1110巷7弄14號</v>
          </cell>
          <cell r="AK717" t="str">
            <v>689-YZ</v>
          </cell>
          <cell r="AL717" t="str">
            <v>1-0398-天文.坤成&gt;寄&gt;附發票&gt;附回郵</v>
          </cell>
          <cell r="AM717" t="str">
            <v>1-0398</v>
          </cell>
        </row>
        <row r="718">
          <cell r="B718" t="str">
            <v>1-0713</v>
          </cell>
          <cell r="C718" t="str">
            <v>106-09-06</v>
          </cell>
          <cell r="D718" t="str">
            <v>1-0713-光吳土木&gt;寄&gt;附發票&gt;附回郵</v>
          </cell>
          <cell r="E718" t="str">
            <v>光吳土木包工業</v>
          </cell>
          <cell r="F718" t="str">
            <v>光吳土木包工業(713)</v>
          </cell>
          <cell r="G718" t="str">
            <v>稅外</v>
          </cell>
          <cell r="H718" t="str">
            <v>寄＞附發票＞附回郵＞</v>
          </cell>
          <cell r="I718" t="str">
            <v>1497&gt;8710光吳&gt;5395&gt;9352上弘&gt;6031&gt;4589宸寬&gt;稅外</v>
          </cell>
          <cell r="J718">
            <v>30</v>
          </cell>
          <cell r="L718" t="str">
            <v>04-23787589&gt;0919-088018吳偉峰&gt;Fax :04-23768786</v>
          </cell>
          <cell r="M718">
            <v>0</v>
          </cell>
          <cell r="R718" t="b">
            <v>0</v>
          </cell>
          <cell r="S718" t="str"/>
          <cell r="T718" t="b">
            <v>0</v>
          </cell>
          <cell r="W718">
            <v>403</v>
          </cell>
          <cell r="X718" t="str">
            <v>台中市西區五權二街18號</v>
          </cell>
          <cell r="Y718" t="str">
            <v>台中市西區五</v>
          </cell>
          <cell r="Z718" t="str">
            <v>台中市西區五權二街18號.</v>
          </cell>
          <cell r="AA718" t="str">
            <v>403台中市西區五權二街18號</v>
          </cell>
          <cell r="AK718" t="str">
            <v>307-KC</v>
          </cell>
          <cell r="AL718" t="str">
            <v>1-0398-天文.坤成&gt;寄&gt;附發票&gt;附回郵</v>
          </cell>
          <cell r="AM718" t="str">
            <v>1-0398</v>
          </cell>
        </row>
        <row r="719">
          <cell r="B719" t="str">
            <v>1-0714</v>
          </cell>
          <cell r="C719" t="str">
            <v>106-09-15</v>
          </cell>
          <cell r="D719" t="str">
            <v>1-0714-小林車業&gt;林書仰&gt;寄&gt;匯款</v>
          </cell>
          <cell r="E719" t="str">
            <v>小林車業&gt;林書仰</v>
          </cell>
          <cell r="F719" t="str">
            <v>小林車業&gt;林書仰(714)</v>
          </cell>
          <cell r="G719" t="str">
            <v>未稅</v>
          </cell>
          <cell r="H719" t="str">
            <v>寄&gt;匯款:林書仰&gt;侯姵君.11572&gt;現金價&gt;</v>
          </cell>
          <cell r="I719" t="str">
            <v>未稅</v>
          </cell>
          <cell r="J719">
            <v>30</v>
          </cell>
          <cell r="K719" t="str">
            <v>4740&gt;1694&gt;稅外&gt;信安砂石行</v>
          </cell>
          <cell r="L719" t="str">
            <v>05-6914767&gt;0983-979981</v>
          </cell>
          <cell r="M719">
            <v>0</v>
          </cell>
          <cell r="R719" t="b">
            <v>0</v>
          </cell>
          <cell r="S719" t="str"/>
          <cell r="T719" t="b">
            <v>0</v>
          </cell>
          <cell r="W719">
            <v>638</v>
          </cell>
          <cell r="X719" t="str">
            <v>雲林縣麥寮鄉橋頭路3之7號</v>
          </cell>
          <cell r="Y719" t="str">
            <v>雲林縣麥寮鄉</v>
          </cell>
          <cell r="Z719" t="str">
            <v>雲林縣麥寮鄉橋頭路3之7號.</v>
          </cell>
          <cell r="AA719" t="str">
            <v>638雲林縣麥寮鄉橋頭路3之7號</v>
          </cell>
          <cell r="AK719" t="str">
            <v>611-KD</v>
          </cell>
          <cell r="AL719" t="str">
            <v>1-0398-天文.坤成&gt;寄&gt;附發票&gt;附回郵</v>
          </cell>
          <cell r="AM719" t="str">
            <v>1-0398</v>
          </cell>
        </row>
        <row r="720">
          <cell r="B720" t="str">
            <v>1-0715</v>
          </cell>
          <cell r="C720" t="str">
            <v>109-01-31/郭雯瑀</v>
          </cell>
          <cell r="D720" t="str">
            <v>1-0715-創奕能源&gt;寄＞附發票＞兩個月後匯款</v>
          </cell>
          <cell r="E720" t="str">
            <v>創奕能源科技股份有限公司</v>
          </cell>
          <cell r="F720" t="str">
            <v>創奕能源科技股份有限公司(715)</v>
          </cell>
          <cell r="G720" t="str">
            <v>含稅</v>
          </cell>
          <cell r="H720" t="str">
            <v>寄＞附發票＞匯款＞</v>
          </cell>
          <cell r="I720" t="str">
            <v>5348&gt;8162&gt;含稅&gt;20號月結&gt;中華全佑&gt;發票上需填採購單別+單號</v>
          </cell>
          <cell r="J720">
            <v>20</v>
          </cell>
          <cell r="L720" t="str">
            <v>03-2717399-2502王秀婷&gt;Fax:03-4277180&gt;0952-654125</v>
          </cell>
          <cell r="M720">
            <v>0</v>
          </cell>
          <cell r="R720" t="b">
            <v>0</v>
          </cell>
          <cell r="S720" t="str"/>
          <cell r="T720" t="b">
            <v>0</v>
          </cell>
          <cell r="W720">
            <v>320</v>
          </cell>
          <cell r="X720" t="str">
            <v>桃園市中壢區高鐵站前西路一段268號二樓之1</v>
          </cell>
          <cell r="Y720" t="str">
            <v>桃園市中壢區</v>
          </cell>
          <cell r="Z720" t="str">
            <v>桃園市中壢區高鐵站前西路一段268號二樓之1</v>
          </cell>
          <cell r="AA720" t="str">
            <v>320桃園市中壢區高鐵站前西路一段268號二樓之1</v>
          </cell>
          <cell r="AK720" t="str">
            <v>493-KV</v>
          </cell>
          <cell r="AL720" t="str">
            <v>1-0398-天文.坤成&gt;寄&gt;附發票&gt;附回郵</v>
          </cell>
          <cell r="AM720" t="str">
            <v>1-0398</v>
          </cell>
        </row>
        <row r="721">
          <cell r="B721" t="str">
            <v>1-0716</v>
          </cell>
          <cell r="C721" t="str">
            <v>106-10-03</v>
          </cell>
          <cell r="D721" t="str">
            <v>1-0716-萬大&gt;直接對帳&gt;寄&gt;匯款</v>
          </cell>
          <cell r="E721" t="str">
            <v>萬大輪胎</v>
          </cell>
          <cell r="F721" t="str">
            <v>萬大輪胎(716)</v>
          </cell>
          <cell r="G721" t="str">
            <v>未稅</v>
          </cell>
          <cell r="H721" t="str">
            <v>直接對帳&gt;寄&gt;匯款64006</v>
          </cell>
          <cell r="I721" t="str">
            <v>未稅&gt;25號月結</v>
          </cell>
          <cell r="J721">
            <v>25</v>
          </cell>
          <cell r="L721" t="str">
            <v>0919-075114-何智翔&gt;0937-989992蔡小姐</v>
          </cell>
          <cell r="M721" t="str">
            <v>2-0018</v>
          </cell>
          <cell r="R721" t="b">
            <v>0</v>
          </cell>
          <cell r="S721" t="str"/>
          <cell r="T721" t="b">
            <v>0</v>
          </cell>
          <cell r="W721">
            <v>351</v>
          </cell>
          <cell r="X721" t="str">
            <v>苗栗縣頭份市山下里建國路二段9鄰132號&gt;送貨地:苗栗縣竹南鎮新南里公北一路163之2號</v>
          </cell>
          <cell r="Y721" t="str">
            <v>苗栗縣頭份市</v>
          </cell>
          <cell r="Z721" t="str">
            <v>苗栗縣頭份市山下里建國路二段9鄰132號</v>
          </cell>
          <cell r="AA721" t="str">
            <v>351苗栗縣頭份市山下里建國路二段9鄰132號&gt;送貨地:苗栗縣竹南鎮新南里公北一路163之2號</v>
          </cell>
          <cell r="AK721" t="str">
            <v>657-KT</v>
          </cell>
          <cell r="AL721" t="str">
            <v>1-0398-天文.坤成&gt;寄&gt;附發票&gt;附回郵</v>
          </cell>
          <cell r="AM721" t="str">
            <v>1-0398</v>
          </cell>
        </row>
        <row r="722">
          <cell r="B722" t="str">
            <v>1-0717</v>
          </cell>
          <cell r="C722" t="str">
            <v>106-10-12</v>
          </cell>
          <cell r="D722" t="str">
            <v>1-0717-豐收&gt;全順&gt;寄&gt;附回郵</v>
          </cell>
          <cell r="E722" t="str">
            <v>豐收實業有限公司</v>
          </cell>
          <cell r="F722" t="str">
            <v>豐收實業有限公司(717)</v>
          </cell>
          <cell r="G722" t="str">
            <v>稅外</v>
          </cell>
          <cell r="H722" t="str">
            <v>寄＞附發票&gt;附回郵</v>
          </cell>
          <cell r="I722" t="str">
            <v>1278&gt;0332&gt;稅外</v>
          </cell>
          <cell r="J722">
            <v>30</v>
          </cell>
          <cell r="L722" t="str">
            <v>037-623048&gt;0937-221048曾煜輝</v>
          </cell>
          <cell r="M722">
            <v>0</v>
          </cell>
          <cell r="R722" t="b">
            <v>0</v>
          </cell>
          <cell r="S722" t="str"/>
          <cell r="T722" t="b">
            <v>0</v>
          </cell>
          <cell r="W722">
            <v>351</v>
          </cell>
          <cell r="X722" t="str">
            <v>苗栗縣頭份鎮尖下里12鄰176之1號</v>
          </cell>
          <cell r="Y722" t="str">
            <v>苗栗縣竹南鎮</v>
          </cell>
          <cell r="Z722" t="str">
            <v>苗栗縣竹南鎮公館里大埔頂97之5號.</v>
          </cell>
          <cell r="AA722" t="str">
            <v>351苗栗縣頭份鎮尖下里12鄰176之1號</v>
          </cell>
          <cell r="AK722" t="str">
            <v>OQ-768</v>
          </cell>
          <cell r="AL722" t="str">
            <v>1-0399-銘旺&gt;寄&gt;附發票&gt;附回郵</v>
          </cell>
          <cell r="AM722" t="str">
            <v>1-0399</v>
          </cell>
        </row>
        <row r="723">
          <cell r="B723" t="str">
            <v>1-0718</v>
          </cell>
          <cell r="C723" t="str">
            <v>106-10-26</v>
          </cell>
          <cell r="D723" t="str">
            <v>1-0718-廷維&gt;寄＞附發票&gt;附回郵</v>
          </cell>
          <cell r="E723" t="str">
            <v>廷維陶瓷股份有限公司</v>
          </cell>
          <cell r="F723" t="str">
            <v>廷維陶瓷(718)</v>
          </cell>
          <cell r="G723" t="str">
            <v>稅外</v>
          </cell>
          <cell r="H723" t="str">
            <v>寄＞附發票&gt;附回郵</v>
          </cell>
          <cell r="I723" t="str">
            <v>2294&gt;5170&gt;稅外</v>
          </cell>
          <cell r="J723">
            <v>30</v>
          </cell>
          <cell r="L723" t="str">
            <v>037-581806&gt;Fax:037-581808</v>
          </cell>
          <cell r="M723">
            <v>0</v>
          </cell>
          <cell r="R723" t="b">
            <v>0</v>
          </cell>
          <cell r="S723" t="str"/>
          <cell r="T723" t="b">
            <v>0</v>
          </cell>
          <cell r="W723">
            <v>350</v>
          </cell>
          <cell r="X723" t="str">
            <v>苗栗縣竹南鎮公義路1801號</v>
          </cell>
          <cell r="Y723" t="str">
            <v>苗栗縣竹南鎮</v>
          </cell>
          <cell r="Z723" t="str">
            <v>苗栗縣竹南鎮公義路1801號.</v>
          </cell>
          <cell r="AA723" t="str">
            <v>350苗栗縣竹南鎮公義路1801號</v>
          </cell>
          <cell r="AK723" t="str">
            <v>326-JD</v>
          </cell>
          <cell r="AL723" t="str">
            <v>1-0399-銘旺&gt;寄&gt;附發票&gt;附回郵</v>
          </cell>
          <cell r="AM723" t="str">
            <v>1-0399</v>
          </cell>
        </row>
        <row r="724">
          <cell r="B724" t="str">
            <v>1-0719</v>
          </cell>
          <cell r="C724" t="str">
            <v>106-10-31</v>
          </cell>
          <cell r="D724" t="str">
            <v>1-0719-聯昱&gt;寄&gt;附回郵</v>
          </cell>
          <cell r="E724" t="str">
            <v>聯昱興業有限公司</v>
          </cell>
          <cell r="F724" t="str">
            <v>聯昱興業(719)</v>
          </cell>
          <cell r="G724" t="str">
            <v>含稅</v>
          </cell>
          <cell r="H724" t="str">
            <v>寄＞匯款:聯昱興業&gt;現金價&gt;</v>
          </cell>
          <cell r="I724" t="str">
            <v>2838&gt;5842&gt;含稅</v>
          </cell>
          <cell r="J724">
            <v>30</v>
          </cell>
          <cell r="L724" t="str">
            <v>04-26886710&gt;Fax:04-26888327&gt;0972-066144黃秋麟</v>
          </cell>
          <cell r="M724">
            <v>0</v>
          </cell>
          <cell r="R724" t="b">
            <v>0</v>
          </cell>
          <cell r="S724" t="str"/>
          <cell r="T724" t="b">
            <v>0</v>
          </cell>
          <cell r="W724">
            <v>437</v>
          </cell>
          <cell r="X724" t="str">
            <v>台中市大甲區文曲路560之1號</v>
          </cell>
          <cell r="Y724" t="str">
            <v>台中市大甲區</v>
          </cell>
          <cell r="Z724" t="str">
            <v>台中市大甲區文曲路560之1號.</v>
          </cell>
          <cell r="AA724" t="str">
            <v>437台中市大甲區文曲路560之1號</v>
          </cell>
          <cell r="AK724" t="str">
            <v>178-GR</v>
          </cell>
          <cell r="AL724" t="str">
            <v>1-0399-銘旺&gt;寄&gt;附發票&gt;附回郵</v>
          </cell>
          <cell r="AM724" t="str">
            <v>1-0399</v>
          </cell>
        </row>
        <row r="725">
          <cell r="B725" t="str">
            <v>1-0720</v>
          </cell>
          <cell r="C725" t="str">
            <v>106-11-04</v>
          </cell>
          <cell r="D725" t="str">
            <v>1-0720-駿江工程&gt;寄&gt;附發票&gt;附回郵</v>
          </cell>
          <cell r="E725" t="str">
            <v>駿江工程有限公司</v>
          </cell>
          <cell r="F725" t="str">
            <v>駿江工程(720)</v>
          </cell>
          <cell r="G725" t="str">
            <v>含稅</v>
          </cell>
          <cell r="H725" t="str">
            <v>寄＞附發票＞附回郵＞</v>
          </cell>
          <cell r="I725" t="str">
            <v>2877&gt;9326&gt;含稅</v>
          </cell>
          <cell r="J725">
            <v>30</v>
          </cell>
          <cell r="L725" t="str">
            <v>037-479890&gt;Fax:037-479900&gt;0928-479900江宜浩</v>
          </cell>
          <cell r="M725">
            <v>0</v>
          </cell>
          <cell r="R725" t="b">
            <v>0</v>
          </cell>
          <cell r="S725" t="str"/>
          <cell r="T725" t="b">
            <v>0</v>
          </cell>
          <cell r="W725">
            <v>350</v>
          </cell>
          <cell r="X725" t="str">
            <v>苗栗縣竹南鎮聖福里公教路140號1F</v>
          </cell>
          <cell r="Y725" t="str">
            <v>苗栗縣竹南鎮</v>
          </cell>
          <cell r="Z725" t="str">
            <v>苗栗縣竹南鎮聖福里公教路140號1F.</v>
          </cell>
          <cell r="AA725" t="str">
            <v>350苗栗縣竹南鎮聖福里公教路140號1F</v>
          </cell>
          <cell r="AK725" t="str">
            <v>970-M5</v>
          </cell>
          <cell r="AL725" t="str">
            <v>1-0399-銘旺&gt;寄&gt;附發票&gt;附回郵</v>
          </cell>
          <cell r="AM725" t="str">
            <v>1-0399</v>
          </cell>
        </row>
        <row r="726">
          <cell r="B726" t="str">
            <v>1-0721</v>
          </cell>
          <cell r="C726" t="str">
            <v>106-11-15</v>
          </cell>
          <cell r="D726" t="str">
            <v>1-0721-中普氣體&gt;寄&gt;附發票&gt;匯款</v>
          </cell>
          <cell r="E726" t="str">
            <v>中普氣體材料股份有限公司</v>
          </cell>
          <cell r="F726" t="str">
            <v>中普氣體材料股份有限公司(721)</v>
          </cell>
          <cell r="G726" t="str">
            <v>含稅</v>
          </cell>
          <cell r="H726" t="str">
            <v>寄＞附發票＞匯款＞</v>
          </cell>
          <cell r="I726" t="str">
            <v>1683&gt;6337&gt;含稅&gt;中華全佑&gt;當日發票</v>
          </cell>
          <cell r="J726">
            <v>30</v>
          </cell>
          <cell r="L726" t="str">
            <v>03-554-3518-146劉小姐&gt;Fax: 03-554-3539&gt;0966-527952吳先生</v>
          </cell>
          <cell r="M726">
            <v>0</v>
          </cell>
          <cell r="R726" t="b">
            <v>0</v>
          </cell>
          <cell r="S726" t="str"/>
          <cell r="T726" t="b">
            <v>0</v>
          </cell>
          <cell r="W726">
            <v>302</v>
          </cell>
          <cell r="X726" t="str">
            <v>新竹縣竹北市縣政九路145號6樓</v>
          </cell>
          <cell r="Y726" t="str">
            <v>新竹縣竹北市</v>
          </cell>
          <cell r="Z726" t="str">
            <v>新竹縣竹北市縣政九路145號6樓.</v>
          </cell>
          <cell r="AA726" t="str">
            <v>302新竹縣竹北市縣政九路145號6樓</v>
          </cell>
          <cell r="AK726" t="str">
            <v>750-ZC</v>
          </cell>
          <cell r="AL726" t="str">
            <v>1-0403-陳添寶&gt;嘉盛&gt;寄&gt;自結</v>
          </cell>
          <cell r="AM726" t="str">
            <v>1-0403</v>
          </cell>
        </row>
        <row r="727">
          <cell r="B727" t="str">
            <v>1-0722</v>
          </cell>
          <cell r="C727" t="str">
            <v>109-04-17/郭雯瑀</v>
          </cell>
          <cell r="D727" t="str">
            <v>1-0722-華夏玻璃&gt;慶功&gt;寄&gt;附發票&gt;附回郵</v>
          </cell>
          <cell r="E727" t="str">
            <v>華夏玻璃股份有限公司&gt;慶功企業社股份有限公司</v>
          </cell>
          <cell r="F727" t="str">
            <v>華夏玻璃(722)</v>
          </cell>
          <cell r="G727" t="str">
            <v>含稅</v>
          </cell>
          <cell r="H727" t="str">
            <v>寄&gt;附發票&gt;附回郵</v>
          </cell>
          <cell r="I727" t="str">
            <v>4972&gt;6846慶功&gt;含稅</v>
          </cell>
          <cell r="J727">
            <v>30</v>
          </cell>
          <cell r="L727" t="str">
            <v>03-5385185#241張小姐&gt;0970-526751劉領班&gt;傳真:037-5398890</v>
          </cell>
          <cell r="M727" t="str">
            <v>0</v>
          </cell>
          <cell r="R727" t="b">
            <v>0</v>
          </cell>
          <cell r="S727" t="str"/>
          <cell r="T727" t="b">
            <v>0</v>
          </cell>
          <cell r="W727">
            <v>300</v>
          </cell>
          <cell r="X727" t="str">
            <v>新竹市埔前路49號</v>
          </cell>
          <cell r="Y727" t="str">
            <v>新竹市埔前路</v>
          </cell>
          <cell r="Z727" t="str">
            <v>新竹市埔前路49號-慶功會計-方小姐收</v>
          </cell>
          <cell r="AA727" t="str">
            <v>300新竹市埔前路49號</v>
          </cell>
          <cell r="AK727" t="str">
            <v>840-W8</v>
          </cell>
          <cell r="AL727" t="str">
            <v>1-0403-陳添寶&gt;嘉盛&gt;寄&gt;自結</v>
          </cell>
          <cell r="AM727" t="str">
            <v>1-0403</v>
          </cell>
        </row>
        <row r="728">
          <cell r="B728" t="str">
            <v>1-0723</v>
          </cell>
          <cell r="C728" t="str">
            <v>109-05-14/鍾依岑</v>
          </cell>
          <cell r="D728" t="str">
            <v>1-0723-東利輪胎行&gt;寄&gt;附發票&gt;附回郵</v>
          </cell>
          <cell r="E728" t="str">
            <v>東利輪胎行</v>
          </cell>
          <cell r="F728" t="str">
            <v>東利輪胎行(723)</v>
          </cell>
          <cell r="G728" t="str">
            <v>含稅</v>
          </cell>
          <cell r="H728" t="str">
            <v>寄&gt;附發票&gt;附回郵</v>
          </cell>
          <cell r="I728" t="str">
            <v>0993&gt;4002&gt;含稅</v>
          </cell>
          <cell r="J728">
            <v>30</v>
          </cell>
          <cell r="L728" t="str">
            <v>03-9502044&gt;0932-089244盧雲福</v>
          </cell>
          <cell r="M728">
            <v>0</v>
          </cell>
          <cell r="R728" t="b">
            <v>0</v>
          </cell>
          <cell r="S728" t="str"/>
          <cell r="T728" t="b">
            <v>0</v>
          </cell>
          <cell r="W728">
            <v>268</v>
          </cell>
          <cell r="X728" t="str">
            <v>宜蘭縣五結鄉五濱路二段232號</v>
          </cell>
          <cell r="Y728" t="str">
            <v>宜蘭縣五結鄉</v>
          </cell>
          <cell r="Z728" t="str">
            <v>宜蘭縣五結鄉五濱路二段232號</v>
          </cell>
          <cell r="AA728" t="str">
            <v>268宜蘭縣五結鄉五濱路二段232號</v>
          </cell>
          <cell r="AK728" t="str">
            <v>945-ZS</v>
          </cell>
          <cell r="AL728" t="str">
            <v>1-0403-陳添寶&gt;嘉盛&gt;寄&gt;自結</v>
          </cell>
          <cell r="AM728" t="str">
            <v>1-0403</v>
          </cell>
        </row>
        <row r="729">
          <cell r="B729" t="str">
            <v>1-0724</v>
          </cell>
          <cell r="C729" t="str">
            <v>102-09-10</v>
          </cell>
          <cell r="D729" t="str">
            <v>1-0724-葉志俊&gt;葉志勇&gt;旭勝&gt;寄&gt;附發票&gt;自結</v>
          </cell>
          <cell r="E729" t="str">
            <v>旭勝企業社,負:葉志俊&gt;葉志勇</v>
          </cell>
          <cell r="F729" t="str">
            <v>旭勝企業社(724)</v>
          </cell>
          <cell r="G729" t="str">
            <v>稅外</v>
          </cell>
          <cell r="H729" t="str">
            <v>寄＞附發票＞匯款:6523296.0512199＞</v>
          </cell>
          <cell r="I729" t="str">
            <v>2521＞8764旭勝＞稅外＞中華全佑</v>
          </cell>
          <cell r="J729">
            <v>30</v>
          </cell>
          <cell r="L729" t="str">
            <v>037-433603＞0932-525578葉志俊＞傳真037-433603</v>
          </cell>
          <cell r="M729">
            <v>0</v>
          </cell>
          <cell r="R729" t="b">
            <v>0</v>
          </cell>
          <cell r="S729" t="str"/>
          <cell r="T729" t="b">
            <v>0</v>
          </cell>
          <cell r="W729">
            <v>356</v>
          </cell>
          <cell r="X729" t="str">
            <v>苗栗縣後龍鎮外埔里6鄰外埔18-5號1樓。</v>
          </cell>
          <cell r="Y729" t="str">
            <v>苗栗縣後龍鎮</v>
          </cell>
          <cell r="Z729" t="str">
            <v>苗栗縣後龍鎮外埔里6鄰外埔18之5號1樓.</v>
          </cell>
          <cell r="AA729" t="str">
            <v>356苗栗縣後龍鎮外埔里6鄰外埔18-5號1樓。</v>
          </cell>
          <cell r="AK729" t="str">
            <v>QU-502</v>
          </cell>
          <cell r="AL729" t="str">
            <v>1-0410-曾天亨&gt;寄&gt;附發票&gt;自結</v>
          </cell>
          <cell r="AM729" t="str">
            <v>1-0410</v>
          </cell>
        </row>
        <row r="730">
          <cell r="B730" t="str">
            <v>1-0725</v>
          </cell>
          <cell r="C730" t="str">
            <v>102-09-10</v>
          </cell>
          <cell r="D730" t="str">
            <v>1-0725-葉志生&gt;一天&gt;寄&gt;附發票&gt;匯款</v>
          </cell>
          <cell r="E730" t="str">
            <v>一天工程有限公司,負:葉志生</v>
          </cell>
          <cell r="F730" t="str">
            <v>一天工程有限公司(725)</v>
          </cell>
          <cell r="G730" t="str">
            <v>稅外</v>
          </cell>
          <cell r="H730" t="str">
            <v>寄＞附發票＞匯款＞</v>
          </cell>
          <cell r="I730" t="str">
            <v>5824＞2603一天＞稅外＞中華全佑</v>
          </cell>
          <cell r="J730">
            <v>30</v>
          </cell>
          <cell r="L730" t="str">
            <v>037-433603＞0937-222284葉志生＞0927-337725老闆娘＞傳真037-433603</v>
          </cell>
          <cell r="M730">
            <v>0</v>
          </cell>
          <cell r="R730" t="b">
            <v>0</v>
          </cell>
          <cell r="S730" t="str"/>
          <cell r="T730" t="b">
            <v>0</v>
          </cell>
          <cell r="W730">
            <v>356</v>
          </cell>
          <cell r="X730" t="str">
            <v>苗栗縣後龍鎮外埔里6鄰外埔18-5號1樓。</v>
          </cell>
          <cell r="Y730" t="str">
            <v>苗栗縣後龍鎮</v>
          </cell>
          <cell r="Z730" t="str">
            <v>苗栗縣後龍鎮外埔里6鄰外埔18之5號1樓.</v>
          </cell>
          <cell r="AA730" t="str">
            <v>356苗栗縣後龍鎮外埔里6鄰外埔18-5號1樓。</v>
          </cell>
          <cell r="AK730" t="str">
            <v>800-M6</v>
          </cell>
          <cell r="AL730" t="str">
            <v>1-0412-裕豐&gt;寄&gt;附發票&gt;附回郵</v>
          </cell>
          <cell r="AM730" t="str">
            <v>1-0412</v>
          </cell>
        </row>
        <row r="731">
          <cell r="B731" t="str">
            <v>1-0726</v>
          </cell>
          <cell r="C731" t="str">
            <v>106-12-01</v>
          </cell>
          <cell r="D731" t="str">
            <v>1-0726-欣德昌&gt;寄&gt;附發票&gt;附回郵</v>
          </cell>
          <cell r="E731" t="str">
            <v>欣德昌企業股份有限公司</v>
          </cell>
          <cell r="F731" t="str">
            <v>欣德昌企業股份有限公司(726)</v>
          </cell>
          <cell r="G731" t="str">
            <v>含稅</v>
          </cell>
          <cell r="H731" t="str">
            <v>寄＞附發票＞附回郵＞</v>
          </cell>
          <cell r="I731" t="str">
            <v>2854&gt;7500&gt;含稅</v>
          </cell>
          <cell r="J731">
            <v>30</v>
          </cell>
          <cell r="L731" t="str">
            <v>03-5366958&gt;傳真:03-5363565&gt;0972-506636李德涼</v>
          </cell>
          <cell r="M731">
            <v>0</v>
          </cell>
          <cell r="R731" t="b">
            <v>0</v>
          </cell>
          <cell r="S731" t="str"/>
          <cell r="T731" t="b">
            <v>0</v>
          </cell>
          <cell r="W731">
            <v>300</v>
          </cell>
          <cell r="X731" t="str">
            <v>新竹市南寮里興濱路32號。</v>
          </cell>
          <cell r="Y731" t="str">
            <v>新竹市南寮里</v>
          </cell>
          <cell r="Z731" t="str">
            <v>新竹市南寮里興濱路32號.</v>
          </cell>
          <cell r="AA731" t="str">
            <v>300新竹市南寮里興濱路32號。</v>
          </cell>
          <cell r="AK731" t="str">
            <v>088-ZB</v>
          </cell>
          <cell r="AL731" t="str">
            <v>1-0412-裕豐&gt;寄&gt;附發票&gt;附回郵</v>
          </cell>
          <cell r="AM731" t="str">
            <v>1-0412</v>
          </cell>
        </row>
        <row r="732">
          <cell r="B732" t="str">
            <v>1-0727</v>
          </cell>
          <cell r="C732" t="str">
            <v>106-12-06</v>
          </cell>
          <cell r="D732" t="str">
            <v>1-0727-鐘有鈿 &gt;連升&gt;正峰&gt;嘉順&gt;寄&gt;附回郵</v>
          </cell>
          <cell r="E732" t="str">
            <v xml:space="preserve">鐘有鈿 </v>
          </cell>
          <cell r="F732" t="str">
            <v>鐘有鈿(727)</v>
          </cell>
          <cell r="G732" t="str">
            <v>未稅</v>
          </cell>
          <cell r="H732" t="str">
            <v>寄＞附回郵＞</v>
          </cell>
          <cell r="I732" t="str">
            <v>未稅</v>
          </cell>
          <cell r="J732">
            <v>30</v>
          </cell>
          <cell r="L732" t="str">
            <v>0976-390648鐘有鈿&gt;0975-517822潳慧茹</v>
          </cell>
          <cell r="M732">
            <v>0</v>
          </cell>
          <cell r="O732">
            <v>77</v>
          </cell>
          <cell r="P732">
            <v>8</v>
          </cell>
          <cell r="Q732">
            <v>14</v>
          </cell>
          <cell r="R732">
            <v>33</v>
          </cell>
          <cell r="S732">
            <v>88</v>
          </cell>
          <cell r="T732">
            <v>32369</v>
          </cell>
          <cell r="U732" t="str">
            <v>F227150918</v>
          </cell>
          <cell r="V732" t="str">
            <v>潳慧如</v>
          </cell>
          <cell r="W732">
            <v>408</v>
          </cell>
          <cell r="X732" t="str">
            <v>台中市南屯區三和里20鄰公益路二段615之9號11樓之2.</v>
          </cell>
          <cell r="Y732" t="str">
            <v>台中市南屯區</v>
          </cell>
          <cell r="Z732" t="str">
            <v>台中市南屯區三和里20鄰公益路二段615之9號11樓之2.</v>
          </cell>
          <cell r="AA732" t="str">
            <v>408台中市南屯區三和里20鄰公益路二段615之9號11樓之2.</v>
          </cell>
          <cell r="AK732" t="str">
            <v>728-M6</v>
          </cell>
          <cell r="AL732" t="str">
            <v>1-0412-裕豐&gt;寄&gt;附發票&gt;附回郵</v>
          </cell>
          <cell r="AM732" t="str">
            <v>1-0412</v>
          </cell>
        </row>
        <row r="733">
          <cell r="B733" t="str">
            <v>1-0728</v>
          </cell>
          <cell r="C733" t="str">
            <v>106-02-03</v>
          </cell>
          <cell r="D733" t="str">
            <v>1-0728-中油探採&gt;寄&gt;待通知開發票&gt;一個月匯款&gt;(標案)</v>
          </cell>
          <cell r="E733" t="str">
            <v>台灣中油股份有限公司.探採事業部-(標案)</v>
          </cell>
          <cell r="F733" t="str">
            <v>台灣中油股份有限公司.賴素燈小姐收(728)</v>
          </cell>
          <cell r="G733" t="str">
            <v>稅外</v>
          </cell>
          <cell r="H733" t="str">
            <v>寄＞附發票＞1個月匯款＞</v>
          </cell>
          <cell r="I733" t="str">
            <v>4903&gt;4506&gt;稅外＞中華全佑＞發票項目:1X輪胎=總計&gt;等三聯單寄回在開發票</v>
          </cell>
          <cell r="J733">
            <v>30</v>
          </cell>
          <cell r="L733" t="str">
            <v>037-359079賴小姐&gt;傳真037-261793&gt;苗栗車庫(公務):037-260972-8劉組長&gt;文山車庫(工程):037-359079&gt;0932-953865曾先生</v>
          </cell>
          <cell r="M733">
            <v>0</v>
          </cell>
          <cell r="R733" t="b">
            <v>0</v>
          </cell>
          <cell r="S733" t="str"/>
          <cell r="T733" t="b">
            <v>0</v>
          </cell>
          <cell r="W733">
            <v>360</v>
          </cell>
          <cell r="X733" t="str">
            <v>苗栗縣苗栗市文聖里文山236之6號.</v>
          </cell>
          <cell r="Y733" t="str">
            <v>苗栗縣苗栗市</v>
          </cell>
          <cell r="Z733" t="str">
            <v>苗栗縣苗栗市文聖里文山236之6號</v>
          </cell>
          <cell r="AA733" t="str">
            <v>360苗栗縣苗栗市文聖里文山236之6號.</v>
          </cell>
          <cell r="AK733" t="str">
            <v>328-Q7</v>
          </cell>
          <cell r="AL733" t="str">
            <v>1-0412-裕豐&gt;寄&gt;附發票&gt;附回郵</v>
          </cell>
          <cell r="AM733" t="str">
            <v>1-0412</v>
          </cell>
        </row>
        <row r="734">
          <cell r="B734" t="str">
            <v>1-0729</v>
          </cell>
          <cell r="C734" t="str">
            <v>106-09-10</v>
          </cell>
          <cell r="D734" t="str">
            <v>1-0729-中油探採&gt;開估價單&gt;自來結帳開發票&gt;匯款</v>
          </cell>
          <cell r="E734" t="str">
            <v>台灣中油股份有限公司.探採事業部-小車</v>
          </cell>
          <cell r="F734" t="str">
            <v>台灣中油股份有限公司.曾先生收(729)</v>
          </cell>
          <cell r="G734" t="str">
            <v>稅外</v>
          </cell>
          <cell r="H734" t="str">
            <v>自結＞附發票＞匯款＞</v>
          </cell>
          <cell r="I734" t="str">
            <v>4903&gt;4506&gt;稅外＞中華全佑＞發票項目:1X輪胎=總計</v>
          </cell>
          <cell r="J734">
            <v>30</v>
          </cell>
          <cell r="L734" t="str">
            <v>0910037467蕭先生</v>
          </cell>
          <cell r="M734">
            <v>0</v>
          </cell>
          <cell r="R734" t="b">
            <v>0</v>
          </cell>
          <cell r="S734" t="str"/>
          <cell r="T734" t="b">
            <v>0</v>
          </cell>
          <cell r="W734">
            <v>360</v>
          </cell>
          <cell r="X734" t="str">
            <v>苗栗縣苗栗市文聖里文山236之6號.</v>
          </cell>
          <cell r="Y734" t="str">
            <v>苗栗縣苗栗市</v>
          </cell>
          <cell r="Z734" t="str">
            <v>苗栗縣苗栗市文聖里文山236之6號.</v>
          </cell>
          <cell r="AA734" t="str">
            <v>360苗栗縣苗栗市文聖里文山236之6號.</v>
          </cell>
          <cell r="AK734" t="str">
            <v>253-TH</v>
          </cell>
          <cell r="AL734" t="str">
            <v>1-0413-林芳裕&gt;寄&gt;自結</v>
          </cell>
          <cell r="AM734" t="str">
            <v>1-0413</v>
          </cell>
        </row>
        <row r="735">
          <cell r="B735" t="str">
            <v>1-0730</v>
          </cell>
          <cell r="C735" t="str">
            <v>106-11-03</v>
          </cell>
          <cell r="D735" t="str">
            <v>1-0730-中油探採&gt;開估價單&gt;自來結帳開發票&gt;匯款</v>
          </cell>
          <cell r="E735" t="str">
            <v>台灣中油股份有限公司.探採事業部-採工組</v>
          </cell>
          <cell r="F735" t="str">
            <v>台灣中油股份有限公司.徐先生收(730)</v>
          </cell>
          <cell r="G735" t="str">
            <v>稅外</v>
          </cell>
          <cell r="H735" t="str">
            <v>自結＞附發票＞匯款＞</v>
          </cell>
          <cell r="I735" t="str">
            <v>4903&gt;4506&gt;稅外＞中華全佑＞發票項目:1X輪胎=總計</v>
          </cell>
          <cell r="J735">
            <v>30</v>
          </cell>
          <cell r="L735" t="str">
            <v>037-252045&gt;0932-954873徐貴錦</v>
          </cell>
          <cell r="M735">
            <v>0</v>
          </cell>
          <cell r="R735" t="b">
            <v>0</v>
          </cell>
          <cell r="S735" t="str"/>
          <cell r="T735" t="b">
            <v>0</v>
          </cell>
          <cell r="W735">
            <v>360</v>
          </cell>
          <cell r="X735" t="str">
            <v>苗栗縣苗栗市文聖里文山236之6號.</v>
          </cell>
          <cell r="Y735" t="str">
            <v>苗栗縣苗栗市</v>
          </cell>
          <cell r="Z735" t="str">
            <v>苗栗縣苗栗市文聖里文山236之6號.</v>
          </cell>
          <cell r="AA735" t="str">
            <v>360苗栗縣苗栗市文聖里文山236之6號.</v>
          </cell>
          <cell r="AK735" t="str">
            <v>958-HY</v>
          </cell>
          <cell r="AL735" t="str">
            <v>1-0413-林芳裕&gt;寄&gt;自結</v>
          </cell>
          <cell r="AM735" t="str">
            <v>1-0413</v>
          </cell>
        </row>
        <row r="736">
          <cell r="B736" t="str">
            <v>1-0731</v>
          </cell>
          <cell r="C736" t="str">
            <v>106-12-21</v>
          </cell>
          <cell r="D736" t="str">
            <v>1-0731-原皇&gt;原華&gt;國順-昇敏&gt;寄&gt;附發票&gt;附回郵(2個月25號寄票)</v>
          </cell>
          <cell r="E736" t="str">
            <v>昇敏有限公司&gt;原皇&gt;原華&gt;國順</v>
          </cell>
          <cell r="F736" t="str">
            <v>昇敏有限公司(731)</v>
          </cell>
          <cell r="G736" t="str">
            <v>稅外</v>
          </cell>
          <cell r="H736" t="str">
            <v>寄＞附發票＞附回郵＞</v>
          </cell>
          <cell r="I736" t="str">
            <v>7072&gt;5528&gt;稅外&gt;20號月結</v>
          </cell>
          <cell r="J736">
            <v>20</v>
          </cell>
          <cell r="L736" t="str">
            <v>昇敏03-3501291謝小姐&gt;03-4506311&gt;02-22679315&gt;02-22671593&gt;02-22679365&gt;傳真:03-4506940</v>
          </cell>
          <cell r="M736">
            <v>0</v>
          </cell>
          <cell r="R736" t="b">
            <v>0</v>
          </cell>
          <cell r="S736" t="str"/>
          <cell r="T736" t="b">
            <v>0</v>
          </cell>
          <cell r="V736" t="str">
            <v>周森煌</v>
          </cell>
          <cell r="W736">
            <v>333</v>
          </cell>
          <cell r="X736" t="str">
            <v>桃園市龜山區龍校街32巷40號&gt;公司:桃園市平鎮區三興路東勢段205之1號</v>
          </cell>
          <cell r="Y736" t="str">
            <v>桃園市龜山區</v>
          </cell>
          <cell r="Z736" t="str">
            <v>桃園市龜山區龍校街32巷40號</v>
          </cell>
          <cell r="AA736" t="str">
            <v>333桃園市龜山區龍校街32巷40號&gt;公司:桃園市平鎮區三興路東勢段205之1號</v>
          </cell>
          <cell r="AK736" t="str">
            <v>766-TL</v>
          </cell>
          <cell r="AL736" t="str">
            <v>1-0415-聯有.統一東京&gt;寄&gt;附發票&gt;附回郵</v>
          </cell>
          <cell r="AM736" t="str">
            <v>1-0415</v>
          </cell>
        </row>
        <row r="737">
          <cell r="B737" t="str">
            <v>1-0732</v>
          </cell>
          <cell r="C737" t="str">
            <v>106-12-27</v>
          </cell>
          <cell r="D737" t="str">
            <v>1-0732-榮興輪胎行&gt;寄&gt;附回郵</v>
          </cell>
          <cell r="E737" t="str">
            <v>榮興輪胎行</v>
          </cell>
          <cell r="F737" t="str">
            <v>榮興輪胎行(732)</v>
          </cell>
          <cell r="G737" t="str">
            <v>含稅</v>
          </cell>
          <cell r="H737" t="str">
            <v>寄＞現金價</v>
          </cell>
          <cell r="I737" t="str">
            <v>6194&gt;2539&gt;含稅</v>
          </cell>
          <cell r="J737">
            <v>30</v>
          </cell>
          <cell r="L737" t="str">
            <v>049-2763933</v>
          </cell>
          <cell r="M737">
            <v>0</v>
          </cell>
          <cell r="R737" t="b">
            <v>0</v>
          </cell>
          <cell r="S737" t="str"/>
          <cell r="T737" t="b">
            <v>0</v>
          </cell>
          <cell r="W737">
            <v>552</v>
          </cell>
          <cell r="X737" t="str">
            <v>南投縣集集鎮和平里民生路284號.</v>
          </cell>
          <cell r="Y737" t="str">
            <v>南投縣集集鎮</v>
          </cell>
          <cell r="Z737" t="str">
            <v>南投縣集集鎮和平里民生路284號.</v>
          </cell>
          <cell r="AA737" t="str">
            <v>552南投縣集集鎮和平里民生路284號.</v>
          </cell>
          <cell r="AK737" t="str">
            <v>769-TL</v>
          </cell>
          <cell r="AL737" t="str">
            <v>1-0415-聯有.統一東京&gt;寄&gt;附發票&gt;附回郵</v>
          </cell>
          <cell r="AM737" t="str">
            <v>1-0415</v>
          </cell>
        </row>
        <row r="738">
          <cell r="B738" t="str">
            <v>1-0733</v>
          </cell>
          <cell r="C738" t="str">
            <v>106-12-25</v>
          </cell>
          <cell r="D738" t="str">
            <v>1-0733-元智通運-小山豬&gt;寄&gt;附發票&gt;附回郵</v>
          </cell>
          <cell r="E738" t="str">
            <v>元智通運股份有限公司</v>
          </cell>
          <cell r="F738" t="str">
            <v>元智通運股份有限公司(733)</v>
          </cell>
          <cell r="G738" t="str">
            <v>稅外</v>
          </cell>
          <cell r="H738" t="str">
            <v>寄＞附回郵＞現金價</v>
          </cell>
          <cell r="I738" t="str">
            <v>8444&gt;3205&gt;稅外</v>
          </cell>
          <cell r="J738">
            <v>30</v>
          </cell>
          <cell r="L738" t="str">
            <v>037-595511&gt;傳真:037-595533&gt;0911-810191傅明俊</v>
          </cell>
          <cell r="M738">
            <v>0</v>
          </cell>
          <cell r="O738">
            <v>67</v>
          </cell>
          <cell r="P738">
            <v>4</v>
          </cell>
          <cell r="Q738">
            <v>25</v>
          </cell>
          <cell r="R738">
            <v>43</v>
          </cell>
          <cell r="S738">
            <v>78</v>
          </cell>
          <cell r="T738">
            <v>28605</v>
          </cell>
          <cell r="U738" t="str">
            <v>K120699236</v>
          </cell>
          <cell r="V738" t="str">
            <v>傅明俊</v>
          </cell>
          <cell r="W738">
            <v>351</v>
          </cell>
          <cell r="X738" t="str">
            <v>苗栗縣頭份市東庄里民族路394巷66號.</v>
          </cell>
          <cell r="Y738" t="str">
            <v>苗栗縣頭份市</v>
          </cell>
          <cell r="Z738" t="str">
            <v>苗栗縣頭份市東庄里民族路394巷66號.</v>
          </cell>
          <cell r="AA738" t="str">
            <v>351苗栗縣頭份市東庄里民族路394巷66號.</v>
          </cell>
          <cell r="AK738" t="str">
            <v>RAQ-0378</v>
          </cell>
          <cell r="AL738" t="str">
            <v>1-0415-聯有.統一東京&gt;寄&gt;附發票&gt;附回郵</v>
          </cell>
          <cell r="AM738" t="str">
            <v>1-0415</v>
          </cell>
        </row>
        <row r="739">
          <cell r="B739" t="str">
            <v>1-0734</v>
          </cell>
          <cell r="C739" t="str">
            <v>107-01-01</v>
          </cell>
          <cell r="D739" t="str">
            <v>1-0734-葉照德&gt;電&gt;自結</v>
          </cell>
          <cell r="E739" t="str">
            <v>葉照德&gt;鷧振鋼鐵實業</v>
          </cell>
          <cell r="F739" t="str">
            <v>葉照德(734)</v>
          </cell>
          <cell r="G739" t="str">
            <v>未稅</v>
          </cell>
          <cell r="H739" t="str">
            <v>電＞自結＞ 來結帳在開發票&gt;車號:309-HP.668-HX.976-ZC&gt;現金價</v>
          </cell>
          <cell r="I739" t="str">
            <v>4727&gt;7647&gt;未稅</v>
          </cell>
          <cell r="J739">
            <v>30</v>
          </cell>
          <cell r="L739" t="str">
            <v>0927-320456葉照德</v>
          </cell>
          <cell r="M739">
            <v>0</v>
          </cell>
          <cell r="O739">
            <v>61</v>
          </cell>
          <cell r="P739">
            <v>2</v>
          </cell>
          <cell r="Q739">
            <v>18</v>
          </cell>
          <cell r="R739">
            <v>50</v>
          </cell>
          <cell r="S739">
            <v>72</v>
          </cell>
          <cell r="T739">
            <v>26347</v>
          </cell>
          <cell r="U739" t="str">
            <v>N120126356</v>
          </cell>
          <cell r="W739">
            <v>350</v>
          </cell>
          <cell r="X739" t="str">
            <v>苗栗縣竹南鎮天文里14鄰龍昇街79巷12弄16號</v>
          </cell>
          <cell r="Y739" t="str">
            <v>苗栗縣竹南鎮</v>
          </cell>
          <cell r="Z739" t="str">
            <v>苗栗縣竹南鎮天文里14鄰龍昇街79巷12弄16號</v>
          </cell>
          <cell r="AA739" t="str">
            <v>350苗栗縣竹南鎮天文里14鄰龍昇街79巷12弄16號</v>
          </cell>
          <cell r="AK739" t="str">
            <v>KLJ-9085</v>
          </cell>
          <cell r="AL739" t="str">
            <v>1-0260-曾士豪(兩斤)&gt;正欣&gt;寄&gt;匯款</v>
          </cell>
          <cell r="AM739" t="str">
            <v>1-0260</v>
          </cell>
        </row>
        <row r="740">
          <cell r="B740" t="str">
            <v>1-0735</v>
          </cell>
          <cell r="C740" t="str">
            <v>107-02-14</v>
          </cell>
          <cell r="D740" t="str">
            <v>1-0735-寶成汽車&gt;寄&gt;附發票&gt;附回郵</v>
          </cell>
          <cell r="E740" t="str">
            <v>寶成汽車租賃有限公司</v>
          </cell>
          <cell r="F740" t="str">
            <v>寶成汽車租賃有限公司有限公司(735)</v>
          </cell>
          <cell r="G740" t="str">
            <v>含稅</v>
          </cell>
          <cell r="H740" t="str">
            <v>寄&gt;附發票&gt;附回郵&gt;現金價</v>
          </cell>
          <cell r="I740" t="str">
            <v>5364&gt;2003&gt;含稅</v>
          </cell>
          <cell r="J740">
            <v>30</v>
          </cell>
          <cell r="L740" t="str">
            <v>037-691855&gt;傳真:037-691856&gt;</v>
          </cell>
          <cell r="M740">
            <v>0</v>
          </cell>
          <cell r="R740" t="b">
            <v>0</v>
          </cell>
          <cell r="S740" t="str"/>
          <cell r="T740" t="b">
            <v>0</v>
          </cell>
          <cell r="V740" t="str">
            <v>王冠雲</v>
          </cell>
          <cell r="W740">
            <v>351</v>
          </cell>
          <cell r="X740" t="str">
            <v>苗栗頭份市東民路151號。</v>
          </cell>
          <cell r="Y740" t="str">
            <v>苗栗頭份市東</v>
          </cell>
          <cell r="Z740" t="str">
            <v>苗栗頭份市東民路151號.</v>
          </cell>
          <cell r="AA740" t="str">
            <v>351苗栗頭份市東民路151號。</v>
          </cell>
          <cell r="AK740" t="str">
            <v>板HBA-9762</v>
          </cell>
          <cell r="AL740" t="str">
            <v>1-0707-(3/3)福麗&gt;寄&gt;附發票&gt;附回郵</v>
          </cell>
          <cell r="AM740" t="str">
            <v>1-0707</v>
          </cell>
        </row>
        <row r="741">
          <cell r="B741" t="str">
            <v>1-0736</v>
          </cell>
          <cell r="C741" t="str">
            <v>107-02-28</v>
          </cell>
          <cell r="D741" t="str">
            <v>1-0736-盛鋐開發&gt;旺佶&gt;寄&gt;附發票&gt;1個月匯款</v>
          </cell>
          <cell r="E741" t="str">
            <v>盛鋐開發有限公司</v>
          </cell>
          <cell r="F741" t="str">
            <v>盛鋐開發有限公司(736)</v>
          </cell>
          <cell r="G741" t="str">
            <v>含稅</v>
          </cell>
          <cell r="H741" t="str">
            <v>寄&gt;附發票&gt;1個月匯款：林登賢&gt;現金價</v>
          </cell>
          <cell r="I741" t="str">
            <v>8463&gt;2326&gt;4295&gt;1868&gt;盛鋐開發&gt;2家統編輪流開&gt;含稅&gt;中華全佑</v>
          </cell>
          <cell r="J741">
            <v>30</v>
          </cell>
          <cell r="L741" t="str">
            <v>0933-467185會計&gt;04-7983552&gt;傳真:04-7994358&gt;0937-250968林登賢</v>
          </cell>
          <cell r="M741" t="str">
            <v>2-0072</v>
          </cell>
          <cell r="R741" t="b">
            <v>0</v>
          </cell>
          <cell r="S741" t="str"/>
          <cell r="T741" t="b">
            <v>0</v>
          </cell>
          <cell r="W741">
            <v>509</v>
          </cell>
          <cell r="X741" t="str">
            <v>彰化縣伸港鄉全興村142之6號。</v>
          </cell>
          <cell r="Y741" t="str">
            <v>彰化縣伸港鄉</v>
          </cell>
          <cell r="Z741" t="str">
            <v>彰化縣伸港鄉全興村142之6號.</v>
          </cell>
          <cell r="AA741" t="str">
            <v>509彰化縣伸港鄉全興村142之6號。</v>
          </cell>
          <cell r="AK741" t="str">
            <v>762-WF</v>
          </cell>
          <cell r="AL741" t="str">
            <v>1-0848-四維清潔有限公司&gt;寄&gt;附發票&gt;匯款</v>
          </cell>
          <cell r="AM741" t="str">
            <v>1-0848</v>
          </cell>
        </row>
        <row r="742">
          <cell r="B742" t="str">
            <v>1-0737</v>
          </cell>
          <cell r="C742" t="str">
            <v>107-03-02</v>
          </cell>
          <cell r="D742" t="str">
            <v>1-0737-逢春汽車交通&gt;寄&gt;附回郵</v>
          </cell>
          <cell r="E742" t="str">
            <v>逢春汽車交通股份有限公司</v>
          </cell>
          <cell r="F742" t="str">
            <v>逢春汽車交通股份有限公司(737)</v>
          </cell>
          <cell r="G742" t="str">
            <v>未稅</v>
          </cell>
          <cell r="H742" t="str">
            <v>寄＞附發票＞附回郵＞現金價</v>
          </cell>
          <cell r="I742" t="str">
            <v>未稅</v>
          </cell>
          <cell r="J742">
            <v>30</v>
          </cell>
          <cell r="K742" t="str">
            <v>5018&gt;1006&gt;未稅</v>
          </cell>
          <cell r="L742" t="str">
            <v>0985-838453曾意瓔</v>
          </cell>
          <cell r="M742">
            <v>0</v>
          </cell>
          <cell r="O742">
            <v>72</v>
          </cell>
          <cell r="P742">
            <v>7</v>
          </cell>
          <cell r="Q742">
            <v>4</v>
          </cell>
          <cell r="R742">
            <v>38</v>
          </cell>
          <cell r="S742">
            <v>83</v>
          </cell>
          <cell r="T742">
            <v>30501</v>
          </cell>
          <cell r="U742" t="str">
            <v>K222111997</v>
          </cell>
          <cell r="V742" t="str">
            <v>曾意瓔</v>
          </cell>
          <cell r="W742">
            <v>351</v>
          </cell>
          <cell r="X742" t="str">
            <v>苗栗縣頭份市頭份里中山路302號。</v>
          </cell>
          <cell r="Y742" t="str">
            <v>苗栗縣頭份市</v>
          </cell>
          <cell r="Z742" t="str">
            <v>苗栗縣頭份市頭份里中山路302號.</v>
          </cell>
          <cell r="AA742" t="str">
            <v>351苗栗縣頭份市頭份里中山路302號。</v>
          </cell>
          <cell r="AK742" t="str">
            <v>806-TZ</v>
          </cell>
          <cell r="AL742" t="str">
            <v>1-0416-竹南鎮公所&gt;寄&gt;附發票&gt;附回郵</v>
          </cell>
          <cell r="AM742" t="str">
            <v>1-0416</v>
          </cell>
        </row>
        <row r="743">
          <cell r="B743" t="str">
            <v>1-0738</v>
          </cell>
          <cell r="C743" t="str">
            <v>109-01-18/黃凱筠</v>
          </cell>
          <cell r="D743" t="str">
            <v>1-0738-安林&gt;電&gt;附發票&gt;自結&gt;付現</v>
          </cell>
          <cell r="E743" t="str">
            <v>安林企業社＞負:王素完</v>
          </cell>
          <cell r="F743" t="str">
            <v>安林企業社(738)</v>
          </cell>
          <cell r="G743" t="str">
            <v>稅外</v>
          </cell>
          <cell r="H743" t="str">
            <v>電＞附發票＞自結＞付現</v>
          </cell>
          <cell r="I743" t="str">
            <v>5589＞5657＞稅外</v>
          </cell>
          <cell r="J743">
            <v>30</v>
          </cell>
          <cell r="L743" t="str">
            <v>037-468949＞傳真037-551137</v>
          </cell>
          <cell r="M743" t="str">
            <v>2-0014</v>
          </cell>
          <cell r="R743" t="b">
            <v>0</v>
          </cell>
          <cell r="S743" t="str"/>
          <cell r="T743" t="b">
            <v>0</v>
          </cell>
          <cell r="W743">
            <v>350</v>
          </cell>
          <cell r="X743" t="str">
            <v>苗栗縣竹南鎮中美里9鄰保安林45號＞登:苗栗縣竹南鎮龍鳳里5鄰龍山路1段270巷9號1樓。</v>
          </cell>
          <cell r="Y743" t="str">
            <v>苗栗縣竹南鎮</v>
          </cell>
          <cell r="Z743" t="str">
            <v>苗栗縣竹南鎮中美里9鄰保安林45號.</v>
          </cell>
          <cell r="AA743" t="str">
            <v>350苗栗縣竹南鎮中美里9鄰保安林45號＞登:苗栗縣竹南鎮龍鳳里5鄰龍山路1段270巷9號1樓。</v>
          </cell>
          <cell r="AK743" t="str">
            <v>807-TZ</v>
          </cell>
          <cell r="AL743" t="str">
            <v>1-0416-竹南鎮公所&gt;寄&gt;附發票&gt;附回郵</v>
          </cell>
          <cell r="AM743" t="str">
            <v>1-0416</v>
          </cell>
        </row>
        <row r="744">
          <cell r="B744" t="str">
            <v>1-0739</v>
          </cell>
          <cell r="C744" t="str">
            <v>107-03-15</v>
          </cell>
          <cell r="D744" t="str">
            <v>1-0739-志鴻拖車&gt;飛哥&gt;電&gt;自結</v>
          </cell>
          <cell r="E744" t="str">
            <v>邱太裕&gt;志鴻</v>
          </cell>
          <cell r="F744" t="str">
            <v>邱太裕(739)</v>
          </cell>
          <cell r="G744" t="str">
            <v>未稅</v>
          </cell>
          <cell r="H744" t="str">
            <v>電＞自結&gt;現金價</v>
          </cell>
          <cell r="I744" t="str">
            <v>未稅</v>
          </cell>
          <cell r="J744">
            <v>30</v>
          </cell>
          <cell r="L744" t="str">
            <v>0935-710758邱太裕&gt;加Line0988-204191</v>
          </cell>
          <cell r="M744">
            <v>0</v>
          </cell>
          <cell r="R744" t="b">
            <v>0</v>
          </cell>
          <cell r="S744" t="str"/>
          <cell r="T744" t="b">
            <v>0</v>
          </cell>
          <cell r="Y744" t="str"/>
          <cell r="AA744" t="str"/>
          <cell r="AK744" t="str">
            <v>872-TZ</v>
          </cell>
          <cell r="AL744" t="str">
            <v>1-0416-竹南鎮公所&gt;寄&gt;附發票&gt;附回郵</v>
          </cell>
          <cell r="AM744" t="str">
            <v>1-0416</v>
          </cell>
        </row>
        <row r="745">
          <cell r="B745" t="str">
            <v>1-0740</v>
          </cell>
          <cell r="C745" t="str">
            <v>107-03-15</v>
          </cell>
          <cell r="D745" t="str">
            <v>1-0740-顏川貴&gt;未稅&gt;寄&gt;自結</v>
          </cell>
          <cell r="E745" t="str">
            <v>顏川貴</v>
          </cell>
          <cell r="F745" t="str">
            <v>顏川貴(740)</v>
          </cell>
          <cell r="G745" t="str">
            <v>未稅</v>
          </cell>
          <cell r="H745" t="str">
            <v>寄＞自結&gt;現金價&gt;匯款34103</v>
          </cell>
          <cell r="I745" t="str">
            <v>未稅</v>
          </cell>
          <cell r="J745">
            <v>30</v>
          </cell>
          <cell r="L745" t="str">
            <v>0912146100顏川貴</v>
          </cell>
          <cell r="M745">
            <v>0</v>
          </cell>
          <cell r="O745">
            <v>60</v>
          </cell>
          <cell r="P745">
            <v>3</v>
          </cell>
          <cell r="Q745">
            <v>2</v>
          </cell>
          <cell r="R745">
            <v>51</v>
          </cell>
          <cell r="S745">
            <v>71</v>
          </cell>
          <cell r="T745">
            <v>25994</v>
          </cell>
          <cell r="U745" t="str">
            <v>K121322216</v>
          </cell>
          <cell r="V745" t="str">
            <v>顏川貴</v>
          </cell>
          <cell r="W745">
            <v>369</v>
          </cell>
          <cell r="X745" t="str">
            <v>苗栗縣卓蘭鎮內灣里137號。</v>
          </cell>
          <cell r="Y745" t="str">
            <v>苗栗縣卓蘭鎮</v>
          </cell>
          <cell r="Z745" t="str">
            <v>苗栗縣卓蘭鎮內灣里137號.</v>
          </cell>
          <cell r="AA745" t="str">
            <v>369苗栗縣卓蘭鎮內灣里137號。</v>
          </cell>
          <cell r="AK745" t="str">
            <v>873-TZ</v>
          </cell>
          <cell r="AL745" t="str">
            <v>1-0416-竹南鎮公所&gt;寄&gt;附發票&gt;附回郵</v>
          </cell>
          <cell r="AM745" t="str">
            <v>1-0416</v>
          </cell>
        </row>
        <row r="746">
          <cell r="B746" t="str">
            <v>1-0741</v>
          </cell>
          <cell r="C746" t="str">
            <v>107-03-20</v>
          </cell>
          <cell r="D746" t="str">
            <v>1-0741-炎益行&gt;寄＞自結&gt;現金價</v>
          </cell>
          <cell r="E746" t="str">
            <v>炎益行有限公司</v>
          </cell>
          <cell r="F746" t="str">
            <v>炎益行有限公司(741)</v>
          </cell>
          <cell r="G746" t="str">
            <v>未稅</v>
          </cell>
          <cell r="H746" t="str">
            <v>寄＞自結&gt;現金價</v>
          </cell>
          <cell r="I746" t="str">
            <v>未稅</v>
          </cell>
          <cell r="J746">
            <v>30</v>
          </cell>
          <cell r="L746" t="str">
            <v>0935-642096&gt;FAX:473189&gt;TEL:464126</v>
          </cell>
          <cell r="M746" t="str">
            <v>2-0137</v>
          </cell>
          <cell r="R746" t="b">
            <v>0</v>
          </cell>
          <cell r="S746" t="str"/>
          <cell r="T746" t="b">
            <v>0</v>
          </cell>
          <cell r="W746">
            <v>350</v>
          </cell>
          <cell r="X746" t="str">
            <v>苗栗縣竹南鎮大厝里9鄰71號</v>
          </cell>
          <cell r="Y746" t="str">
            <v>苗栗縣竹南鎮</v>
          </cell>
          <cell r="Z746" t="str">
            <v>苗栗縣竹南鎮大厝里9鄰71號.</v>
          </cell>
          <cell r="AA746" t="str">
            <v>350苗栗縣竹南鎮大厝里9鄰71號</v>
          </cell>
          <cell r="AK746" t="str">
            <v>930-TZ</v>
          </cell>
          <cell r="AL746" t="str">
            <v>1-0416-竹南鎮公所&gt;寄&gt;附發票&gt;附回郵</v>
          </cell>
          <cell r="AM746" t="str">
            <v>1-0416</v>
          </cell>
        </row>
        <row r="747">
          <cell r="B747" t="str">
            <v>1-0742</v>
          </cell>
          <cell r="C747" t="str">
            <v>107-03-22</v>
          </cell>
          <cell r="D747" t="str">
            <v>1-0742-順山&gt;廖鴻銘&gt;現結＞現金價</v>
          </cell>
          <cell r="E747" t="str">
            <v>順山通運公司&gt;廖鴻銘</v>
          </cell>
          <cell r="F747" t="str">
            <v>順山通運公司(742)</v>
          </cell>
          <cell r="G747" t="str">
            <v>未稅</v>
          </cell>
          <cell r="H747" t="str">
            <v>現結＞現金價</v>
          </cell>
          <cell r="I747" t="str">
            <v>未稅</v>
          </cell>
          <cell r="J747">
            <v>30</v>
          </cell>
          <cell r="M747">
            <v>0</v>
          </cell>
          <cell r="O747">
            <v>44</v>
          </cell>
          <cell r="P747">
            <v>8</v>
          </cell>
          <cell r="Q747">
            <v>20</v>
          </cell>
          <cell r="R747">
            <v>66</v>
          </cell>
          <cell r="S747">
            <v>55</v>
          </cell>
          <cell r="T747">
            <v>20321</v>
          </cell>
          <cell r="Y747" t="str"/>
          <cell r="AA747" t="str"/>
          <cell r="AK747" t="str">
            <v>931-TZ</v>
          </cell>
          <cell r="AL747" t="str">
            <v>1-0416-竹南鎮公所&gt;寄&gt;附發票&gt;附回郵</v>
          </cell>
          <cell r="AM747" t="str">
            <v>1-0416</v>
          </cell>
        </row>
        <row r="748">
          <cell r="B748" t="str">
            <v>1-0743</v>
          </cell>
          <cell r="C748" t="str">
            <v>107-03-26</v>
          </cell>
          <cell r="D748" t="str">
            <v>1-0743-順益&gt;郭紋源&gt;現結＞現金價</v>
          </cell>
          <cell r="E748" t="str">
            <v>順益汽車(股)公司&gt;郭紋源</v>
          </cell>
          <cell r="F748" t="str">
            <v>順益汽車(股)公司(743)</v>
          </cell>
          <cell r="G748" t="str">
            <v>稅外</v>
          </cell>
          <cell r="H748" t="str">
            <v>現結＞現金價</v>
          </cell>
          <cell r="I748" t="str">
            <v>8489&gt;7156&gt;稅外</v>
          </cell>
          <cell r="J748">
            <v>30</v>
          </cell>
          <cell r="L748" t="str">
            <v>037-620001&gt;FAX:037-628481&gt;郭紋源</v>
          </cell>
          <cell r="M748">
            <v>0</v>
          </cell>
          <cell r="R748" t="b">
            <v>0</v>
          </cell>
          <cell r="S748" t="str"/>
          <cell r="T748" t="b">
            <v>0</v>
          </cell>
          <cell r="W748">
            <v>351</v>
          </cell>
          <cell r="X748" t="str">
            <v>苗栗縣頭份市自強路二段 472號</v>
          </cell>
          <cell r="Y748" t="str">
            <v>苗栗縣頭份市</v>
          </cell>
          <cell r="Z748" t="str">
            <v>苗栗縣頭份市自強路二段 472號.</v>
          </cell>
          <cell r="AA748" t="str">
            <v>351苗栗縣頭份市自強路二段 472號</v>
          </cell>
          <cell r="AK748" t="str">
            <v>909-TZ</v>
          </cell>
          <cell r="AL748" t="str">
            <v>1-0416-竹南鎮公所&gt;寄&gt;附發票&gt;附回郵</v>
          </cell>
          <cell r="AM748" t="str">
            <v>1-0416</v>
          </cell>
        </row>
        <row r="749">
          <cell r="B749" t="str">
            <v>1-0744</v>
          </cell>
          <cell r="C749" t="str">
            <v>107-03-27</v>
          </cell>
          <cell r="D749" t="str">
            <v>1-0744-力新&gt;寄&gt;匯款&gt;兩個月後16號匯款</v>
          </cell>
          <cell r="E749" t="str">
            <v>力新國際輪胎有限公司</v>
          </cell>
          <cell r="F749" t="str">
            <v>力新國際輪胎有限公司(744)</v>
          </cell>
          <cell r="G749" t="str">
            <v>稅外</v>
          </cell>
          <cell r="H749" t="str">
            <v>寄＞附發票＞匯款＞現金價</v>
          </cell>
          <cell r="I749" t="str">
            <v>1689&gt;7896&gt;稅外</v>
          </cell>
          <cell r="J749">
            <v>30</v>
          </cell>
          <cell r="L749" t="str">
            <v>(02)24512866&gt;傳真:(02)24517766  &gt; 吳小姐  &gt;請先傳真請款單</v>
          </cell>
          <cell r="M749">
            <v>0</v>
          </cell>
          <cell r="R749" t="b">
            <v>0</v>
          </cell>
          <cell r="S749" t="str"/>
          <cell r="T749" t="b">
            <v>0</v>
          </cell>
          <cell r="W749">
            <v>206</v>
          </cell>
          <cell r="X749" t="str">
            <v>基隆市七堵區實踐路60號1樓</v>
          </cell>
          <cell r="Y749" t="str">
            <v>基隆市七堵區</v>
          </cell>
          <cell r="Z749" t="str">
            <v>基隆市七堵區實踐路60號1樓.</v>
          </cell>
          <cell r="AA749" t="str">
            <v>206基隆市七堵區實踐路60號1樓</v>
          </cell>
          <cell r="AK749" t="str">
            <v>910-TZ</v>
          </cell>
          <cell r="AL749" t="str">
            <v>1-0416-竹南鎮公所&gt;寄&gt;附發票&gt;附回郵</v>
          </cell>
          <cell r="AM749" t="str">
            <v>1-0416</v>
          </cell>
        </row>
        <row r="750">
          <cell r="B750" t="str">
            <v>1-0745</v>
          </cell>
          <cell r="C750" t="str">
            <v>107-03-29</v>
          </cell>
          <cell r="D750" t="str">
            <v>1-0745-華宮&gt;現結&gt;附發票</v>
          </cell>
          <cell r="E750" t="str">
            <v>華宮有限公司&gt;新鴻有限公司</v>
          </cell>
          <cell r="F750" t="str">
            <v>華宮旅行社(745)</v>
          </cell>
          <cell r="G750" t="str">
            <v>稅外</v>
          </cell>
          <cell r="H750" t="str">
            <v>現結＞現金價</v>
          </cell>
          <cell r="I750" t="str">
            <v>0341&gt;9401&gt;華宮&gt;8066&gt;9525&gt;新鴻&gt;稅外</v>
          </cell>
          <cell r="J750">
            <v>30</v>
          </cell>
          <cell r="L750" t="str">
            <v>(03)4936146~9&gt;傳真：(03)4920568&gt;0933-259925葉鴻濤</v>
          </cell>
          <cell r="M750">
            <v>0</v>
          </cell>
          <cell r="R750" t="b">
            <v>0</v>
          </cell>
          <cell r="S750" t="str"/>
          <cell r="T750" t="b">
            <v>0</v>
          </cell>
          <cell r="W750">
            <v>320</v>
          </cell>
          <cell r="X750" t="str">
            <v>桃園市中壢區環西路二段247號</v>
          </cell>
          <cell r="Y750" t="str">
            <v>桃園市中壢區</v>
          </cell>
          <cell r="Z750" t="str">
            <v>桃園市中壢區環西路二段247號.</v>
          </cell>
          <cell r="AA750" t="str">
            <v>320桃園市中壢區環西路二段247號</v>
          </cell>
          <cell r="AK750" t="str">
            <v>919-TZ</v>
          </cell>
          <cell r="AL750" t="str">
            <v>1-0416-竹南鎮公所&gt;寄&gt;附發票&gt;附回郵</v>
          </cell>
          <cell r="AM750" t="str">
            <v>1-0416</v>
          </cell>
        </row>
        <row r="751">
          <cell r="B751" t="str">
            <v>1-0746</v>
          </cell>
          <cell r="C751" t="str">
            <v>107-03-30</v>
          </cell>
          <cell r="D751" t="str">
            <v>1-0746-昌義寄＞附回郵＞現金價</v>
          </cell>
          <cell r="E751" t="str">
            <v>昌義有限公司</v>
          </cell>
          <cell r="F751" t="str">
            <v>義昌砂石場(746)</v>
          </cell>
          <cell r="G751" t="str">
            <v>含稅</v>
          </cell>
          <cell r="H751" t="str">
            <v>寄＞附回郵＞現金價</v>
          </cell>
          <cell r="I751" t="str">
            <v>8952&gt;6226&gt;含稅</v>
          </cell>
          <cell r="J751">
            <v>30</v>
          </cell>
          <cell r="L751" t="str">
            <v>(03)5688930~1&gt;傳真：(03)5686684&gt;0988-203204戴銘義&gt;0937-830470戴銘治</v>
          </cell>
          <cell r="M751">
            <v>0</v>
          </cell>
          <cell r="R751" t="b">
            <v>0</v>
          </cell>
          <cell r="S751" t="str"/>
          <cell r="T751" t="b">
            <v>0</v>
          </cell>
          <cell r="W751">
            <v>304</v>
          </cell>
          <cell r="X751" t="str">
            <v>新竹縣新豐鄉和村18鄰埔頂454-2號</v>
          </cell>
          <cell r="Y751" t="str">
            <v>新竹縣新豐鄉</v>
          </cell>
          <cell r="Z751" t="str">
            <v>新竹縣新豐鄉和村18鄰埔頂454-2號.</v>
          </cell>
          <cell r="AA751" t="str">
            <v>304新竹縣新豐鄉和村18鄰埔頂454-2號</v>
          </cell>
          <cell r="AK751" t="str">
            <v>565-UW</v>
          </cell>
          <cell r="AL751" t="str">
            <v>1-0416-竹南鎮公所&gt;寄&gt;附發票&gt;附回郵</v>
          </cell>
          <cell r="AM751" t="str">
            <v>1-0416</v>
          </cell>
        </row>
        <row r="752">
          <cell r="B752" t="str">
            <v>1-0747</v>
          </cell>
          <cell r="C752" t="str">
            <v>107-03-30</v>
          </cell>
          <cell r="D752" t="str">
            <v>1-0747-張達慶&gt;佳弘&gt;現結&gt;現金價</v>
          </cell>
          <cell r="E752" t="str">
            <v>張達慶&gt;佳弘有限公司</v>
          </cell>
          <cell r="F752" t="str">
            <v>張達慶(747)</v>
          </cell>
          <cell r="G752" t="str">
            <v>含稅</v>
          </cell>
          <cell r="H752" t="str">
            <v>現結&gt;現金價</v>
          </cell>
          <cell r="I752" t="str">
            <v>4981&gt;0267&gt;含稅</v>
          </cell>
          <cell r="J752">
            <v>30</v>
          </cell>
          <cell r="L752" t="str">
            <v>0932-080073</v>
          </cell>
          <cell r="M752">
            <v>0</v>
          </cell>
          <cell r="O752">
            <v>64</v>
          </cell>
          <cell r="P752">
            <v>12</v>
          </cell>
          <cell r="Q752">
            <v>6</v>
          </cell>
          <cell r="R752">
            <v>46</v>
          </cell>
          <cell r="S752">
            <v>75</v>
          </cell>
          <cell r="T752">
            <v>27734</v>
          </cell>
          <cell r="U752" t="str">
            <v>j120234341</v>
          </cell>
          <cell r="V752" t="str">
            <v>張達慶</v>
          </cell>
          <cell r="W752">
            <v>360</v>
          </cell>
          <cell r="X752" t="str">
            <v>苗栗市文聖里橫車路232號</v>
          </cell>
          <cell r="Y752" t="str">
            <v>苗栗市文聖里</v>
          </cell>
          <cell r="Z752" t="str">
            <v>苗栗市文聖里橫車路232號.</v>
          </cell>
          <cell r="AA752" t="str">
            <v>360苗栗市文聖里橫車路232號</v>
          </cell>
          <cell r="AK752" t="str">
            <v>970-TZ</v>
          </cell>
          <cell r="AL752" t="str">
            <v>1-0416-竹南鎮公所&gt;寄&gt;附發票&gt;附回郵</v>
          </cell>
          <cell r="AM752" t="str">
            <v>1-0416</v>
          </cell>
        </row>
        <row r="753">
          <cell r="B753" t="str">
            <v>1-0748</v>
          </cell>
          <cell r="C753" t="str">
            <v>107-03-31</v>
          </cell>
          <cell r="D753" t="str">
            <v>1-0748-施順衡&gt;現金&gt;月結</v>
          </cell>
          <cell r="E753" t="str">
            <v>施順衡有限公司</v>
          </cell>
          <cell r="F753" t="str">
            <v>施順衡(748)</v>
          </cell>
          <cell r="G753" t="str">
            <v>未稅</v>
          </cell>
          <cell r="H753" t="str">
            <v>現金&gt;月結</v>
          </cell>
          <cell r="I753" t="str">
            <v>未稅</v>
          </cell>
          <cell r="J753">
            <v>30</v>
          </cell>
          <cell r="L753" t="str">
            <v>0913-626935</v>
          </cell>
          <cell r="M753">
            <v>0</v>
          </cell>
          <cell r="O753">
            <v>67</v>
          </cell>
          <cell r="P753">
            <v>11</v>
          </cell>
          <cell r="Q753">
            <v>4</v>
          </cell>
          <cell r="R753">
            <v>43</v>
          </cell>
          <cell r="S753">
            <v>78</v>
          </cell>
          <cell r="T753">
            <v>28798</v>
          </cell>
          <cell r="U753" t="str">
            <v>N123429989</v>
          </cell>
          <cell r="V753" t="str">
            <v>施順衡</v>
          </cell>
          <cell r="W753">
            <v>433</v>
          </cell>
          <cell r="X753" t="str">
            <v>台中市沙鹿區公明里6鄰中清路六段261巷163號</v>
          </cell>
          <cell r="Y753" t="str">
            <v>台中市沙鹿區</v>
          </cell>
          <cell r="Z753" t="str">
            <v>台中市沙鹿區公明里6鄰中清路六段261巷163號.</v>
          </cell>
          <cell r="AA753" t="str">
            <v>433台中市沙鹿區公明里6鄰中清路六段261巷163號</v>
          </cell>
          <cell r="AK753" t="str">
            <v>629-UW</v>
          </cell>
          <cell r="AL753" t="str">
            <v>1-0416-竹南鎮公所&gt;寄&gt;附發票&gt;附回郵</v>
          </cell>
          <cell r="AM753" t="str">
            <v>1-0416</v>
          </cell>
        </row>
        <row r="754">
          <cell r="B754" t="str">
            <v>1-0749</v>
          </cell>
          <cell r="C754" t="str">
            <v>107-04-03</v>
          </cell>
          <cell r="D754" t="str">
            <v>1-0749-世淯&gt;世大日&gt;瑞登&gt;寄＞附發票＞附回郵＞現金價</v>
          </cell>
          <cell r="E754" t="str">
            <v>世淯&gt;世大日&gt;瑞登有限公司</v>
          </cell>
          <cell r="F754" t="str">
            <v>世大日企業社(749)</v>
          </cell>
          <cell r="G754" t="str">
            <v>含稅</v>
          </cell>
          <cell r="H754" t="str">
            <v>寄＞附發票＞附回郵＞現金價</v>
          </cell>
          <cell r="I754" t="str">
            <v>7265&gt;0827瑞登&gt;3034&gt;1434世大日&gt;含稅&gt;發票開:瑞登</v>
          </cell>
          <cell r="J754">
            <v>30</v>
          </cell>
          <cell r="L754" t="str">
            <v>(03)9501377&gt;傳真：(03)9502378&gt;0933-103590賴贊仲</v>
          </cell>
          <cell r="M754">
            <v>0</v>
          </cell>
          <cell r="R754" t="b">
            <v>0</v>
          </cell>
          <cell r="S754" t="str"/>
          <cell r="T754" t="b">
            <v>0</v>
          </cell>
          <cell r="W754">
            <v>221</v>
          </cell>
          <cell r="X754" t="str">
            <v>新北市汐止區大同路三段172號&gt;宜蘭縣羅東鎮純精路二段248巷5號2樓</v>
          </cell>
          <cell r="Y754" t="str">
            <v>新北市汐止區</v>
          </cell>
          <cell r="Z754" t="str">
            <v>新北市汐止區大同路三段172號.</v>
          </cell>
          <cell r="AA754" t="str">
            <v>221新北市汐止區大同路三段172號&gt;宜蘭縣羅東鎮純精路二段248巷5號2樓</v>
          </cell>
          <cell r="AK754" t="str">
            <v>887-Y7</v>
          </cell>
          <cell r="AL754" t="str">
            <v>1-0416-竹南鎮公所&gt;寄&gt;附發票&gt;附回郵</v>
          </cell>
          <cell r="AM754" t="str">
            <v>1-0416</v>
          </cell>
        </row>
        <row r="755">
          <cell r="B755" t="str">
            <v>1-0750</v>
          </cell>
          <cell r="C755" t="str">
            <v>107-04-04</v>
          </cell>
          <cell r="D755" t="str">
            <v>1-0750-竹富&gt;緯旺通運&gt;竹金汽車&gt;國合&gt;寄＞現金價</v>
          </cell>
          <cell r="E755" t="str">
            <v>竹富&gt;緯旺通運&gt;國合&gt;竹金汽車有限公司</v>
          </cell>
          <cell r="F755" t="str">
            <v>竹富通運(股)公司(750)</v>
          </cell>
          <cell r="G755" t="str">
            <v>含稅</v>
          </cell>
          <cell r="H755" t="str">
            <v>寄＞現金價</v>
          </cell>
          <cell r="I755" t="str">
            <v>4840&gt;0379竹富&gt;7063&gt;5104國合&gt;含稅</v>
          </cell>
          <cell r="J755">
            <v>30</v>
          </cell>
          <cell r="L755" t="str">
            <v>(03)5552301&gt;會計蔡小姐&gt;0932-111739</v>
          </cell>
          <cell r="M755">
            <v>0</v>
          </cell>
          <cell r="R755" t="b">
            <v>0</v>
          </cell>
          <cell r="S755" t="str"/>
          <cell r="T755" t="b">
            <v>0</v>
          </cell>
          <cell r="W755">
            <v>302</v>
          </cell>
          <cell r="X755" t="str">
            <v>新竹縣竹北市泰合路146號</v>
          </cell>
          <cell r="Y755" t="str">
            <v>新竹縣竹北市</v>
          </cell>
          <cell r="Z755" t="str">
            <v>新竹縣竹北市泰合路146號.</v>
          </cell>
          <cell r="AA755" t="str">
            <v>302新竹縣竹北市泰合路146號</v>
          </cell>
          <cell r="AK755" t="str">
            <v>KEA-9291</v>
          </cell>
          <cell r="AL755" t="str">
            <v>1-0416-竹南鎮公所&gt;寄&gt;附發票&gt;附回郵</v>
          </cell>
          <cell r="AM755" t="str">
            <v>1-0416</v>
          </cell>
        </row>
        <row r="756">
          <cell r="B756" t="str">
            <v>1-0751</v>
          </cell>
          <cell r="C756" t="str">
            <v>107-04-06</v>
          </cell>
          <cell r="D756" t="str">
            <v>1-0751-楊家霖&gt;霖森園爇&gt;寄&gt;現結</v>
          </cell>
          <cell r="E756" t="str">
            <v>楊家霖&gt;霖森園爇有限公司</v>
          </cell>
          <cell r="F756" t="str">
            <v>霖森園爇有限公司(751)</v>
          </cell>
          <cell r="G756" t="str">
            <v>稅外</v>
          </cell>
          <cell r="H756" t="str">
            <v>寄&gt;現結</v>
          </cell>
          <cell r="I756" t="str">
            <v>4275&gt;8651&gt;稅外</v>
          </cell>
          <cell r="J756">
            <v>30</v>
          </cell>
          <cell r="L756" t="str">
            <v>0988-677044</v>
          </cell>
          <cell r="M756">
            <v>0</v>
          </cell>
          <cell r="O756">
            <v>70</v>
          </cell>
          <cell r="P756">
            <v>10</v>
          </cell>
          <cell r="Q756">
            <v>3</v>
          </cell>
          <cell r="R756">
            <v>40</v>
          </cell>
          <cell r="S756">
            <v>81</v>
          </cell>
          <cell r="T756">
            <v>29862</v>
          </cell>
          <cell r="U756" t="str">
            <v>F125372941</v>
          </cell>
          <cell r="W756">
            <v>351</v>
          </cell>
          <cell r="X756" t="str">
            <v>苗栗縣頭份市八德二路10巷22號</v>
          </cell>
          <cell r="Y756" t="str">
            <v>苗栗縣頭份市</v>
          </cell>
          <cell r="Z756" t="str">
            <v>苗栗縣頭份市八德二路10巷22號.</v>
          </cell>
          <cell r="AA756" t="str">
            <v>351苗栗縣頭份市八德二路10巷22號</v>
          </cell>
          <cell r="AK756" t="str">
            <v>KEG-6281</v>
          </cell>
          <cell r="AL756" t="str">
            <v>1-0416-竹南鎮公所&gt;寄&gt;附發票&gt;附回郵</v>
          </cell>
          <cell r="AM756" t="str">
            <v>1-0416</v>
          </cell>
        </row>
        <row r="757">
          <cell r="B757" t="str">
            <v>1-0752</v>
          </cell>
          <cell r="C757" t="str">
            <v>107-04-16</v>
          </cell>
          <cell r="D757" t="str">
            <v>1-0752-弘貹&gt;寄＞附回郵＞現金價</v>
          </cell>
          <cell r="E757" t="str">
            <v>弘貹有限公司</v>
          </cell>
          <cell r="F757" t="str">
            <v>弘貹商行(752)</v>
          </cell>
          <cell r="G757" t="str">
            <v>未稅</v>
          </cell>
          <cell r="H757" t="str">
            <v>寄＞附回郵＞現金價</v>
          </cell>
          <cell r="I757" t="str">
            <v>未稅</v>
          </cell>
          <cell r="J757">
            <v>30</v>
          </cell>
          <cell r="L757" t="str">
            <v>0986-086743鄭志興&gt;(03)5566728~9&gt;0921-307-487</v>
          </cell>
          <cell r="M757">
            <v>0</v>
          </cell>
          <cell r="R757" t="b">
            <v>0</v>
          </cell>
          <cell r="S757" t="str"/>
          <cell r="T757" t="b">
            <v>0</v>
          </cell>
          <cell r="W757">
            <v>513</v>
          </cell>
          <cell r="X757" t="str">
            <v>彰化縣埔心鄉瑤鳯路一段201號</v>
          </cell>
          <cell r="Y757" t="str">
            <v>彰化縣埔心鄉</v>
          </cell>
          <cell r="Z757" t="str">
            <v>彰化縣埔心鄉瑤鳯路一段201號.</v>
          </cell>
          <cell r="AA757" t="str">
            <v>513彰化縣埔心鄉瑤鳯路一段201號</v>
          </cell>
          <cell r="AK757" t="str">
            <v>KEA-9106</v>
          </cell>
          <cell r="AL757" t="str">
            <v>1-0416-竹南鎮公所&gt;寄&gt;附發票&gt;附回郵</v>
          </cell>
          <cell r="AM757" t="str">
            <v>1-0416</v>
          </cell>
        </row>
        <row r="758">
          <cell r="B758" t="str">
            <v>1-0753</v>
          </cell>
          <cell r="C758" t="str">
            <v>107-04-18</v>
          </cell>
          <cell r="D758" t="str">
            <v>1-0753-永貞VOLVO&gt;永傳汽車&gt;寄＞附發票＞附回郵＞附定位數據</v>
          </cell>
          <cell r="E758" t="str">
            <v>永貞VOLVO&gt;永傳汽車有限公司</v>
          </cell>
          <cell r="F758" t="str">
            <v>永傳汽車有限公司(753)</v>
          </cell>
          <cell r="G758" t="str">
            <v>含稅</v>
          </cell>
          <cell r="H758" t="str">
            <v>寄＞附發票＞附回郵＞附定位數據</v>
          </cell>
          <cell r="I758" t="str">
            <v>2486&gt;5237&gt;含稅&gt;中華全佑</v>
          </cell>
          <cell r="J758">
            <v>30</v>
          </cell>
          <cell r="L758" t="str">
            <v>(037)622110游小姐&gt;傳真：(037)622600</v>
          </cell>
          <cell r="M758">
            <v>0</v>
          </cell>
          <cell r="R758" t="b">
            <v>0</v>
          </cell>
          <cell r="S758" t="str"/>
          <cell r="T758" t="b">
            <v>0</v>
          </cell>
          <cell r="W758">
            <v>351</v>
          </cell>
          <cell r="X758" t="str">
            <v>苗栗縣頭份市永貞路一段118號</v>
          </cell>
          <cell r="Y758" t="str">
            <v>苗栗縣頭份市</v>
          </cell>
          <cell r="Z758" t="str">
            <v>苗栗縣頭份市永貞路一段118號.</v>
          </cell>
          <cell r="AA758" t="str">
            <v>351苗栗縣頭份市永貞路一段118號</v>
          </cell>
          <cell r="AK758" t="str">
            <v>KEA-9107</v>
          </cell>
          <cell r="AL758" t="str">
            <v>1-0416-竹南鎮公所&gt;寄&gt;附發票&gt;附回郵</v>
          </cell>
          <cell r="AM758" t="str">
            <v>1-0416</v>
          </cell>
        </row>
        <row r="759">
          <cell r="B759" t="str">
            <v>1-0754</v>
          </cell>
          <cell r="C759" t="str">
            <v>107-04-27</v>
          </cell>
          <cell r="D759" t="str">
            <v>1-0754-萬長春&gt;大吉交通&gt;寄＞自結&gt;現金價</v>
          </cell>
          <cell r="E759" t="str">
            <v>大吉交通有限公司&gt;萬長春</v>
          </cell>
          <cell r="F759" t="str">
            <v>大吉交通有限公司(754)</v>
          </cell>
          <cell r="G759" t="str">
            <v>稅外</v>
          </cell>
          <cell r="H759" t="str">
            <v>寄＞自結&gt;現金價</v>
          </cell>
          <cell r="I759" t="str">
            <v>5259&gt;2357&gt;稅外</v>
          </cell>
          <cell r="J759">
            <v>30</v>
          </cell>
          <cell r="L759" t="str">
            <v>0989-389160&gt;0928-657111</v>
          </cell>
          <cell r="M759">
            <v>0</v>
          </cell>
          <cell r="O759">
            <v>61</v>
          </cell>
          <cell r="P759">
            <v>10</v>
          </cell>
          <cell r="Q759">
            <v>5</v>
          </cell>
          <cell r="R759">
            <v>49</v>
          </cell>
          <cell r="S759">
            <v>72</v>
          </cell>
          <cell r="T759">
            <v>26577</v>
          </cell>
          <cell r="U759" t="str">
            <v>L125762225</v>
          </cell>
          <cell r="V759" t="str">
            <v>許右義</v>
          </cell>
          <cell r="W759">
            <v>412</v>
          </cell>
          <cell r="X759" t="str">
            <v>台中市大里區仁德里四維街25號1樓</v>
          </cell>
          <cell r="Y759" t="str">
            <v>台中市大里區</v>
          </cell>
          <cell r="Z759" t="str">
            <v>台中市大里區仁德里四維街25號1樓.</v>
          </cell>
          <cell r="AA759" t="str">
            <v>412台中市大里區仁德里四維街25號1樓</v>
          </cell>
          <cell r="AK759" t="str">
            <v>402-VB</v>
          </cell>
          <cell r="AL759" t="str">
            <v>1-0416-竹南鎮公所&gt;寄&gt;附發票&gt;附回郵</v>
          </cell>
          <cell r="AM759" t="str">
            <v>1-0416</v>
          </cell>
        </row>
        <row r="760">
          <cell r="B760" t="str">
            <v>1-0755</v>
          </cell>
          <cell r="C760" t="str">
            <v>107-05-04</v>
          </cell>
          <cell r="D760" t="str">
            <v>1-0755-統順&gt;彭展俊&gt;小番薯&gt;寄＞附發票＞附回郵</v>
          </cell>
          <cell r="E760" t="str">
            <v>統順輪胎行&gt;彭展俊&gt;小番薯</v>
          </cell>
          <cell r="F760" t="str">
            <v>統順輪胎行(755)</v>
          </cell>
          <cell r="G760" t="str">
            <v>含稅</v>
          </cell>
          <cell r="H760" t="str">
            <v>寄＞附發票＞附回郵</v>
          </cell>
          <cell r="I760" t="str">
            <v>4101&gt;8285&gt;含稅</v>
          </cell>
          <cell r="J760">
            <v>30</v>
          </cell>
          <cell r="L760" t="str">
            <v>0934-322222彭展俊</v>
          </cell>
          <cell r="M760">
            <v>0</v>
          </cell>
          <cell r="R760" t="b">
            <v>0</v>
          </cell>
          <cell r="S760" t="str"/>
          <cell r="T760" t="b">
            <v>0</v>
          </cell>
          <cell r="W760">
            <v>327</v>
          </cell>
          <cell r="X760" t="str">
            <v>桃園市新屋區後湖里寶樹路316巷96號.</v>
          </cell>
          <cell r="Y760" t="str">
            <v>桃園市新屋區</v>
          </cell>
          <cell r="Z760" t="str">
            <v>桃園市新屋區後湖里寶樹路316巷96號.</v>
          </cell>
          <cell r="AA760" t="str">
            <v>327桃園市新屋區後湖里寶樹路316巷96號.</v>
          </cell>
          <cell r="AK760" t="str">
            <v>423-VB</v>
          </cell>
          <cell r="AL760" t="str">
            <v>1-0416-竹南鎮公所&gt;寄&gt;附發票&gt;附回郵</v>
          </cell>
          <cell r="AM760" t="str">
            <v>1-0416</v>
          </cell>
        </row>
        <row r="761">
          <cell r="B761" t="str">
            <v>1-0756</v>
          </cell>
          <cell r="C761" t="str">
            <v>107-05-12</v>
          </cell>
          <cell r="D761" t="str">
            <v>1-0756-興達隆&gt;明正&gt;寄&gt;匯款</v>
          </cell>
          <cell r="E761" t="str">
            <v xml:space="preserve">興達隆交通股份有限公司&gt;明正通運股份有限公司  </v>
          </cell>
          <cell r="F761" t="str">
            <v>興達隆交通股份有限公司(756)</v>
          </cell>
          <cell r="G761" t="str">
            <v>稅外</v>
          </cell>
          <cell r="H761" t="str">
            <v>寄&gt;匯款</v>
          </cell>
          <cell r="I761" t="str">
            <v>8612&gt;0068興達隆&gt;4717&gt;9934明正&gt;稅外</v>
          </cell>
          <cell r="J761">
            <v>30</v>
          </cell>
          <cell r="L761" t="str">
            <v>03-5971652&gt;0934-361867邱懋煜 經理&gt;傳真03-5971657</v>
          </cell>
          <cell r="M761">
            <v>0</v>
          </cell>
          <cell r="O761">
            <v>66</v>
          </cell>
          <cell r="P761">
            <v>6</v>
          </cell>
          <cell r="Q761">
            <v>8</v>
          </cell>
          <cell r="R761">
            <v>44</v>
          </cell>
          <cell r="S761">
            <v>77</v>
          </cell>
          <cell r="T761">
            <v>28284</v>
          </cell>
          <cell r="W761">
            <v>303</v>
          </cell>
          <cell r="X761" t="str">
            <v>新竹縣湖口鄉榮光路160號.</v>
          </cell>
          <cell r="Y761" t="str">
            <v>新竹縣湖口鄉</v>
          </cell>
          <cell r="Z761" t="str">
            <v>新竹縣湖口鄉榮光路160號.</v>
          </cell>
          <cell r="AA761" t="str">
            <v>303新竹縣湖口鄉榮光路160號.</v>
          </cell>
          <cell r="AK761" t="str">
            <v>586-RW</v>
          </cell>
          <cell r="AL761" t="str">
            <v>1-0416-竹南鎮公所&gt;寄&gt;附發票&gt;附回郵</v>
          </cell>
          <cell r="AM761" t="str">
            <v>1-0416</v>
          </cell>
        </row>
        <row r="762">
          <cell r="B762" t="str">
            <v>1-0757</v>
          </cell>
          <cell r="C762" t="str">
            <v>109-05-12/黃凱筠</v>
          </cell>
          <cell r="D762" t="str">
            <v>1-0757-金漢營造有限公司&gt;寄&gt;附發票&gt;一個月匯款</v>
          </cell>
          <cell r="E762" t="str">
            <v>金漢營造有限公司</v>
          </cell>
          <cell r="F762" t="str">
            <v>金漢營造有限公司(757)</v>
          </cell>
          <cell r="G762" t="str">
            <v>含稅</v>
          </cell>
          <cell r="H762" t="str">
            <v>寄&gt;附發票&gt;匯款</v>
          </cell>
          <cell r="I762" t="str">
            <v>1693&gt;5075含稅&gt;25號月結&gt;</v>
          </cell>
          <cell r="J762">
            <v>25</v>
          </cell>
          <cell r="L762" t="str">
            <v>03-9289789&gt;傳真03-9288894&gt;0963-362589許誌顯</v>
          </cell>
          <cell r="M762" t="str">
            <v>2-0131</v>
          </cell>
          <cell r="R762" t="b">
            <v>0</v>
          </cell>
          <cell r="S762" t="str"/>
          <cell r="T762" t="b">
            <v>0</v>
          </cell>
          <cell r="W762">
            <v>260</v>
          </cell>
          <cell r="X762" t="str">
            <v>宜蘭縣宜蘭市雪峰二路173號</v>
          </cell>
          <cell r="Y762" t="str">
            <v>宜蘭縣宜蘭市</v>
          </cell>
          <cell r="Z762" t="str">
            <v>宜蘭縣宜蘭市雪峰二路173號</v>
          </cell>
          <cell r="AA762" t="str">
            <v>260宜蘭縣宜蘭市雪峰二路173號</v>
          </cell>
          <cell r="AK762" t="str">
            <v>479-RN</v>
          </cell>
          <cell r="AL762" t="str">
            <v>1-0416-竹南鎮公所&gt;寄&gt;附發票&gt;附回郵</v>
          </cell>
          <cell r="AM762" t="str">
            <v>1-0416</v>
          </cell>
        </row>
        <row r="763">
          <cell r="B763" t="str">
            <v>1-0758</v>
          </cell>
          <cell r="C763" t="str">
            <v>107-06-08</v>
          </cell>
          <cell r="D763" t="str">
            <v>1-0758-銀鍠&gt;魏旭國&gt;東勢阿國&gt;寄&gt;2個月匯款</v>
          </cell>
          <cell r="E763" t="str">
            <v>銀鍠企業社&gt;魏旭國</v>
          </cell>
          <cell r="F763" t="str">
            <v>銀鍠企業社(758)</v>
          </cell>
          <cell r="G763" t="str">
            <v>含稅</v>
          </cell>
          <cell r="H763" t="str">
            <v>寄&gt;匯款</v>
          </cell>
          <cell r="I763" t="str">
            <v>2524&gt;3476&gt;含稅</v>
          </cell>
          <cell r="J763">
            <v>30</v>
          </cell>
          <cell r="L763" t="str">
            <v>0933-193758魏旭國</v>
          </cell>
          <cell r="M763">
            <v>0</v>
          </cell>
          <cell r="R763" t="b">
            <v>0</v>
          </cell>
          <cell r="S763" t="str"/>
          <cell r="T763" t="b">
            <v>0</v>
          </cell>
          <cell r="W763">
            <v>423</v>
          </cell>
          <cell r="X763" t="str">
            <v>台中市東勢區東和街39號</v>
          </cell>
          <cell r="Y763" t="str">
            <v>台中市東勢區</v>
          </cell>
          <cell r="Z763" t="str">
            <v>台中市東勢區東和街39號</v>
          </cell>
          <cell r="AA763" t="str">
            <v>423台中市東勢區東和街39號</v>
          </cell>
          <cell r="AK763" t="str">
            <v>447-RW</v>
          </cell>
          <cell r="AL763" t="str">
            <v>1-0416-竹南鎮公所&gt;寄&gt;附發票&gt;附回郵</v>
          </cell>
          <cell r="AM763" t="str">
            <v>1-0416</v>
          </cell>
        </row>
        <row r="764">
          <cell r="B764" t="str">
            <v>1-0759</v>
          </cell>
          <cell r="C764" t="str">
            <v>109-05-18/郭雯瑀</v>
          </cell>
          <cell r="D764" t="str">
            <v>1-0759-黃建鴻&gt;阿呆弟&gt;&gt;黑仔&gt;金鈺&gt;寄&gt;自結</v>
          </cell>
          <cell r="E764" t="str">
            <v>黃建鴻＞黑仔＞靠行:金鈺</v>
          </cell>
          <cell r="F764" t="str">
            <v>黃建鴻(759)</v>
          </cell>
          <cell r="G764" t="str">
            <v>未稅</v>
          </cell>
          <cell r="H764" t="str">
            <v>寄＞自結＞</v>
          </cell>
          <cell r="I764" t="str">
            <v>未稅</v>
          </cell>
          <cell r="J764">
            <v>30</v>
          </cell>
          <cell r="L764" t="str">
            <v>0917-956858&gt;0983-218940彭先生(帳務問題)</v>
          </cell>
          <cell r="M764">
            <v>0</v>
          </cell>
          <cell r="R764" t="b">
            <v>0</v>
          </cell>
          <cell r="S764" t="str"/>
          <cell r="T764" t="b">
            <v>0</v>
          </cell>
          <cell r="W764">
            <v>356</v>
          </cell>
          <cell r="X764" t="str">
            <v>苗栗縣後龍鎮東明里13鄰26-11號＞登:苗栗縣後龍鎮龍坑里15鄰十班坑169之5號。</v>
          </cell>
          <cell r="Y764" t="str">
            <v>苗栗縣後龍鎮</v>
          </cell>
          <cell r="Z764" t="str">
            <v>苗栗縣後龍鎮復興里建興路138號.</v>
          </cell>
          <cell r="AA764" t="str">
            <v>356苗栗縣後龍鎮東明里13鄰26-11號＞登:苗栗縣後龍鎮龍坑里15鄰十班坑169之5號。</v>
          </cell>
          <cell r="AK764" t="str">
            <v>112-SW</v>
          </cell>
          <cell r="AL764" t="str">
            <v>1-0416-竹南鎮公所&gt;寄&gt;附發票&gt;附回郵</v>
          </cell>
          <cell r="AM764" t="str">
            <v>1-0416</v>
          </cell>
        </row>
        <row r="765">
          <cell r="B765" t="str">
            <v>1-0760</v>
          </cell>
          <cell r="C765" t="str">
            <v>107-06-08</v>
          </cell>
          <cell r="D765" t="str">
            <v>1-0760-俊宏達&gt;寄&gt;附發票&gt;附回郵</v>
          </cell>
          <cell r="E765" t="str">
            <v>俊宏達有限公司</v>
          </cell>
          <cell r="F765" t="str">
            <v>俊宏達有限公司(760)</v>
          </cell>
          <cell r="G765" t="str">
            <v>稅外</v>
          </cell>
          <cell r="H765" t="str">
            <v>寄&gt;附發票&gt;附回郵</v>
          </cell>
          <cell r="I765" t="str">
            <v>1271&gt;9822&gt;稅外</v>
          </cell>
          <cell r="J765">
            <v>30</v>
          </cell>
          <cell r="L765" t="str">
            <v>037-463161&gt;許書凱0932-527588&gt;傳真037-474803</v>
          </cell>
          <cell r="M765">
            <v>0</v>
          </cell>
          <cell r="R765" t="b">
            <v>0</v>
          </cell>
          <cell r="S765" t="str"/>
          <cell r="T765" t="b">
            <v>0</v>
          </cell>
          <cell r="W765">
            <v>350</v>
          </cell>
          <cell r="X765" t="str">
            <v>苗栗縣竹南鎮海口里育才路23巷21弄17號</v>
          </cell>
          <cell r="Y765" t="str">
            <v>苗栗縣竹南鎮</v>
          </cell>
          <cell r="Z765" t="str">
            <v>苗栗縣竹南鎮海口里育才路23巷21弄17號</v>
          </cell>
          <cell r="AA765" t="str">
            <v>350苗栗縣竹南鎮海口里育才路23巷21弄17號</v>
          </cell>
          <cell r="AK765" t="str">
            <v>522-UW</v>
          </cell>
          <cell r="AL765" t="str">
            <v>1-0416-竹南鎮公所&gt;寄&gt;附發票&gt;附回郵</v>
          </cell>
          <cell r="AM765" t="str">
            <v>1-0416</v>
          </cell>
        </row>
        <row r="766">
          <cell r="B766" t="str">
            <v>1-0761</v>
          </cell>
          <cell r="C766" t="str">
            <v>107-06-11</v>
          </cell>
          <cell r="D766" t="str">
            <v>1-0761-山城米&gt;王致理&gt;寄&gt;附發票&gt;匯款&gt;義合</v>
          </cell>
          <cell r="E766" t="str">
            <v>義合碾米廠&gt;王致理</v>
          </cell>
          <cell r="F766" t="str">
            <v>義合碾米廠(761)</v>
          </cell>
          <cell r="G766" t="str">
            <v>稅外</v>
          </cell>
          <cell r="H766" t="str">
            <v>寄&gt;附發票&gt;匯款:義合</v>
          </cell>
          <cell r="I766" t="str">
            <v>8881&gt;2355&gt;稅外</v>
          </cell>
          <cell r="J766">
            <v>30</v>
          </cell>
          <cell r="L766" t="str">
            <v>037-638822&gt;037-611950&gt;王致理0928-331624&gt;傳真037-638557</v>
          </cell>
          <cell r="M766" t="str">
            <v>2-0197</v>
          </cell>
          <cell r="R766" t="b">
            <v>0</v>
          </cell>
          <cell r="S766" t="str"/>
          <cell r="T766" t="b">
            <v>0</v>
          </cell>
          <cell r="W766">
            <v>351</v>
          </cell>
          <cell r="X766" t="str">
            <v>苗栗縣頭份鎮廣興里2鄰27之11號</v>
          </cell>
          <cell r="Y766" t="str">
            <v>苗栗縣頭份鎮</v>
          </cell>
          <cell r="Z766" t="str">
            <v>苗栗縣頭份鎮廣興里2鄰27之11號</v>
          </cell>
          <cell r="AA766" t="str">
            <v>351苗栗縣頭份鎮廣興里2鄰27之11號</v>
          </cell>
          <cell r="AK766" t="str">
            <v>137-Y7</v>
          </cell>
          <cell r="AL766" t="str">
            <v>1-0416-竹南鎮公所&gt;寄&gt;附發票&gt;附回郵</v>
          </cell>
          <cell r="AM766" t="str">
            <v>1-0416</v>
          </cell>
        </row>
        <row r="767">
          <cell r="B767" t="str">
            <v>1-0762</v>
          </cell>
          <cell r="C767" t="str">
            <v>107-10-02</v>
          </cell>
          <cell r="D767" t="str">
            <v>1-0762-宏揚輪胎行</v>
          </cell>
          <cell r="E767" t="str">
            <v>宏揚輪胎行</v>
          </cell>
          <cell r="F767" t="str">
            <v>宏揚輪胎行(762)</v>
          </cell>
          <cell r="G767" t="str">
            <v>未稅</v>
          </cell>
          <cell r="I767" t="str">
            <v>未稅&gt;25號月結</v>
          </cell>
          <cell r="J767">
            <v>25</v>
          </cell>
          <cell r="L767" t="str">
            <v>0925-102687&gt;0934-285046</v>
          </cell>
          <cell r="M767">
            <v>0</v>
          </cell>
          <cell r="R767" t="b">
            <v>0</v>
          </cell>
          <cell r="S767" t="str"/>
          <cell r="T767" t="b">
            <v>0</v>
          </cell>
          <cell r="Y767" t="str"/>
          <cell r="AA767" t="str"/>
          <cell r="AK767" t="str">
            <v>138-Y7</v>
          </cell>
          <cell r="AL767" t="str">
            <v>1-0416-竹南鎮公所&gt;寄&gt;附發票&gt;附回郵</v>
          </cell>
          <cell r="AM767" t="str">
            <v>1-0416</v>
          </cell>
        </row>
        <row r="768">
          <cell r="B768" t="str">
            <v>1-0763</v>
          </cell>
          <cell r="C768" t="str">
            <v>107-06-30</v>
          </cell>
          <cell r="D768" t="str">
            <v>1-0763-建佑輪胎&gt;林建佑&gt;寄&gt;附回郵</v>
          </cell>
          <cell r="E768" t="str">
            <v>建佑輪胎&gt;林建佑(阿濱)</v>
          </cell>
          <cell r="F768" t="str">
            <v>建佑輪胎行(763)</v>
          </cell>
          <cell r="G768" t="str">
            <v>含稅</v>
          </cell>
          <cell r="H768" t="str">
            <v>寄&gt;附回郵</v>
          </cell>
          <cell r="I768" t="str">
            <v>2543&gt;8660&gt;含稅</v>
          </cell>
          <cell r="J768">
            <v>30</v>
          </cell>
          <cell r="L768" t="str">
            <v>0933-552201林建佑&gt;0985-024095</v>
          </cell>
          <cell r="M768">
            <v>0</v>
          </cell>
          <cell r="R768" t="b">
            <v>0</v>
          </cell>
          <cell r="S768" t="str"/>
          <cell r="T768" t="b">
            <v>0</v>
          </cell>
          <cell r="W768">
            <v>542</v>
          </cell>
          <cell r="X768" t="str">
            <v>南投縣草屯鎮北勢里玉屏路29號</v>
          </cell>
          <cell r="Y768" t="str">
            <v>南投縣草屯鎮</v>
          </cell>
          <cell r="Z768" t="str">
            <v>南投縣草屯鎮北勢里玉屏路29號</v>
          </cell>
          <cell r="AA768" t="str">
            <v>542南投縣草屯鎮北勢里玉屏路29號</v>
          </cell>
          <cell r="AK768" t="str">
            <v>466-Y7</v>
          </cell>
          <cell r="AL768" t="str">
            <v>1-0416-竹南鎮公所&gt;寄&gt;附發票&gt;附回郵</v>
          </cell>
          <cell r="AM768" t="str">
            <v>1-0416</v>
          </cell>
        </row>
        <row r="769">
          <cell r="B769" t="str">
            <v>1-0764</v>
          </cell>
          <cell r="C769" t="str">
            <v>107-07-02</v>
          </cell>
          <cell r="D769" t="str">
            <v>1-0764-信宏&gt;寄&gt;附回郵</v>
          </cell>
          <cell r="E769" t="str">
            <v>信宏起重工程有限公司</v>
          </cell>
          <cell r="F769" t="str">
            <v>信宏起重工程有限公司(764)</v>
          </cell>
          <cell r="G769" t="str">
            <v>含稅</v>
          </cell>
          <cell r="H769" t="str">
            <v>寄&gt;附回郵</v>
          </cell>
          <cell r="I769" t="str">
            <v>8012&gt;0365&gt;含稅</v>
          </cell>
          <cell r="J769">
            <v>30</v>
          </cell>
          <cell r="L769" t="str">
            <v>03-375-4888&gt;03-363-4141&gt;傳真03-376-0630</v>
          </cell>
          <cell r="M769">
            <v>0</v>
          </cell>
          <cell r="R769" t="b">
            <v>0</v>
          </cell>
          <cell r="S769" t="str"/>
          <cell r="T769" t="b">
            <v>0</v>
          </cell>
          <cell r="W769">
            <v>334</v>
          </cell>
          <cell r="X769" t="str">
            <v>桃園市八德區和平路961巷35號</v>
          </cell>
          <cell r="Y769" t="str">
            <v>桃園市八德區</v>
          </cell>
          <cell r="Z769" t="str">
            <v>桃園市八德區和平路961巷35號</v>
          </cell>
          <cell r="AA769" t="str">
            <v>334桃園市八德區和平路961巷35號</v>
          </cell>
          <cell r="AK769" t="str">
            <v>467-Y7</v>
          </cell>
          <cell r="AL769" t="str">
            <v>1-0416-竹南鎮公所&gt;寄&gt;附發票&gt;附回郵</v>
          </cell>
          <cell r="AM769" t="str">
            <v>1-0416</v>
          </cell>
        </row>
        <row r="770">
          <cell r="B770" t="str">
            <v>1-0765</v>
          </cell>
          <cell r="C770" t="str">
            <v>107-07-05</v>
          </cell>
          <cell r="D770" t="str">
            <v>1-0765-高雄空廚&gt;寄&gt;附發票&gt;2個月匯款</v>
          </cell>
          <cell r="E770" t="str">
            <v>高雄空廚股份有限公司</v>
          </cell>
          <cell r="F770" t="str">
            <v>高雄空廚股份有限公司(765)</v>
          </cell>
          <cell r="G770" t="str">
            <v>稅外</v>
          </cell>
          <cell r="H770" t="str">
            <v>寄&gt;附發票&gt;2個月匯款</v>
          </cell>
          <cell r="I770" t="str">
            <v>7075&gt;0455&gt;稅外&gt;20號月結</v>
          </cell>
          <cell r="J770">
            <v>20</v>
          </cell>
          <cell r="L770" t="str">
            <v>037-630256#108邱小姐&gt;傳真037-614946</v>
          </cell>
          <cell r="M770" t="str">
            <v>2-0066</v>
          </cell>
          <cell r="R770" t="b">
            <v>0</v>
          </cell>
          <cell r="S770" t="str"/>
          <cell r="T770" t="b">
            <v>0</v>
          </cell>
          <cell r="W770">
            <v>350</v>
          </cell>
          <cell r="X770" t="str">
            <v>苗栗縣竹南鎮公館里公館仔75-1號</v>
          </cell>
          <cell r="Y770" t="str">
            <v>苗栗縣竹南鎮</v>
          </cell>
          <cell r="Z770" t="str">
            <v>苗栗縣竹南鎮公館里公館仔75-1號</v>
          </cell>
          <cell r="AA770" t="str">
            <v>350苗栗縣竹南鎮公館里公館仔75-1號</v>
          </cell>
          <cell r="AK770" t="str">
            <v>KEA-9112</v>
          </cell>
          <cell r="AL770" t="str">
            <v>1-0416-竹南鎮公所&gt;寄&gt;附發票&gt;附回郵</v>
          </cell>
          <cell r="AM770" t="str">
            <v>1-0416</v>
          </cell>
        </row>
        <row r="771">
          <cell r="B771" t="str">
            <v>1-0766</v>
          </cell>
          <cell r="C771" t="str">
            <v>107-07-13</v>
          </cell>
          <cell r="D771" t="str">
            <v>1-0766-聯鑫通運&gt;銘鑫物流&gt;聯準企業社&gt;謝惠錦&gt;寄&gt;附發票&gt;附回郵</v>
          </cell>
          <cell r="E771" t="str">
            <v>聯鑫通運&gt;銘鑫物流&gt;聯準企業社&gt;謝惠錦</v>
          </cell>
          <cell r="F771" t="str">
            <v>聯鑫通運股份有限公司(766)</v>
          </cell>
          <cell r="G771" t="str">
            <v>稅外</v>
          </cell>
          <cell r="H771" t="str">
            <v>寄&gt;附發票&gt;附回郵</v>
          </cell>
          <cell r="I771" t="str">
            <v>4713&gt;9315&gt;稅外&gt;轎車不開發票</v>
          </cell>
          <cell r="J771">
            <v>30</v>
          </cell>
          <cell r="L771" t="str">
            <v>037-586230#15&gt;傳真037-586035</v>
          </cell>
          <cell r="M771" t="str">
            <v>2-0180</v>
          </cell>
          <cell r="R771" t="b">
            <v>0</v>
          </cell>
          <cell r="S771" t="str"/>
          <cell r="T771" t="b">
            <v>0</v>
          </cell>
          <cell r="W771">
            <v>350</v>
          </cell>
          <cell r="X771" t="str">
            <v>苗栗縣竹南鎮科專路1號</v>
          </cell>
          <cell r="Y771" t="str">
            <v>苗栗縣竹南鎮</v>
          </cell>
          <cell r="Z771" t="str">
            <v>苗栗縣竹南鎮科專路1號</v>
          </cell>
          <cell r="AA771" t="str">
            <v>350苗栗縣竹南鎮科專路1號</v>
          </cell>
          <cell r="AK771" t="str">
            <v>KEA-9113</v>
          </cell>
          <cell r="AL771" t="str">
            <v>1-0416-竹南鎮公所&gt;寄&gt;附發票&gt;附回郵</v>
          </cell>
          <cell r="AM771" t="str">
            <v>1-0416</v>
          </cell>
        </row>
        <row r="772">
          <cell r="B772" t="str">
            <v>1-0767</v>
          </cell>
          <cell r="C772" t="str">
            <v>107-07-17</v>
          </cell>
          <cell r="D772" t="str">
            <v>1-0767-鑫豪食品&gt;鐘湧鈞&gt;鐘添丁&gt;寄&gt;附發票&gt;附回郵</v>
          </cell>
          <cell r="E772" t="str">
            <v>鑫豪食品股份有限公司&gt;鐘湧鈞&gt;鐘添丁</v>
          </cell>
          <cell r="F772" t="str">
            <v>鑫豪食品股份有限公司(767)</v>
          </cell>
          <cell r="G772" t="str">
            <v>稅外</v>
          </cell>
          <cell r="H772" t="str">
            <v>寄&gt;附發票&gt;附回郵</v>
          </cell>
          <cell r="I772" t="str">
            <v>2259&gt;8018&gt;稅外</v>
          </cell>
          <cell r="J772">
            <v>30</v>
          </cell>
          <cell r="L772" t="str">
            <v>037-583651&gt;鐘湧鈞0920176980&gt;傳真037584509</v>
          </cell>
          <cell r="M772" t="str">
            <v>2-0175</v>
          </cell>
          <cell r="R772" t="b">
            <v>0</v>
          </cell>
          <cell r="S772" t="str"/>
          <cell r="T772" t="b">
            <v>0</v>
          </cell>
          <cell r="W772">
            <v>350</v>
          </cell>
          <cell r="X772" t="str">
            <v>苗栗縣竹南鎮仁愛路1453號</v>
          </cell>
          <cell r="Y772" t="str">
            <v>苗栗縣竹南鎮</v>
          </cell>
          <cell r="Z772" t="str">
            <v>苗栗縣竹南鎮仁愛路1453號</v>
          </cell>
          <cell r="AA772" t="str">
            <v>350苗栗縣竹南鎮仁愛路1453號</v>
          </cell>
          <cell r="AK772" t="str">
            <v>KEA-9133</v>
          </cell>
          <cell r="AL772" t="str">
            <v>1-0416-竹南鎮公所&gt;寄&gt;附發票&gt;附回郵</v>
          </cell>
          <cell r="AM772" t="str">
            <v>1-0416</v>
          </cell>
        </row>
        <row r="773">
          <cell r="B773" t="str">
            <v>1-0768</v>
          </cell>
          <cell r="C773" t="str">
            <v>107-07-26</v>
          </cell>
          <cell r="D773" t="str">
            <v>1-0768-正順環保&gt;高富榮&gt;寄&gt;附發票&gt;附回郵</v>
          </cell>
          <cell r="E773" t="str">
            <v>正順環保有限公司&gt;高富榮</v>
          </cell>
          <cell r="F773" t="str">
            <v>正順環保有限公司(768)</v>
          </cell>
          <cell r="G773" t="str">
            <v>含稅</v>
          </cell>
          <cell r="H773" t="str">
            <v>寄&gt;附發票&gt;附回郵&gt;匯款48040</v>
          </cell>
          <cell r="I773" t="str">
            <v>5409&gt;5876&gt;含稅&gt;委外救車含稅</v>
          </cell>
          <cell r="J773">
            <v>30</v>
          </cell>
          <cell r="L773" t="str">
            <v>0988-427077高富榮</v>
          </cell>
          <cell r="M773" t="str">
            <v>2-0086</v>
          </cell>
          <cell r="R773" t="b">
            <v>0</v>
          </cell>
          <cell r="S773" t="str"/>
          <cell r="T773" t="b">
            <v>0</v>
          </cell>
          <cell r="W773">
            <v>356</v>
          </cell>
          <cell r="X773" t="str">
            <v>苗栗縣後龍鎮溪洲里7鄰四份仔路140巷10號</v>
          </cell>
          <cell r="Y773" t="str">
            <v>苗栗縣後龍鎮</v>
          </cell>
          <cell r="Z773" t="str">
            <v>苗栗縣後龍鎮溪洲里7鄰四份仔路140巷10號</v>
          </cell>
          <cell r="AA773" t="str">
            <v>356苗栗縣後龍鎮溪洲里7鄰四份仔路140巷10號</v>
          </cell>
          <cell r="AK773" t="str">
            <v>BCK-6355</v>
          </cell>
          <cell r="AL773" t="str">
            <v>1-0416-竹南鎮公所&gt;寄&gt;附發票&gt;附回郵</v>
          </cell>
          <cell r="AM773" t="str">
            <v>1-0416</v>
          </cell>
        </row>
        <row r="774">
          <cell r="B774" t="str">
            <v>1-0769</v>
          </cell>
          <cell r="C774" t="str">
            <v>107-08-01</v>
          </cell>
          <cell r="D774" t="str">
            <v>1-0769-茂森企業&gt;陳冠源&gt;寄&gt;親收</v>
          </cell>
          <cell r="E774" t="str">
            <v>茂森企業股份有限公司&gt;陳冠源</v>
          </cell>
          <cell r="F774" t="str">
            <v>茂森企業股份有限公司(769)</v>
          </cell>
          <cell r="G774" t="str">
            <v>稅外</v>
          </cell>
          <cell r="H774" t="str">
            <v>寄&gt;親收</v>
          </cell>
          <cell r="I774" t="str">
            <v>1334&gt;0312&gt;稅外</v>
          </cell>
          <cell r="J774">
            <v>30</v>
          </cell>
          <cell r="L774" t="str">
            <v>0983312016陳冠源&gt;037-469895&gt;傳真037469896</v>
          </cell>
          <cell r="M774">
            <v>0</v>
          </cell>
          <cell r="R774" t="b">
            <v>0</v>
          </cell>
          <cell r="S774" t="str"/>
          <cell r="T774" t="b">
            <v>0</v>
          </cell>
          <cell r="W774">
            <v>350</v>
          </cell>
          <cell r="X774" t="str">
            <v>苗栗縣竹南鎮光武街36-22號</v>
          </cell>
          <cell r="Y774" t="str">
            <v>苗栗縣竹南鎮</v>
          </cell>
          <cell r="Z774" t="str">
            <v>苗栗縣竹南鎮光武街36-22號</v>
          </cell>
          <cell r="AA774" t="str">
            <v>350苗栗縣竹南鎮光武街36-22號</v>
          </cell>
          <cell r="AK774" t="str">
            <v>578-TZ</v>
          </cell>
          <cell r="AL774" t="str">
            <v>1-0416-竹南鎮公所&gt;寄&gt;附發票&gt;附回郵</v>
          </cell>
          <cell r="AM774" t="str">
            <v>1-0416</v>
          </cell>
        </row>
        <row r="775">
          <cell r="B775" t="str">
            <v>1-0770</v>
          </cell>
          <cell r="C775" t="str">
            <v>107-08-07</v>
          </cell>
          <cell r="D775" t="str">
            <v>1-0770-施順衡&gt;寄&gt;自結</v>
          </cell>
          <cell r="E775" t="str">
            <v>施順衡</v>
          </cell>
          <cell r="F775" t="str">
            <v>施順衡(770)</v>
          </cell>
          <cell r="G775" t="str">
            <v>未稅</v>
          </cell>
          <cell r="H775" t="str">
            <v>寄&gt;自結</v>
          </cell>
          <cell r="I775" t="str">
            <v>未稅</v>
          </cell>
          <cell r="J775">
            <v>30</v>
          </cell>
          <cell r="L775" t="str">
            <v>0913626935施順衡&gt;04-26152297&gt;</v>
          </cell>
          <cell r="M775">
            <v>0</v>
          </cell>
          <cell r="R775" t="b">
            <v>0</v>
          </cell>
          <cell r="S775" t="str"/>
          <cell r="T775" t="b">
            <v>0</v>
          </cell>
          <cell r="W775">
            <v>433</v>
          </cell>
          <cell r="X775" t="str">
            <v>台中市沙鹿區中清路6段261巷163號</v>
          </cell>
          <cell r="Y775" t="str">
            <v>台中市沙鹿區</v>
          </cell>
          <cell r="Z775" t="str">
            <v>台中市沙鹿區中清路6段261巷163號</v>
          </cell>
          <cell r="AA775" t="str">
            <v>433台中市沙鹿區中清路6段261巷163號</v>
          </cell>
          <cell r="AK775" t="str">
            <v>973-TY</v>
          </cell>
          <cell r="AL775" t="str">
            <v>1-0416-竹南鎮公所&gt;寄&gt;附發票&gt;附回郵</v>
          </cell>
          <cell r="AM775" t="str">
            <v>1-0416</v>
          </cell>
        </row>
        <row r="776">
          <cell r="B776" t="str">
            <v>1-0771</v>
          </cell>
          <cell r="C776" t="str">
            <v>107-08-10</v>
          </cell>
          <cell r="D776" t="str">
            <v>1-0771-大家冰品&gt;陳建同&gt;付現</v>
          </cell>
          <cell r="E776" t="str">
            <v>大家冰品股份有限公司&gt;陳建同</v>
          </cell>
          <cell r="F776" t="str">
            <v>大家冰品(771)</v>
          </cell>
          <cell r="G776" t="str">
            <v>稅外</v>
          </cell>
          <cell r="H776" t="str">
            <v>付現</v>
          </cell>
          <cell r="I776" t="str">
            <v>5497&gt;3579&gt;稅外</v>
          </cell>
          <cell r="J776">
            <v>30</v>
          </cell>
          <cell r="L776" t="str">
            <v>0932-527453陳建同&gt;037-466447</v>
          </cell>
          <cell r="M776">
            <v>0</v>
          </cell>
          <cell r="N776" t="str">
            <v>037-466440</v>
          </cell>
          <cell r="R776" t="b">
            <v>0</v>
          </cell>
          <cell r="S776" t="str"/>
          <cell r="T776" t="b">
            <v>0</v>
          </cell>
          <cell r="W776">
            <v>350</v>
          </cell>
          <cell r="X776" t="str">
            <v>苗栗縣竹南鎮龍天路53號</v>
          </cell>
          <cell r="Y776" t="str">
            <v>苗栗縣竹南鎮</v>
          </cell>
          <cell r="Z776" t="str">
            <v>苗栗縣竹南鎮龍天路53號</v>
          </cell>
          <cell r="AA776" t="str">
            <v>350苗栗縣竹南鎮龍天路53號</v>
          </cell>
          <cell r="AK776" t="str">
            <v>4065-HN</v>
          </cell>
          <cell r="AL776" t="str">
            <v>1-0416-竹南鎮公所&gt;寄&gt;附發票&gt;附回郵</v>
          </cell>
          <cell r="AM776" t="str">
            <v>1-0416</v>
          </cell>
        </row>
        <row r="777">
          <cell r="B777" t="str">
            <v>1-0772</v>
          </cell>
          <cell r="C777" t="str">
            <v>107-08-14</v>
          </cell>
          <cell r="D777" t="str">
            <v>1-0772-南棠塑膠&gt;陳恭琳&gt;寄&gt;附回郵&gt;附回郵</v>
          </cell>
          <cell r="E777" t="str">
            <v>南棠塑膠股份有限公司&gt;陳恭琳</v>
          </cell>
          <cell r="F777" t="str">
            <v>南塘塑膠股份有限公司(772)</v>
          </cell>
          <cell r="G777" t="str">
            <v>未稅</v>
          </cell>
          <cell r="H777" t="str">
            <v>寄附回郵&gt;附回郵</v>
          </cell>
          <cell r="I777" t="str">
            <v>5054&gt;9427&gt;稅外</v>
          </cell>
          <cell r="J777">
            <v>30</v>
          </cell>
          <cell r="L777" t="str">
            <v>037-627581&gt;傳真037-613553</v>
          </cell>
          <cell r="M777">
            <v>0</v>
          </cell>
          <cell r="R777" t="b">
            <v>0</v>
          </cell>
          <cell r="S777" t="str"/>
          <cell r="T777" t="b">
            <v>0</v>
          </cell>
          <cell r="W777">
            <v>351</v>
          </cell>
          <cell r="X777" t="str">
            <v>苗栗縣頭份市蘆竹里二鄰永貞路一段145巷9號</v>
          </cell>
          <cell r="Y777" t="str">
            <v>苗栗縣頭份市</v>
          </cell>
          <cell r="Z777" t="str">
            <v>苗栗縣頭份市蘆竹里二鄰永貞路一段145巷9號</v>
          </cell>
          <cell r="AA777" t="str">
            <v>351苗栗縣頭份市蘆竹里二鄰永貞路一段145巷9號</v>
          </cell>
          <cell r="AK777" t="str">
            <v>T7-4596</v>
          </cell>
          <cell r="AL777" t="str">
            <v>1-0416-竹南鎮公所&gt;寄&gt;附發票&gt;附回郵</v>
          </cell>
          <cell r="AM777" t="str">
            <v>1-0416</v>
          </cell>
        </row>
        <row r="778">
          <cell r="B778" t="str">
            <v>1-0773</v>
          </cell>
          <cell r="C778" t="str">
            <v>107-08-17</v>
          </cell>
          <cell r="D778" t="str">
            <v>1-0773-寬裕&gt;李寬裕&gt;寄&gt;附發票&gt;附回郵</v>
          </cell>
          <cell r="E778" t="str">
            <v>寬裕企業有限公司&gt;李寬裕</v>
          </cell>
          <cell r="F778" t="str">
            <v>寬裕企業有限公司(773)</v>
          </cell>
          <cell r="G778" t="str">
            <v>稅外</v>
          </cell>
          <cell r="H778" t="str">
            <v>寄&gt;附發票&gt;附回郵</v>
          </cell>
          <cell r="I778" t="str">
            <v>2463&gt;8607&gt;稅外</v>
          </cell>
          <cell r="J778">
            <v>30</v>
          </cell>
          <cell r="L778" t="str">
            <v>037-482480&gt;0916387351李寬裕&gt;傳真037-482402</v>
          </cell>
          <cell r="M778" t="str">
            <v>2-0071</v>
          </cell>
          <cell r="R778" t="b">
            <v>0</v>
          </cell>
          <cell r="S778" t="str"/>
          <cell r="T778" t="b">
            <v>0</v>
          </cell>
          <cell r="W778">
            <v>350</v>
          </cell>
          <cell r="X778" t="str">
            <v>苗栗縣竹南鎮環市路2段72號</v>
          </cell>
          <cell r="Y778" t="str">
            <v>苗栗縣竹南鎮</v>
          </cell>
          <cell r="Z778" t="str">
            <v>苗栗縣竹南鎮環市路2段72號</v>
          </cell>
          <cell r="AA778" t="str">
            <v>350苗栗縣竹南鎮環市路2段72號</v>
          </cell>
          <cell r="AK778" t="str">
            <v>073-RW</v>
          </cell>
          <cell r="AL778" t="str">
            <v>1-0416-竹南鎮公所&gt;寄&gt;附發票&gt;附回郵</v>
          </cell>
          <cell r="AM778" t="str">
            <v>1-0416</v>
          </cell>
        </row>
        <row r="779">
          <cell r="B779" t="str">
            <v>1-0774</v>
          </cell>
          <cell r="C779" t="str">
            <v>107-08-26</v>
          </cell>
          <cell r="D779" t="str">
            <v>1-0774-京展&gt;寄&gt;匯款&gt;附發票</v>
          </cell>
          <cell r="E779" t="str">
            <v>京展輪圈有限公司</v>
          </cell>
          <cell r="F779" t="str">
            <v>京展輪圈有限公司(774)</v>
          </cell>
          <cell r="G779" t="str">
            <v>未稅</v>
          </cell>
          <cell r="H779" t="str">
            <v>寄&gt;附發票&gt;匯款:0005887 李志強.柯懿珊.126800</v>
          </cell>
          <cell r="I779" t="str">
            <v>2913&gt;4226&gt;未稅&gt;25號月結&gt;獅王含稅</v>
          </cell>
          <cell r="J779">
            <v>25</v>
          </cell>
          <cell r="L779" t="str">
            <v>02-22961987&gt;傳真02-29093515&gt;0939-652338李志強</v>
          </cell>
          <cell r="M779" t="str">
            <v>2-0058</v>
          </cell>
          <cell r="R779" t="b">
            <v>0</v>
          </cell>
          <cell r="S779" t="str"/>
          <cell r="T779" t="b">
            <v>0</v>
          </cell>
          <cell r="W779">
            <v>243</v>
          </cell>
          <cell r="X779" t="str">
            <v>新北市泰山區泰林路二段23-5號</v>
          </cell>
          <cell r="Y779" t="str">
            <v>新北市泰山區</v>
          </cell>
          <cell r="Z779" t="str">
            <v>新北市泰山區泰林路二段23-5號</v>
          </cell>
          <cell r="AA779" t="str">
            <v>243新北市泰山區泰林路二段23-5號</v>
          </cell>
          <cell r="AK779" t="str">
            <v>9F-163</v>
          </cell>
          <cell r="AL779" t="str">
            <v>1-0416-竹南鎮公所&gt;寄&gt;附發票&gt;附回郵</v>
          </cell>
          <cell r="AM779" t="str">
            <v>1-0416</v>
          </cell>
        </row>
        <row r="780">
          <cell r="B780" t="str">
            <v>1-0775</v>
          </cell>
          <cell r="C780" t="str">
            <v>107-08-27</v>
          </cell>
          <cell r="D780" t="str">
            <v>1-0775-普利司通&gt;3個月匯款</v>
          </cell>
          <cell r="E780" t="str">
            <v>普利司通中區銷售股份有限公司</v>
          </cell>
          <cell r="F780" t="str">
            <v>普利司通中區銷售股份有限公司(775)</v>
          </cell>
          <cell r="G780" t="str">
            <v>稅外</v>
          </cell>
          <cell r="H780" t="str">
            <v>附發票&gt;3個月匯款</v>
          </cell>
          <cell r="I780" t="str">
            <v>1274＞9608＞稅外&gt;25號月結&gt;24日止換月</v>
          </cell>
          <cell r="J780">
            <v>25</v>
          </cell>
          <cell r="L780" t="str">
            <v>037-680032&gt;0928-387792莊發興037-684352</v>
          </cell>
          <cell r="M780">
            <v>0</v>
          </cell>
          <cell r="R780" t="b">
            <v>0</v>
          </cell>
          <cell r="S780" t="str"/>
          <cell r="T780" t="b">
            <v>0</v>
          </cell>
          <cell r="W780">
            <v>351</v>
          </cell>
          <cell r="X780" t="str">
            <v>苗栗縣頭份鎮東民路27號</v>
          </cell>
          <cell r="Y780" t="str">
            <v>苗栗縣頭份鎮</v>
          </cell>
          <cell r="Z780" t="str">
            <v>苗栗縣頭份鎮東民路27號</v>
          </cell>
          <cell r="AA780" t="str">
            <v>351苗栗縣頭份鎮東民路27號</v>
          </cell>
          <cell r="AK780" t="str">
            <v>383-RW</v>
          </cell>
          <cell r="AL780" t="str">
            <v>1-0416-竹南鎮公所&gt;寄&gt;附發票&gt;附回郵</v>
          </cell>
          <cell r="AM780" t="str">
            <v>1-0416</v>
          </cell>
        </row>
        <row r="781">
          <cell r="B781" t="str">
            <v>1-0776</v>
          </cell>
          <cell r="C781" t="str">
            <v>107-08-27</v>
          </cell>
          <cell r="D781" t="str">
            <v>1-0776-生發化學&gt;寄</v>
          </cell>
          <cell r="E781" t="str">
            <v>生發化學生技股份有限公司</v>
          </cell>
          <cell r="F781" t="str">
            <v>生發化學生技股份有限公司(776)</v>
          </cell>
          <cell r="G781" t="str">
            <v>稅外</v>
          </cell>
          <cell r="H781" t="str">
            <v>寄&gt;</v>
          </cell>
          <cell r="J781">
            <v>30</v>
          </cell>
          <cell r="L781" t="str">
            <v>04-23327555#221賴小姐&gt;傳真04-23327577</v>
          </cell>
          <cell r="M781">
            <v>0</v>
          </cell>
          <cell r="R781" t="b">
            <v>0</v>
          </cell>
          <cell r="S781" t="str"/>
          <cell r="T781" t="b">
            <v>0</v>
          </cell>
          <cell r="W781">
            <v>413</v>
          </cell>
          <cell r="X781" t="str">
            <v>台中市霧峰區霧工三路11號</v>
          </cell>
          <cell r="Y781" t="str">
            <v>台中市霧峰區</v>
          </cell>
          <cell r="Z781" t="str">
            <v>台中市霧峰區霧工三路11號</v>
          </cell>
          <cell r="AA781" t="str">
            <v>413台中市霧峰區霧工三路11號</v>
          </cell>
          <cell r="AK781" t="str">
            <v>667-Y7</v>
          </cell>
          <cell r="AL781" t="str">
            <v>1-0416-竹南鎮公所&gt;寄&gt;附發票&gt;附回郵</v>
          </cell>
          <cell r="AM781" t="str">
            <v>1-0416</v>
          </cell>
        </row>
        <row r="782">
          <cell r="B782" t="str">
            <v>1-0777</v>
          </cell>
          <cell r="C782" t="str">
            <v>107-08-29</v>
          </cell>
          <cell r="D782" t="str">
            <v>1-0777-怡隆&gt;自結</v>
          </cell>
          <cell r="E782" t="str">
            <v>怡隆有限公司</v>
          </cell>
          <cell r="F782" t="str">
            <v>怡隆有限公司(777)</v>
          </cell>
          <cell r="G782" t="str">
            <v>未稅</v>
          </cell>
          <cell r="H782" t="str">
            <v>自結</v>
          </cell>
          <cell r="J782">
            <v>30</v>
          </cell>
          <cell r="L782" t="str">
            <v>0932-667429</v>
          </cell>
          <cell r="M782">
            <v>0</v>
          </cell>
          <cell r="R782" t="b">
            <v>0</v>
          </cell>
          <cell r="S782" t="str"/>
          <cell r="T782" t="b">
            <v>0</v>
          </cell>
          <cell r="W782">
            <v>351</v>
          </cell>
          <cell r="X782" t="str">
            <v>苗栗縣頭份市建國路80巷7弄6號</v>
          </cell>
          <cell r="Y782" t="str">
            <v>苗栗縣頭份市</v>
          </cell>
          <cell r="Z782" t="str">
            <v>苗栗縣頭份市建國路80巷7弄6號</v>
          </cell>
          <cell r="AA782" t="str">
            <v>351苗栗縣頭份市建國路80巷7弄6號</v>
          </cell>
          <cell r="AK782" t="str">
            <v>347-VB</v>
          </cell>
          <cell r="AL782" t="str">
            <v>1-0416-竹南鎮公所&gt;寄&gt;附發票&gt;附回郵</v>
          </cell>
          <cell r="AM782" t="str">
            <v>1-0416</v>
          </cell>
        </row>
        <row r="783">
          <cell r="B783" t="str">
            <v>1-0778</v>
          </cell>
          <cell r="C783" t="str">
            <v>107-09-01</v>
          </cell>
          <cell r="D783" t="str">
            <v>1-0778-國際水電&gt;尖下&gt;寄&gt;兩個月匯款</v>
          </cell>
          <cell r="E783" t="str">
            <v>國際水電有限公司&gt;尖下</v>
          </cell>
          <cell r="F783" t="str">
            <v>國際水電有限公司(778)</v>
          </cell>
          <cell r="G783" t="str">
            <v>未稅</v>
          </cell>
          <cell r="H783" t="str">
            <v>寄&gt;2個月匯款</v>
          </cell>
          <cell r="I783" t="str">
            <v>未稅</v>
          </cell>
          <cell r="J783">
            <v>30</v>
          </cell>
          <cell r="L783" t="str">
            <v>037-635-317&gt;037-622-987</v>
          </cell>
          <cell r="M783" t="str">
            <v>2-0100</v>
          </cell>
          <cell r="R783" t="b">
            <v>0</v>
          </cell>
          <cell r="S783" t="str"/>
          <cell r="T783" t="b">
            <v>0</v>
          </cell>
          <cell r="W783">
            <v>351</v>
          </cell>
          <cell r="X783" t="str">
            <v>苗栗縣頭份市尖豐路594號</v>
          </cell>
          <cell r="Y783" t="str">
            <v>苗栗縣頭份市</v>
          </cell>
          <cell r="Z783" t="str">
            <v>苗栗縣頭份市尖豐路594號</v>
          </cell>
          <cell r="AA783" t="str">
            <v>351苗栗縣頭份市尖豐路594號</v>
          </cell>
          <cell r="AK783" t="str">
            <v>2927-KY</v>
          </cell>
          <cell r="AL783" t="str">
            <v>1-0416-竹南鎮公所&gt;寄&gt;附發票&gt;附回郵</v>
          </cell>
          <cell r="AM783" t="str">
            <v>1-0416</v>
          </cell>
        </row>
        <row r="784">
          <cell r="B784" t="str">
            <v>1-0779</v>
          </cell>
          <cell r="C784" t="str">
            <v>109-05-19/郭雯瑀</v>
          </cell>
          <cell r="D784" t="str">
            <v>1-0779-東昌輪胎行&gt;寄&gt;附回郵</v>
          </cell>
          <cell r="E784" t="str">
            <v>東昌輪胎行</v>
          </cell>
          <cell r="F784" t="str">
            <v>東昌輪胎行(779)</v>
          </cell>
          <cell r="G784" t="str">
            <v>未稅</v>
          </cell>
          <cell r="H784" t="str">
            <v>寄&gt;附回郵</v>
          </cell>
          <cell r="I784" t="str">
            <v>未稅</v>
          </cell>
          <cell r="J784">
            <v>30</v>
          </cell>
          <cell r="L784" t="str">
            <v>037-235081&gt;0989-365291徐政榮</v>
          </cell>
          <cell r="M784">
            <v>0</v>
          </cell>
          <cell r="R784" t="b">
            <v>0</v>
          </cell>
          <cell r="S784" t="str"/>
          <cell r="T784" t="b">
            <v>0</v>
          </cell>
          <cell r="W784">
            <v>363</v>
          </cell>
          <cell r="X784" t="str">
            <v>苗栗縣公館鄉玉泉村9鄰243號</v>
          </cell>
          <cell r="Y784" t="str">
            <v>苗栗縣公館鄉</v>
          </cell>
          <cell r="Z784" t="str">
            <v>苗栗縣公館鄉玉泉村9鄰243號</v>
          </cell>
          <cell r="AA784" t="str">
            <v>363苗栗縣公館鄉玉泉村9鄰243號</v>
          </cell>
          <cell r="AK784" t="str">
            <v>2926-KY</v>
          </cell>
          <cell r="AL784" t="str">
            <v>1-0416-竹南鎮公所&gt;寄&gt;附發票&gt;附回郵</v>
          </cell>
          <cell r="AM784" t="str">
            <v>1-0416</v>
          </cell>
        </row>
        <row r="785">
          <cell r="B785" t="str">
            <v>1-0780</v>
          </cell>
          <cell r="C785" t="str">
            <v>107-09-04</v>
          </cell>
          <cell r="D785" t="str">
            <v>1-0780-易陽&gt;財石砂石&gt;寄&gt;附發票&gt;附回郵</v>
          </cell>
          <cell r="E785" t="str">
            <v>易陽運輸股份有限公司&gt;易陽開發有限公司&gt;財石砂石有限公司</v>
          </cell>
          <cell r="F785" t="str">
            <v>易陽運輸股份有限公司(780)</v>
          </cell>
          <cell r="G785" t="str">
            <v>含稅</v>
          </cell>
          <cell r="H785" t="str">
            <v>寄&gt;附發票&gt;附回郵</v>
          </cell>
          <cell r="I785" t="str">
            <v>易陽8340&gt;8476&gt;財石8970&gt;1217&gt;統編開易陽&gt;含稅</v>
          </cell>
          <cell r="J785">
            <v>30</v>
          </cell>
          <cell r="L785" t="str">
            <v>04-25336789&gt;傳真04-25316699&gt;0955-192222游泳雄&gt;</v>
          </cell>
          <cell r="M785" t="str">
            <v>2-0085</v>
          </cell>
          <cell r="R785" t="b">
            <v>0</v>
          </cell>
          <cell r="S785" t="str"/>
          <cell r="T785" t="b">
            <v>0</v>
          </cell>
          <cell r="W785">
            <v>420</v>
          </cell>
          <cell r="X785" t="str">
            <v>台中市豐原區豐原大道一段606號</v>
          </cell>
          <cell r="Y785" t="str">
            <v>台中市潭子區</v>
          </cell>
          <cell r="Z785" t="str">
            <v>台中市潭子區雅潭路二段259號</v>
          </cell>
          <cell r="AA785" t="str">
            <v>420台中市豐原區豐原大道一段606號</v>
          </cell>
          <cell r="AK785" t="str">
            <v>2F-2070</v>
          </cell>
          <cell r="AL785" t="str">
            <v>1-0416-竹南鎮公所&gt;寄&gt;附發票&gt;附回郵</v>
          </cell>
          <cell r="AM785" t="str">
            <v>1-0416</v>
          </cell>
        </row>
        <row r="786">
          <cell r="B786" t="str">
            <v>1-0781</v>
          </cell>
          <cell r="C786" t="str">
            <v>107-09-07</v>
          </cell>
          <cell r="D786" t="str">
            <v>1-0781-駿琳輪胎&gt;寄&gt;匯款</v>
          </cell>
          <cell r="E786" t="str">
            <v>駿林輪胎行&gt;林信良</v>
          </cell>
          <cell r="F786" t="str">
            <v>駿林輪胎行(781)</v>
          </cell>
          <cell r="G786" t="str">
            <v>未稅</v>
          </cell>
          <cell r="H786" t="str">
            <v>寄&gt;匯款</v>
          </cell>
          <cell r="L786" t="str">
            <v>04-22711378&gt;0960-412481&gt;林信良</v>
          </cell>
          <cell r="M786">
            <v>0</v>
          </cell>
          <cell r="R786" t="b">
            <v>0</v>
          </cell>
          <cell r="S786" t="str"/>
          <cell r="T786" t="b">
            <v>0</v>
          </cell>
          <cell r="W786">
            <v>412</v>
          </cell>
          <cell r="X786" t="str">
            <v>台中市大里區西湖路219巷100弄28號</v>
          </cell>
          <cell r="Y786" t="str">
            <v>台中市大里區</v>
          </cell>
          <cell r="Z786" t="str">
            <v>台中市大里區西湖路219巷100弄28號</v>
          </cell>
          <cell r="AA786" t="str">
            <v>412台中市大里區西湖路219巷100弄28號</v>
          </cell>
          <cell r="AK786" t="str">
            <v>Q9-1446</v>
          </cell>
          <cell r="AL786" t="str">
            <v>1-0416-竹南鎮公所&gt;寄&gt;附發票&gt;附回郵</v>
          </cell>
          <cell r="AM786" t="str">
            <v>1-0416</v>
          </cell>
        </row>
        <row r="787">
          <cell r="B787" t="str">
            <v>1-0782</v>
          </cell>
          <cell r="C787" t="str">
            <v>107-09-15</v>
          </cell>
          <cell r="D787" t="str">
            <v>1-0782-佳業&gt;尚煜&gt;自結</v>
          </cell>
          <cell r="E787" t="str">
            <v>佳業企業社&gt;尚煜企業社</v>
          </cell>
          <cell r="F787" t="str">
            <v>佳業企業社(782)</v>
          </cell>
          <cell r="G787" t="str">
            <v>稅外</v>
          </cell>
          <cell r="H787" t="str">
            <v>自結</v>
          </cell>
          <cell r="I787" t="str">
            <v>3493&gt;1355&gt;稅外&gt;佳業企業社</v>
          </cell>
          <cell r="J787">
            <v>30</v>
          </cell>
          <cell r="L787" t="str">
            <v>03-5301169&gt;0985-925979&gt;傳真03-5301176&gt;溫宏仁</v>
          </cell>
          <cell r="M787">
            <v>0</v>
          </cell>
          <cell r="N787" t="str">
            <v>03-5301176</v>
          </cell>
          <cell r="R787" t="b">
            <v>0</v>
          </cell>
          <cell r="S787" t="str"/>
          <cell r="T787" t="b">
            <v>0</v>
          </cell>
          <cell r="W787">
            <v>300</v>
          </cell>
          <cell r="X787" t="str">
            <v>新竹市香北路111號</v>
          </cell>
          <cell r="Y787" t="str">
            <v>新竹市香北路</v>
          </cell>
          <cell r="Z787" t="str">
            <v>新竹市香北路111號</v>
          </cell>
          <cell r="AA787" t="str">
            <v>300新竹市香北路111號</v>
          </cell>
          <cell r="AK787" t="str">
            <v>Q7-490</v>
          </cell>
          <cell r="AL787" t="str">
            <v>1-0416-竹南鎮公所&gt;寄&gt;附發票&gt;附回郵</v>
          </cell>
          <cell r="AM787" t="str">
            <v>1-0416</v>
          </cell>
        </row>
        <row r="788">
          <cell r="B788" t="str">
            <v>1-0783</v>
          </cell>
          <cell r="C788" t="str">
            <v>107-09-18</v>
          </cell>
          <cell r="D788" t="str">
            <v>1-0783-昇達橡膠&gt;寄&gt;附發票&gt;附回郵</v>
          </cell>
          <cell r="E788" t="str">
            <v>昇達橡膠企業(股)公司</v>
          </cell>
          <cell r="F788" t="str">
            <v>昇達橡膠企業(股)公司(783)</v>
          </cell>
          <cell r="G788" t="str">
            <v>含稅</v>
          </cell>
          <cell r="H788" t="str">
            <v>寄&gt;附發票&gt;附回郵&gt;後龍鎮公所帳單分開印請款單</v>
          </cell>
          <cell r="I788" t="str">
            <v>0766&gt;0028&gt;含稅&gt;後龍鎮公所發票打工資&gt;中華全佑&gt;後龍鎮公所稅外</v>
          </cell>
          <cell r="J788">
            <v>25</v>
          </cell>
          <cell r="L788" t="str">
            <v>02-25944185&gt;傳真02-25924462&gt;0932-109828饒弘林</v>
          </cell>
          <cell r="M788" t="str">
            <v>2-0126</v>
          </cell>
          <cell r="N788" t="str">
            <v>02-25924462</v>
          </cell>
          <cell r="R788" t="b">
            <v>0</v>
          </cell>
          <cell r="S788" t="str"/>
          <cell r="T788" t="b">
            <v>0</v>
          </cell>
          <cell r="W788">
            <v>327</v>
          </cell>
          <cell r="X788" t="str">
            <v>台北市承德路三段66號&gt;寄:桃園市新屋區中華南路2段411號</v>
          </cell>
          <cell r="Y788" t="str">
            <v>桃園市新屋區</v>
          </cell>
          <cell r="Z788" t="str">
            <v>桃園市新屋區中華南路2段411號</v>
          </cell>
          <cell r="AA788" t="str">
            <v>327台北市承德路三段66號&gt;寄:桃園市新屋區中華南路2段411號</v>
          </cell>
          <cell r="AK788" t="str">
            <v>478-RN</v>
          </cell>
          <cell r="AL788" t="str">
            <v>1-0416-竹南鎮公所&gt;寄&gt;附發票&gt;附回郵</v>
          </cell>
          <cell r="AM788" t="str">
            <v>1-0416</v>
          </cell>
        </row>
        <row r="789">
          <cell r="B789" t="str">
            <v>1-0784</v>
          </cell>
          <cell r="C789" t="str">
            <v>107-09-25</v>
          </cell>
          <cell r="D789" t="str">
            <v>1-0784-(1/2)台北合眾&gt;寄&gt;附發票&gt;匯款</v>
          </cell>
          <cell r="E789" t="str">
            <v>台北合眾汽車有限公司(1/2)</v>
          </cell>
          <cell r="F789" t="str">
            <v>台北合眾汽車有限公司-曾主任收(784)</v>
          </cell>
          <cell r="G789" t="str">
            <v>含稅</v>
          </cell>
          <cell r="H789" t="str">
            <v>寄&gt;附發票&gt;匯款&gt;6.5噸以上</v>
          </cell>
          <cell r="I789" t="str">
            <v>5335&gt;2812&gt;含稅&gt;開中華全佑&gt;20號月結</v>
          </cell>
          <cell r="J789">
            <v>20</v>
          </cell>
          <cell r="L789" t="str">
            <v>02-8791-3829#10曾主任</v>
          </cell>
          <cell r="M789">
            <v>0</v>
          </cell>
          <cell r="R789" t="b">
            <v>0</v>
          </cell>
          <cell r="S789" t="str"/>
          <cell r="T789" t="b">
            <v>0</v>
          </cell>
          <cell r="W789">
            <v>114</v>
          </cell>
          <cell r="X789" t="str">
            <v>台北市內湖區安康路240號</v>
          </cell>
          <cell r="Y789" t="str">
            <v>台北市內湖區</v>
          </cell>
          <cell r="Z789" t="str">
            <v>台北市內湖區安康路240號</v>
          </cell>
          <cell r="AA789" t="str">
            <v>114台北市內湖區安康路240號</v>
          </cell>
          <cell r="AK789" t="str">
            <v>417-JB</v>
          </cell>
          <cell r="AL789" t="str">
            <v>1-0417-大唐&gt;寄&gt;自結</v>
          </cell>
          <cell r="AM789" t="str">
            <v>1-0417</v>
          </cell>
        </row>
        <row r="790">
          <cell r="B790" t="str">
            <v>1-0785</v>
          </cell>
          <cell r="C790" t="str">
            <v>107-09-25</v>
          </cell>
          <cell r="D790" t="str">
            <v>1-0785-(2/2)台北合眾&gt;寄&gt;附發票&gt;兩個月匯款</v>
          </cell>
          <cell r="E790" t="str">
            <v>台北合眾汽車有限公司(2/2)</v>
          </cell>
          <cell r="F790" t="str">
            <v>台北合眾汽車有限公司-王小姐收(785)</v>
          </cell>
          <cell r="G790" t="str">
            <v>含稅</v>
          </cell>
          <cell r="H790" t="str">
            <v>寄&gt;附發票&gt;2個月匯款&gt;6.2噸以下</v>
          </cell>
          <cell r="I790" t="str">
            <v>5335&gt;2812&gt;含稅&gt;開中華全佑&gt;20號月結</v>
          </cell>
          <cell r="J790">
            <v>20</v>
          </cell>
          <cell r="L790" t="str">
            <v>02-8792-1818#8327王小姐.黃福星&gt;02-8792-1818分機8311石先生&gt;傳真02-8792-2878</v>
          </cell>
          <cell r="M790">
            <v>0</v>
          </cell>
          <cell r="R790" t="b">
            <v>0</v>
          </cell>
          <cell r="S790" t="str"/>
          <cell r="T790" t="b">
            <v>0</v>
          </cell>
          <cell r="W790">
            <v>114</v>
          </cell>
          <cell r="X790" t="str">
            <v>台北市內湖區永保街188號</v>
          </cell>
          <cell r="Y790" t="str">
            <v>台北市內湖區</v>
          </cell>
          <cell r="Z790" t="str">
            <v>台北市內湖區永保街188號</v>
          </cell>
          <cell r="AA790" t="str">
            <v>114台北市內湖區永保街188號</v>
          </cell>
          <cell r="AK790" t="str">
            <v>0502-DG</v>
          </cell>
          <cell r="AL790" t="str">
            <v>1-0418-樹文&gt;寄&gt;附發票&gt;自結</v>
          </cell>
          <cell r="AM790" t="str">
            <v>1-0418</v>
          </cell>
        </row>
        <row r="791">
          <cell r="B791" t="str">
            <v>1-0786</v>
          </cell>
          <cell r="C791" t="str">
            <v>107-09-27</v>
          </cell>
          <cell r="D791" t="str">
            <v>1-0786-維真重機&gt;寄&gt;附回郵</v>
          </cell>
          <cell r="E791" t="str">
            <v>維真重機工程行&gt;余任竣</v>
          </cell>
          <cell r="F791" t="str">
            <v>維真重機工程行(786)</v>
          </cell>
          <cell r="G791" t="str">
            <v>未稅</v>
          </cell>
          <cell r="H791" t="str">
            <v>寄&gt;附回郵</v>
          </cell>
          <cell r="I791" t="str">
            <v>0919&gt;6096&gt;未稅</v>
          </cell>
          <cell r="J791">
            <v>30</v>
          </cell>
          <cell r="L791" t="str">
            <v>0928-313777&gt;余任竣&gt;傳真037-723683</v>
          </cell>
          <cell r="M791">
            <v>0</v>
          </cell>
          <cell r="R791" t="b">
            <v>0</v>
          </cell>
          <cell r="S791" t="str"/>
          <cell r="T791" t="b">
            <v>0</v>
          </cell>
          <cell r="W791">
            <v>356</v>
          </cell>
          <cell r="X791" t="str">
            <v>苗栗縣後龍鎮龍坑里10鄰松仔腳95-9號</v>
          </cell>
          <cell r="Y791" t="str">
            <v>苗栗縣後龍鎮</v>
          </cell>
          <cell r="Z791" t="str">
            <v>苗栗縣後龍鎮龍坑里10鄰松仔腳95-9號</v>
          </cell>
          <cell r="AA791" t="str">
            <v>356苗栗縣後龍鎮龍坑里10鄰松仔腳95-9號</v>
          </cell>
          <cell r="AK791" t="str">
            <v>Q8-4031</v>
          </cell>
          <cell r="AL791" t="str">
            <v>1-0418-樹文&gt;寄&gt;附發票&gt;自結</v>
          </cell>
          <cell r="AM791" t="str">
            <v>1-0418</v>
          </cell>
        </row>
        <row r="792">
          <cell r="B792" t="str">
            <v>1-0787</v>
          </cell>
          <cell r="C792" t="str">
            <v>107-09-29</v>
          </cell>
          <cell r="D792" t="str">
            <v>1-0787-昆翔.八一&gt;寄&gt;附發票&gt;附回郵</v>
          </cell>
          <cell r="E792" t="str">
            <v>昆翔國際股份有限公司</v>
          </cell>
          <cell r="F792" t="str">
            <v>昆翔國際股份有限公司(787)</v>
          </cell>
          <cell r="G792" t="str">
            <v>含稅</v>
          </cell>
          <cell r="H792" t="str">
            <v>寄&gt;附發票&gt;附回郵</v>
          </cell>
          <cell r="I792" t="str">
            <v>5453&gt;2378&gt;含稅&gt;救車未稅</v>
          </cell>
          <cell r="J792">
            <v>30</v>
          </cell>
          <cell r="L792" t="str">
            <v>0932-546201潘建宏&gt;0988-978095袁子杰&gt;傳真04-8239191</v>
          </cell>
          <cell r="M792">
            <v>0</v>
          </cell>
          <cell r="R792" t="b">
            <v>0</v>
          </cell>
          <cell r="S792" t="str"/>
          <cell r="T792" t="b">
            <v>0</v>
          </cell>
          <cell r="W792">
            <v>510</v>
          </cell>
          <cell r="X792" t="str">
            <v>彰化縣員林市惠安街1號</v>
          </cell>
          <cell r="Y792" t="str">
            <v>彰化縣員林市</v>
          </cell>
          <cell r="Z792" t="str">
            <v>彰化縣員林市惠安街1號</v>
          </cell>
          <cell r="AA792" t="str">
            <v>510彰化縣員林市惠安街1號</v>
          </cell>
          <cell r="AK792" t="str">
            <v>233-ZE</v>
          </cell>
          <cell r="AL792" t="str">
            <v>1-0419-廖庭毅&gt;寄&gt;自結</v>
          </cell>
          <cell r="AM792" t="str">
            <v>1-0419</v>
          </cell>
        </row>
        <row r="793">
          <cell r="B793" t="str">
            <v>1-0788</v>
          </cell>
          <cell r="C793" t="str">
            <v>107-10-02</v>
          </cell>
          <cell r="D793" t="str">
            <v>1-0788-阿毅物流&gt;寄&gt;一個月匯款</v>
          </cell>
          <cell r="E793" t="str">
            <v>阿毅物流</v>
          </cell>
          <cell r="F793" t="str">
            <v>阿毅物流(788)</v>
          </cell>
          <cell r="G793" t="str">
            <v>含稅</v>
          </cell>
          <cell r="H793" t="str">
            <v>寄&gt;1個月匯款:翁喬毅&gt;</v>
          </cell>
          <cell r="I793" t="str">
            <v>5390&gt;8256&gt;含稅</v>
          </cell>
          <cell r="J793">
            <v>30</v>
          </cell>
          <cell r="L793" t="str">
            <v>07-7889830&gt;07-7889831&gt;07-7889832&gt;0938-388986翁喬毅&gt;傳真07-7889833&gt;回頭車司機0958-995216</v>
          </cell>
          <cell r="M793" t="str">
            <v>2-0051</v>
          </cell>
          <cell r="R793" t="b">
            <v>0</v>
          </cell>
          <cell r="S793" t="str"/>
          <cell r="T793" t="b">
            <v>0</v>
          </cell>
          <cell r="W793">
            <v>831</v>
          </cell>
          <cell r="X793" t="str">
            <v>高雄市大寮區大寮路856巷32號</v>
          </cell>
          <cell r="Y793" t="str">
            <v>高雄市大寮區</v>
          </cell>
          <cell r="Z793" t="str">
            <v>高雄市大寮區大寮路856巷32號</v>
          </cell>
          <cell r="AA793" t="str">
            <v>831高雄市大寮區大寮路856巷32號</v>
          </cell>
          <cell r="AK793" t="str">
            <v>410-TK</v>
          </cell>
          <cell r="AL793" t="str">
            <v>1-0420-宏欣&gt;寄&gt;附發票&gt;附回郵</v>
          </cell>
          <cell r="AM793" t="str">
            <v>1-0420</v>
          </cell>
        </row>
        <row r="794">
          <cell r="B794" t="str">
            <v>1-0789</v>
          </cell>
          <cell r="C794" t="str">
            <v>107-10-02-</v>
          </cell>
          <cell r="D794" t="str">
            <v>1-0789-品源車業&gt;寄&gt;附回郵</v>
          </cell>
          <cell r="E794" t="str">
            <v>品源車業有限公司&gt;豐原企業社&gt;黃品原</v>
          </cell>
          <cell r="F794" t="str">
            <v>品源車業(789)</v>
          </cell>
          <cell r="G794" t="str">
            <v>未稅</v>
          </cell>
          <cell r="H794" t="str">
            <v>寄&gt;附回郵</v>
          </cell>
          <cell r="I794" t="str">
            <v>4512&gt;6399品原&gt;3881&gt;6010豐原&gt;未稅</v>
          </cell>
          <cell r="J794">
            <v>30</v>
          </cell>
          <cell r="L794" t="str">
            <v>037-540808&gt;0919-552882黃品原&gt;傳真037-540699</v>
          </cell>
          <cell r="M794">
            <v>0</v>
          </cell>
          <cell r="R794" t="b">
            <v>0</v>
          </cell>
          <cell r="S794" t="str"/>
          <cell r="T794" t="b">
            <v>0</v>
          </cell>
          <cell r="W794">
            <v>351</v>
          </cell>
          <cell r="X794" t="str">
            <v>苗里縣頭份市尖豐路815號</v>
          </cell>
          <cell r="Y794" t="str">
            <v>苗里縣頭份市</v>
          </cell>
          <cell r="Z794" t="str">
            <v>苗里縣頭份市尖豐路815號</v>
          </cell>
          <cell r="AA794" t="str">
            <v>351苗里縣頭份市尖豐路815號</v>
          </cell>
          <cell r="AK794" t="str">
            <v>KL-02</v>
          </cell>
          <cell r="AL794" t="str">
            <v>1-0420-宏欣&gt;寄&gt;附發票&gt;附回郵</v>
          </cell>
          <cell r="AM794" t="str">
            <v>1-0420</v>
          </cell>
        </row>
        <row r="795">
          <cell r="B795" t="str">
            <v>1-0790</v>
          </cell>
          <cell r="C795" t="str">
            <v>109-06-13/郭雯瑀</v>
          </cell>
          <cell r="D795" t="str">
            <v>1-0790-上海興彩色印刷股份有限公司&gt;寄&gt;附發票&gt;附回郵</v>
          </cell>
          <cell r="E795" t="str">
            <v>上海興彩色印刷股份有限公司&gt;負:梁賢明</v>
          </cell>
          <cell r="F795" t="str">
            <v>上海興彩色印刷股份有限公司(790)</v>
          </cell>
          <cell r="G795" t="str">
            <v>稅外</v>
          </cell>
          <cell r="H795" t="str">
            <v>寄&gt;附發票&gt;附回郵</v>
          </cell>
          <cell r="I795" t="str">
            <v>1277&gt;1565稅外</v>
          </cell>
          <cell r="J795">
            <v>30</v>
          </cell>
          <cell r="L795" t="str">
            <v>037-467165會計林小姐&gt;傳真:037-465786&gt;0933-529789廠務謝金龍&gt;0989-731620司機蕭先生</v>
          </cell>
          <cell r="M795">
            <v>0</v>
          </cell>
          <cell r="R795" t="b">
            <v>0</v>
          </cell>
          <cell r="S795" t="str"/>
          <cell r="T795" t="b">
            <v>0</v>
          </cell>
          <cell r="W795">
            <v>350</v>
          </cell>
          <cell r="X795" t="str">
            <v>苗栗縣竹南鎮大厝里9鄰61-15號</v>
          </cell>
          <cell r="Y795" t="str">
            <v>苗栗縣竹南鎮</v>
          </cell>
          <cell r="Z795" t="str">
            <v>苗栗縣竹南鎮大厝里9鄰61-15號</v>
          </cell>
          <cell r="AA795" t="str">
            <v>350苗栗縣竹南鎮大厝里9鄰61-15號</v>
          </cell>
          <cell r="AK795" t="str">
            <v>618-ZY</v>
          </cell>
          <cell r="AL795" t="str">
            <v>1-0421-王建昇&gt;寄&gt;自結</v>
          </cell>
          <cell r="AM795" t="str">
            <v>1-0421</v>
          </cell>
        </row>
        <row r="796">
          <cell r="B796" t="str">
            <v>1-0791</v>
          </cell>
          <cell r="C796" t="str">
            <v>107-10-03</v>
          </cell>
          <cell r="D796" t="str">
            <v>1-0791-盟豐輪胎&gt;寄&gt;匯款</v>
          </cell>
          <cell r="E796" t="str">
            <v>盟豐輪胎有限公司</v>
          </cell>
          <cell r="F796" t="str">
            <v>盟豐輪胎有限公司(791)</v>
          </cell>
          <cell r="G796" t="str">
            <v>未稅</v>
          </cell>
          <cell r="H796" t="str">
            <v>寄&gt;匯款</v>
          </cell>
          <cell r="I796" t="str">
            <v>未稅&gt;8652&gt;7215</v>
          </cell>
          <cell r="J796">
            <v>30</v>
          </cell>
          <cell r="K796" t="str">
            <v>8652&gt;7215</v>
          </cell>
          <cell r="L796" t="str">
            <v>04-26560507&gt;傳真04-26574099</v>
          </cell>
          <cell r="M796">
            <v>0</v>
          </cell>
          <cell r="R796" t="b">
            <v>0</v>
          </cell>
          <cell r="S796" t="str"/>
          <cell r="T796" t="b">
            <v>0</v>
          </cell>
          <cell r="W796">
            <v>436</v>
          </cell>
          <cell r="X796" t="str">
            <v>台中市清水區臨港5段522號</v>
          </cell>
          <cell r="Y796" t="str">
            <v>台中市清水區</v>
          </cell>
          <cell r="Z796" t="str">
            <v>台中市清水區臨港5段522號</v>
          </cell>
          <cell r="AA796" t="str">
            <v>436台中市清水區臨港5段522號</v>
          </cell>
          <cell r="AK796" t="str">
            <v>669-HZ</v>
          </cell>
          <cell r="AL796" t="str">
            <v>1-0426-李俊麟&gt;寄&gt;附回郵</v>
          </cell>
          <cell r="AM796" t="str">
            <v>1-0426</v>
          </cell>
        </row>
        <row r="797">
          <cell r="B797" t="str">
            <v>1-0792</v>
          </cell>
          <cell r="C797" t="str">
            <v>109-06-15/郭雯瑀</v>
          </cell>
          <cell r="D797" t="str">
            <v>1-0792-美城租賃&gt;寄&gt;附發票&gt;附回郵</v>
          </cell>
          <cell r="E797" t="str">
            <v>美城租賃股份有限公司</v>
          </cell>
          <cell r="F797" t="str">
            <v>美城租賃股份有限公司(792)</v>
          </cell>
          <cell r="G797" t="str">
            <v>含稅</v>
          </cell>
          <cell r="H797" t="str">
            <v>寄&gt;附發票&gt;附回郵&gt;先問發票開哪家</v>
          </cell>
          <cell r="I797" t="str">
            <v>5328&gt;8116達韡&gt;含稅&gt;4256&gt;9722美城&gt;4208&gt;7020達運&gt;&gt;4058&gt;1968達富&gt;1794&gt;2005茂峯</v>
          </cell>
          <cell r="J797">
            <v>30</v>
          </cell>
          <cell r="L797" t="str">
            <v>03-9308977&gt;039308988&gt;傳真03-9308976&gt;0937-157747胡忠義</v>
          </cell>
          <cell r="M797">
            <v>0</v>
          </cell>
          <cell r="R797" t="b">
            <v>0</v>
          </cell>
          <cell r="S797" t="str"/>
          <cell r="T797" t="b">
            <v>0</v>
          </cell>
          <cell r="W797">
            <v>263</v>
          </cell>
          <cell r="X797" t="str">
            <v>宜蘭縣宜蘭市成功里成功路60巷22號1樓</v>
          </cell>
          <cell r="Y797" t="str">
            <v>宜蘭縣壯圍鄉</v>
          </cell>
          <cell r="Z797" t="str">
            <v>宜蘭縣壯圍鄉美功路2段100號</v>
          </cell>
          <cell r="AA797" t="str">
            <v>263宜蘭縣宜蘭市成功里成功路60巷22號1樓</v>
          </cell>
          <cell r="AK797" t="str">
            <v>616-EE</v>
          </cell>
          <cell r="AL797" t="str">
            <v>1-0428-林龍燕&gt;寄&gt;附回郵</v>
          </cell>
          <cell r="AM797" t="str">
            <v>1-0428</v>
          </cell>
        </row>
        <row r="798">
          <cell r="B798" t="str">
            <v>1-0793</v>
          </cell>
          <cell r="C798" t="str">
            <v>107-10-08</v>
          </cell>
          <cell r="D798" t="str">
            <v>1-0793-恆滿企業社&gt;寄&gt;附發票&gt;附回郵</v>
          </cell>
          <cell r="E798" t="str">
            <v>恆滿企業社</v>
          </cell>
          <cell r="F798" t="str">
            <v>恆滿企業社(793)</v>
          </cell>
          <cell r="G798" t="str">
            <v>稅外</v>
          </cell>
          <cell r="H798" t="str">
            <v>寄&gt;附發票&gt;附回郵</v>
          </cell>
          <cell r="I798" t="str">
            <v>稅外&gt;2522&gt;0403</v>
          </cell>
          <cell r="J798">
            <v>30</v>
          </cell>
          <cell r="L798" t="str">
            <v>037-597975&gt;傳真037-665425&gt;鍾萬明0926-377773</v>
          </cell>
          <cell r="M798">
            <v>0</v>
          </cell>
          <cell r="R798" t="b">
            <v>0</v>
          </cell>
          <cell r="S798" t="str"/>
          <cell r="T798" t="b">
            <v>0</v>
          </cell>
          <cell r="W798">
            <v>351</v>
          </cell>
          <cell r="X798" t="str">
            <v>苗栗縣頭份市林森路47號</v>
          </cell>
          <cell r="Y798" t="str">
            <v>苗栗縣頭份市</v>
          </cell>
          <cell r="Z798" t="str">
            <v>苗栗縣頭份市林森路47號</v>
          </cell>
          <cell r="AA798" t="str">
            <v>351苗栗縣頭份市林森路47號</v>
          </cell>
          <cell r="AK798" t="str">
            <v>612-AA</v>
          </cell>
          <cell r="AL798" t="str">
            <v>1-0428-林龍燕&gt;寄&gt;附回郵</v>
          </cell>
          <cell r="AM798" t="str">
            <v>1-0428</v>
          </cell>
        </row>
        <row r="799">
          <cell r="B799" t="str">
            <v>1-0794</v>
          </cell>
          <cell r="C799" t="str">
            <v>107-10-16</v>
          </cell>
          <cell r="D799" t="str">
            <v>1-0794-新展起重&gt;寄&gt;附回郵</v>
          </cell>
          <cell r="E799" t="str">
            <v>新展起重工程行</v>
          </cell>
          <cell r="F799" t="str">
            <v>新展起重工程行(793)</v>
          </cell>
          <cell r="G799" t="str">
            <v>未稅</v>
          </cell>
          <cell r="H799" t="str">
            <v>寄&gt;附回郵</v>
          </cell>
          <cell r="I799" t="str">
            <v>0881&gt;0691</v>
          </cell>
          <cell r="J799">
            <v>30</v>
          </cell>
          <cell r="L799" t="str">
            <v>0939-050922&gt;李志生</v>
          </cell>
          <cell r="M799">
            <v>0</v>
          </cell>
          <cell r="R799" t="b">
            <v>0</v>
          </cell>
          <cell r="S799" t="str"/>
          <cell r="T799" t="b">
            <v>0</v>
          </cell>
          <cell r="W799">
            <v>351</v>
          </cell>
          <cell r="X799" t="str">
            <v>苗栗縣頭份市上埔里17鄰松竹新村19號</v>
          </cell>
          <cell r="Y799" t="str">
            <v>苗栗縣頭份市</v>
          </cell>
          <cell r="Z799" t="str">
            <v>苗栗縣頭份市上埔里17鄰松竹新村19號</v>
          </cell>
          <cell r="AA799" t="str">
            <v>351苗栗縣頭份市上埔里17鄰松竹新村19號</v>
          </cell>
          <cell r="AK799" t="str">
            <v>618-WW</v>
          </cell>
          <cell r="AL799" t="str">
            <v>1-0428-林龍燕&gt;寄&gt;附回郵</v>
          </cell>
          <cell r="AM799" t="str">
            <v>1-0428</v>
          </cell>
        </row>
        <row r="800">
          <cell r="B800" t="str">
            <v>1-0795</v>
          </cell>
          <cell r="C800" t="str">
            <v>107-10-23</v>
          </cell>
          <cell r="D800" t="str">
            <v>1-0795-天興&gt;寄&gt;附發票&gt;附回郵</v>
          </cell>
          <cell r="E800" t="str">
            <v>天興股份有限公司&gt;天台砂石股份有限公司</v>
          </cell>
          <cell r="F800" t="str">
            <v>天興股份有限公司(795)</v>
          </cell>
          <cell r="G800" t="str">
            <v>稅外</v>
          </cell>
          <cell r="H800" t="str">
            <v>寄&gt;附發票&gt;附回郵</v>
          </cell>
          <cell r="I800" t="str">
            <v>5490&gt;9768天興&gt;1654&gt;9102天台&gt;發票開天興&gt;稅外</v>
          </cell>
          <cell r="J800">
            <v>30</v>
          </cell>
          <cell r="L800" t="str">
            <v>04-25603859&gt;傳真04-25694506</v>
          </cell>
          <cell r="M800">
            <v>0</v>
          </cell>
          <cell r="R800" t="b">
            <v>0</v>
          </cell>
          <cell r="S800" t="str"/>
          <cell r="T800" t="b">
            <v>0</v>
          </cell>
          <cell r="W800">
            <v>428</v>
          </cell>
          <cell r="X800" t="str">
            <v>臺中市大雅區東大路二段975號</v>
          </cell>
          <cell r="Y800" t="str">
            <v>臺中市大雅區</v>
          </cell>
          <cell r="Z800" t="str">
            <v>臺中市大雅區東大路二段975號</v>
          </cell>
          <cell r="AA800" t="str">
            <v>428臺中市大雅區東大路二段975號</v>
          </cell>
          <cell r="AK800" t="str">
            <v>7199-KX</v>
          </cell>
          <cell r="AL800" t="str">
            <v>1-0429-協成輪胎&gt;寄&gt;附發票&gt;附回郵</v>
          </cell>
          <cell r="AM800" t="str">
            <v>1-0429</v>
          </cell>
        </row>
        <row r="801">
          <cell r="B801" t="str">
            <v>1-0796</v>
          </cell>
          <cell r="C801" t="str">
            <v>107-10-25</v>
          </cell>
          <cell r="D801" t="str">
            <v>1-0796-新享.新明&gt;寄&gt;附發票&gt;附回郵</v>
          </cell>
          <cell r="E801" t="str">
            <v>新享營造有限公司&gt;天明營造有限公司</v>
          </cell>
          <cell r="F801" t="str">
            <v>新享股份有限公司(796)</v>
          </cell>
          <cell r="G801" t="str">
            <v>稅外</v>
          </cell>
          <cell r="H801" t="str">
            <v>寄&gt;附發票&gt;附回郵</v>
          </cell>
          <cell r="I801" t="str">
            <v>2503&gt;3443新享&gt;9724&gt;0478新明&gt;稅外&gt;發票開新明</v>
          </cell>
          <cell r="J801">
            <v>30</v>
          </cell>
          <cell r="L801" t="str">
            <v>037-616245&gt;0919270395&gt;徐逸如&gt;傳真037-616229</v>
          </cell>
          <cell r="M801">
            <v>0</v>
          </cell>
          <cell r="R801" t="b">
            <v>0</v>
          </cell>
          <cell r="S801" t="str"/>
          <cell r="T801" t="b">
            <v>0</v>
          </cell>
          <cell r="W801">
            <v>351</v>
          </cell>
          <cell r="X801" t="str">
            <v>苗栗縣頭份鎮東庄里公園路8號</v>
          </cell>
          <cell r="Y801" t="str">
            <v>苗栗縣頭份鎮</v>
          </cell>
          <cell r="Z801" t="str">
            <v>苗栗縣頭份鎮東庄里公園路8號</v>
          </cell>
          <cell r="AA801" t="str">
            <v>351苗栗縣頭份鎮東庄里公園路8號</v>
          </cell>
          <cell r="AK801" t="str">
            <v>RAA-9191</v>
          </cell>
          <cell r="AL801" t="str">
            <v>1-0429-協成輪胎&gt;寄&gt;附發票&gt;附回郵</v>
          </cell>
          <cell r="AM801" t="str">
            <v>1-0429</v>
          </cell>
        </row>
        <row r="802">
          <cell r="B802" t="str">
            <v>1-0797</v>
          </cell>
          <cell r="C802" t="str">
            <v>107-11-06</v>
          </cell>
          <cell r="D802" t="str">
            <v>1-0797-國住&gt;寄&gt;附回郵</v>
          </cell>
          <cell r="E802" t="str">
            <v>國住橡膠股份有限公司</v>
          </cell>
          <cell r="F802" t="str">
            <v>國住橡膠股份有限公司(797)</v>
          </cell>
          <cell r="G802" t="str">
            <v>含稅</v>
          </cell>
          <cell r="H802" t="str">
            <v>寄&gt;附回郵</v>
          </cell>
          <cell r="J802">
            <v>30</v>
          </cell>
          <cell r="L802" t="str">
            <v>02-25012847&gt;02-25012850&gt;0933-768906吳東昇＞0973-263843黃朝琴＞0933-768790許丘銘&gt;傳真02-25064145</v>
          </cell>
          <cell r="M802">
            <v>0</v>
          </cell>
          <cell r="R802" t="b">
            <v>0</v>
          </cell>
          <cell r="S802" t="str"/>
          <cell r="T802" t="b">
            <v>0</v>
          </cell>
          <cell r="W802">
            <v>104</v>
          </cell>
          <cell r="X802" t="str">
            <v>台北巿松江路363號5樓。</v>
          </cell>
          <cell r="Y802" t="str">
            <v>台北巿松江路</v>
          </cell>
          <cell r="Z802" t="str">
            <v>台北巿松江路363號5樓。</v>
          </cell>
          <cell r="AA802" t="str">
            <v>104台北巿松江路363號5樓。</v>
          </cell>
          <cell r="AK802" t="str">
            <v>RAD-9192</v>
          </cell>
          <cell r="AL802" t="str">
            <v>1-0429-協成輪胎&gt;寄&gt;附發票&gt;附回郵</v>
          </cell>
          <cell r="AM802" t="str">
            <v>1-0429</v>
          </cell>
        </row>
        <row r="803">
          <cell r="B803" t="str">
            <v>1-0798</v>
          </cell>
          <cell r="C803" t="str">
            <v>107-11-14</v>
          </cell>
          <cell r="D803" t="str">
            <v>1-0798-興連貨運&gt;寄&gt;附發票&gt;1個月匯款</v>
          </cell>
          <cell r="E803" t="str">
            <v>興連貨運股份有限公司&gt;張上停</v>
          </cell>
          <cell r="F803" t="str">
            <v>興聯貨運股份有限公司(798)</v>
          </cell>
          <cell r="G803" t="str">
            <v>稅外</v>
          </cell>
          <cell r="H803" t="str">
            <v>寄&gt;附發票&gt;匯款70117.41101</v>
          </cell>
          <cell r="I803" t="str">
            <v>4664&gt;7951&gt;稅外</v>
          </cell>
          <cell r="J803">
            <v>30</v>
          </cell>
          <cell r="L803" t="str">
            <v>0905-228970曾小姐&gt;0910-157872&gt;邱金龍&gt;0932-116400&gt;老闆&gt;03-5906540#53725(帳務)&gt;傳真03-5906549</v>
          </cell>
          <cell r="M803">
            <v>0</v>
          </cell>
          <cell r="R803" t="b">
            <v>0</v>
          </cell>
          <cell r="S803" t="str"/>
          <cell r="T803" t="b">
            <v>0</v>
          </cell>
          <cell r="W803">
            <v>304</v>
          </cell>
          <cell r="X803" t="str">
            <v>新竹縣新豐鄉中崙村144號</v>
          </cell>
          <cell r="Y803" t="str">
            <v>新竹縣新豐鄉</v>
          </cell>
          <cell r="Z803" t="str">
            <v>新竹縣新豐鄉中崙村144號</v>
          </cell>
          <cell r="AA803" t="str">
            <v>304新竹縣新豐鄉中崙村144號</v>
          </cell>
          <cell r="AK803" t="str">
            <v>OQ-471</v>
          </cell>
          <cell r="AL803" t="str">
            <v>1-0430-沅冠&gt;寄&gt;自結</v>
          </cell>
          <cell r="AM803" t="str">
            <v>1-0430</v>
          </cell>
        </row>
        <row r="804">
          <cell r="B804" t="str">
            <v>1-0799</v>
          </cell>
          <cell r="C804" t="str">
            <v>107-11-28</v>
          </cell>
          <cell r="D804" t="str">
            <v>1-0799-香港太古VOLVO(中壢)&gt;寄&gt;附發票&gt;匯款</v>
          </cell>
          <cell r="E804" t="str">
            <v>香港商太古商用汽車有限公司台灣分公司＞負:佟德望＞中壢VOLVO</v>
          </cell>
          <cell r="F804" t="str">
            <v>香港商太古商用汽車-中壢廠(799)</v>
          </cell>
          <cell r="G804" t="str">
            <v>未稅</v>
          </cell>
          <cell r="H804" t="str">
            <v>寄＞附發票＞匯款＞附定位數據</v>
          </cell>
          <cell r="I804" t="str">
            <v>2723＞2159＞含稅＞中華全佑＞1張簽單1張發票＞25號月結</v>
          </cell>
          <cell r="J804">
            <v>25</v>
          </cell>
          <cell r="L804" t="str">
            <v>03-2805528&gt;傳真03-2805762</v>
          </cell>
          <cell r="M804">
            <v>0</v>
          </cell>
          <cell r="R804" t="b">
            <v>0</v>
          </cell>
          <cell r="S804" t="str"/>
          <cell r="T804" t="b">
            <v>0</v>
          </cell>
          <cell r="W804">
            <v>320</v>
          </cell>
          <cell r="X804" t="str">
            <v>桃園市中壢區中正路二段489號</v>
          </cell>
          <cell r="Y804" t="str">
            <v>桃園市中壢區</v>
          </cell>
          <cell r="Z804" t="str">
            <v>桃園市中壢區中正路二段489號</v>
          </cell>
          <cell r="AA804" t="str">
            <v>320桃園市中壢區中正路二段489號</v>
          </cell>
          <cell r="AK804" t="str">
            <v>8311-MY</v>
          </cell>
          <cell r="AL804" t="str">
            <v>1-0430-沅冠&gt;寄&gt;自結</v>
          </cell>
          <cell r="AM804" t="str">
            <v>1-0430</v>
          </cell>
        </row>
        <row r="805">
          <cell r="B805" t="str">
            <v>1-0800</v>
          </cell>
          <cell r="C805" t="str">
            <v>107-11-28</v>
          </cell>
          <cell r="D805" t="str">
            <v>1-0800-寬輾&gt;寄&gt;自結(2/3)</v>
          </cell>
          <cell r="E805" t="str">
            <v>寬輾重車有限公司(2/3)</v>
          </cell>
          <cell r="F805" t="str">
            <v>寬輾重車有限公司(800)</v>
          </cell>
          <cell r="G805" t="str">
            <v>未稅</v>
          </cell>
          <cell r="H805" t="str">
            <v>寄＞自結&gt;公司車號:331-W8.908-H9&gt;(票/現金價)</v>
          </cell>
          <cell r="I805" t="str">
            <v>未稅&gt;25號月結</v>
          </cell>
          <cell r="J805">
            <v>25</v>
          </cell>
          <cell r="L805" t="str">
            <v>037-450363＞037-450899＞0936-066362＞傳真037-450742</v>
          </cell>
          <cell r="M805">
            <v>0</v>
          </cell>
          <cell r="O805">
            <v>62</v>
          </cell>
          <cell r="P805">
            <v>10</v>
          </cell>
          <cell r="Q805">
            <v>7</v>
          </cell>
          <cell r="R805">
            <v>48</v>
          </cell>
          <cell r="S805">
            <v>73</v>
          </cell>
          <cell r="T805">
            <v>26944</v>
          </cell>
          <cell r="U805" t="str">
            <v>K121085021</v>
          </cell>
          <cell r="V805" t="str">
            <v>杜建寬</v>
          </cell>
          <cell r="W805">
            <v>356</v>
          </cell>
          <cell r="X805" t="str">
            <v>苗栗縣後龍鎮福寧里9鄰烏眉88-3號1樓。</v>
          </cell>
          <cell r="Y805" t="str">
            <v>苗栗縣後龍鎮</v>
          </cell>
          <cell r="Z805" t="str">
            <v>苗栗縣後龍鎮福寧里9鄰烏眉88-3號1樓.</v>
          </cell>
          <cell r="AA805" t="str">
            <v>356苗栗縣後龍鎮福寧里9鄰烏眉88-3號1樓。</v>
          </cell>
          <cell r="AK805" t="str">
            <v>555-HN</v>
          </cell>
          <cell r="AL805" t="str">
            <v>1-0430-沅冠&gt;寄&gt;自結</v>
          </cell>
          <cell r="AM805" t="str">
            <v>1-0430</v>
          </cell>
        </row>
        <row r="806">
          <cell r="B806" t="str">
            <v>1-0801</v>
          </cell>
          <cell r="C806" t="str">
            <v>107-12-12</v>
          </cell>
          <cell r="D806" t="str">
            <v>1-0801-達信&gt;寄&gt;附回郵</v>
          </cell>
          <cell r="E806" t="str">
            <v>達信國際有限公司</v>
          </cell>
          <cell r="F806" t="str">
            <v>達信國際有限公司(801)</v>
          </cell>
          <cell r="G806" t="str">
            <v>未稅</v>
          </cell>
          <cell r="H806" t="str">
            <v>寄&gt;附回郵</v>
          </cell>
          <cell r="I806" t="str">
            <v>未稅</v>
          </cell>
          <cell r="J806">
            <v>30</v>
          </cell>
          <cell r="L806" t="str">
            <v>037-630199&gt;傳真037-630129</v>
          </cell>
          <cell r="M806" t="str">
            <v>2-0182</v>
          </cell>
          <cell r="R806" t="b">
            <v>0</v>
          </cell>
          <cell r="S806" t="str"/>
          <cell r="T806" t="b">
            <v>0</v>
          </cell>
          <cell r="W806">
            <v>350</v>
          </cell>
          <cell r="X806" t="str">
            <v>苗栗縣竹南鎮公館里大埔頂7鄰5-10號</v>
          </cell>
          <cell r="Y806" t="str">
            <v>苗栗縣竹南鎮</v>
          </cell>
          <cell r="Z806" t="str">
            <v>苗栗縣竹南鎮公館里大埔頂7鄰5-10號</v>
          </cell>
          <cell r="AA806" t="str">
            <v>350苗栗縣竹南鎮公館里大埔頂7鄰5-10號</v>
          </cell>
          <cell r="AK806" t="str">
            <v>1011-KC</v>
          </cell>
          <cell r="AL806" t="str">
            <v>1-0430-沅冠&gt;寄&gt;自結</v>
          </cell>
          <cell r="AM806" t="str">
            <v>1-0430</v>
          </cell>
        </row>
        <row r="807">
          <cell r="B807" t="str">
            <v>1-0802</v>
          </cell>
          <cell r="C807" t="str">
            <v>109-06-15/郭雯瑀</v>
          </cell>
          <cell r="D807" t="str">
            <v>1-0802-尚好&gt;寄&gt;附發票&gt;附回郵</v>
          </cell>
          <cell r="E807" t="str">
            <v>尚好重機工程有限公司</v>
          </cell>
          <cell r="F807" t="str">
            <v>尚好重機工程有限公司(802)</v>
          </cell>
          <cell r="G807" t="str">
            <v>含稅</v>
          </cell>
          <cell r="H807" t="str">
            <v>寄&gt;附發票&gt;附回郵</v>
          </cell>
          <cell r="I807" t="str">
            <v>5753&gt;1302&gt;含稅</v>
          </cell>
          <cell r="J807">
            <v>30</v>
          </cell>
          <cell r="L807" t="str">
            <v>037-266365&gt;傳真037-266361&gt;0987-093172陳俊佑</v>
          </cell>
          <cell r="M807">
            <v>0</v>
          </cell>
          <cell r="R807" t="b">
            <v>0</v>
          </cell>
          <cell r="S807" t="str"/>
          <cell r="T807" t="b">
            <v>0</v>
          </cell>
          <cell r="W807">
            <v>363</v>
          </cell>
          <cell r="X807" t="str">
            <v>苗栗縣公館鄉鶴山村鶴山1-2</v>
          </cell>
          <cell r="Y807" t="str">
            <v>苗栗縣公館鄉</v>
          </cell>
          <cell r="Z807" t="str">
            <v>苗栗縣公館鄉鶴山村鶴山1-2</v>
          </cell>
          <cell r="AA807" t="str">
            <v>363苗栗縣公館鄉鶴山村鶴山1-2</v>
          </cell>
          <cell r="AK807" t="str">
            <v>899-M5</v>
          </cell>
          <cell r="AL807" t="str">
            <v>1-0430-沅冠&gt;寄&gt;自結</v>
          </cell>
          <cell r="AM807" t="str">
            <v>1-0430</v>
          </cell>
        </row>
        <row r="808">
          <cell r="B808" t="str">
            <v>1-0803</v>
          </cell>
          <cell r="C808" t="str">
            <v>107-12-21</v>
          </cell>
          <cell r="D808" t="str">
            <v>1-0803-格立&gt;寄&gt;附回郵</v>
          </cell>
          <cell r="E808" t="str">
            <v>格立企業有限公司</v>
          </cell>
          <cell r="F808" t="str">
            <v>格立企業有限公司(803)</v>
          </cell>
          <cell r="G808" t="str">
            <v>稅外</v>
          </cell>
          <cell r="H808" t="str">
            <v>寄&gt;附回郵&gt;25號月結</v>
          </cell>
          <cell r="I808" t="str">
            <v>2320&gt;9229&gt;稅外&gt;25號月結</v>
          </cell>
          <cell r="J808">
            <v>25</v>
          </cell>
          <cell r="L808" t="str">
            <v>037-625602分機3&gt;老闆李建廷0918809316&gt;傳真625606</v>
          </cell>
          <cell r="M808">
            <v>0</v>
          </cell>
          <cell r="R808" t="b">
            <v>0</v>
          </cell>
          <cell r="S808" t="str"/>
          <cell r="T808" t="b">
            <v>0</v>
          </cell>
          <cell r="W808">
            <v>351</v>
          </cell>
          <cell r="X808" t="str">
            <v>苗栗縣頭份市中華路487巷29號</v>
          </cell>
          <cell r="Y808" t="str">
            <v>苗栗縣頭份市</v>
          </cell>
          <cell r="Z808" t="str">
            <v>苗栗縣頭份市中華路487巷29號</v>
          </cell>
          <cell r="AA808" t="str">
            <v>351苗栗縣頭份市中華路487巷29號</v>
          </cell>
          <cell r="AK808" t="str">
            <v>836-W8</v>
          </cell>
          <cell r="AL808" t="str">
            <v>1-0430-沅冠&gt;寄&gt;自結</v>
          </cell>
          <cell r="AM808" t="str">
            <v>1-0430</v>
          </cell>
        </row>
        <row r="809">
          <cell r="B809" t="str">
            <v>1-0804</v>
          </cell>
          <cell r="C809" t="str">
            <v>108-01-05</v>
          </cell>
          <cell r="D809" t="str">
            <v>1-0804-峰宸&gt;豪新&gt;電&gt;自結(刷卡含稅)</v>
          </cell>
          <cell r="E809" t="str">
            <v>峰宸有限公司</v>
          </cell>
          <cell r="F809" t="str">
            <v>峰宸有限公司(804)</v>
          </cell>
          <cell r="G809" t="str">
            <v>未稅</v>
          </cell>
          <cell r="H809" t="str">
            <v>電&gt;自結(刷卡含稅)</v>
          </cell>
          <cell r="I809" t="str">
            <v>未稅</v>
          </cell>
          <cell r="J809">
            <v>30</v>
          </cell>
          <cell r="K809" t="str">
            <v>4278&gt;0773</v>
          </cell>
          <cell r="L809" t="str">
            <v>03-6686059&gt;0989-727497林賢澤&gt;傳真03-5771168</v>
          </cell>
          <cell r="M809">
            <v>0</v>
          </cell>
          <cell r="R809" t="b">
            <v>0</v>
          </cell>
          <cell r="S809" t="str"/>
          <cell r="T809" t="b">
            <v>0</v>
          </cell>
          <cell r="W809">
            <v>300</v>
          </cell>
          <cell r="X809" t="str">
            <v>新竹市東區 千甲路394巷8號</v>
          </cell>
          <cell r="Y809" t="str">
            <v xml:space="preserve">新竹市東區 </v>
          </cell>
          <cell r="Z809" t="str">
            <v>新竹市東區 千甲路394巷8號</v>
          </cell>
          <cell r="AA809" t="str">
            <v>300新竹市東區 千甲路394巷8號</v>
          </cell>
          <cell r="AK809" t="str">
            <v>KLA-9609</v>
          </cell>
          <cell r="AL809" t="str">
            <v>1-0430-沅冠&gt;寄&gt;自結</v>
          </cell>
          <cell r="AM809" t="str">
            <v>1-0430</v>
          </cell>
        </row>
        <row r="810">
          <cell r="B810" t="str">
            <v>1-0805</v>
          </cell>
          <cell r="C810" t="str">
            <v>108-01-15</v>
          </cell>
          <cell r="D810" t="str">
            <v>1-0805-陳政翰&gt;寄平信&gt;自結</v>
          </cell>
          <cell r="E810" t="str">
            <v>陳政翰&gt;靠行旺昌交通股份有限公司</v>
          </cell>
          <cell r="F810" t="str">
            <v>陳政翰(805)</v>
          </cell>
          <cell r="G810" t="str">
            <v>未稅</v>
          </cell>
          <cell r="H810" t="str">
            <v>寄平信&gt;自結&gt;匯款0097168.17905.43436</v>
          </cell>
          <cell r="I810" t="str">
            <v>未稅</v>
          </cell>
          <cell r="J810">
            <v>30</v>
          </cell>
          <cell r="L810" t="str">
            <v>0936094548&gt;陳政翰</v>
          </cell>
          <cell r="M810">
            <v>0</v>
          </cell>
          <cell r="R810" t="b">
            <v>0</v>
          </cell>
          <cell r="S810" t="str"/>
          <cell r="T810" t="b">
            <v>0</v>
          </cell>
          <cell r="W810">
            <v>434</v>
          </cell>
          <cell r="X810" t="str">
            <v>臺中市龍井區忠和里17鄰中央路三段213巷27弄16號</v>
          </cell>
          <cell r="Y810" t="str">
            <v>臺中市龍井區</v>
          </cell>
          <cell r="Z810" t="str">
            <v>臺中市龍井區忠和里17鄰中央路三段213巷27弄16號</v>
          </cell>
          <cell r="AA810" t="str">
            <v>434臺中市龍井區忠和里17鄰中央路三段213巷27弄16號</v>
          </cell>
          <cell r="AK810" t="str">
            <v>KLF-8118</v>
          </cell>
          <cell r="AL810" t="str">
            <v>1-0431-朱金發&gt;志松&gt;寄&gt;自結</v>
          </cell>
          <cell r="AM810" t="str">
            <v>1-0431</v>
          </cell>
        </row>
        <row r="811">
          <cell r="B811" t="str">
            <v>1-0806</v>
          </cell>
          <cell r="C811" t="str">
            <v>108-01-16</v>
          </cell>
          <cell r="D811" t="str">
            <v>1-0806-永大建材&gt;寄&gt;附發票&gt;匯款</v>
          </cell>
          <cell r="E811" t="str">
            <v>永大建材股份有限公司</v>
          </cell>
          <cell r="F811" t="str">
            <v>永大建材股份有限公司(806)</v>
          </cell>
          <cell r="G811" t="str">
            <v>稅外</v>
          </cell>
          <cell r="H811" t="str">
            <v>寄&gt;附發票&gt;匯款11983</v>
          </cell>
          <cell r="I811" t="str">
            <v>5416&gt;3732&gt;稅外</v>
          </cell>
          <cell r="J811">
            <v>30</v>
          </cell>
          <cell r="L811" t="str">
            <v>02-29081200分機106聯絡人陳秋錦&gt;傳真02-29081278&gt;負責人陳裕愷</v>
          </cell>
          <cell r="M811" t="str">
            <v>2-0151</v>
          </cell>
          <cell r="R811" t="b">
            <v>0</v>
          </cell>
          <cell r="S811" t="str"/>
          <cell r="T811" t="b">
            <v>0</v>
          </cell>
          <cell r="W811">
            <v>239</v>
          </cell>
          <cell r="X811" t="str">
            <v>新北市鶯歌區西湖街243巷1號</v>
          </cell>
          <cell r="Y811" t="str">
            <v>新北市鶯歌區</v>
          </cell>
          <cell r="Z811" t="str">
            <v>新北市鶯歌區西湖街243巷1號</v>
          </cell>
          <cell r="AA811" t="str">
            <v>239新北市鶯歌區西湖街243巷1號</v>
          </cell>
          <cell r="AK811" t="str">
            <v>W4-5813</v>
          </cell>
          <cell r="AL811" t="str">
            <v>1-0432-源強&gt;寄&gt;附發票&gt;自結</v>
          </cell>
          <cell r="AM811" t="str">
            <v>1-0432</v>
          </cell>
        </row>
        <row r="812">
          <cell r="B812" t="str">
            <v>1-0807</v>
          </cell>
          <cell r="C812" t="str">
            <v>109-06-26/郭雯瑀</v>
          </cell>
          <cell r="D812" t="str">
            <v>1-0807-鴻金輪胎行(泰金)&gt;寄&gt;附發票&gt;附回郵</v>
          </cell>
          <cell r="E812" t="str">
            <v>鴻金輪胎行&gt;負:沈芷羽</v>
          </cell>
          <cell r="F812" t="str">
            <v>鴻金輪胎行(807)</v>
          </cell>
          <cell r="G812" t="str">
            <v>含稅</v>
          </cell>
          <cell r="H812" t="str">
            <v>寄&gt;附發票&gt;附回郵</v>
          </cell>
          <cell r="I812" t="str">
            <v>8732&gt;0825&gt;含稅&gt;米其林未稅＞25號月結</v>
          </cell>
          <cell r="J812">
            <v>25</v>
          </cell>
          <cell r="L812" t="str">
            <v>02-82958216</v>
          </cell>
          <cell r="M812">
            <v>0</v>
          </cell>
          <cell r="R812" t="b">
            <v>0</v>
          </cell>
          <cell r="S812" t="str"/>
          <cell r="T812" t="b">
            <v>0</v>
          </cell>
          <cell r="W812">
            <v>242</v>
          </cell>
          <cell r="X812" t="str">
            <v>新北市新莊區中平路362號6樓</v>
          </cell>
          <cell r="Y812" t="str">
            <v>新北市新莊區</v>
          </cell>
          <cell r="Z812" t="str">
            <v>新北市新莊區中平路362號6樓</v>
          </cell>
          <cell r="AA812" t="str">
            <v>242新北市新莊區中平路362號6樓</v>
          </cell>
          <cell r="AK812" t="str">
            <v>KED-2500</v>
          </cell>
          <cell r="AL812" t="str">
            <v>1-0852-聯盛鑫股份有限公司&gt;寄&gt;附發票&gt;附回郵&gt;</v>
          </cell>
          <cell r="AM812" t="str">
            <v>1-0852</v>
          </cell>
        </row>
        <row r="813">
          <cell r="B813" t="str">
            <v>1-0808</v>
          </cell>
          <cell r="C813" t="str">
            <v>108-01-30</v>
          </cell>
          <cell r="D813" t="str">
            <v>1-0808-吉利來&gt;寄&gt;附回郵</v>
          </cell>
          <cell r="E813" t="str">
            <v>吉利來輪胎行&gt;楊銀中</v>
          </cell>
          <cell r="F813" t="str">
            <v>吉利來輪胎行(808)</v>
          </cell>
          <cell r="G813" t="str">
            <v>未稅</v>
          </cell>
          <cell r="H813" t="str">
            <v>寄&gt;自結&gt;附回郵&gt;匯款83980&gt;</v>
          </cell>
          <cell r="I813" t="str">
            <v>4550&gt;2099&gt;未稅&gt;571含稅其餘未稅</v>
          </cell>
          <cell r="J813">
            <v>30</v>
          </cell>
          <cell r="L813" t="str">
            <v>0925-936159會計(帳務)&gt;04-7982239&gt;0918-396159楊銀中&gt;傳真04-7977690</v>
          </cell>
          <cell r="M813">
            <v>0</v>
          </cell>
          <cell r="R813" t="b">
            <v>0</v>
          </cell>
          <cell r="S813" t="str"/>
          <cell r="T813" t="b">
            <v>0</v>
          </cell>
          <cell r="W813">
            <v>509</v>
          </cell>
          <cell r="X813" t="str">
            <v>彰化縣伸港鄉溪底村興工路138號</v>
          </cell>
          <cell r="Y813" t="str">
            <v>彰化縣伸港鄉</v>
          </cell>
          <cell r="Z813" t="str">
            <v>彰化縣伸港鄉溪底村興工路138號</v>
          </cell>
          <cell r="AA813" t="str">
            <v>509彰化縣伸港鄉溪底村興工路138號</v>
          </cell>
          <cell r="AK813" t="str">
            <v>425-HZ</v>
          </cell>
          <cell r="AL813" t="str">
            <v>1-0433-紘洋&gt;寄&gt;附發票&gt;附回郵</v>
          </cell>
          <cell r="AM813" t="str">
            <v>1-0433</v>
          </cell>
        </row>
        <row r="814">
          <cell r="B814" t="str">
            <v>1-0809</v>
          </cell>
          <cell r="C814" t="str">
            <v>108-01-31</v>
          </cell>
          <cell r="D814" t="str">
            <v>1-0809-佶鼎科技&gt;寄&gt;匯款</v>
          </cell>
          <cell r="E814" t="str">
            <v>佶鼎科技股份有限公司&gt;鄭博仁</v>
          </cell>
          <cell r="F814" t="str">
            <v>佶鼎科技股份有限公司(809)</v>
          </cell>
          <cell r="G814" t="str">
            <v>含稅</v>
          </cell>
          <cell r="H814" t="str">
            <v>寄&gt;匯款</v>
          </cell>
          <cell r="I814" t="str">
            <v>1688&gt;6005&gt;含稅</v>
          </cell>
          <cell r="J814">
            <v>30</v>
          </cell>
          <cell r="L814" t="str">
            <v>03-4834188&gt;傳真03-4834189</v>
          </cell>
          <cell r="M814">
            <v>0</v>
          </cell>
          <cell r="R814" t="b">
            <v>0</v>
          </cell>
          <cell r="S814" t="str"/>
          <cell r="T814" t="b">
            <v>0</v>
          </cell>
          <cell r="W814">
            <v>328</v>
          </cell>
          <cell r="X814" t="str">
            <v>桃園縣觀音鄉觀音工業區經建四路7之1號</v>
          </cell>
          <cell r="Y814" t="str">
            <v>桃園縣觀音鄉</v>
          </cell>
          <cell r="Z814" t="str">
            <v>桃園縣觀音鄉觀音工業區經建四路7之1號</v>
          </cell>
          <cell r="AA814" t="str">
            <v>328桃園縣觀音鄉觀音工業區經建四路7之1號</v>
          </cell>
          <cell r="AK814" t="str">
            <v>961-RE</v>
          </cell>
          <cell r="AL814" t="str">
            <v>1-0434-李政芳&gt;寄&gt;自結</v>
          </cell>
          <cell r="AM814" t="str">
            <v>1-0434</v>
          </cell>
        </row>
        <row r="815">
          <cell r="B815" t="str">
            <v>1-0810</v>
          </cell>
          <cell r="C815" t="str">
            <v>108-01-31</v>
          </cell>
          <cell r="D815" t="str">
            <v>1-0810-六統交通股份有限公司&gt;寄&gt;附發票</v>
          </cell>
          <cell r="E815" t="str">
            <v>六統交通股份有限公司&gt;警友會&gt;副處長朱定宏</v>
          </cell>
          <cell r="F815" t="str">
            <v>六統交通股份有限公司(810)</v>
          </cell>
          <cell r="G815" t="str">
            <v>含稅</v>
          </cell>
          <cell r="H815" t="str">
            <v>寄&gt;附發票</v>
          </cell>
          <cell r="I815" t="str">
            <v>23779966&gt;含稅</v>
          </cell>
          <cell r="J815">
            <v>30</v>
          </cell>
          <cell r="L815" t="str">
            <v>03-5375281&gt;傳真03-5372441&gt;0932114401朱定宏</v>
          </cell>
          <cell r="M815">
            <v>0</v>
          </cell>
          <cell r="R815" t="b">
            <v>0</v>
          </cell>
          <cell r="S815" t="str"/>
          <cell r="T815" t="b">
            <v>0</v>
          </cell>
          <cell r="W815">
            <v>300</v>
          </cell>
          <cell r="X815" t="str">
            <v>新竹市香山區五福路二段500巷15號</v>
          </cell>
          <cell r="Y815" t="str">
            <v>新竹市香山區</v>
          </cell>
          <cell r="Z815" t="str">
            <v>新竹市香山區五福路二段500巷15號</v>
          </cell>
          <cell r="AA815" t="str">
            <v>300新竹市香山區五福路二段500巷15號</v>
          </cell>
          <cell r="AK815" t="str">
            <v>QU-99</v>
          </cell>
          <cell r="AL815" t="str">
            <v>1-0439-張家銘&gt;寄&gt;自結</v>
          </cell>
          <cell r="AM815" t="str">
            <v>1-0439</v>
          </cell>
        </row>
        <row r="816">
          <cell r="B816" t="str">
            <v>1-0811</v>
          </cell>
          <cell r="C816" t="str">
            <v>108-02-11</v>
          </cell>
          <cell r="D816" t="str">
            <v>1-0811-(2/2)宜群企業&gt;寄&gt;附發票&gt;附回郵</v>
          </cell>
          <cell r="E816" t="str">
            <v>宜群企業股份有限公司(2/2)</v>
          </cell>
          <cell r="F816" t="str">
            <v>宜群企業股份有限公司(811)</v>
          </cell>
          <cell r="G816" t="str">
            <v>稅外</v>
          </cell>
          <cell r="H816" t="str">
            <v>寄＞附發票＞附回郵＞與編號54一起請</v>
          </cell>
          <cell r="I816" t="str">
            <v>5496&gt;5579＞稅外</v>
          </cell>
          <cell r="J816">
            <v>30</v>
          </cell>
          <cell r="L816" t="str">
            <v>037-584378＞0932-667420陳小姐＞傳真037-584381</v>
          </cell>
          <cell r="M816">
            <v>0</v>
          </cell>
          <cell r="R816" t="b">
            <v>0</v>
          </cell>
          <cell r="S816" t="str"/>
          <cell r="T816" t="b">
            <v>0</v>
          </cell>
          <cell r="W816">
            <v>350</v>
          </cell>
          <cell r="X816" t="str">
            <v>苗栗縣竹南鎮竹南工業區和興路243號＞登:苗栗縣造橋鄉錦水村2鄰錦水7-32號。</v>
          </cell>
          <cell r="Y816" t="str">
            <v>苗栗縣竹南鎮</v>
          </cell>
          <cell r="Z816" t="str">
            <v>苗栗縣竹南鎮竹南工業區和興路243號.</v>
          </cell>
          <cell r="AA816" t="str">
            <v>350苗栗縣竹南鎮竹南工業區和興路243號＞登:苗栗縣造橋鄉錦水村2鄰錦水7-32號。</v>
          </cell>
          <cell r="AK816" t="str">
            <v>389-GF</v>
          </cell>
          <cell r="AL816" t="str">
            <v>1-0439-張家銘&gt;寄&gt;自結</v>
          </cell>
          <cell r="AM816" t="str">
            <v>1-0439</v>
          </cell>
        </row>
        <row r="817">
          <cell r="B817" t="str">
            <v>1-0812</v>
          </cell>
          <cell r="C817" t="str">
            <v>108-02-19</v>
          </cell>
          <cell r="D817" t="str">
            <v>1-0812-詠盛 (藤坪輪胎)</v>
          </cell>
          <cell r="E817" t="str">
            <v>詠盛輪胎行(藤坪輪胎)</v>
          </cell>
          <cell r="F817" t="str">
            <v>詠盛輪胎行(藤坪輪胎)(812)</v>
          </cell>
          <cell r="G817" t="str">
            <v>未稅</v>
          </cell>
          <cell r="H817" t="str">
            <v>收現</v>
          </cell>
          <cell r="J817">
            <v>30</v>
          </cell>
          <cell r="L817" t="str">
            <v>0910-357167梁盛樓</v>
          </cell>
          <cell r="M817" t="str">
            <v>2-0073</v>
          </cell>
          <cell r="R817" t="b">
            <v>0</v>
          </cell>
          <cell r="S817" t="str"/>
          <cell r="T817" t="b">
            <v>0</v>
          </cell>
          <cell r="W817" t="str"/>
          <cell r="Y817" t="str"/>
          <cell r="AA817" t="str"/>
          <cell r="AK817" t="str">
            <v>645-H9</v>
          </cell>
          <cell r="AL817" t="str">
            <v>1-0441-劉德良&gt;寄&gt;自結</v>
          </cell>
          <cell r="AM817" t="str">
            <v>1-0441</v>
          </cell>
        </row>
        <row r="818">
          <cell r="B818" t="str">
            <v>1-0813</v>
          </cell>
          <cell r="C818" t="str">
            <v>108-02-25</v>
          </cell>
          <cell r="D818" t="str">
            <v>1-0813-峻源&gt;寄&gt;附發票&gt;匯款</v>
          </cell>
          <cell r="E818" t="str">
            <v>峻源股份有限公司</v>
          </cell>
          <cell r="F818" t="str">
            <v>峻源股份有限公司(813)</v>
          </cell>
          <cell r="G818" t="str">
            <v>含稅</v>
          </cell>
          <cell r="H818" t="str">
            <v>寄&gt;附發票&gt;匯款</v>
          </cell>
          <cell r="I818" t="str">
            <v>2787&gt;3415&gt;含稅&gt;25號月結</v>
          </cell>
          <cell r="J818">
            <v>25</v>
          </cell>
          <cell r="L818" t="str">
            <v>03-5875068分機103黃小姐&gt;傳真03-5171546</v>
          </cell>
          <cell r="M818">
            <v>0</v>
          </cell>
          <cell r="R818" t="b">
            <v>0</v>
          </cell>
          <cell r="S818" t="str"/>
          <cell r="T818" t="b">
            <v>0</v>
          </cell>
          <cell r="W818">
            <v>306</v>
          </cell>
          <cell r="X818" t="str">
            <v>新竹縣關西鎮南新里9鄰新城1-1.1-7號</v>
          </cell>
          <cell r="Y818" t="str">
            <v>新竹縣關西鎮</v>
          </cell>
          <cell r="Z818" t="str">
            <v>新竹縣關西鎮南新里9鄰新城1-1.1-7號</v>
          </cell>
          <cell r="AA818" t="str">
            <v>306新竹縣關西鎮南新里9鄰新城1-1.1-7號</v>
          </cell>
          <cell r="AK818" t="str">
            <v>882-XT</v>
          </cell>
          <cell r="AL818" t="str">
            <v>1-0441-劉德良&gt;寄&gt;自結</v>
          </cell>
          <cell r="AM818" t="str">
            <v>1-0441</v>
          </cell>
        </row>
        <row r="819">
          <cell r="B819" t="str">
            <v>1-0814</v>
          </cell>
          <cell r="C819" t="str">
            <v>108-03-06</v>
          </cell>
          <cell r="D819" t="str">
            <v>1-0814-順運&gt;附發票&gt;附回郵</v>
          </cell>
          <cell r="E819" t="str">
            <v>順運工程有限公司&gt;負:謝金清</v>
          </cell>
          <cell r="F819" t="str">
            <v>順運工程有限公司(814)</v>
          </cell>
          <cell r="G819" t="str">
            <v>稅外</v>
          </cell>
          <cell r="H819" t="str">
            <v>寄&gt;當下開發票&gt;附回郵&gt;現金價</v>
          </cell>
          <cell r="I819" t="str">
            <v>8699&gt;0662&gt;稅外</v>
          </cell>
          <cell r="J819">
            <v>30</v>
          </cell>
          <cell r="L819" t="str">
            <v>03-5510366&gt;傳真03-5510376&gt;0988-375723老闆</v>
          </cell>
          <cell r="M819">
            <v>0</v>
          </cell>
          <cell r="R819" t="b">
            <v>0</v>
          </cell>
          <cell r="S819" t="str"/>
          <cell r="T819" t="b">
            <v>0</v>
          </cell>
          <cell r="W819">
            <v>302</v>
          </cell>
          <cell r="X819" t="str">
            <v>新竹縣竹北市聯興里溝貝街199巷18號</v>
          </cell>
          <cell r="Y819" t="str">
            <v>新竹縣竹北市</v>
          </cell>
          <cell r="Z819" t="str">
            <v>新竹縣竹北市聯興里溝貝街199巷18號</v>
          </cell>
          <cell r="AA819" t="str">
            <v>302新竹縣竹北市聯興里溝貝街199巷18號</v>
          </cell>
          <cell r="AK819" t="str">
            <v>402-QP</v>
          </cell>
          <cell r="AL819" t="str">
            <v>1-0444-力盛&gt;寄&gt;附發票&gt;附回郵</v>
          </cell>
          <cell r="AM819" t="str">
            <v>1-0444</v>
          </cell>
        </row>
        <row r="820">
          <cell r="B820" t="str">
            <v>1-0815</v>
          </cell>
          <cell r="C820" t="str">
            <v>108-03-07</v>
          </cell>
          <cell r="D820" t="str">
            <v>1-0815-(3/4)鴻阜建材&gt;寄&gt;附發票&gt;附回郵</v>
          </cell>
          <cell r="E820" t="str">
            <v>鴻阜建材有限公司&gt;負:張仕茂＞張鎮能＞華泰(3/4)</v>
          </cell>
          <cell r="F820" t="str">
            <v>鴻阜建材有限公司(815)</v>
          </cell>
          <cell r="G820" t="str">
            <v>含稅</v>
          </cell>
          <cell r="H820" t="str">
            <v>寄&gt;附發票&gt;附回郵</v>
          </cell>
          <cell r="I820" t="str">
            <v>5314&gt;6004&gt;含稅&gt;會打來說開哪間發票</v>
          </cell>
          <cell r="J820">
            <v>30</v>
          </cell>
          <cell r="L820" t="str">
            <v>04-25855006＞04-25855099＞0910-375913＞0913-629799張鎮能＞傳真04-25855616</v>
          </cell>
          <cell r="M820">
            <v>0</v>
          </cell>
          <cell r="R820" t="b">
            <v>0</v>
          </cell>
          <cell r="S820" t="str"/>
          <cell r="T820" t="b">
            <v>0</v>
          </cell>
          <cell r="W820">
            <v>423</v>
          </cell>
          <cell r="X820" t="str">
            <v>台中巿東勢區上城街317號＞登:臺中市東勢區新盛里新盛街413號。</v>
          </cell>
          <cell r="Y820" t="str">
            <v>台中巿東勢區</v>
          </cell>
          <cell r="Z820" t="str">
            <v>台中巿東勢區詒福里上城街317號1樓.</v>
          </cell>
          <cell r="AA820" t="str">
            <v>423台中巿東勢區上城街317號＞登:臺中市東勢區新盛里新盛街413號。</v>
          </cell>
          <cell r="AK820" t="str">
            <v>878-VN</v>
          </cell>
          <cell r="AL820" t="str">
            <v>1-0444-力盛&gt;寄&gt;附發票&gt;附回郵</v>
          </cell>
          <cell r="AM820" t="str">
            <v>1-0444</v>
          </cell>
        </row>
        <row r="821">
          <cell r="B821" t="str">
            <v>1-0816</v>
          </cell>
          <cell r="C821" t="str">
            <v>108-03-07</v>
          </cell>
          <cell r="D821" t="str">
            <v>1-0816-(4/4)和毅建材&gt;寄&gt;附發票&gt;附回郵</v>
          </cell>
          <cell r="E821" t="str">
            <v>和毅建材有限公司&gt;負:張仕茂＞張鎮能＞華泰(4/4)</v>
          </cell>
          <cell r="F821" t="str">
            <v>和毅建材有限公司(816)</v>
          </cell>
          <cell r="G821" t="str">
            <v>含稅</v>
          </cell>
          <cell r="H821" t="str">
            <v>寄&gt;附發票&gt;附回郵</v>
          </cell>
          <cell r="I821" t="str">
            <v>2425&gt;9680&gt;含稅&gt;會打來說開哪間發票</v>
          </cell>
          <cell r="J821">
            <v>30</v>
          </cell>
          <cell r="L821" t="str">
            <v>04-25855006＞04-25855099＞0910-375913＞0913-629799張鎮能＞傳真04-25855616</v>
          </cell>
          <cell r="M821">
            <v>0</v>
          </cell>
          <cell r="R821" t="b">
            <v>0</v>
          </cell>
          <cell r="S821" t="str"/>
          <cell r="T821" t="b">
            <v>0</v>
          </cell>
          <cell r="W821">
            <v>423</v>
          </cell>
          <cell r="X821" t="str">
            <v>台中巿東勢區上城街317號＞登:臺中市東勢區新盛里新盛街413號。</v>
          </cell>
          <cell r="Y821" t="str">
            <v>台中巿東勢區</v>
          </cell>
          <cell r="Z821" t="str">
            <v>台中巿東勢區詒福里上城街317號1樓.</v>
          </cell>
          <cell r="AA821" t="str">
            <v>423台中巿東勢區上城街317號＞登:臺中市東勢區新盛里新盛街413號。</v>
          </cell>
          <cell r="AK821" t="str">
            <v>785-RW</v>
          </cell>
          <cell r="AL821" t="str">
            <v>1-0444-力盛&gt;寄&gt;附發票&gt;附回郵</v>
          </cell>
          <cell r="AM821" t="str">
            <v>1-0444</v>
          </cell>
        </row>
        <row r="822">
          <cell r="B822" t="str">
            <v>1-0817</v>
          </cell>
          <cell r="C822" t="str">
            <v>108-03-20</v>
          </cell>
          <cell r="D822" t="str">
            <v>1-0817-(2/2)捷順&gt;寄&gt;附發票&gt;三個月匯款</v>
          </cell>
          <cell r="E822" t="str">
            <v>捷順運輸股份有限公司＞負:徐重仁</v>
          </cell>
          <cell r="F822" t="str">
            <v>捷順運輸股份有限公司-竹南(817)</v>
          </cell>
          <cell r="G822" t="str">
            <v>含稅</v>
          </cell>
          <cell r="H822" t="str">
            <v>寄＞附發票＞匯款:3個月後匯款＞</v>
          </cell>
          <cell r="I822" t="str">
            <v>出單先確定車號公司別並記錄對方確認的人員 8045＞3736捷順＞含稅＞中華全佑＞25號月結</v>
          </cell>
          <cell r="J822">
            <v>25</v>
          </cell>
          <cell r="L822" t="str">
            <v>037-626711-6666＞0939-571982竹南-盧聚賢＞傳真037-628398</v>
          </cell>
          <cell r="M822">
            <v>0</v>
          </cell>
          <cell r="R822" t="b">
            <v>0</v>
          </cell>
          <cell r="S822" t="str"/>
          <cell r="T822" t="b">
            <v>0</v>
          </cell>
          <cell r="W822">
            <v>350</v>
          </cell>
          <cell r="X822" t="str">
            <v>苗栗縣竹南鎮公館里公館仔75之1號。</v>
          </cell>
          <cell r="Y822" t="str">
            <v>桃園縣中壢巿</v>
          </cell>
          <cell r="Z822" t="str">
            <v>桃園縣中壢巿北園路37號.</v>
          </cell>
          <cell r="AA822" t="str">
            <v>350苗栗縣竹南鎮公館里公館仔75之1號。</v>
          </cell>
          <cell r="AK822" t="str">
            <v>FF-763 靠行車號</v>
          </cell>
          <cell r="AL822" t="str">
            <v>1-0446-全家福&gt;寄&gt;附發票&gt;二個月匯款</v>
          </cell>
          <cell r="AM822" t="str">
            <v>1-0446</v>
          </cell>
        </row>
        <row r="823">
          <cell r="B823" t="str">
            <v>1-0818</v>
          </cell>
          <cell r="C823" t="str">
            <v>108-03-20</v>
          </cell>
          <cell r="D823" t="str">
            <v>1-0818-(2/2)捷順&gt;寄&gt;附發票&gt;三個月匯款</v>
          </cell>
          <cell r="E823" t="str">
            <v>捷順運輸股份有限公司＞負:徐重仁</v>
          </cell>
          <cell r="F823" t="str">
            <v>捷順運輸股份有限公司-苗栗(818)</v>
          </cell>
          <cell r="G823" t="str">
            <v>含稅</v>
          </cell>
          <cell r="H823" t="str">
            <v>寄＞附發票＞匯款:3個月後匯款＞</v>
          </cell>
          <cell r="I823" t="str">
            <v>出單先確定車號公司別並記錄對方確認的人員 8045＞3736捷順＞含稅＞中華全佑＞25號月結</v>
          </cell>
          <cell r="J823">
            <v>25</v>
          </cell>
          <cell r="L823" t="str">
            <v>037-269333-8131苗栗-張家睿</v>
          </cell>
          <cell r="M823">
            <v>0</v>
          </cell>
          <cell r="R823" t="b">
            <v>0</v>
          </cell>
          <cell r="S823" t="str"/>
          <cell r="T823" t="b">
            <v>0</v>
          </cell>
          <cell r="W823">
            <v>360</v>
          </cell>
          <cell r="X823" t="str">
            <v>苗栗巿中華路780號。</v>
          </cell>
          <cell r="Y823" t="str">
            <v>桃園縣中壢巿</v>
          </cell>
          <cell r="Z823" t="str">
            <v>桃園縣中壢巿北園路37號.</v>
          </cell>
          <cell r="AA823" t="str">
            <v>360苗栗巿中華路780號。</v>
          </cell>
          <cell r="AK823" t="str">
            <v>A2-921</v>
          </cell>
          <cell r="AL823" t="str">
            <v>1-0446-全家福&gt;寄&gt;附發票&gt;二個月匯款</v>
          </cell>
          <cell r="AM823" t="str">
            <v>1-0446</v>
          </cell>
        </row>
        <row r="824">
          <cell r="B824" t="str">
            <v>1-0819</v>
          </cell>
          <cell r="C824" t="str">
            <v>108-03-20</v>
          </cell>
          <cell r="D824" t="str">
            <v>1-0819-(2/2)捷順&gt;寄&gt;附發票&gt;三個月匯款</v>
          </cell>
          <cell r="E824" t="str">
            <v>捷順運輸股份有限公司＞負:徐重仁</v>
          </cell>
          <cell r="F824" t="str">
            <v>捷順運輸股份有限公司-中壢(819)</v>
          </cell>
          <cell r="G824" t="str">
            <v>含稅</v>
          </cell>
          <cell r="H824" t="str">
            <v>寄＞附發票＞匯款:3個月後匯款＞</v>
          </cell>
          <cell r="I824" t="str">
            <v>出單先確定車號公司別並記錄對方確認的人員 8045＞3736捷順＞含稅＞中華全佑＞25號月結</v>
          </cell>
          <cell r="J824">
            <v>25</v>
          </cell>
          <cell r="L824" t="str">
            <v>03-4617890-206鍾's分機203徐小姐(維修.車輛發票別)</v>
          </cell>
          <cell r="M824">
            <v>0</v>
          </cell>
          <cell r="R824" t="b">
            <v>0</v>
          </cell>
          <cell r="S824" t="str"/>
          <cell r="T824" t="b">
            <v>0</v>
          </cell>
          <cell r="W824">
            <v>320</v>
          </cell>
          <cell r="X824" t="str">
            <v>桃園縣中壢巿北園路37號。</v>
          </cell>
          <cell r="Y824" t="str">
            <v>桃園縣中壢巿</v>
          </cell>
          <cell r="Z824" t="str">
            <v>桃園縣中壢巿北園路37號.</v>
          </cell>
          <cell r="AA824" t="str">
            <v>320桃園縣中壢巿北園路37號。</v>
          </cell>
          <cell r="AK824" t="str">
            <v>KEE-2066</v>
          </cell>
          <cell r="AL824" t="str">
            <v>1-0802-尚好&gt;寄&gt;附發票&gt;附回郵</v>
          </cell>
          <cell r="AM824" t="str">
            <v>1-0802</v>
          </cell>
        </row>
        <row r="825">
          <cell r="B825" t="str">
            <v>1-0820</v>
          </cell>
          <cell r="C825" t="str">
            <v>109-07-04/郭雯瑀</v>
          </cell>
          <cell r="D825" t="str">
            <v>1-0820-宏欣輪胎行&gt;寄&gt;附回郵</v>
          </cell>
          <cell r="E825" t="str">
            <v>宏欣輪胎行</v>
          </cell>
          <cell r="F825" t="str">
            <v>宏欣輪胎行(820)</v>
          </cell>
          <cell r="G825" t="str">
            <v>未稅</v>
          </cell>
          <cell r="H825" t="str">
            <v>寄&gt;附回郵</v>
          </cell>
          <cell r="I825" t="str">
            <v>未稅</v>
          </cell>
          <cell r="J825">
            <v>30</v>
          </cell>
          <cell r="K825" t="str">
            <v>6687&gt;6050</v>
          </cell>
          <cell r="L825" t="str">
            <v>03-5374021&gt;0932-596870</v>
          </cell>
          <cell r="M825">
            <v>0</v>
          </cell>
          <cell r="R825" t="b">
            <v>0</v>
          </cell>
          <cell r="S825" t="str"/>
          <cell r="T825" t="b">
            <v>0</v>
          </cell>
          <cell r="W825">
            <v>812</v>
          </cell>
          <cell r="X825" t="str">
            <v>新竹市中華路6段716-1號</v>
          </cell>
          <cell r="Y825" t="str">
            <v>新竹市中華路</v>
          </cell>
          <cell r="Z825" t="str">
            <v>新竹市中華路6段716-1號</v>
          </cell>
          <cell r="AA825" t="str">
            <v>812新竹市中華路6段716-1號</v>
          </cell>
          <cell r="AK825" t="str">
            <v>NN-066</v>
          </cell>
          <cell r="AL825" t="str">
            <v>1-0446-全家福&gt;寄&gt;附發票&gt;二個月匯款</v>
          </cell>
          <cell r="AM825" t="str">
            <v>1-0446</v>
          </cell>
        </row>
        <row r="826">
          <cell r="B826" t="str">
            <v>1-0821</v>
          </cell>
          <cell r="C826" t="str">
            <v>109-07-08/郭雯瑀</v>
          </cell>
          <cell r="D826" t="str">
            <v>1-0821-順華(賣蛋)&gt;付現</v>
          </cell>
          <cell r="E826" t="str">
            <v>順華交通股份有限公司＞賣蛋的私人帳</v>
          </cell>
          <cell r="F826" t="str">
            <v>陳柔君(821)</v>
          </cell>
          <cell r="G826" t="str">
            <v>未稅</v>
          </cell>
          <cell r="H826" t="str">
            <v>付現</v>
          </cell>
          <cell r="J826">
            <v>30</v>
          </cell>
          <cell r="L826" t="str">
            <v>037-692198&gt;0926-225675陳柔君</v>
          </cell>
          <cell r="M826">
            <v>0</v>
          </cell>
          <cell r="O826">
            <v>52</v>
          </cell>
          <cell r="P826">
            <v>3</v>
          </cell>
          <cell r="Q826">
            <v>28</v>
          </cell>
          <cell r="R826">
            <v>59</v>
          </cell>
          <cell r="S826">
            <v>63</v>
          </cell>
          <cell r="T826">
            <v>23098</v>
          </cell>
          <cell r="U826" t="str">
            <v>K220834817</v>
          </cell>
          <cell r="W826">
            <v>351</v>
          </cell>
          <cell r="X826" t="str">
            <v>苗栗縣頭份市下興里12鄰吉祥路31號</v>
          </cell>
          <cell r="Y826" t="str">
            <v>苗栗縣頭份市</v>
          </cell>
          <cell r="Z826" t="str">
            <v>苗栗縣頭份市下興里12鄰吉祥路31號</v>
          </cell>
          <cell r="AA826" t="str">
            <v>351苗栗縣頭份市下興里12鄰吉祥路31號</v>
          </cell>
          <cell r="AK826" t="str">
            <v>075-NN</v>
          </cell>
          <cell r="AL826" t="str">
            <v>1-0449-園區&gt;寄&gt;附發票&gt;附回郵</v>
          </cell>
          <cell r="AM826" t="str">
            <v>1-0449</v>
          </cell>
        </row>
        <row r="827">
          <cell r="B827" t="str">
            <v>1-0822</v>
          </cell>
          <cell r="C827" t="str">
            <v>108-04-04</v>
          </cell>
          <cell r="D827" t="str">
            <v>1-0822-新大興輪胎行</v>
          </cell>
          <cell r="E827" t="str">
            <v>新大興輪胎行</v>
          </cell>
          <cell r="F827" t="str">
            <v>新大興輪胎行(822)</v>
          </cell>
          <cell r="G827" t="str">
            <v>含稅</v>
          </cell>
          <cell r="H827" t="str">
            <v>附發票&gt;票期價</v>
          </cell>
          <cell r="J827">
            <v>30</v>
          </cell>
          <cell r="L827" t="str">
            <v>037-320970&gt;037-352970&gt;呂瑞文0931-527600</v>
          </cell>
          <cell r="M827">
            <v>0</v>
          </cell>
          <cell r="R827" t="b">
            <v>0</v>
          </cell>
          <cell r="S827" t="str"/>
          <cell r="T827" t="b">
            <v>0</v>
          </cell>
          <cell r="W827">
            <v>360</v>
          </cell>
          <cell r="X827" t="str">
            <v>苗栗市中山路168號</v>
          </cell>
          <cell r="Y827" t="str">
            <v>苗栗市中山路</v>
          </cell>
          <cell r="Z827" t="str">
            <v>苗栗市中山路168號</v>
          </cell>
          <cell r="AA827" t="str">
            <v>360苗栗市中山路168號</v>
          </cell>
          <cell r="AK827" t="str">
            <v>5732-VV</v>
          </cell>
          <cell r="AL827" t="str">
            <v>1-0449-園區&gt;寄&gt;附發票&gt;附回郵</v>
          </cell>
          <cell r="AM827" t="str">
            <v>1-0449</v>
          </cell>
        </row>
        <row r="828">
          <cell r="B828" t="str">
            <v>1-0823</v>
          </cell>
          <cell r="C828" t="str">
            <v>109-07-16/黃新惠</v>
          </cell>
          <cell r="D828" t="str">
            <v>1-0823-博鴻通運有限公司&gt;寄&gt;匯款</v>
          </cell>
          <cell r="E828" t="str">
            <v>博鴻通運有限公司&gt;負:陳萬年</v>
          </cell>
          <cell r="F828" t="str">
            <v>楊憲忠(823)</v>
          </cell>
          <cell r="G828" t="str">
            <v>未稅</v>
          </cell>
          <cell r="H828" t="str">
            <v>寄&gt;匯款楊憲忠</v>
          </cell>
          <cell r="I828" t="str">
            <v>未稅</v>
          </cell>
          <cell r="J828">
            <v>30</v>
          </cell>
          <cell r="K828" t="str">
            <v>8496&gt;4507</v>
          </cell>
          <cell r="L828" t="str">
            <v>03-5388458&gt;0912-236389楊憲忠</v>
          </cell>
          <cell r="M828">
            <v>0</v>
          </cell>
          <cell r="O828">
            <v>49</v>
          </cell>
          <cell r="P828">
            <v>9</v>
          </cell>
          <cell r="Q828">
            <v>10</v>
          </cell>
          <cell r="R828">
            <v>61</v>
          </cell>
          <cell r="S828">
            <v>60</v>
          </cell>
          <cell r="T828">
            <v>22169</v>
          </cell>
          <cell r="W828">
            <v>300</v>
          </cell>
          <cell r="X828" t="str">
            <v>新竹市樹下街218號&gt;新竹市浸水街357號</v>
          </cell>
          <cell r="Y828" t="str">
            <v>新竹市樹下街</v>
          </cell>
          <cell r="Z828" t="str">
            <v>新竹市樹下街218號</v>
          </cell>
          <cell r="AA828" t="str">
            <v>300新竹市樹下街218號&gt;新竹市浸水街357號</v>
          </cell>
          <cell r="AK828" t="str">
            <v>ZZ-9260</v>
          </cell>
          <cell r="AL828" t="str">
            <v>1-0449-園區&gt;寄&gt;附發票&gt;附回郵</v>
          </cell>
          <cell r="AM828" t="str">
            <v>1-0449</v>
          </cell>
        </row>
        <row r="829">
          <cell r="B829" t="str">
            <v>1-0824</v>
          </cell>
          <cell r="C829" t="str">
            <v>108-04-08</v>
          </cell>
          <cell r="D829" t="str">
            <v>1-0824-中油探採&gt;寄&gt;(非公開招標)</v>
          </cell>
          <cell r="E829" t="str">
            <v>台灣中油股份有限公司.探採事業部-(非公開招標)</v>
          </cell>
          <cell r="F829" t="str">
            <v>台灣中油股份有限公司.材料室運輸組 莊小姐收(824)</v>
          </cell>
          <cell r="G829" t="str">
            <v>稅外</v>
          </cell>
          <cell r="H829" t="str">
            <v>寄&gt;附發票&gt;匯款</v>
          </cell>
          <cell r="I829" t="str">
            <v>4903&gt;4506&gt;稅外&gt;中華全佑(寄出當天開發票)</v>
          </cell>
          <cell r="J829">
            <v>30</v>
          </cell>
          <cell r="L829" t="str">
            <v>037-262100#552莊小姐&gt;傳真037-261793</v>
          </cell>
          <cell r="M829">
            <v>0</v>
          </cell>
          <cell r="R829" t="b">
            <v>0</v>
          </cell>
          <cell r="S829" t="str"/>
          <cell r="T829" t="b">
            <v>0</v>
          </cell>
          <cell r="W829">
            <v>360</v>
          </cell>
          <cell r="X829" t="str">
            <v>苗栗市中正路140號</v>
          </cell>
          <cell r="Y829" t="str">
            <v>苗栗市中正路</v>
          </cell>
          <cell r="Z829" t="str">
            <v>苗栗市中正路140號</v>
          </cell>
          <cell r="AA829" t="str">
            <v>360苗栗市中正路140號</v>
          </cell>
          <cell r="AK829" t="str">
            <v>338-JJ</v>
          </cell>
          <cell r="AL829" t="str">
            <v>1-0449-園區&gt;寄&gt;附發票&gt;附回郵</v>
          </cell>
          <cell r="AM829" t="str">
            <v>1-0449</v>
          </cell>
        </row>
        <row r="830">
          <cell r="B830" t="str">
            <v>1-0825</v>
          </cell>
          <cell r="C830" t="str">
            <v>109-07-28/郭雯瑀</v>
          </cell>
          <cell r="D830" t="str">
            <v>1-0825-廣聲機械&gt;寄&gt;附發票&gt;附回郵</v>
          </cell>
          <cell r="E830" t="str">
            <v>廣聲機械工程有限公司＞負:張文銓</v>
          </cell>
          <cell r="F830" t="str">
            <v>廣聲機械工程有限公司(825)</v>
          </cell>
          <cell r="G830" t="str">
            <v>稅外</v>
          </cell>
          <cell r="H830" t="str">
            <v>寄＞附發票＞附回郵</v>
          </cell>
          <cell r="I830" t="str">
            <v>8934＞4083＞稅外</v>
          </cell>
          <cell r="J830">
            <v>30</v>
          </cell>
          <cell r="L830" t="str">
            <v>037-469868＞傳真037-469891</v>
          </cell>
          <cell r="M830" t="str">
            <v>2-0013</v>
          </cell>
          <cell r="R830" t="b">
            <v>0</v>
          </cell>
          <cell r="S830" t="str"/>
          <cell r="T830" t="b">
            <v>0</v>
          </cell>
          <cell r="W830">
            <v>350</v>
          </cell>
          <cell r="X830" t="str">
            <v>苗栗縣竹南鎮中美里10鄰保安林52-29號＞登:臺北市中山區中央里建國北路2段94號9樓。</v>
          </cell>
          <cell r="Y830" t="str">
            <v>苗栗縣竹南鎮</v>
          </cell>
          <cell r="Z830" t="str">
            <v>苗栗縣竹南鎮中美里10鄰保安林52之29號.</v>
          </cell>
          <cell r="AA830" t="str">
            <v>350苗栗縣竹南鎮中美里10鄰保安林52-29號＞登:臺北市中山區中央里建國北路2段94號9樓。</v>
          </cell>
          <cell r="AK830" t="str">
            <v>GG-822</v>
          </cell>
          <cell r="AL830" t="str">
            <v>1-0449-園區&gt;寄&gt;附發票&gt;附回郵</v>
          </cell>
          <cell r="AM830" t="str">
            <v>1-0449</v>
          </cell>
        </row>
        <row r="831">
          <cell r="B831" t="str">
            <v>1-0826</v>
          </cell>
          <cell r="C831" t="str">
            <v>109-07-29/郭雯瑀</v>
          </cell>
          <cell r="D831" t="str">
            <v>1-0826-文雄行環保&gt;寄&gt;附發票&gt;匯款</v>
          </cell>
          <cell r="E831" t="str">
            <v>文雄行環保工程有限公司&gt;負:饒正成</v>
          </cell>
          <cell r="F831" t="str">
            <v>文雄行環保工程有限公司(826)</v>
          </cell>
          <cell r="G831" t="str">
            <v>稅外</v>
          </cell>
          <cell r="H831" t="str">
            <v>寄＞附發票＞匯款83339</v>
          </cell>
          <cell r="I831" t="str">
            <v>8970&gt;0266&gt;稅外</v>
          </cell>
          <cell r="J831">
            <v>30</v>
          </cell>
          <cell r="L831" t="str">
            <v>037-663300&gt;0932-614-392(帳務問題)</v>
          </cell>
          <cell r="M831">
            <v>0</v>
          </cell>
          <cell r="R831" t="b">
            <v>0</v>
          </cell>
          <cell r="S831" t="str"/>
          <cell r="T831" t="b">
            <v>0</v>
          </cell>
          <cell r="W831">
            <v>351</v>
          </cell>
          <cell r="X831" t="str">
            <v>苗栗縣頭份市仁愛里博愛街17號</v>
          </cell>
          <cell r="Y831" t="str">
            <v>苗栗縣頭份市</v>
          </cell>
          <cell r="Z831" t="str">
            <v>苗栗縣頭份市仁愛里博愛街17號</v>
          </cell>
          <cell r="AA831" t="str">
            <v>351苗栗縣頭份市仁愛里博愛街17號</v>
          </cell>
          <cell r="AK831" t="str">
            <v>029-NN</v>
          </cell>
          <cell r="AL831" t="str">
            <v>1-0449-園區&gt;寄&gt;附發票&gt;附回郵</v>
          </cell>
          <cell r="AM831" t="str">
            <v>1-0449</v>
          </cell>
        </row>
        <row r="832">
          <cell r="B832" t="str">
            <v>1-0827</v>
          </cell>
          <cell r="C832" t="str">
            <v>109-08-04/郭雯瑀</v>
          </cell>
          <cell r="D832" t="str">
            <v>1-0827-裕鑫通運&gt;(黑豬叔叔)&gt;寄&gt;自結</v>
          </cell>
          <cell r="E832" t="str">
            <v>裕鑫通運有限公司</v>
          </cell>
          <cell r="F832" t="str">
            <v>張金波(827)</v>
          </cell>
          <cell r="G832" t="str">
            <v>未稅</v>
          </cell>
          <cell r="H832" t="str">
            <v>寄&gt;自結</v>
          </cell>
          <cell r="I832" t="str">
            <v>未稅</v>
          </cell>
          <cell r="J832">
            <v>30</v>
          </cell>
          <cell r="L832" t="str">
            <v>0932-854586</v>
          </cell>
          <cell r="M832">
            <v>0</v>
          </cell>
          <cell r="R832" t="b">
            <v>0</v>
          </cell>
          <cell r="S832" t="str"/>
          <cell r="T832" t="b">
            <v>0</v>
          </cell>
          <cell r="W832">
            <v>361</v>
          </cell>
          <cell r="X832" t="str">
            <v>苗栗縣造橋鄉談文村8鄰淡文湖43之1號</v>
          </cell>
          <cell r="Y832" t="str">
            <v>苗栗縣造橋鄉</v>
          </cell>
          <cell r="Z832" t="str">
            <v>苗栗縣造橋鄉談文村8鄰43號</v>
          </cell>
          <cell r="AA832" t="str">
            <v>361苗栗縣造橋鄉談文村8鄰淡文湖43之1號</v>
          </cell>
          <cell r="AK832" t="str">
            <v>966-EE</v>
          </cell>
          <cell r="AL832" t="str">
            <v>1-0449-園區&gt;寄&gt;附發票&gt;附回郵</v>
          </cell>
          <cell r="AM832" t="str">
            <v>1-0449</v>
          </cell>
        </row>
        <row r="833">
          <cell r="B833" t="str">
            <v>1-0828</v>
          </cell>
          <cell r="C833" t="str">
            <v>108-04-12</v>
          </cell>
          <cell r="D833" t="str">
            <v>1-0828-三洋貨運&gt;泓昇興業&gt;寄&gt;附發票&gt;附回郵</v>
          </cell>
          <cell r="E833" t="str">
            <v>三洋貨運有限公司&gt;泓昇興業有限公司&gt;負:許福金</v>
          </cell>
          <cell r="F833" t="str">
            <v>三洋貨運有限公司(828)</v>
          </cell>
          <cell r="G833" t="str">
            <v>含稅</v>
          </cell>
          <cell r="H833" t="str">
            <v>寄&gt;附發票&gt;附回郵&gt;發票要先打過去問開哪家</v>
          </cell>
          <cell r="I833" t="str">
            <v>2326&gt;6086三洋&gt;2787&gt;9608泓昇&gt;含稅</v>
          </cell>
          <cell r="J833">
            <v>30</v>
          </cell>
          <cell r="L833" t="str">
            <v>04-25888062&gt;04-25881552&gt;傳真04-25881550&gt;老闆0937-733597</v>
          </cell>
          <cell r="M833">
            <v>0</v>
          </cell>
          <cell r="R833" t="b">
            <v>0</v>
          </cell>
          <cell r="S833" t="str"/>
          <cell r="T833" t="b">
            <v>0</v>
          </cell>
          <cell r="W833">
            <v>423</v>
          </cell>
          <cell r="X833" t="str">
            <v>台中市東勢區下新里東蘭路78-13號</v>
          </cell>
          <cell r="Y833" t="str">
            <v>台中市東勢區</v>
          </cell>
          <cell r="Z833" t="str">
            <v>台中市東勢區下新里東蘭路78-13號</v>
          </cell>
          <cell r="AA833" t="str">
            <v>423台中市東勢區下新里東蘭路78-13號</v>
          </cell>
          <cell r="AK833" t="str">
            <v>022-NN</v>
          </cell>
          <cell r="AL833" t="str">
            <v>1-0449-園區&gt;寄&gt;附發票&gt;附回郵</v>
          </cell>
          <cell r="AM833" t="str">
            <v>1-0449</v>
          </cell>
        </row>
        <row r="834">
          <cell r="B834" t="str">
            <v>1-0829</v>
          </cell>
          <cell r="C834" t="str">
            <v>109-08-07/郭雯瑀</v>
          </cell>
          <cell r="D834" t="str">
            <v>1-0829-台興炭酸&gt;長泰氣體&gt;寄&gt;附發票&gt;附回郵</v>
          </cell>
          <cell r="E834" t="str">
            <v>台興炭酸股份有限公司&gt;長泰氣體股份有限公司&gt;負:洪至信</v>
          </cell>
          <cell r="F834" t="str">
            <v>台興炭酸.長泰氣體(829)</v>
          </cell>
          <cell r="G834" t="str">
            <v>含稅</v>
          </cell>
          <cell r="H834" t="str">
            <v>寄&gt;附發票&gt;附回郵&gt;</v>
          </cell>
          <cell r="I834" t="str">
            <v>3471&gt;5618&gt;長泰&gt;2074&gt;8835&gt;台興&gt;含稅＞25號月結</v>
          </cell>
          <cell r="J834">
            <v>25</v>
          </cell>
          <cell r="L834" t="str">
            <v>037-263414&gt;傳真:037-623484&gt;0926-231457會計吳星儀&gt;0913-057791廠長邱鈺泓</v>
          </cell>
          <cell r="M834">
            <v>0</v>
          </cell>
          <cell r="R834" t="b">
            <v>0</v>
          </cell>
          <cell r="S834" t="str"/>
          <cell r="T834" t="b">
            <v>0</v>
          </cell>
          <cell r="W834">
            <v>351</v>
          </cell>
          <cell r="X834" t="str">
            <v>苗栗縣頭份市蘆竹里16鄰221號</v>
          </cell>
          <cell r="Y834" t="str">
            <v>苗栗縣頭份市</v>
          </cell>
          <cell r="Z834" t="str">
            <v>苗栗縣頭份市蘆竹里16鄰221號</v>
          </cell>
          <cell r="AA834" t="str">
            <v>351苗栗縣頭份市蘆竹里16鄰221號</v>
          </cell>
          <cell r="AK834" t="str">
            <v>962-EE</v>
          </cell>
          <cell r="AL834" t="str">
            <v>1-0449-園區&gt;寄&gt;附發票&gt;附回郵</v>
          </cell>
          <cell r="AM834" t="str">
            <v>1-0449</v>
          </cell>
        </row>
        <row r="835">
          <cell r="B835" t="str">
            <v>1-0830</v>
          </cell>
          <cell r="C835" t="str">
            <v>109-03-13/鍾依岑</v>
          </cell>
          <cell r="D835" t="str">
            <v>1-0830-新華傑交通公司&gt;電&gt;匯款</v>
          </cell>
          <cell r="E835" t="str">
            <v>新華傑交通公司&gt;負:洪啟勝</v>
          </cell>
          <cell r="F835" t="str">
            <v>新華傑交通公司(830)</v>
          </cell>
          <cell r="G835" t="str">
            <v>未稅</v>
          </cell>
          <cell r="H835" t="str">
            <v>現金價&gt;匯款</v>
          </cell>
          <cell r="I835" t="str">
            <v>未稅</v>
          </cell>
          <cell r="J835">
            <v>30</v>
          </cell>
          <cell r="L835" t="str">
            <v>0926-130281洪啟勝</v>
          </cell>
          <cell r="M835">
            <v>0</v>
          </cell>
          <cell r="O835">
            <v>66</v>
          </cell>
          <cell r="P835">
            <v>3</v>
          </cell>
          <cell r="Q835">
            <v>7</v>
          </cell>
          <cell r="R835">
            <v>45</v>
          </cell>
          <cell r="S835">
            <v>77</v>
          </cell>
          <cell r="T835">
            <v>28191</v>
          </cell>
          <cell r="U835" t="str">
            <v>N122959148</v>
          </cell>
          <cell r="V835" t="str">
            <v>洪啟聖</v>
          </cell>
          <cell r="W835">
            <v>509</v>
          </cell>
          <cell r="X835" t="str">
            <v>彰化縣伸港鄉定興村文工十二街189號</v>
          </cell>
          <cell r="Y835" t="str">
            <v>彰化縣伸港鄉</v>
          </cell>
          <cell r="Z835" t="str">
            <v>彰化縣伸港鄉定興村文工十二街189號</v>
          </cell>
          <cell r="AA835" t="str">
            <v>509彰化縣伸港鄉定興村文工十二街189號</v>
          </cell>
          <cell r="AK835" t="str">
            <v>YY-2733</v>
          </cell>
          <cell r="AL835" t="str">
            <v>1-0449-園區&gt;寄&gt;附發票&gt;附回郵</v>
          </cell>
          <cell r="AM835" t="str">
            <v>1-0449</v>
          </cell>
        </row>
        <row r="836">
          <cell r="B836" t="str">
            <v>1-0831</v>
          </cell>
          <cell r="C836" t="str">
            <v>109-08-14/郭雯瑀</v>
          </cell>
          <cell r="D836" t="str">
            <v>1-0831-真毅營造&gt;展慶營造&gt;付現</v>
          </cell>
          <cell r="E836" t="str">
            <v>真毅營造有限公司&gt;展慶營造股份有限公司</v>
          </cell>
          <cell r="F836" t="str">
            <v>真毅營造有限公司(831)</v>
          </cell>
          <cell r="G836" t="str">
            <v>稅外</v>
          </cell>
          <cell r="H836" t="str">
            <v>付現</v>
          </cell>
          <cell r="I836" t="str">
            <v>2206&gt;4421真毅&gt;8431&gt;8092展慶&gt;稅外</v>
          </cell>
          <cell r="J836">
            <v>30</v>
          </cell>
          <cell r="L836" t="str">
            <v>037-463651&gt;傳真037-552584&gt;0938-690508林士欽(主任)</v>
          </cell>
          <cell r="M836">
            <v>0</v>
          </cell>
          <cell r="R836" t="b">
            <v>0</v>
          </cell>
          <cell r="S836" t="str"/>
          <cell r="T836" t="b">
            <v>0</v>
          </cell>
          <cell r="W836">
            <v>350</v>
          </cell>
          <cell r="X836" t="str">
            <v>管理部:高雄市苓雅區六合路42-2號&gt;竹南工務所:苗栗縣竹南鎮海口里19鄰保安林6-32號</v>
          </cell>
          <cell r="Y836" t="str">
            <v>苗栗縣竹南鎮</v>
          </cell>
          <cell r="Z836" t="str">
            <v>苗栗縣竹南鎮海口里19鄰保安林6-32號</v>
          </cell>
          <cell r="AA836" t="str">
            <v>350管理部:高雄市苓雅區六合路42-2號&gt;竹南工務所:苗栗縣竹南鎮海口里19鄰保安林6-32號</v>
          </cell>
          <cell r="AK836" t="str">
            <v>ZZ-4292</v>
          </cell>
          <cell r="AL836" t="str">
            <v>1-0449-園區&gt;寄&gt;附發票&gt;附回郵</v>
          </cell>
          <cell r="AM836" t="str">
            <v>1-0449</v>
          </cell>
        </row>
        <row r="837">
          <cell r="B837" t="str">
            <v>1-0832</v>
          </cell>
          <cell r="C837" t="str">
            <v>109-08-19/黃凱筠</v>
          </cell>
          <cell r="D837" t="str">
            <v>1-0832-林銀龍&gt;寄&gt;付現&gt;刷卡</v>
          </cell>
          <cell r="E837" t="str">
            <v>林銀龍＞靠行:弘安運輪</v>
          </cell>
          <cell r="F837" t="str">
            <v>林銀龍(832)</v>
          </cell>
          <cell r="G837" t="str">
            <v>未稅</v>
          </cell>
          <cell r="H837" t="str">
            <v>付現&gt;刷卡</v>
          </cell>
          <cell r="I837" t="str">
            <v>未稅＞25號月結</v>
          </cell>
          <cell r="J837">
            <v>25</v>
          </cell>
          <cell r="L837" t="str">
            <v>0938-581910</v>
          </cell>
          <cell r="M837">
            <v>0</v>
          </cell>
          <cell r="O837">
            <v>65</v>
          </cell>
          <cell r="P837">
            <v>12</v>
          </cell>
          <cell r="Q837">
            <v>20</v>
          </cell>
          <cell r="R837">
            <v>45</v>
          </cell>
          <cell r="S837">
            <v>76</v>
          </cell>
          <cell r="T837">
            <v>28114</v>
          </cell>
          <cell r="U837" t="str">
            <v>K121589640</v>
          </cell>
          <cell r="V837" t="str">
            <v>林銀龍</v>
          </cell>
          <cell r="W837">
            <v>350</v>
          </cell>
          <cell r="X837" t="str">
            <v>苗栗縣竹南鎮大埔里20鄰中埔街8巷3弄1號</v>
          </cell>
          <cell r="Y837" t="str">
            <v>苗栗縣竹南鎮</v>
          </cell>
          <cell r="Z837" t="str">
            <v>苗栗縣竹南鎮大埔里20鄰中埔街8巷3弄1號</v>
          </cell>
          <cell r="AA837" t="str">
            <v>350苗栗縣竹南鎮大埔里20鄰中埔街8巷3弄1號</v>
          </cell>
          <cell r="AK837" t="str">
            <v>5733-UU</v>
          </cell>
          <cell r="AL837" t="str">
            <v>1-0449-園區&gt;寄&gt;附發票&gt;附回郵</v>
          </cell>
          <cell r="AM837" t="str">
            <v>1-0449</v>
          </cell>
        </row>
        <row r="838">
          <cell r="B838" t="str">
            <v>1-0833</v>
          </cell>
          <cell r="C838" t="str">
            <v>108-05-02</v>
          </cell>
          <cell r="D838" t="str">
            <v>1-0833-名基工程有限公司&gt;寄&gt;匯款(隔月底匯款)</v>
          </cell>
          <cell r="E838" t="str">
            <v>名基工程有限公司&gt;聖格建材實業有限公司&gt;負:葉忠文</v>
          </cell>
          <cell r="F838" t="str">
            <v>名基工程有限公司(833)</v>
          </cell>
          <cell r="G838" t="str">
            <v>含稅</v>
          </cell>
          <cell r="H838" t="str">
            <v>寄&gt;附發票&gt;匯款&gt;看車是哪間就開哪間統編</v>
          </cell>
          <cell r="I838" t="str">
            <v>8924&gt;6908&gt;名基&gt;5337&gt;7877&gt;聖格&gt;含稅</v>
          </cell>
          <cell r="J838">
            <v>30</v>
          </cell>
          <cell r="L838" t="str">
            <v>037-552828&gt;0919-919774老闆&gt;傳真037-551182</v>
          </cell>
          <cell r="M838">
            <v>0</v>
          </cell>
          <cell r="R838" t="b">
            <v>0</v>
          </cell>
          <cell r="S838" t="str"/>
          <cell r="T838" t="b">
            <v>0</v>
          </cell>
          <cell r="W838">
            <v>350</v>
          </cell>
          <cell r="X838" t="str">
            <v>苗栗縣竹南鎮照南里25鄰立達街115號</v>
          </cell>
          <cell r="Y838" t="str">
            <v>苗栗縣竹南鎮</v>
          </cell>
          <cell r="Z838" t="str">
            <v>苗栗縣竹南鎮照南里25鄰立達街115號</v>
          </cell>
          <cell r="AA838" t="str">
            <v>350苗栗縣竹南鎮照南里25鄰立達街115號</v>
          </cell>
          <cell r="AK838" t="str">
            <v>073-NN</v>
          </cell>
          <cell r="AL838" t="str">
            <v>1-0449-園區&gt;寄&gt;附發票&gt;附回郵</v>
          </cell>
          <cell r="AM838" t="str">
            <v>1-0449</v>
          </cell>
        </row>
        <row r="839">
          <cell r="B839" t="str">
            <v>1-0834</v>
          </cell>
          <cell r="C839" t="str">
            <v>109-08-22/黃凱筠</v>
          </cell>
          <cell r="D839" t="str">
            <v>1-0834-富成輪胎行&gt;寄&gt;附發票&gt;附回郵</v>
          </cell>
          <cell r="E839" t="str">
            <v>富成輪胎行&gt;負:林冠佑</v>
          </cell>
          <cell r="F839" t="str">
            <v>富成輪胎行(834)</v>
          </cell>
          <cell r="G839" t="str">
            <v>含稅</v>
          </cell>
          <cell r="H839" t="str">
            <v>寄&gt;附發票&gt;附回郵</v>
          </cell>
          <cell r="I839" t="str">
            <v>7860&gt;6004&gt;含稅&gt;25號月結</v>
          </cell>
          <cell r="J839">
            <v>25</v>
          </cell>
          <cell r="L839" t="str">
            <v>08-7732668&gt;0912783847林冠佑</v>
          </cell>
          <cell r="M839" t="str">
            <v>2-0169</v>
          </cell>
          <cell r="R839" t="b">
            <v>0</v>
          </cell>
          <cell r="S839" t="str"/>
          <cell r="T839" t="b">
            <v>0</v>
          </cell>
          <cell r="W839">
            <v>905</v>
          </cell>
          <cell r="X839" t="str">
            <v>屏東縣里港鄉三和路120-7號</v>
          </cell>
          <cell r="Y839" t="str">
            <v>屏東縣里港鄉</v>
          </cell>
          <cell r="Z839" t="str">
            <v>屏東縣里港鄉三和路120-7號</v>
          </cell>
          <cell r="AA839" t="str">
            <v>905屏東縣里港鄉三和路120-7號</v>
          </cell>
          <cell r="AK839" t="str">
            <v>083-NN</v>
          </cell>
          <cell r="AL839" t="str">
            <v>1-0449-園區&gt;寄&gt;附發票&gt;附回郵</v>
          </cell>
          <cell r="AM839" t="str">
            <v>1-0449</v>
          </cell>
        </row>
        <row r="840">
          <cell r="B840" t="str">
            <v>1-0835</v>
          </cell>
          <cell r="C840" t="str">
            <v>109-08-22/黃凱筠</v>
          </cell>
          <cell r="D840" t="str">
            <v>1-0835-匯豐汽車股份有限公司&gt;寄&gt;匯款</v>
          </cell>
          <cell r="E840" t="str">
            <v>匯豐汽車股份有限公司&gt;負:陳昭文</v>
          </cell>
          <cell r="F840" t="str">
            <v>匯豐汽車股份有限公司(835)</v>
          </cell>
          <cell r="G840" t="str">
            <v>稅外</v>
          </cell>
          <cell r="H840" t="str">
            <v>寄&gt;附發票&gt;匯款</v>
          </cell>
          <cell r="I840" t="str">
            <v>8344&gt;6817&gt;稅外&gt;中華全佑&gt;20號月結</v>
          </cell>
          <cell r="J840">
            <v>20</v>
          </cell>
          <cell r="L840" t="str">
            <v>03-5553721&gt;傳真03-5516534&gt;廠長吳永國0939202829</v>
          </cell>
          <cell r="M840">
            <v>0</v>
          </cell>
          <cell r="R840" t="b">
            <v>0</v>
          </cell>
          <cell r="S840" t="str"/>
          <cell r="T840" t="b">
            <v>0</v>
          </cell>
          <cell r="W840">
            <v>302</v>
          </cell>
          <cell r="X840" t="str">
            <v>新竹縣竹北市中正東路36號</v>
          </cell>
          <cell r="Y840" t="str">
            <v>新竹縣竹北市</v>
          </cell>
          <cell r="Z840" t="str">
            <v>新竹縣竹北市中正東路36號</v>
          </cell>
          <cell r="AA840" t="str">
            <v>302新竹縣竹北市中正東路36號</v>
          </cell>
          <cell r="AK840" t="str">
            <v>033-GG</v>
          </cell>
          <cell r="AL840" t="str">
            <v>1-0449-園區&gt;寄&gt;附發票&gt;附回郵</v>
          </cell>
          <cell r="AM840" t="str">
            <v>1-0449</v>
          </cell>
        </row>
        <row r="841">
          <cell r="B841" t="str">
            <v>1-0836</v>
          </cell>
          <cell r="C841" t="str">
            <v>108-05-07</v>
          </cell>
          <cell r="D841" t="str">
            <v>1-0836-永慶貨運總公司&gt;寄&gt;附發票&gt;附回郵</v>
          </cell>
          <cell r="E841" t="str">
            <v>永慶貨運總公司&gt;負:謝老闆</v>
          </cell>
          <cell r="F841" t="str">
            <v>永慶貨運(836)</v>
          </cell>
          <cell r="G841" t="str">
            <v>稅外</v>
          </cell>
          <cell r="H841" t="str">
            <v>寄&gt;附發票&gt;附回郵&gt;只有KLD-3261能簽帳</v>
          </cell>
          <cell r="I841" t="str">
            <v>1641&gt;6617&gt;稅外</v>
          </cell>
          <cell r="J841">
            <v>30</v>
          </cell>
          <cell r="L841" t="str">
            <v>0937-151871老闆</v>
          </cell>
          <cell r="M841">
            <v>0</v>
          </cell>
          <cell r="R841" t="b">
            <v>0</v>
          </cell>
          <cell r="S841" t="str"/>
          <cell r="T841" t="b">
            <v>0</v>
          </cell>
          <cell r="W841">
            <v>303</v>
          </cell>
          <cell r="X841" t="str">
            <v>新竹縣湖口鄉新興路398號</v>
          </cell>
          <cell r="Y841" t="str">
            <v>新竹縣湖口鄉</v>
          </cell>
          <cell r="Z841" t="str">
            <v>新竹縣湖口鄉新興路398號</v>
          </cell>
          <cell r="AA841" t="str">
            <v>303新竹縣湖口鄉新興路398號</v>
          </cell>
          <cell r="AK841" t="str">
            <v>217-V6</v>
          </cell>
          <cell r="AL841" t="str">
            <v>1-0449-園區&gt;寄&gt;附發票&gt;附回郵</v>
          </cell>
          <cell r="AM841" t="str">
            <v>1-0449</v>
          </cell>
        </row>
        <row r="842">
          <cell r="B842" t="str">
            <v>1-0837</v>
          </cell>
          <cell r="C842" t="str">
            <v>109-08-28/郭雯瑀</v>
          </cell>
          <cell r="D842" t="str">
            <v>1-0837-松旺生技&gt;電&gt;付現</v>
          </cell>
          <cell r="E842" t="str">
            <v>松旺生技興業有限公司</v>
          </cell>
          <cell r="F842" t="str">
            <v>松旺生技興業有限公司(837)</v>
          </cell>
          <cell r="G842" t="str">
            <v>未稅</v>
          </cell>
          <cell r="H842" t="str">
            <v>電&gt;付現</v>
          </cell>
          <cell r="I842" t="str">
            <v>未稅</v>
          </cell>
          <cell r="J842">
            <v>30</v>
          </cell>
          <cell r="L842" t="str">
            <v>04-8652992&gt;傳真:8655742&gt;0919-891889施松村老闆</v>
          </cell>
          <cell r="M842">
            <v>0</v>
          </cell>
          <cell r="R842" t="b">
            <v>0</v>
          </cell>
          <cell r="S842" t="str"/>
          <cell r="T842" t="b">
            <v>0</v>
          </cell>
          <cell r="W842">
            <v>516</v>
          </cell>
          <cell r="X842" t="str">
            <v>彰化縣埔鹽鄉天盛村成功路3段256號</v>
          </cell>
          <cell r="Y842" t="str">
            <v>彰化縣埔鹽鄉</v>
          </cell>
          <cell r="Z842" t="str">
            <v>彰化縣埔鹽鄉天盛村成功路3段256號</v>
          </cell>
          <cell r="AA842" t="str">
            <v>516彰化縣埔鹽鄉天盛村成功路3段256號</v>
          </cell>
          <cell r="AK842" t="str">
            <v>218-V6</v>
          </cell>
          <cell r="AL842" t="str">
            <v>1-0449-園區&gt;寄&gt;附發票&gt;附回郵</v>
          </cell>
          <cell r="AM842" t="str">
            <v>1-0449</v>
          </cell>
        </row>
        <row r="843">
          <cell r="B843" t="str">
            <v>1-0838</v>
          </cell>
          <cell r="C843" t="str">
            <v>108-05-25</v>
          </cell>
          <cell r="D843" t="str">
            <v>1-0838-嘉盛汽車&gt;寄&gt;附發票&gt;附回郵</v>
          </cell>
          <cell r="E843" t="str">
            <v>嘉盛.龍盛.嘉春.清華.萬峰.福聖汽車運輸有限公司&gt;負:黃添福</v>
          </cell>
          <cell r="F843" t="str">
            <v>嘉盛汽車(838)</v>
          </cell>
          <cell r="G843" t="str">
            <v>含稅</v>
          </cell>
          <cell r="H843" t="str">
            <v>寄&gt;附發票&gt;附回郵&gt;</v>
          </cell>
          <cell r="I843" t="str">
            <v>4938&gt;9534批發&gt;4967&gt;1271門市&gt;25號月結&gt;批發含稅.門市稅外</v>
          </cell>
          <cell r="J843">
            <v>25</v>
          </cell>
          <cell r="L843" t="str">
            <v>037-722258&gt;0963309279老闆兒子</v>
          </cell>
          <cell r="M843">
            <v>0</v>
          </cell>
          <cell r="R843" t="b">
            <v>0</v>
          </cell>
          <cell r="S843" t="str"/>
          <cell r="T843" t="b">
            <v>0</v>
          </cell>
          <cell r="W843">
            <v>356</v>
          </cell>
          <cell r="X843" t="str">
            <v>苗栗縣後龍鎮龍坑里15鄰169-7號</v>
          </cell>
          <cell r="Y843" t="str">
            <v>苗栗縣後龍鎮</v>
          </cell>
          <cell r="Z843" t="str">
            <v>苗栗縣後龍鎮龍坑里15鄰169-7號</v>
          </cell>
          <cell r="AA843" t="str">
            <v>356苗栗縣後龍鎮龍坑里15鄰169-7號</v>
          </cell>
          <cell r="AK843" t="str">
            <v>078-NN</v>
          </cell>
          <cell r="AL843" t="str">
            <v>1-0449-園區&gt;寄&gt;附發票&gt;附回郵</v>
          </cell>
          <cell r="AM843" t="str">
            <v>1-0449</v>
          </cell>
        </row>
        <row r="844">
          <cell r="B844" t="str">
            <v>1-0839</v>
          </cell>
          <cell r="C844" t="str">
            <v>109-08-31/郭雯瑀</v>
          </cell>
          <cell r="D844" t="str">
            <v>1-0839-合勝交通&gt;電&gt;付現</v>
          </cell>
          <cell r="E844" t="str">
            <v>合勝交通有限公司</v>
          </cell>
          <cell r="F844" t="str">
            <v>曾維楷(839)</v>
          </cell>
          <cell r="G844" t="str">
            <v>未稅</v>
          </cell>
          <cell r="H844" t="str">
            <v>電&gt;付現</v>
          </cell>
          <cell r="I844" t="str">
            <v>未稅</v>
          </cell>
          <cell r="J844">
            <v>30</v>
          </cell>
          <cell r="L844" t="str">
            <v>03-3207890&gt;0933-955982曾維楷</v>
          </cell>
          <cell r="M844">
            <v>0</v>
          </cell>
          <cell r="O844">
            <v>69</v>
          </cell>
          <cell r="P844">
            <v>8</v>
          </cell>
          <cell r="Q844">
            <v>31</v>
          </cell>
          <cell r="R844">
            <v>41</v>
          </cell>
          <cell r="S844">
            <v>80</v>
          </cell>
          <cell r="T844">
            <v>29464</v>
          </cell>
          <cell r="W844">
            <v>360</v>
          </cell>
          <cell r="X844" t="str">
            <v>苗栗縣苗栗市金陽街2號</v>
          </cell>
          <cell r="Y844" t="str">
            <v>苗栗縣苗栗市</v>
          </cell>
          <cell r="Z844" t="str">
            <v>苗栗縣苗栗市金陽街2號</v>
          </cell>
          <cell r="AA844" t="str">
            <v>360苗栗縣苗栗市金陽街2號</v>
          </cell>
          <cell r="AK844" t="str">
            <v>450-GD</v>
          </cell>
          <cell r="AL844" t="str">
            <v>1-0450-泰慶&gt;寄&gt;附發票&gt;自結</v>
          </cell>
          <cell r="AM844" t="str">
            <v>1-0450</v>
          </cell>
        </row>
        <row r="845">
          <cell r="B845" t="str">
            <v>1-0840</v>
          </cell>
          <cell r="C845" t="str">
            <v>109-11-19/黃凱筠</v>
          </cell>
          <cell r="D845" t="str">
            <v>1-0840-麒駪輪胎行&gt;寄&gt;附發票&gt;附回郵</v>
          </cell>
          <cell r="E845" t="str">
            <v>麒駪輪胎行&gt;負:張人文</v>
          </cell>
          <cell r="F845" t="str">
            <v>麒駪輪胎行(840)</v>
          </cell>
          <cell r="G845" t="str">
            <v>含稅</v>
          </cell>
          <cell r="H845" t="str">
            <v>寄&gt;附發票&gt;附回郵</v>
          </cell>
          <cell r="I845" t="str">
            <v>4109&gt;5233&gt;含稅&gt;大小胎都含稅＞25號月結</v>
          </cell>
          <cell r="J845">
            <v>25</v>
          </cell>
          <cell r="L845" t="str">
            <v>02-22118595&gt;02-29119595&gt;0965237239張人文(老闆)</v>
          </cell>
          <cell r="M845" t="str">
            <v>2-0186</v>
          </cell>
          <cell r="R845" t="b">
            <v>0</v>
          </cell>
          <cell r="S845" t="str"/>
          <cell r="T845" t="b">
            <v>0</v>
          </cell>
          <cell r="W845">
            <v>231</v>
          </cell>
          <cell r="X845" t="str">
            <v>新北市新店區安業街155-2號</v>
          </cell>
          <cell r="Y845" t="str">
            <v>新北市新店區</v>
          </cell>
          <cell r="Z845" t="str">
            <v>新北市新店區安業街155-2號</v>
          </cell>
          <cell r="AA845" t="str">
            <v>231新北市新店區安業街155-2號</v>
          </cell>
          <cell r="AK845" t="str">
            <v>3J-986</v>
          </cell>
          <cell r="AL845" t="str">
            <v>1-0450-泰慶&gt;寄&gt;附發票&gt;自結</v>
          </cell>
          <cell r="AM845" t="str">
            <v>1-0450</v>
          </cell>
        </row>
        <row r="846">
          <cell r="B846" t="str">
            <v>1-0841</v>
          </cell>
          <cell r="C846" t="str">
            <v>109-09-03/郭雯瑀</v>
          </cell>
          <cell r="D846" t="str">
            <v>1-0841-茂奕&gt;付現</v>
          </cell>
          <cell r="E846" t="str">
            <v>茂奕商行</v>
          </cell>
          <cell r="F846" t="str">
            <v>茂奕商行</v>
          </cell>
          <cell r="G846" t="str">
            <v>未稅</v>
          </cell>
          <cell r="H846" t="str">
            <v>付現</v>
          </cell>
          <cell r="I846" t="str">
            <v>未稅</v>
          </cell>
          <cell r="J846">
            <v>30</v>
          </cell>
          <cell r="K846" t="str">
            <v>4550&gt;6428</v>
          </cell>
          <cell r="L846" t="str">
            <v>037-727703&gt;傳真:037-725963&gt;0963-418208陳世駒</v>
          </cell>
          <cell r="M846">
            <v>0</v>
          </cell>
          <cell r="R846" t="b">
            <v>0</v>
          </cell>
          <cell r="S846" t="str"/>
          <cell r="T846" t="b">
            <v>0</v>
          </cell>
          <cell r="W846">
            <v>356</v>
          </cell>
          <cell r="X846" t="str">
            <v>苗栗縣後龍鎮溪洲里12鄰108-1號</v>
          </cell>
          <cell r="Y846" t="str">
            <v>苗栗縣後龍鎮</v>
          </cell>
          <cell r="Z846" t="str">
            <v>苗栗縣後龍鎮溪洲里12鄰108-1號</v>
          </cell>
          <cell r="AA846" t="str">
            <v>356苗栗縣後龍鎮溪洲里12鄰108-1號</v>
          </cell>
          <cell r="AK846" t="str">
            <v>OQ-842</v>
          </cell>
          <cell r="AL846" t="str">
            <v>1-0450-泰慶&gt;寄&gt;附發票&gt;自結</v>
          </cell>
          <cell r="AM846" t="str">
            <v>1-0450</v>
          </cell>
        </row>
        <row r="847">
          <cell r="B847" t="str">
            <v>1-0842</v>
          </cell>
          <cell r="C847" t="str">
            <v>108-06-11</v>
          </cell>
          <cell r="D847" t="str">
            <v>1-0842-合成香鋪&gt;寄</v>
          </cell>
          <cell r="E847" t="str">
            <v>合成香鋪&gt;負:蘇子誠</v>
          </cell>
          <cell r="F847" t="str">
            <v>合成香鋪(842)</v>
          </cell>
          <cell r="G847" t="str">
            <v>稅外</v>
          </cell>
          <cell r="H847" t="str">
            <v>寄&gt;定位認識的</v>
          </cell>
          <cell r="J847">
            <v>30</v>
          </cell>
          <cell r="L847" t="str">
            <v>0978-238305</v>
          </cell>
          <cell r="M847">
            <v>0</v>
          </cell>
          <cell r="O847">
            <v>69</v>
          </cell>
          <cell r="P847">
            <v>8</v>
          </cell>
          <cell r="Q847">
            <v>9</v>
          </cell>
          <cell r="R847">
            <v>41</v>
          </cell>
          <cell r="S847">
            <v>80</v>
          </cell>
          <cell r="T847">
            <v>29442</v>
          </cell>
          <cell r="U847" t="str">
            <v>K121944187</v>
          </cell>
          <cell r="V847" t="str">
            <v>蘇子誠</v>
          </cell>
          <cell r="W847">
            <v>358</v>
          </cell>
          <cell r="X847" t="str">
            <v>苗栗縣苑裡鎮山腳里6鄰190號</v>
          </cell>
          <cell r="Y847" t="str">
            <v>苗栗縣苑裡鎮</v>
          </cell>
          <cell r="Z847" t="str">
            <v>苗栗縣苑裡鎮山腳里6鄰190號</v>
          </cell>
          <cell r="AA847" t="str">
            <v>358苗栗縣苑裡鎮山腳里6鄰190號</v>
          </cell>
          <cell r="AK847" t="str">
            <v>5L-1083</v>
          </cell>
          <cell r="AL847" t="str">
            <v>1-0450-泰慶&gt;寄&gt;附發票&gt;自結</v>
          </cell>
          <cell r="AM847" t="str">
            <v>1-0450</v>
          </cell>
        </row>
        <row r="848">
          <cell r="B848" t="str">
            <v>1-0843</v>
          </cell>
          <cell r="C848" t="str">
            <v>109-09-09/郭雯瑀</v>
          </cell>
          <cell r="D848" t="str">
            <v>1-0843-志鈞&gt;付現</v>
          </cell>
          <cell r="E848" t="str">
            <v>盧昱安&gt;靠行:志鈞汽車貨運股份有限公司</v>
          </cell>
          <cell r="F848" t="str">
            <v>盧昱安(843)</v>
          </cell>
          <cell r="G848" t="str">
            <v>未稅</v>
          </cell>
          <cell r="H848" t="str">
            <v>付現</v>
          </cell>
          <cell r="I848" t="str">
            <v>未稅</v>
          </cell>
          <cell r="J848">
            <v>30</v>
          </cell>
          <cell r="K848" t="str">
            <v>8498&gt;3069</v>
          </cell>
          <cell r="L848" t="str">
            <v>0916-993531</v>
          </cell>
          <cell r="M848">
            <v>0</v>
          </cell>
          <cell r="O848">
            <v>64</v>
          </cell>
          <cell r="P848">
            <v>6</v>
          </cell>
          <cell r="Q848">
            <v>20</v>
          </cell>
          <cell r="R848">
            <v>46</v>
          </cell>
          <cell r="S848">
            <v>75</v>
          </cell>
          <cell r="T848">
            <v>27565</v>
          </cell>
          <cell r="W848">
            <v>351</v>
          </cell>
          <cell r="X848" t="str">
            <v>苗栗縣頭份市尖下里皇家別莊18鄰16號</v>
          </cell>
          <cell r="Y848" t="str">
            <v>苗栗縣頭份市</v>
          </cell>
          <cell r="Z848" t="str">
            <v>苗栗縣頭份市尖下里皇家別莊18鄰16號</v>
          </cell>
          <cell r="AA848" t="str">
            <v>351苗栗縣頭份市尖下里皇家別莊18鄰16號</v>
          </cell>
          <cell r="AK848" t="str">
            <v>055-TY</v>
          </cell>
          <cell r="AL848" t="str">
            <v>1-0450-泰慶&gt;寄&gt;附發票&gt;自結</v>
          </cell>
          <cell r="AM848" t="str">
            <v>1-0450</v>
          </cell>
        </row>
        <row r="849">
          <cell r="B849" t="str">
            <v>1-0844</v>
          </cell>
          <cell r="C849" t="str">
            <v>108-06-14</v>
          </cell>
          <cell r="D849" t="str">
            <v>1-0844-日中&gt;自結&gt;</v>
          </cell>
          <cell r="E849" t="str">
            <v>日中</v>
          </cell>
          <cell r="F849" t="str">
            <v>日中(844)</v>
          </cell>
          <cell r="G849" t="str">
            <v>未稅</v>
          </cell>
          <cell r="H849" t="str">
            <v>自結&gt;匯款57217</v>
          </cell>
          <cell r="I849" t="str">
            <v>未稅＞25號月結</v>
          </cell>
          <cell r="J849">
            <v>25</v>
          </cell>
          <cell r="L849" t="str">
            <v>03-5560071&gt;傳真03-5560187&gt;0926-102511許戎騏</v>
          </cell>
          <cell r="M849" t="str">
            <v>2-0069</v>
          </cell>
          <cell r="R849" t="b">
            <v>0</v>
          </cell>
          <cell r="S849" t="str"/>
          <cell r="T849" t="b">
            <v>0</v>
          </cell>
          <cell r="W849">
            <v>302</v>
          </cell>
          <cell r="X849" t="str">
            <v>新竹縣竹北市中華路53巷21號</v>
          </cell>
          <cell r="Y849" t="str">
            <v>新竹縣竹北市</v>
          </cell>
          <cell r="Z849" t="str">
            <v>新竹縣竹北市中華路53巷21號</v>
          </cell>
          <cell r="AA849" t="str">
            <v>302新竹縣竹北市中華路53巷21號</v>
          </cell>
          <cell r="AK849" t="str">
            <v>490-GD</v>
          </cell>
          <cell r="AL849" t="str">
            <v>1-0450-泰慶&gt;寄&gt;附發票&gt;自結</v>
          </cell>
          <cell r="AM849" t="str">
            <v>1-0450</v>
          </cell>
        </row>
        <row r="850">
          <cell r="B850" t="str">
            <v>1-0845</v>
          </cell>
          <cell r="C850" t="str">
            <v>108-06-14</v>
          </cell>
          <cell r="D850" t="str">
            <v>1-0845-吉利欣&gt;寄&gt;一個月匯款</v>
          </cell>
          <cell r="E850" t="str">
            <v>吉利欣輪胎行&gt;負:黃振江</v>
          </cell>
          <cell r="F850" t="str">
            <v>吉利欣(845)</v>
          </cell>
          <cell r="G850" t="str">
            <v>未稅</v>
          </cell>
          <cell r="H850" t="str">
            <v>寄&gt;1個月匯款&gt;黃振南</v>
          </cell>
          <cell r="I850" t="str">
            <v>1962&gt;2611&gt;未稅</v>
          </cell>
          <cell r="J850">
            <v>30</v>
          </cell>
          <cell r="L850" t="str">
            <v>0934-335771黃先生</v>
          </cell>
          <cell r="M850">
            <v>0</v>
          </cell>
          <cell r="R850" t="b">
            <v>0</v>
          </cell>
          <cell r="S850" t="str"/>
          <cell r="T850" t="b">
            <v>0</v>
          </cell>
          <cell r="W850">
            <v>509</v>
          </cell>
          <cell r="X850" t="str">
            <v>彰化縣伸港鄉全興村西全路25巷5弄5號</v>
          </cell>
          <cell r="Y850" t="str">
            <v>彰化縣伸港鄉</v>
          </cell>
          <cell r="Z850" t="str">
            <v>彰化縣伸港鄉全興村西全路25巷5弄5號</v>
          </cell>
          <cell r="AA850" t="str">
            <v>509彰化縣伸港鄉全興村西全路25巷5弄5號</v>
          </cell>
          <cell r="AK850" t="str">
            <v>6355-YU</v>
          </cell>
          <cell r="AL850" t="str">
            <v>1-0450-泰慶&gt;寄&gt;附發票&gt;自結</v>
          </cell>
          <cell r="AM850" t="str">
            <v>1-0450</v>
          </cell>
        </row>
        <row r="851">
          <cell r="B851" t="str">
            <v>1-0846</v>
          </cell>
          <cell r="C851" t="str">
            <v>109-09-14/郭雯瑀</v>
          </cell>
          <cell r="D851" t="str">
            <v>1-0846-久立美興業股份有限公司&gt;寄&gt;附發票&gt;附回郵</v>
          </cell>
          <cell r="E851" t="str">
            <v>久立美興業股份有限公司</v>
          </cell>
          <cell r="F851" t="str">
            <v>久立美興業股份有限公司(846)</v>
          </cell>
          <cell r="G851" t="str">
            <v>稅外</v>
          </cell>
          <cell r="H851" t="str">
            <v>寄&gt;附發票&gt;附回郵</v>
          </cell>
          <cell r="I851" t="str">
            <v>1650&gt;5456&gt;稅外＞25號月結</v>
          </cell>
          <cell r="J851">
            <v>25</v>
          </cell>
          <cell r="L851" t="str">
            <v>037-583919#95鄭碗蒸會計&gt;傳真:037-584959</v>
          </cell>
          <cell r="M851">
            <v>0</v>
          </cell>
          <cell r="R851" t="b">
            <v>0</v>
          </cell>
          <cell r="S851" t="str"/>
          <cell r="T851" t="b">
            <v>0</v>
          </cell>
          <cell r="W851">
            <v>350</v>
          </cell>
          <cell r="X851" t="str">
            <v>苗栗縣竹南鎮竹南工業區和誠街18號</v>
          </cell>
          <cell r="Y851" t="str">
            <v>苗栗縣竹南鎮</v>
          </cell>
          <cell r="Z851" t="str">
            <v>苗栗縣竹南鎮竹南工業區和誠街18號</v>
          </cell>
          <cell r="AA851" t="str">
            <v>350苗栗縣竹南鎮竹南工業區和誠街18號</v>
          </cell>
          <cell r="AK851" t="str">
            <v>222-RD</v>
          </cell>
          <cell r="AL851" t="str">
            <v>1-0450-泰慶&gt;寄&gt;附發票&gt;自結</v>
          </cell>
          <cell r="AM851" t="str">
            <v>1-0450</v>
          </cell>
        </row>
        <row r="852">
          <cell r="B852" t="str">
            <v>1-0847</v>
          </cell>
          <cell r="C852" t="str">
            <v>109-09-15/郭雯瑀</v>
          </cell>
          <cell r="D852" t="str">
            <v>1-0847-保晟輪胎有限公司&gt;寄&gt;附發票&gt;附回郵</v>
          </cell>
          <cell r="E852" t="str">
            <v>保晟輪胎有限公司</v>
          </cell>
          <cell r="F852" t="str">
            <v>保晟輪胎有限公司(847)</v>
          </cell>
          <cell r="G852" t="str">
            <v>含稅</v>
          </cell>
          <cell r="H852" t="str">
            <v>寄&gt;附發票&gt;附回郵</v>
          </cell>
          <cell r="I852" t="str">
            <v>5317&gt;5400&gt;含稅</v>
          </cell>
          <cell r="J852">
            <v>30</v>
          </cell>
          <cell r="L852" t="str">
            <v>08-7732001&gt;0933-381651李益城(阿城)&gt;0989-929798</v>
          </cell>
          <cell r="M852">
            <v>0</v>
          </cell>
          <cell r="R852" t="b">
            <v>0</v>
          </cell>
          <cell r="S852" t="str"/>
          <cell r="T852" t="b">
            <v>0</v>
          </cell>
          <cell r="W852">
            <v>905</v>
          </cell>
          <cell r="X852" t="str">
            <v>屏東縣里港鄉三廍村三和路120-20號</v>
          </cell>
          <cell r="Y852" t="str">
            <v>屏東縣里港鄉</v>
          </cell>
          <cell r="Z852" t="str">
            <v>屏東縣里港鄉三廍村三和路120-20號</v>
          </cell>
          <cell r="AA852" t="str">
            <v>905屏東縣里港鄉三廍村三和路120-20號</v>
          </cell>
          <cell r="AK852" t="str">
            <v>ALF-0701</v>
          </cell>
          <cell r="AL852" t="str">
            <v>1-0450-泰慶&gt;寄&gt;附發票&gt;自結</v>
          </cell>
          <cell r="AM852" t="str">
            <v>1-0450</v>
          </cell>
        </row>
        <row r="853">
          <cell r="B853" t="str">
            <v>1-0848</v>
          </cell>
          <cell r="C853" t="str">
            <v>108-07-06</v>
          </cell>
          <cell r="D853" t="str">
            <v>1-0848-四維清潔有限公司&gt;寄&gt;附發票&gt;匯款</v>
          </cell>
          <cell r="E853" t="str">
            <v>四維清潔有限公司&gt;采億有限公司</v>
          </cell>
          <cell r="F853" t="str">
            <v>四維清潔有限公司(848)</v>
          </cell>
          <cell r="G853" t="str">
            <v>稅外</v>
          </cell>
          <cell r="H853" t="str">
            <v>寄&gt;附發票&gt;匯款23564</v>
          </cell>
          <cell r="I853" t="str">
            <v>8654&gt;5234&gt;四維&gt;4504&gt;8502&gt;采億&gt;稅外</v>
          </cell>
          <cell r="J853">
            <v>30</v>
          </cell>
          <cell r="L853" t="str">
            <v>037-681518&gt;傳真:037-680947&gt;0988-308006吳小姐</v>
          </cell>
          <cell r="M853">
            <v>0</v>
          </cell>
          <cell r="R853" t="b">
            <v>0</v>
          </cell>
          <cell r="S853" t="str"/>
          <cell r="T853" t="b">
            <v>0</v>
          </cell>
          <cell r="W853">
            <v>351</v>
          </cell>
          <cell r="X853" t="str">
            <v>苗栗縣頭份鎮忠孝一路70號</v>
          </cell>
          <cell r="Y853" t="str">
            <v>苗栗縣頭份鎮</v>
          </cell>
          <cell r="Z853" t="str">
            <v>苗栗縣頭份鎮忠孝一路70號</v>
          </cell>
          <cell r="AA853" t="str">
            <v>351苗栗縣頭份鎮忠孝一路70號</v>
          </cell>
          <cell r="AK853" t="str">
            <v>359-R9</v>
          </cell>
          <cell r="AL853" t="str">
            <v>1-0450-泰慶&gt;寄&gt;附發票&gt;自結</v>
          </cell>
          <cell r="AM853" t="str">
            <v>1-0450</v>
          </cell>
        </row>
        <row r="854">
          <cell r="B854" t="str">
            <v>1-0849</v>
          </cell>
          <cell r="C854" t="str">
            <v>109-09-24/郭雯瑀</v>
          </cell>
          <cell r="D854" t="str">
            <v>1-0849-錦有企業有限公司&gt;寄&gt;附發票&gt;匯款</v>
          </cell>
          <cell r="E854" t="str">
            <v>錦有企業有限公司</v>
          </cell>
          <cell r="F854" t="str">
            <v>錦有企業有限公司(849)</v>
          </cell>
          <cell r="G854" t="str">
            <v>稅外</v>
          </cell>
          <cell r="H854" t="str">
            <v>寄&gt;附發票&gt;匯款錦有企業</v>
          </cell>
          <cell r="I854" t="str">
            <v>1698&gt;4961&gt;稅外＞25號月結</v>
          </cell>
          <cell r="J854">
            <v>25</v>
          </cell>
          <cell r="L854" t="str">
            <v>04-23201715#818陳小姐(會計)&gt;傳真:04-23201090&gt;0906-512567車管</v>
          </cell>
          <cell r="M854">
            <v>0</v>
          </cell>
          <cell r="R854" t="b">
            <v>0</v>
          </cell>
          <cell r="S854" t="str"/>
          <cell r="T854" t="b">
            <v>0</v>
          </cell>
          <cell r="W854">
            <v>404</v>
          </cell>
          <cell r="X854" t="str">
            <v>台中市北區忠明路200號4樓-1</v>
          </cell>
          <cell r="Y854" t="str">
            <v>台中市北區忠</v>
          </cell>
          <cell r="Z854" t="str">
            <v>台中市北區忠明路200號4樓-1</v>
          </cell>
          <cell r="AA854" t="str">
            <v>404台中市北區忠明路200號4樓-1</v>
          </cell>
          <cell r="AK854" t="str">
            <v>736-JD</v>
          </cell>
          <cell r="AL854" t="str">
            <v>1-0451-遠雄&gt;寄&gt;附發票&gt;附回郵</v>
          </cell>
          <cell r="AM854" t="str">
            <v>1-0451</v>
          </cell>
        </row>
        <row r="855">
          <cell r="B855" t="str">
            <v>1-0850</v>
          </cell>
          <cell r="C855" t="str">
            <v>109-09-26/郭雯瑀</v>
          </cell>
          <cell r="D855" t="str">
            <v>1-0850-欣緣旅遊&gt;付現</v>
          </cell>
          <cell r="E855" t="str">
            <v>欣緣旅遊</v>
          </cell>
          <cell r="F855" t="str">
            <v>欣緣旅遊(850)</v>
          </cell>
          <cell r="G855" t="str">
            <v>未稅</v>
          </cell>
          <cell r="H855" t="str">
            <v>付現</v>
          </cell>
          <cell r="I855" t="str">
            <v>未稅</v>
          </cell>
          <cell r="J855">
            <v>30</v>
          </cell>
          <cell r="L855" t="str">
            <v>訂車專線:037-721898&gt;037-720246&gt;0910-433018&gt;0936-625912&gt;0911-625912&gt;高青淋.彭菊英&gt;傳真:037-730845</v>
          </cell>
          <cell r="M855">
            <v>0</v>
          </cell>
          <cell r="R855" t="b">
            <v>0</v>
          </cell>
          <cell r="S855" t="str"/>
          <cell r="T855" t="b">
            <v>0</v>
          </cell>
          <cell r="W855">
            <v>356</v>
          </cell>
          <cell r="X855" t="str">
            <v>苗栗縣後龍鎮溪洲里78-3號</v>
          </cell>
          <cell r="Y855" t="str">
            <v>苗栗縣後龍鎮</v>
          </cell>
          <cell r="Z855" t="str">
            <v>苗栗縣後龍鎮溪洲里78-3號</v>
          </cell>
          <cell r="AA855" t="str">
            <v>356苗栗縣後龍鎮溪洲里78-3號</v>
          </cell>
          <cell r="AK855" t="str">
            <v>33-1996</v>
          </cell>
          <cell r="AL855" t="str">
            <v>1-0451-遠雄&gt;寄&gt;附發票&gt;附回郵</v>
          </cell>
          <cell r="AM855" t="str">
            <v>1-0451</v>
          </cell>
        </row>
        <row r="856">
          <cell r="B856" t="str">
            <v>1-0851</v>
          </cell>
          <cell r="C856" t="str">
            <v>109-09-29/郭雯瑀</v>
          </cell>
          <cell r="D856" t="str">
            <v>1-0851-威帆&gt;寄&gt;自結</v>
          </cell>
          <cell r="E856" t="str">
            <v>威帆</v>
          </cell>
          <cell r="F856" t="str">
            <v>威帆(851)</v>
          </cell>
          <cell r="G856" t="str">
            <v>未稅</v>
          </cell>
          <cell r="H856" t="str">
            <v>寄&gt;自結</v>
          </cell>
          <cell r="I856" t="str">
            <v>未稅</v>
          </cell>
          <cell r="J856">
            <v>30</v>
          </cell>
          <cell r="L856" t="str">
            <v>037-470097~8&gt;0910-000237郭瑞隆</v>
          </cell>
          <cell r="M856" t="str">
            <v>2-0172</v>
          </cell>
          <cell r="R856" t="b">
            <v>0</v>
          </cell>
          <cell r="S856" t="str"/>
          <cell r="T856" t="b">
            <v>0</v>
          </cell>
          <cell r="W856">
            <v>350</v>
          </cell>
          <cell r="X856" t="str">
            <v>苗栗縣竹南鎮中英里17鄰保安林66-8號</v>
          </cell>
          <cell r="Y856" t="str">
            <v>苗栗縣竹南鎮</v>
          </cell>
          <cell r="Z856" t="str">
            <v>苗栗縣竹南鎮中英里17鄰保安林66-8號</v>
          </cell>
          <cell r="AA856" t="str">
            <v>350苗栗縣竹南鎮中英里17鄰保安林66-8號</v>
          </cell>
          <cell r="AK856" t="str">
            <v>057-X5</v>
          </cell>
          <cell r="AL856" t="str">
            <v>1-0451-遠雄&gt;寄&gt;附發票&gt;附回郵</v>
          </cell>
          <cell r="AM856" t="str">
            <v>1-0451</v>
          </cell>
        </row>
        <row r="857">
          <cell r="B857" t="str">
            <v>1-0852</v>
          </cell>
          <cell r="C857" t="str">
            <v>108-07-15</v>
          </cell>
          <cell r="D857" t="str">
            <v>1-0852-聯盛鑫股份有限公司&gt;寄&gt;附發票&gt;附回郵&gt;</v>
          </cell>
          <cell r="E857" t="str">
            <v>聯盛鑫股份有限公司&gt;負:何錦培</v>
          </cell>
          <cell r="F857" t="str">
            <v>聯盛鑫股份有限公司(852)</v>
          </cell>
          <cell r="G857" t="str">
            <v>稅外</v>
          </cell>
          <cell r="H857" t="str">
            <v>寄&gt;附發票&gt;附回郵</v>
          </cell>
          <cell r="I857" t="str">
            <v>2851&gt;3902&gt;稅外</v>
          </cell>
          <cell r="J857">
            <v>30</v>
          </cell>
          <cell r="L857" t="str">
            <v>03-5301782&gt;03-5301540&gt;傳真:03-5301781&gt;0910-052231老闆</v>
          </cell>
          <cell r="M857">
            <v>0</v>
          </cell>
          <cell r="R857" t="b">
            <v>0</v>
          </cell>
          <cell r="S857" t="str"/>
          <cell r="T857" t="b">
            <v>0</v>
          </cell>
          <cell r="W857">
            <v>300</v>
          </cell>
          <cell r="X857" t="str">
            <v>新竹縣新竹市海埔路200巷79-1號</v>
          </cell>
          <cell r="Y857" t="str">
            <v>新竹縣新竹市</v>
          </cell>
          <cell r="Z857" t="str">
            <v>新竹縣新竹市海埔路200巷79-1號</v>
          </cell>
          <cell r="AA857" t="str">
            <v>300新竹縣新竹市海埔路200巷79-1號</v>
          </cell>
          <cell r="AK857" t="str">
            <v>682-Q9</v>
          </cell>
          <cell r="AL857" t="str">
            <v>1-0451-遠雄&gt;寄&gt;附發票&gt;附回郵</v>
          </cell>
          <cell r="AM857" t="str">
            <v>1-0451</v>
          </cell>
        </row>
        <row r="858">
          <cell r="B858" t="str">
            <v>1-0853</v>
          </cell>
          <cell r="C858" t="str">
            <v>109-10-14/郭雯瑀</v>
          </cell>
          <cell r="D858" t="str">
            <v>1-0853-遠嘉&gt;寄&gt;附發票&gt;附回郵</v>
          </cell>
          <cell r="E858" t="str">
            <v>遠嘉土石方資源堆置處理場&gt;遠嘉實業股份有限公司&gt;鎰東工程有限公司</v>
          </cell>
          <cell r="F858" t="str">
            <v>遠嘉實業股份有限公司(853)</v>
          </cell>
          <cell r="G858" t="str">
            <v>含稅</v>
          </cell>
          <cell r="H858" t="str">
            <v>寄&gt;附發票&gt;附回郵</v>
          </cell>
          <cell r="I858" t="str">
            <v>9735&gt;0930&gt;含稅</v>
          </cell>
          <cell r="J858">
            <v>30</v>
          </cell>
          <cell r="L858" t="str">
            <v>02-86862106&gt;傳真02-86862747</v>
          </cell>
          <cell r="M858">
            <v>0</v>
          </cell>
          <cell r="R858" t="b">
            <v>0</v>
          </cell>
          <cell r="S858" t="str"/>
          <cell r="T858" t="b">
            <v>0</v>
          </cell>
          <cell r="W858">
            <v>238</v>
          </cell>
          <cell r="X858" t="str">
            <v>新北市樹林區東豐街23-4號</v>
          </cell>
          <cell r="Y858" t="str">
            <v>新北市樹林區</v>
          </cell>
          <cell r="Z858" t="str">
            <v>新北市樹林區東豐街23-4號</v>
          </cell>
          <cell r="AA858" t="str">
            <v>238新北市樹林區東豐街23-4號</v>
          </cell>
          <cell r="AK858" t="str">
            <v>709-M7</v>
          </cell>
          <cell r="AL858" t="str">
            <v>1-0451-遠雄&gt;寄&gt;附發票&gt;附回郵</v>
          </cell>
          <cell r="AM858" t="str">
            <v>1-0451</v>
          </cell>
        </row>
        <row r="859">
          <cell r="B859" t="str">
            <v>1-0854</v>
          </cell>
          <cell r="C859" t="str">
            <v>109-10-14/郭雯瑀</v>
          </cell>
          <cell r="D859" t="str">
            <v>1-0854-弘泰輪胎企業社&gt;寄&gt;附發票&gt;附回郵</v>
          </cell>
          <cell r="E859" t="str">
            <v>弘泰輪胎企業社</v>
          </cell>
          <cell r="F859" t="str">
            <v>弘泰輪胎企業社(854)</v>
          </cell>
          <cell r="G859" t="str">
            <v>含稅</v>
          </cell>
          <cell r="H859" t="str">
            <v>寄&gt;附發票&gt;附回郵</v>
          </cell>
          <cell r="I859" t="str">
            <v>2018&gt;7545&gt;含稅</v>
          </cell>
          <cell r="J859">
            <v>30</v>
          </cell>
          <cell r="L859" t="str">
            <v>05-2769028(住家)&gt;05-2327252(公司)&gt;0937-651669&gt;0910-876322陳盈裕業務</v>
          </cell>
          <cell r="M859">
            <v>0</v>
          </cell>
          <cell r="R859" t="b">
            <v>0</v>
          </cell>
          <cell r="S859" t="str"/>
          <cell r="T859" t="b">
            <v>0</v>
          </cell>
          <cell r="W859">
            <v>600</v>
          </cell>
          <cell r="X859" t="str">
            <v>嘉義市林森東路321巷10弄8號</v>
          </cell>
          <cell r="Y859" t="str">
            <v>嘉義市林森東</v>
          </cell>
          <cell r="Z859" t="str">
            <v>嘉義市林森東路321巷10弄8號</v>
          </cell>
          <cell r="AA859" t="str">
            <v>600嘉義市林森東路321巷10弄8號</v>
          </cell>
          <cell r="AK859" t="str">
            <v>733-JD</v>
          </cell>
          <cell r="AL859" t="str">
            <v>1-0451-遠雄&gt;寄&gt;附發票&gt;附回郵</v>
          </cell>
          <cell r="AM859" t="str">
            <v>1-0451</v>
          </cell>
        </row>
        <row r="860">
          <cell r="B860" t="str">
            <v>1-0855</v>
          </cell>
          <cell r="C860" t="str">
            <v>109-10-14/郭雯瑀</v>
          </cell>
          <cell r="D860" t="str">
            <v>1-0855-展曳&gt;寄&gt;匯款</v>
          </cell>
          <cell r="E860" t="str">
            <v>靠行:展曳</v>
          </cell>
          <cell r="F860" t="str">
            <v>陳國樑(855)</v>
          </cell>
          <cell r="G860" t="str">
            <v>未稅</v>
          </cell>
          <cell r="H860" t="str">
            <v>寄&gt;匯款78700</v>
          </cell>
          <cell r="I860" t="str">
            <v>未稅</v>
          </cell>
          <cell r="J860">
            <v>30</v>
          </cell>
          <cell r="L860" t="str">
            <v>0981-992219陳國樑</v>
          </cell>
          <cell r="M860">
            <v>0</v>
          </cell>
          <cell r="O860">
            <v>69</v>
          </cell>
          <cell r="P860">
            <v>2</v>
          </cell>
          <cell r="Q860">
            <v>9</v>
          </cell>
          <cell r="R860">
            <v>42</v>
          </cell>
          <cell r="S860">
            <v>80</v>
          </cell>
          <cell r="T860">
            <v>29260</v>
          </cell>
          <cell r="W860">
            <v>358</v>
          </cell>
          <cell r="X860" t="str">
            <v>苗栗縣苑裡鎮世界路8號</v>
          </cell>
          <cell r="Y860" t="str">
            <v>苗栗縣苑裡鎮</v>
          </cell>
          <cell r="Z860" t="str">
            <v>苗栗縣苑裡鎮世界路8號</v>
          </cell>
          <cell r="AA860" t="str">
            <v>358苗栗縣苑裡鎮世界路8號</v>
          </cell>
          <cell r="AK860" t="str">
            <v>060-X5</v>
          </cell>
          <cell r="AL860" t="str">
            <v>1-0451-遠雄&gt;寄&gt;附發票&gt;附回郵</v>
          </cell>
          <cell r="AM860" t="str">
            <v>1-0451</v>
          </cell>
        </row>
        <row r="861">
          <cell r="B861" t="str">
            <v>1-0856</v>
          </cell>
          <cell r="C861" t="str">
            <v>108-07-26</v>
          </cell>
          <cell r="D861" t="str">
            <v>1-0856-發彩環保&gt;弘力&gt;寄&gt;附發票&gt;附回郵</v>
          </cell>
          <cell r="E861" t="str">
            <v>發彩環保工程股份有限公司&gt;負:鋇党固林&gt;弘力環保有限公司&gt;負:王美華</v>
          </cell>
          <cell r="F861" t="str">
            <v>發彩環保工程有限公司(856)</v>
          </cell>
          <cell r="G861" t="str">
            <v>含稅</v>
          </cell>
          <cell r="H861" t="str">
            <v>寄&gt;附發票&gt;附回郵</v>
          </cell>
          <cell r="I861" t="str">
            <v>1626&gt;4288發彩&gt;8448&gt;0926&gt;弘力&gt;含稅&gt;KBK-355打弘力統編</v>
          </cell>
          <cell r="J861">
            <v>30</v>
          </cell>
          <cell r="L861" t="str">
            <v>03-3652853&gt;傳真:03-3657476&gt;0928-562078老闆</v>
          </cell>
          <cell r="M861">
            <v>0</v>
          </cell>
          <cell r="R861" t="b">
            <v>0</v>
          </cell>
          <cell r="S861" t="str"/>
          <cell r="T861" t="b">
            <v>0</v>
          </cell>
          <cell r="W861">
            <v>334</v>
          </cell>
          <cell r="X861" t="str">
            <v>桃園市八德區大興路1188號</v>
          </cell>
          <cell r="Y861" t="str">
            <v>桃園市八德區</v>
          </cell>
          <cell r="Z861" t="str">
            <v>桃園市八德區大興路1188號</v>
          </cell>
          <cell r="AA861" t="str">
            <v>334桃園市八德區大興路1188號</v>
          </cell>
          <cell r="AK861" t="str">
            <v>681-Q9</v>
          </cell>
          <cell r="AL861" t="str">
            <v>1-0451-遠雄&gt;寄&gt;附發票&gt;附回郵</v>
          </cell>
          <cell r="AM861" t="str">
            <v>1-0451</v>
          </cell>
        </row>
        <row r="862">
          <cell r="B862" t="str">
            <v>1-0857</v>
          </cell>
          <cell r="C862" t="str">
            <v>108-07-30</v>
          </cell>
          <cell r="D862" t="str">
            <v>1-0857-王建昇&gt;寄</v>
          </cell>
          <cell r="E862" t="str">
            <v>王建昇</v>
          </cell>
          <cell r="F862" t="str">
            <v>王建昇(857)</v>
          </cell>
          <cell r="G862" t="str">
            <v>未稅</v>
          </cell>
          <cell r="H862" t="str">
            <v>寄&gt;</v>
          </cell>
          <cell r="J862">
            <v>30</v>
          </cell>
          <cell r="L862" t="str">
            <v>0921-035372&gt;0930-068681</v>
          </cell>
          <cell r="M862">
            <v>0</v>
          </cell>
          <cell r="O862">
            <v>76</v>
          </cell>
          <cell r="P862">
            <v>1</v>
          </cell>
          <cell r="Q862">
            <v>10</v>
          </cell>
          <cell r="R862">
            <v>35</v>
          </cell>
          <cell r="S862">
            <v>87</v>
          </cell>
          <cell r="T862">
            <v>31787</v>
          </cell>
          <cell r="U862" t="str">
            <v>J121937047</v>
          </cell>
          <cell r="V862" t="str">
            <v>王建昇</v>
          </cell>
          <cell r="W862">
            <v>315</v>
          </cell>
          <cell r="X862" t="str">
            <v>新竹縣峨眉鄉峨眉村1鄰9之1號</v>
          </cell>
          <cell r="Y862" t="str">
            <v>新竹縣峨眉鄉</v>
          </cell>
          <cell r="Z862" t="str">
            <v>新竹縣峨眉鄉峨眉村1鄰9之1號</v>
          </cell>
          <cell r="AA862" t="str">
            <v>315新竹縣峨眉鄉峨眉村1鄰9之1號</v>
          </cell>
          <cell r="AK862" t="str">
            <v>061-X5</v>
          </cell>
          <cell r="AL862" t="str">
            <v>1-0451-遠雄&gt;寄&gt;附發票&gt;附回郵</v>
          </cell>
          <cell r="AM862" t="str">
            <v>1-0451</v>
          </cell>
        </row>
        <row r="863">
          <cell r="B863" t="str">
            <v>1-0858</v>
          </cell>
          <cell r="C863" t="str">
            <v>109-10-21/郭雯瑀</v>
          </cell>
          <cell r="D863" t="str">
            <v>1-0858-中天&gt;順業&gt;寄&gt;附發票&gt;附回郵&gt;老闆說先不催帳</v>
          </cell>
          <cell r="E863" t="str">
            <v>中天企業社&gt;順業有限公司</v>
          </cell>
          <cell r="F863" t="str">
            <v>中天企業社(858)</v>
          </cell>
          <cell r="G863" t="str">
            <v>未稅</v>
          </cell>
          <cell r="H863" t="str">
            <v>寄&gt;附發票&gt;附回郵&gt;先電聯發票開</v>
          </cell>
          <cell r="I863" t="str">
            <v>5904&gt;6328&gt;順業&gt;7246&gt;8270&gt;中天&gt;2501&gt;4488&gt;宏毅&gt;稅外</v>
          </cell>
          <cell r="J863">
            <v>30</v>
          </cell>
          <cell r="L863" t="str">
            <v>037-731795&gt;0921323803老闆娘</v>
          </cell>
          <cell r="M863">
            <v>0</v>
          </cell>
          <cell r="R863" t="b">
            <v>0</v>
          </cell>
          <cell r="S863" t="str"/>
          <cell r="T863" t="b">
            <v>0</v>
          </cell>
          <cell r="W863">
            <v>356</v>
          </cell>
          <cell r="X863" t="str">
            <v>苗栗縣後龍鎮龍坑里十班坑155-5號16鄰</v>
          </cell>
          <cell r="Y863" t="str">
            <v>苗栗縣後龍鎮</v>
          </cell>
          <cell r="Z863" t="str">
            <v>苗栗縣後龍鎮龍坑里十班坑155-5號16鄰</v>
          </cell>
          <cell r="AA863" t="str">
            <v>356苗栗縣後龍鎮龍坑里十班坑155-5號16鄰</v>
          </cell>
          <cell r="AK863" t="str">
            <v>570-G6</v>
          </cell>
          <cell r="AL863" t="str">
            <v>1-0451-遠雄&gt;寄&gt;附發票&gt;附回郵</v>
          </cell>
          <cell r="AM863" t="str">
            <v>1-0451</v>
          </cell>
        </row>
        <row r="864">
          <cell r="B864" t="str">
            <v>1-0859</v>
          </cell>
          <cell r="C864" t="str">
            <v>108-08-07</v>
          </cell>
          <cell r="D864" t="str">
            <v>1-0859-捷發貨運&gt;寄&gt;附發票&gt;附回郵</v>
          </cell>
          <cell r="E864" t="str">
            <v>捷發貨運有限公司</v>
          </cell>
          <cell r="F864" t="str">
            <v>捷發貨運有限公司(859)</v>
          </cell>
          <cell r="G864" t="str">
            <v>稅外</v>
          </cell>
          <cell r="H864" t="str">
            <v>寄&gt;附發票&gt;附回郵</v>
          </cell>
          <cell r="I864" t="str">
            <v>4393&gt;8323&gt;稅外</v>
          </cell>
          <cell r="J864">
            <v>30</v>
          </cell>
          <cell r="M864">
            <v>0</v>
          </cell>
          <cell r="R864" t="b">
            <v>0</v>
          </cell>
          <cell r="S864" t="str"/>
          <cell r="T864" t="b">
            <v>0</v>
          </cell>
          <cell r="W864">
            <v>357</v>
          </cell>
          <cell r="X864" t="str">
            <v>苗栗縣通霄通西里中興路9號</v>
          </cell>
          <cell r="Y864" t="str">
            <v>苗栗縣通霄通</v>
          </cell>
          <cell r="Z864" t="str">
            <v>苗栗縣通霄通西里中興路9號</v>
          </cell>
          <cell r="AA864" t="str">
            <v>357苗栗縣通霄通西里中興路9號</v>
          </cell>
          <cell r="AK864" t="str">
            <v>710-M7</v>
          </cell>
          <cell r="AL864" t="str">
            <v>1-0451-遠雄&gt;寄&gt;附發票&gt;附回郵</v>
          </cell>
          <cell r="AM864" t="str">
            <v>1-0451</v>
          </cell>
        </row>
        <row r="865">
          <cell r="B865" t="str">
            <v>1-0860</v>
          </cell>
          <cell r="C865" t="str">
            <v>109-11-19/黃凱筠</v>
          </cell>
          <cell r="D865" t="str">
            <v>1-0860-夢工廠國際車業&gt;黃仁德&gt;寄平信&gt;自結</v>
          </cell>
          <cell r="E865" t="str">
            <v>夢工廠國際車業&gt;黃仁德</v>
          </cell>
          <cell r="F865" t="str">
            <v>夢工廠國際車業&gt;黃仁德(860)</v>
          </cell>
          <cell r="G865" t="str">
            <v>未稅</v>
          </cell>
          <cell r="H865" t="str">
            <v>寄平信&gt;自結&gt;輪胎店價,滿15萬才扣到經銷價</v>
          </cell>
          <cell r="I865" t="str">
            <v>未稅</v>
          </cell>
          <cell r="J865">
            <v>30</v>
          </cell>
          <cell r="L865" t="str">
            <v>0978153518黃仁德</v>
          </cell>
          <cell r="M865" t="str">
            <v>2-0026</v>
          </cell>
          <cell r="O865">
            <v>1994</v>
          </cell>
          <cell r="P865">
            <v>11</v>
          </cell>
          <cell r="Q865">
            <v>14</v>
          </cell>
          <cell r="R865">
            <v>16</v>
          </cell>
          <cell r="S865">
            <v>2005</v>
          </cell>
          <cell r="T865">
            <v>38670</v>
          </cell>
          <cell r="U865" t="str">
            <v>K122715000</v>
          </cell>
          <cell r="V865" t="str">
            <v>黃仁德</v>
          </cell>
          <cell r="W865">
            <v>360</v>
          </cell>
          <cell r="X865" t="str">
            <v>苗栗縣公館鄉中義村133號</v>
          </cell>
          <cell r="Y865" t="str">
            <v>苗栗縣公館鄉</v>
          </cell>
          <cell r="Z865" t="str">
            <v>苗栗縣公館鄉中義村133號</v>
          </cell>
          <cell r="AA865" t="str">
            <v>360苗栗縣公館鄉中義村133號</v>
          </cell>
          <cell r="AK865" t="str">
            <v>735-JD</v>
          </cell>
          <cell r="AL865" t="str">
            <v>1-0451-遠雄&gt;寄&gt;附發票&gt;附回郵</v>
          </cell>
          <cell r="AM865" t="str">
            <v>1-0451</v>
          </cell>
        </row>
        <row r="866">
          <cell r="B866" t="str">
            <v>1-0861</v>
          </cell>
          <cell r="C866" t="str">
            <v>109-11-20/黃凱筠</v>
          </cell>
          <cell r="D866" t="str">
            <v>1-0861-泰升紙器有限公司&gt;寄&gt;附發票&gt;附回郵</v>
          </cell>
          <cell r="E866" t="str">
            <v>泰升紙器有限公司&gt;負:張偉銘</v>
          </cell>
          <cell r="F866" t="str">
            <v>泰升紙器有限公司(861)</v>
          </cell>
          <cell r="G866" t="str">
            <v>稅外</v>
          </cell>
          <cell r="H866" t="str">
            <v>寄&gt;附發票&gt;附回郵</v>
          </cell>
          <cell r="I866" t="str">
            <v>8409&gt;1216&gt;稅外＞25號月結</v>
          </cell>
          <cell r="J866">
            <v>25</v>
          </cell>
          <cell r="L866" t="str">
            <v>037-461561會計蕭小姐&gt;傳真037-460458&gt;0912-412217業務張景涵</v>
          </cell>
          <cell r="M866" t="str">
            <v>2-0192</v>
          </cell>
          <cell r="R866" t="b">
            <v>0</v>
          </cell>
          <cell r="S866" t="str"/>
          <cell r="T866" t="b">
            <v>0</v>
          </cell>
          <cell r="W866">
            <v>350</v>
          </cell>
          <cell r="X866" t="str">
            <v>苗栗縣竹南鎮大厝里10鄰獅山5-4號</v>
          </cell>
          <cell r="Y866" t="str">
            <v>苗栗縣竹南鎮</v>
          </cell>
          <cell r="Z866" t="str">
            <v>苗栗縣竹南鎮大厝里10鄰獅山5-4號</v>
          </cell>
          <cell r="AA866" t="str">
            <v>350苗栗縣竹南鎮大厝里10鄰獅山5-4號</v>
          </cell>
          <cell r="AK866" t="str">
            <v>153-R2</v>
          </cell>
          <cell r="AL866" t="str">
            <v>1-0451-遠雄&gt;寄&gt;附發票&gt;附回郵</v>
          </cell>
          <cell r="AM866" t="str">
            <v>1-0451</v>
          </cell>
        </row>
        <row r="867">
          <cell r="B867" t="str">
            <v>1-0862</v>
          </cell>
          <cell r="C867" t="str">
            <v>109-11-23/黃凱筠</v>
          </cell>
          <cell r="D867" t="str">
            <v>1-0862-游尊騰&gt;匯款</v>
          </cell>
          <cell r="E867" t="str">
            <v>游尊騰</v>
          </cell>
          <cell r="F867" t="str">
            <v>游尊騰(862)</v>
          </cell>
          <cell r="G867" t="str">
            <v>未稅</v>
          </cell>
          <cell r="H867" t="str">
            <v>匯款03100.83400.京展強哥朋友</v>
          </cell>
          <cell r="I867" t="str">
            <v>未稅</v>
          </cell>
          <cell r="J867">
            <v>30</v>
          </cell>
          <cell r="L867" t="str">
            <v>0975-291227游尊騰</v>
          </cell>
          <cell r="M867">
            <v>0</v>
          </cell>
          <cell r="R867" t="b">
            <v>0</v>
          </cell>
          <cell r="S867" t="str"/>
          <cell r="T867" t="b">
            <v>0</v>
          </cell>
          <cell r="W867">
            <v>248</v>
          </cell>
          <cell r="X867" t="str">
            <v>新北市五股區成泰路一段194-8A棟</v>
          </cell>
          <cell r="Y867" t="str">
            <v>新北市五股區</v>
          </cell>
          <cell r="Z867" t="str">
            <v>新北市五股區成泰路一段194-8A</v>
          </cell>
          <cell r="AA867" t="str">
            <v>248新北市五股區成泰路一段194-8A棟</v>
          </cell>
          <cell r="AK867" t="str">
            <v>842-GZ</v>
          </cell>
          <cell r="AL867" t="str">
            <v>1-0454-謝明政&gt;松生&gt;寄&gt;自結</v>
          </cell>
          <cell r="AM867" t="str">
            <v>1-0454</v>
          </cell>
        </row>
        <row r="868">
          <cell r="B868" t="str">
            <v>1-0863</v>
          </cell>
          <cell r="C868" t="str">
            <v>108-08-14</v>
          </cell>
          <cell r="D868" t="str">
            <v>1-0863-久正企業社&gt;南成&gt;寄&gt;自結</v>
          </cell>
          <cell r="E868" t="str">
            <v>久正企業社&gt;南庄五金行&gt;南成</v>
          </cell>
          <cell r="F868" t="str">
            <v>久正企業社(863)</v>
          </cell>
          <cell r="G868" t="str">
            <v>未稅</v>
          </cell>
          <cell r="H868" t="str">
            <v>寄&gt;自結&gt;匯款50152</v>
          </cell>
          <cell r="I868" t="str">
            <v>未稅</v>
          </cell>
          <cell r="J868">
            <v>30</v>
          </cell>
          <cell r="L868" t="str">
            <v>0925-835261</v>
          </cell>
          <cell r="M868" t="str">
            <v>2-0199</v>
          </cell>
          <cell r="R868" t="b">
            <v>0</v>
          </cell>
          <cell r="S868" t="str"/>
          <cell r="T868" t="b">
            <v>0</v>
          </cell>
          <cell r="W868">
            <v>353</v>
          </cell>
          <cell r="X868" t="str">
            <v>苗栗縣南庄鄉溪村民族街9號</v>
          </cell>
          <cell r="Y868" t="str">
            <v>苗栗縣南庄鄉</v>
          </cell>
          <cell r="Z868" t="str">
            <v>苗栗縣南庄鄉溪村民族街9號</v>
          </cell>
          <cell r="AA868" t="str">
            <v>353苗栗縣南庄鄉溪村民族街9號</v>
          </cell>
          <cell r="AK868" t="str">
            <v>996-DD</v>
          </cell>
          <cell r="AL868" t="str">
            <v>1-0457-合正&gt;寄平信&gt;自結</v>
          </cell>
          <cell r="AM868" t="str">
            <v>1-0457</v>
          </cell>
        </row>
        <row r="869">
          <cell r="B869" t="str">
            <v>1-0864</v>
          </cell>
          <cell r="C869" t="str">
            <v>109-11-23/黃凱筠</v>
          </cell>
          <cell r="D869" t="str">
            <v>1-0864-吉順輪胎企業社</v>
          </cell>
          <cell r="E869" t="str">
            <v>吉順輪胎企業社&gt;負:許家瑋</v>
          </cell>
          <cell r="F869" t="str">
            <v>吉順輪胎企業社(864)</v>
          </cell>
          <cell r="G869" t="str">
            <v>未稅</v>
          </cell>
          <cell r="I869" t="str">
            <v>未稅</v>
          </cell>
          <cell r="J869">
            <v>30</v>
          </cell>
          <cell r="L869" t="str">
            <v>0934-071258</v>
          </cell>
          <cell r="M869">
            <v>0</v>
          </cell>
          <cell r="R869" t="b">
            <v>0</v>
          </cell>
          <cell r="S869" t="str"/>
          <cell r="T869" t="b">
            <v>0</v>
          </cell>
          <cell r="Y869" t="str"/>
          <cell r="AA869" t="str"/>
          <cell r="AK869" t="str">
            <v>633-WW</v>
          </cell>
          <cell r="AL869" t="str">
            <v>1-0457-合正&gt;寄平信&gt;自結</v>
          </cell>
          <cell r="AM869" t="str">
            <v>1-0457</v>
          </cell>
        </row>
        <row r="870">
          <cell r="B870" t="str">
            <v>1-0865</v>
          </cell>
          <cell r="C870" t="str">
            <v>109-11-24/黃凱筠</v>
          </cell>
          <cell r="D870" t="str">
            <v>1-0865-儒鴻(溪州廠)&gt;寄&gt;附發票&gt;2個月匯款</v>
          </cell>
          <cell r="E870" t="str">
            <v>儒鴻企業股份有限公司＞負:洪鎮海</v>
          </cell>
          <cell r="F870" t="str">
            <v>儒鴻企業股份有限公司(865)</v>
          </cell>
          <cell r="G870" t="str">
            <v>稅外</v>
          </cell>
          <cell r="H870" t="str">
            <v>寄＞附發票＞2個月匯款</v>
          </cell>
          <cell r="I870" t="str">
            <v>3588＞4479＞稅外＞中華全佑&gt;20號月結</v>
          </cell>
          <cell r="J870">
            <v>20</v>
          </cell>
          <cell r="L870" t="str">
            <v>037-731600#133採購呂小姐&gt;傳真037-731601</v>
          </cell>
          <cell r="M870">
            <v>0</v>
          </cell>
          <cell r="R870" t="b">
            <v>0</v>
          </cell>
          <cell r="S870" t="str"/>
          <cell r="T870" t="b">
            <v>0</v>
          </cell>
          <cell r="W870">
            <v>356</v>
          </cell>
          <cell r="X870" t="str">
            <v>苗栗縣後龍鎮溪洲里三好路39號</v>
          </cell>
          <cell r="Y870" t="str">
            <v>苗栗縣後龍鎮</v>
          </cell>
          <cell r="Z870" t="str">
            <v>苗栗縣後龍鎮溪洲里三好路39號</v>
          </cell>
          <cell r="AA870" t="str">
            <v>356苗栗縣後龍鎮溪洲里三好路39號</v>
          </cell>
          <cell r="AK870" t="str">
            <v>415-VB</v>
          </cell>
          <cell r="AL870" t="str">
            <v>1-0460-榮興&gt;寄&gt;附發票&gt;附回郵</v>
          </cell>
          <cell r="AM870" t="str">
            <v>1-0460</v>
          </cell>
        </row>
        <row r="871">
          <cell r="B871" t="str">
            <v>1-0866</v>
          </cell>
          <cell r="C871" t="str">
            <v>109-12-22/黃凱筠</v>
          </cell>
          <cell r="D871" t="str">
            <v>1-0866-進琨群輪胎行&gt;寄&gt;附回郵</v>
          </cell>
          <cell r="E871" t="str">
            <v>進琨群輪胎行&gt;負:彭錦藏</v>
          </cell>
          <cell r="F871" t="str">
            <v>進琨群輪胎行(866)</v>
          </cell>
          <cell r="G871" t="str">
            <v>未稅</v>
          </cell>
          <cell r="H871" t="str">
            <v>寄&gt;附回郵</v>
          </cell>
          <cell r="I871" t="str">
            <v>7798&gt;8736&gt;未稅＞25號月結</v>
          </cell>
          <cell r="J871">
            <v>25</v>
          </cell>
          <cell r="L871" t="str">
            <v>03-5993790&gt;0933854250彭金來</v>
          </cell>
          <cell r="M871">
            <v>0</v>
          </cell>
          <cell r="R871" t="b">
            <v>0</v>
          </cell>
          <cell r="S871" t="str"/>
          <cell r="T871" t="b">
            <v>0</v>
          </cell>
          <cell r="W871">
            <v>303</v>
          </cell>
          <cell r="X871" t="str">
            <v>新竹縣湖口鄉中正路一段223號</v>
          </cell>
          <cell r="Y871" t="str">
            <v>新竹縣湖口鄉</v>
          </cell>
          <cell r="Z871" t="str">
            <v>新竹縣湖口鄉中正路一段223號</v>
          </cell>
          <cell r="AA871" t="str">
            <v>303新竹縣湖口鄉中正路一段223號</v>
          </cell>
          <cell r="AK871" t="str">
            <v>0497-EJ</v>
          </cell>
          <cell r="AL871" t="str">
            <v>1-0460-榮興&gt;寄&gt;附發票&gt;附回郵</v>
          </cell>
          <cell r="AM871" t="str">
            <v>1-0460</v>
          </cell>
        </row>
        <row r="872">
          <cell r="B872" t="str">
            <v>1-0867</v>
          </cell>
          <cell r="C872" t="str">
            <v>109-12-26/黃凱筠</v>
          </cell>
          <cell r="D872" t="str">
            <v>1-0867-祥峰衛生行&gt;寄&gt;附發票&gt;自結</v>
          </cell>
          <cell r="E872" t="str">
            <v>祥峰衛生行</v>
          </cell>
          <cell r="F872" t="str">
            <v>祥峰衛生行(867)</v>
          </cell>
          <cell r="G872" t="str">
            <v>稅外</v>
          </cell>
          <cell r="H872" t="str">
            <v>寄&gt;附發票&gt;自結</v>
          </cell>
          <cell r="I872" t="str">
            <v>4556&gt;4123&gt;稅外＞25號月結</v>
          </cell>
          <cell r="J872">
            <v>25</v>
          </cell>
          <cell r="L872" t="str">
            <v>037-252122&gt;傳真037-254122&gt;余如峰0988254122</v>
          </cell>
          <cell r="M872">
            <v>0</v>
          </cell>
          <cell r="O872">
            <v>63</v>
          </cell>
          <cell r="P872">
            <v>7</v>
          </cell>
          <cell r="Q872">
            <v>23</v>
          </cell>
          <cell r="R872">
            <v>47</v>
          </cell>
          <cell r="S872">
            <v>74</v>
          </cell>
          <cell r="T872">
            <v>27233</v>
          </cell>
          <cell r="U872" t="str">
            <v>K120692442</v>
          </cell>
          <cell r="V872" t="str">
            <v>余如峰</v>
          </cell>
          <cell r="W872">
            <v>362</v>
          </cell>
          <cell r="X872" t="str">
            <v>苗栗縣頭屋鄉獅潭村10鄰獅潭131號1樓</v>
          </cell>
          <cell r="Y872" t="str">
            <v>苗栗縣頭屋鄉</v>
          </cell>
          <cell r="Z872" t="str">
            <v>苗栗縣頭屋鄉獅潭村10鄰獅潭131號1樓</v>
          </cell>
          <cell r="AA872" t="str">
            <v>362苗栗縣頭屋鄉獅潭村10鄰獅潭131號1樓</v>
          </cell>
          <cell r="AK872" t="str">
            <v>899-SG</v>
          </cell>
          <cell r="AL872" t="str">
            <v>1-0463-翔瑞&gt;寄&gt;附發票&gt;附回郵</v>
          </cell>
          <cell r="AM872" t="str">
            <v>1-0463</v>
          </cell>
        </row>
        <row r="873">
          <cell r="B873" t="str">
            <v>1-0868</v>
          </cell>
          <cell r="C873" t="str">
            <v>110-01-26/黃凱筠</v>
          </cell>
          <cell r="D873" t="str">
            <v>1-0868-飛得力國際股份有限公司&gt;寄&gt;附發票&gt;自結</v>
          </cell>
          <cell r="E873" t="str">
            <v>飛得力國際股份有限公司</v>
          </cell>
          <cell r="F873" t="str">
            <v>飛得力國際股份有限公司(868)</v>
          </cell>
          <cell r="G873" t="str">
            <v>稅外</v>
          </cell>
          <cell r="H873" t="str">
            <v>寄&gt;附發票&gt;自結</v>
          </cell>
          <cell r="I873" t="str">
            <v>8628＞4667&gt;稅外&gt;中華全佑&gt;25號月結</v>
          </cell>
          <cell r="J873">
            <v>25</v>
          </cell>
          <cell r="L873" t="str">
            <v>03-4603811&gt;0988-715327張顥騰&gt;傳真03-4603850</v>
          </cell>
          <cell r="M873" t="str">
            <v>0</v>
          </cell>
          <cell r="W873">
            <v>324</v>
          </cell>
          <cell r="X873" t="str">
            <v>桃園市平鎮區快速路2段3鄰5號</v>
          </cell>
          <cell r="Y873" t="str">
            <v>桃園市平鎮區</v>
          </cell>
          <cell r="Z873" t="str">
            <v>桃園市平鎮區快速路2段3鄰5號</v>
          </cell>
          <cell r="AA873" t="str">
            <v>324桃園市平鎮區快速路2段3鄰5號</v>
          </cell>
          <cell r="AK873" t="str">
            <v>NM-36</v>
          </cell>
          <cell r="AL873" t="str">
            <v>1-0464-福記吊車&gt;寄&gt;附發票&gt;自結</v>
          </cell>
          <cell r="AM873" t="str">
            <v>1-0464</v>
          </cell>
        </row>
        <row r="874">
          <cell r="B874" t="str">
            <v>1-0869</v>
          </cell>
          <cell r="C874" t="str">
            <v>110-01-02/黃凱筠</v>
          </cell>
          <cell r="D874" t="str">
            <v>1-0869-詹兆智&gt;電&gt;自結</v>
          </cell>
          <cell r="E874" t="str">
            <v>詹兆智</v>
          </cell>
          <cell r="F874" t="str">
            <v>詹兆智(869)</v>
          </cell>
          <cell r="G874" t="str">
            <v>未稅</v>
          </cell>
          <cell r="H874" t="str">
            <v>電&gt;自結</v>
          </cell>
          <cell r="I874" t="str">
            <v>未稅&gt;25號月結</v>
          </cell>
          <cell r="J874">
            <v>25</v>
          </cell>
          <cell r="L874" t="str">
            <v>05-2618268&gt;0968356458詹兆志</v>
          </cell>
          <cell r="M874">
            <v>0</v>
          </cell>
          <cell r="O874">
            <v>77</v>
          </cell>
          <cell r="P874">
            <v>10</v>
          </cell>
          <cell r="Q874">
            <v>12</v>
          </cell>
          <cell r="R874">
            <v>33</v>
          </cell>
          <cell r="S874">
            <v>88</v>
          </cell>
          <cell r="T874">
            <v>32428</v>
          </cell>
          <cell r="U874" t="str">
            <v>Q123768492</v>
          </cell>
          <cell r="V874" t="str">
            <v>詹兆志</v>
          </cell>
          <cell r="W874">
            <v>604</v>
          </cell>
          <cell r="X874" t="str">
            <v>嘉義縣竹崎鄉和平村田寮43號</v>
          </cell>
          <cell r="Y874" t="str">
            <v>嘉義縣竹崎鄉</v>
          </cell>
          <cell r="Z874" t="str">
            <v>嘉義縣竹崎鄉和平村田寮43號</v>
          </cell>
          <cell r="AA874" t="str">
            <v>604嘉義縣竹崎鄉和平村田寮43號</v>
          </cell>
          <cell r="AK874" t="str">
            <v>Q9-7753</v>
          </cell>
          <cell r="AL874" t="str">
            <v>1-0465-原新金屬&gt;寄&gt;附發票&gt;附回郵</v>
          </cell>
          <cell r="AM874" t="str">
            <v>1-0465</v>
          </cell>
        </row>
        <row r="875">
          <cell r="B875" t="str">
            <v>1-0870</v>
          </cell>
          <cell r="C875" t="str">
            <v>108-08-28</v>
          </cell>
          <cell r="D875" t="str">
            <v>1-0870-陳致佑&gt;電&gt;匯款&gt;自結</v>
          </cell>
          <cell r="E875" t="str">
            <v>陳致佑&gt;發仔&gt;自強</v>
          </cell>
          <cell r="F875" t="str">
            <v>陳致佑(870)</v>
          </cell>
          <cell r="G875" t="str">
            <v>未稅</v>
          </cell>
          <cell r="H875" t="str">
            <v>電&gt;匯款:67828.27008&gt;自結</v>
          </cell>
          <cell r="I875" t="str">
            <v>未稅</v>
          </cell>
          <cell r="J875">
            <v>30</v>
          </cell>
          <cell r="L875" t="str">
            <v>0905-053899陳致佑</v>
          </cell>
          <cell r="M875">
            <v>0</v>
          </cell>
          <cell r="O875">
            <v>82</v>
          </cell>
          <cell r="P875">
            <v>3</v>
          </cell>
          <cell r="Q875">
            <v>31</v>
          </cell>
          <cell r="R875">
            <v>29</v>
          </cell>
          <cell r="S875">
            <v>93</v>
          </cell>
          <cell r="T875">
            <v>34059</v>
          </cell>
          <cell r="U875" t="str">
            <v>K122408751</v>
          </cell>
          <cell r="W875">
            <v>350</v>
          </cell>
          <cell r="X875" t="str">
            <v>苗栗縣竹南鎮大埔里大埔一街197號</v>
          </cell>
          <cell r="Y875" t="str">
            <v>苗栗縣竹南鎮</v>
          </cell>
          <cell r="Z875" t="str">
            <v>苗栗縣竹南鎮大埔里大埔一街197號</v>
          </cell>
          <cell r="AA875" t="str">
            <v>350苗栗縣竹南鎮大埔里大埔一街197號</v>
          </cell>
          <cell r="AK875" t="str">
            <v>4992-HN</v>
          </cell>
          <cell r="AL875" t="str">
            <v>1-0001-全佑</v>
          </cell>
          <cell r="AM875" t="str">
            <v>1-0001</v>
          </cell>
        </row>
        <row r="876">
          <cell r="B876" t="str">
            <v>1-0871</v>
          </cell>
          <cell r="C876" t="str">
            <v>110-01-09/黃凱筠</v>
          </cell>
          <cell r="D876" t="str">
            <v>1-0871-乾通企業社&gt;寄&gt;匯款</v>
          </cell>
          <cell r="E876" t="str">
            <v>乾通企業社</v>
          </cell>
          <cell r="F876" t="str">
            <v>乾通企業社(871)</v>
          </cell>
          <cell r="G876" t="str">
            <v>未稅</v>
          </cell>
          <cell r="H876" t="str">
            <v>寄&gt;匯款81686</v>
          </cell>
          <cell r="I876" t="str">
            <v>未稅&gt;25號月結</v>
          </cell>
          <cell r="J876">
            <v>25</v>
          </cell>
          <cell r="L876" t="str">
            <v>037-353786&gt;傳真:037-250578</v>
          </cell>
          <cell r="M876">
            <v>0</v>
          </cell>
          <cell r="O876">
            <v>61</v>
          </cell>
          <cell r="P876">
            <v>12</v>
          </cell>
          <cell r="Q876">
            <v>12</v>
          </cell>
          <cell r="R876">
            <v>49</v>
          </cell>
          <cell r="S876">
            <v>72</v>
          </cell>
          <cell r="T876">
            <v>26645</v>
          </cell>
          <cell r="U876" t="str">
            <v>K121468708</v>
          </cell>
          <cell r="V876" t="str">
            <v>鄭安佑</v>
          </cell>
          <cell r="W876">
            <v>366</v>
          </cell>
          <cell r="X876" t="str">
            <v>苗栗縣銅鑼鄉銅鑼村22鄰永樂路281巷2號</v>
          </cell>
          <cell r="Y876" t="str">
            <v>苗栗縣銅鑼鄉</v>
          </cell>
          <cell r="Z876" t="str">
            <v>苗栗縣銅鑼鄉銅鑼村22鄰永樂路281巷2號</v>
          </cell>
          <cell r="AA876" t="str">
            <v>366苗栗縣銅鑼鄉銅鑼村22鄰永樂路281巷2號</v>
          </cell>
          <cell r="AK876" t="str">
            <v>H3-7732</v>
          </cell>
          <cell r="AL876" t="str">
            <v>1-0465-原新金屬&gt;寄&gt;附發票&gt;附回郵</v>
          </cell>
          <cell r="AM876" t="str">
            <v>1-0465</v>
          </cell>
        </row>
        <row r="877">
          <cell r="B877" t="str">
            <v>1-0872</v>
          </cell>
          <cell r="C877" t="str">
            <v>110-01-12/黃凱筠</v>
          </cell>
          <cell r="D877" t="str">
            <v>1-0872-嘉義永德福SCANIA&gt;寄&gt;附發票&gt;2個月後匯款</v>
          </cell>
          <cell r="E877" t="str">
            <v>英屬維京群島商永德福汽車股份有限公司台灣分公司&gt;嘉義廠SCANIA</v>
          </cell>
          <cell r="F877" t="str">
            <v>永德福汽車嘉義廠(872)</v>
          </cell>
          <cell r="G877" t="str">
            <v>含稅</v>
          </cell>
          <cell r="H877" t="str">
            <v>寄＞附發票＞附定位數據＞匯款:GRIF＞</v>
          </cell>
          <cell r="I877" t="str">
            <v>2792＞2106＞含稅 ＞中華全佑＞20號月結&gt;1張簽單1張發票＞20號月結</v>
          </cell>
          <cell r="J877">
            <v>20</v>
          </cell>
          <cell r="L877" t="str">
            <v>05-2387626&gt;傳真:05-2383036</v>
          </cell>
          <cell r="M877" t="str">
            <v>0</v>
          </cell>
          <cell r="R877" t="b">
            <v>0</v>
          </cell>
          <cell r="S877" t="str"/>
          <cell r="T877" t="b">
            <v>0</v>
          </cell>
          <cell r="W877">
            <v>612</v>
          </cell>
          <cell r="X877" t="str">
            <v>嘉義縣太保市南埤路48-7號</v>
          </cell>
          <cell r="Y877" t="str">
            <v>嘉義縣太保市</v>
          </cell>
          <cell r="Z877" t="str">
            <v>嘉義縣太保市南埤路48-7號</v>
          </cell>
          <cell r="AA877" t="str">
            <v>612嘉義縣太保市南埤路48-7號</v>
          </cell>
          <cell r="AK877" t="str">
            <v>0068-VT</v>
          </cell>
          <cell r="AL877" t="str">
            <v>1-0465-原新金屬&gt;寄&gt;附發票&gt;附回郵</v>
          </cell>
          <cell r="AM877" t="str">
            <v>1-0465</v>
          </cell>
        </row>
        <row r="878">
          <cell r="B878" t="str">
            <v>1-0873</v>
          </cell>
          <cell r="C878" t="str">
            <v>110-01-14/黃凱筠</v>
          </cell>
          <cell r="D878" t="str">
            <v>1-0873-運祥工程行-寄&gt;匯款</v>
          </cell>
          <cell r="E878" t="str">
            <v>運祥工程行</v>
          </cell>
          <cell r="F878" t="str">
            <v>運祥工程行(873)</v>
          </cell>
          <cell r="G878" t="str">
            <v>未稅</v>
          </cell>
          <cell r="H878" t="str">
            <v>寄&gt;匯款16151</v>
          </cell>
          <cell r="I878" t="str">
            <v>3014&gt;2759&gt;未稅</v>
          </cell>
          <cell r="J878">
            <v>25</v>
          </cell>
          <cell r="L878" t="str">
            <v>0916-919293林鴻祥</v>
          </cell>
          <cell r="M878">
            <v>0</v>
          </cell>
          <cell r="O878">
            <v>68</v>
          </cell>
          <cell r="P878">
            <v>8</v>
          </cell>
          <cell r="Q878">
            <v>11</v>
          </cell>
          <cell r="R878">
            <v>42</v>
          </cell>
          <cell r="S878">
            <v>79</v>
          </cell>
          <cell r="T878">
            <v>29078</v>
          </cell>
          <cell r="U878" t="str">
            <v>A125004845</v>
          </cell>
          <cell r="V878" t="str">
            <v>林鴻祥</v>
          </cell>
          <cell r="W878">
            <v>221</v>
          </cell>
          <cell r="X878" t="str">
            <v>新北市汐止區樟樹一路224號6樓</v>
          </cell>
          <cell r="Y878" t="str">
            <v>新北市汐止區</v>
          </cell>
          <cell r="Z878" t="str">
            <v>新北市汐止區樟樹一路224號6樓</v>
          </cell>
          <cell r="AA878" t="str">
            <v>221新北市汐止區樟樹一路224號6樓</v>
          </cell>
          <cell r="AK878" t="str">
            <v>458-VB</v>
          </cell>
          <cell r="AL878" t="str">
            <v>1-0465-原新金屬&gt;寄&gt;附發票&gt;附回郵</v>
          </cell>
          <cell r="AM878" t="str">
            <v>1-0465</v>
          </cell>
        </row>
        <row r="879">
          <cell r="B879" t="str">
            <v>1-0874</v>
          </cell>
          <cell r="C879" t="str">
            <v>108-09-06</v>
          </cell>
          <cell r="D879" t="str">
            <v>1-0874-謝武宗&gt;付現</v>
          </cell>
          <cell r="E879" t="str">
            <v>謝武宗&gt;靠行冠德貨運</v>
          </cell>
          <cell r="F879" t="str">
            <v>謝武宗(874)</v>
          </cell>
          <cell r="G879" t="str">
            <v>未稅</v>
          </cell>
          <cell r="H879" t="str">
            <v>付現</v>
          </cell>
          <cell r="I879" t="str">
            <v>未稅</v>
          </cell>
          <cell r="J879">
            <v>30</v>
          </cell>
          <cell r="L879" t="str">
            <v>0919-714390&gt;謝武宗</v>
          </cell>
          <cell r="M879">
            <v>0</v>
          </cell>
          <cell r="O879">
            <v>73</v>
          </cell>
          <cell r="P879">
            <v>3</v>
          </cell>
          <cell r="Q879">
            <v>23</v>
          </cell>
          <cell r="R879">
            <v>38</v>
          </cell>
          <cell r="S879">
            <v>84</v>
          </cell>
          <cell r="T879">
            <v>30764</v>
          </cell>
          <cell r="W879">
            <v>350</v>
          </cell>
          <cell r="X879" t="str">
            <v>苗栗縣竹南鎮竹圍街173號</v>
          </cell>
          <cell r="Y879" t="str">
            <v>苗栗縣竹南鎮</v>
          </cell>
          <cell r="Z879" t="str">
            <v>苗栗縣竹南鎮竹圍街173號</v>
          </cell>
          <cell r="AA879" t="str">
            <v>350苗栗縣竹南鎮竹圍街173號</v>
          </cell>
          <cell r="AK879" t="str">
            <v>0429-VS</v>
          </cell>
          <cell r="AL879" t="str">
            <v>1-0465-原新金屬&gt;寄&gt;附發票&gt;附回郵</v>
          </cell>
          <cell r="AM879" t="str">
            <v>1-0465</v>
          </cell>
        </row>
        <row r="880">
          <cell r="B880" t="str">
            <v>1-0875</v>
          </cell>
          <cell r="C880" t="str">
            <v>110-02-17/黃凱筠</v>
          </cell>
          <cell r="D880" t="str">
            <v>1-0875-吳正楚&gt;寄&gt;刷卡</v>
          </cell>
          <cell r="E880" t="str">
            <v>吳正楚&gt;靠行:鴻揚通運</v>
          </cell>
          <cell r="F880" t="str">
            <v>吳正楚(875)</v>
          </cell>
          <cell r="G880" t="str">
            <v>未稅</v>
          </cell>
          <cell r="H880" t="str">
            <v>寄&gt;刷卡</v>
          </cell>
          <cell r="I880" t="str">
            <v>1601&gt;5958&gt;稅外&gt;25號月結</v>
          </cell>
          <cell r="J880">
            <v>25</v>
          </cell>
          <cell r="L880" t="str">
            <v>037-238581&gt;0932-524487</v>
          </cell>
          <cell r="O880">
            <v>60</v>
          </cell>
          <cell r="P880">
            <v>1</v>
          </cell>
          <cell r="Q880">
            <v>7</v>
          </cell>
          <cell r="R880">
            <v>51</v>
          </cell>
          <cell r="S880">
            <v>71</v>
          </cell>
          <cell r="T880">
            <v>25940</v>
          </cell>
          <cell r="U880" t="str">
            <v>L120475870</v>
          </cell>
          <cell r="V880" t="str">
            <v>吳正楚</v>
          </cell>
          <cell r="W880">
            <v>366</v>
          </cell>
          <cell r="X880" t="str">
            <v>苗栗縣銅鑼鄉中興一街78號</v>
          </cell>
          <cell r="Y880" t="str">
            <v>苗栗縣銅鑼鄉</v>
          </cell>
          <cell r="Z880" t="str">
            <v>苗栗縣銅鑼鄉中興一街78號</v>
          </cell>
          <cell r="AA880" t="str">
            <v>366苗栗縣銅鑼鄉中興一街78號</v>
          </cell>
          <cell r="AK880" t="str">
            <v>1212-NA</v>
          </cell>
          <cell r="AL880" t="str">
            <v>1-0001-全佑</v>
          </cell>
          <cell r="AM880" t="str">
            <v>1-0001</v>
          </cell>
        </row>
        <row r="881">
          <cell r="B881" t="str">
            <v>1-0876</v>
          </cell>
          <cell r="C881" t="str">
            <v>110-02-02/黃凱筠</v>
          </cell>
          <cell r="D881" t="str">
            <v>1-0876-民抬瀝青工業股份有限公司&gt;寄&gt;附發票&gt;附回郵</v>
          </cell>
          <cell r="E881" t="str">
            <v>民抬瀝青工業股份有限公司</v>
          </cell>
          <cell r="F881" t="str">
            <v>民抬瀝青工業股份有限公司(876)</v>
          </cell>
          <cell r="G881" t="str">
            <v>稅外</v>
          </cell>
          <cell r="H881" t="str">
            <v>寄&gt;附發票&gt;附回郵</v>
          </cell>
          <cell r="I881" t="str">
            <v>2895&gt;3680&gt;稅外&gt;25號月結</v>
          </cell>
          <cell r="J881">
            <v>25</v>
          </cell>
          <cell r="L881" t="str">
            <v>037-724556&gt;傳真:037-731343&gt;0937-137432老闆</v>
          </cell>
          <cell r="M881">
            <v>0</v>
          </cell>
          <cell r="R881" t="b">
            <v>0</v>
          </cell>
          <cell r="S881" t="str"/>
          <cell r="T881" t="b">
            <v>0</v>
          </cell>
          <cell r="W881">
            <v>356</v>
          </cell>
          <cell r="X881" t="str">
            <v>苗栗縣後龍鎮龍坑里十班坑177-8號</v>
          </cell>
          <cell r="Y881" t="str">
            <v>苗栗縣後龍鎮</v>
          </cell>
          <cell r="Z881" t="str">
            <v>苗栗縣後龍鎮龍坑里十班坑177-8號</v>
          </cell>
          <cell r="AA881" t="str">
            <v>356苗栗縣後龍鎮龍坑里十班坑177-8號</v>
          </cell>
          <cell r="AK881" t="str">
            <v>905-JD</v>
          </cell>
          <cell r="AL881" t="str">
            <v>1-0469-黃明良&gt;旭東&gt;寄&gt;附發票&gt;附回郵</v>
          </cell>
          <cell r="AM881" t="str">
            <v>1-0469</v>
          </cell>
        </row>
        <row r="882">
          <cell r="B882" t="str">
            <v>1-0877</v>
          </cell>
          <cell r="C882" t="str">
            <v>110-02-05/黃凱筠</v>
          </cell>
          <cell r="D882" t="str">
            <v>1-0877-金鈺交通&gt;寄&gt;附回郵(3/3)</v>
          </cell>
          <cell r="E882" t="str">
            <v>金鈺交通股份有限公司＞負:(3/3)</v>
          </cell>
          <cell r="F882" t="str">
            <v>金鈺交通股份有限公司(877)</v>
          </cell>
          <cell r="G882" t="str">
            <v>未稅</v>
          </cell>
          <cell r="H882" t="str">
            <v>寄＞附回郵＞(票/現)</v>
          </cell>
          <cell r="I882" t="str">
            <v>2254&gt;2535&gt;未稅&gt;25號月結</v>
          </cell>
          <cell r="J882">
            <v>25</v>
          </cell>
          <cell r="L882" t="str">
            <v>037-450363＞037-450899＞0936-066362＞傳真037-450742</v>
          </cell>
          <cell r="M882" t="str">
            <v>0</v>
          </cell>
          <cell r="O882">
            <v>62</v>
          </cell>
          <cell r="P882">
            <v>10</v>
          </cell>
          <cell r="Q882">
            <v>7</v>
          </cell>
          <cell r="R882">
            <v>48</v>
          </cell>
          <cell r="S882">
            <v>73</v>
          </cell>
          <cell r="T882">
            <v>26944</v>
          </cell>
          <cell r="U882" t="str">
            <v>K121085021</v>
          </cell>
          <cell r="V882" t="str">
            <v>杜建寬</v>
          </cell>
          <cell r="W882">
            <v>351</v>
          </cell>
          <cell r="X882" t="str">
            <v>苗栗縣頭份鎮蟠桃里中央路268號</v>
          </cell>
          <cell r="Y882" t="str">
            <v>苗栗縣後龍鎮</v>
          </cell>
          <cell r="Z882" t="str">
            <v>苗栗縣後龍鎮福寧里9鄰烏眉88-3號1樓.</v>
          </cell>
          <cell r="AA882" t="str">
            <v>351苗栗縣頭份鎮蟠桃里中央路268號</v>
          </cell>
          <cell r="AK882" t="str">
            <v>799-JD</v>
          </cell>
          <cell r="AL882" t="str">
            <v>1-0469-黃明良&gt;旭東&gt;寄&gt;附發票&gt;附回郵</v>
          </cell>
          <cell r="AM882" t="str">
            <v>1-0469</v>
          </cell>
        </row>
        <row r="883">
          <cell r="B883" t="str">
            <v>1-0878</v>
          </cell>
          <cell r="C883" t="str">
            <v>108-09-19</v>
          </cell>
          <cell r="D883" t="str">
            <v>1-0878-泰祥.勇泰&gt;寄&gt;附發票&gt;附回郵</v>
          </cell>
          <cell r="E883" t="str">
            <v>泰祥工程有限公司＞勇泰工程有限公司＞負:王清和</v>
          </cell>
          <cell r="F883" t="str">
            <v>泰祥工程有限公司(878)</v>
          </cell>
          <cell r="G883" t="str">
            <v>稅外</v>
          </cell>
          <cell r="H883" t="str">
            <v>寄&gt;附發票&gt;附回郵</v>
          </cell>
          <cell r="I883" t="str">
            <v>8466＞6649泰祥＞2855＞4678勇泰＞稅外</v>
          </cell>
          <cell r="J883">
            <v>30</v>
          </cell>
          <cell r="L883" t="str">
            <v>037-471928&gt;037-475801&gt;傳真037-471930&gt;0936-494353王清和</v>
          </cell>
          <cell r="M883">
            <v>0</v>
          </cell>
          <cell r="R883" t="b">
            <v>0</v>
          </cell>
          <cell r="S883" t="str"/>
          <cell r="T883" t="b">
            <v>0</v>
          </cell>
          <cell r="W883">
            <v>350</v>
          </cell>
          <cell r="X883" t="str">
            <v>苗栗縣竹南鎮大厝里13鄰102-9號</v>
          </cell>
          <cell r="Y883" t="str">
            <v>苗栗縣竹南鎮</v>
          </cell>
          <cell r="Z883" t="str">
            <v>苗栗縣竹南鎮大厝里13鄰102-9號</v>
          </cell>
          <cell r="AA883" t="str">
            <v>350苗栗縣竹南鎮大厝里13鄰102-9號</v>
          </cell>
          <cell r="AK883" t="str">
            <v>707-HF</v>
          </cell>
          <cell r="AL883" t="str">
            <v>1-0469-黃明良&gt;旭東&gt;寄&gt;附發票&gt;附回郵</v>
          </cell>
          <cell r="AM883" t="str">
            <v>1-0469</v>
          </cell>
        </row>
        <row r="884">
          <cell r="B884" t="str">
            <v>1-0879</v>
          </cell>
          <cell r="C884" t="str">
            <v>108-09-21</v>
          </cell>
          <cell r="D884" t="str">
            <v>1-0879-鴻源企業&gt;寄平信&gt;附發票&gt;自結</v>
          </cell>
          <cell r="E884" t="str">
            <v>鴻源企業社&gt;標叔</v>
          </cell>
          <cell r="F884" t="str">
            <v>鴻源企業社(879)</v>
          </cell>
          <cell r="G884" t="str">
            <v>稅外</v>
          </cell>
          <cell r="H884" t="str">
            <v>寄平信&gt;附發票&gt;自結</v>
          </cell>
          <cell r="I884" t="str">
            <v>8880&gt;9767&gt;稅外</v>
          </cell>
          <cell r="J884">
            <v>30</v>
          </cell>
          <cell r="L884" t="str">
            <v>037-584155&gt;0937-136548&gt;劉金芳</v>
          </cell>
          <cell r="M884">
            <v>0</v>
          </cell>
          <cell r="O884">
            <v>52</v>
          </cell>
          <cell r="P884">
            <v>9</v>
          </cell>
          <cell r="Q884">
            <v>30</v>
          </cell>
          <cell r="R884">
            <v>58</v>
          </cell>
          <cell r="S884">
            <v>63</v>
          </cell>
          <cell r="T884">
            <v>23284</v>
          </cell>
          <cell r="U884" t="str">
            <v>K120796847</v>
          </cell>
          <cell r="V884" t="str">
            <v>劉金芳</v>
          </cell>
          <cell r="W884">
            <v>350</v>
          </cell>
          <cell r="X884" t="str">
            <v>苗栗縣竹南鎮崎頂里和仁街41巷32號 戶:苗栗縣竹南鎮崎頂里15鄰仁愛路2115巷8號</v>
          </cell>
          <cell r="Y884" t="str">
            <v>苗栗縣竹南鎮</v>
          </cell>
          <cell r="Z884" t="str">
            <v xml:space="preserve">苗栗縣竹南鎮崎頂里和仁街41巷32號 </v>
          </cell>
          <cell r="AA884" t="str">
            <v>350苗栗縣竹南鎮崎頂里和仁街41巷32號 戶:苗栗縣竹南鎮崎頂里15鄰仁愛路2115巷8號</v>
          </cell>
          <cell r="AK884" t="str">
            <v>7188-RZ</v>
          </cell>
          <cell r="AL884" t="str">
            <v>1-0469-黃明良&gt;旭東&gt;寄&gt;附發票&gt;附回郵</v>
          </cell>
          <cell r="AM884" t="str">
            <v>1-0469</v>
          </cell>
        </row>
        <row r="885">
          <cell r="B885" t="str">
            <v>1-0880</v>
          </cell>
          <cell r="C885" t="str">
            <v>110-02-08/黃凱筠</v>
          </cell>
          <cell r="D885" t="str">
            <v>1-0880-遠賢砂石&gt;寄&gt;附發票&gt;附回郵</v>
          </cell>
          <cell r="E885" t="str">
            <v>遠賢砂石股份有限公司</v>
          </cell>
          <cell r="F885" t="str">
            <v>遠賢砂石(880)</v>
          </cell>
          <cell r="G885" t="str">
            <v>含稅</v>
          </cell>
          <cell r="H885" t="str">
            <v>寄&gt;附發票&gt;附回郵</v>
          </cell>
          <cell r="I885" t="str">
            <v>2837&gt;7126&gt;含稅</v>
          </cell>
          <cell r="J885">
            <v>25</v>
          </cell>
          <cell r="L885" t="str">
            <v>03-3132328&gt;0955-286036許銘鈞</v>
          </cell>
          <cell r="M885">
            <v>0</v>
          </cell>
          <cell r="R885" t="b">
            <v>0</v>
          </cell>
          <cell r="S885" t="str"/>
          <cell r="T885" t="b">
            <v>0</v>
          </cell>
          <cell r="V885" t="str">
            <v>邱宇瑄</v>
          </cell>
          <cell r="W885">
            <v>338</v>
          </cell>
          <cell r="X885" t="str">
            <v>桃園市蘆竹區中福里興仁路1巷22號</v>
          </cell>
          <cell r="Y885" t="str">
            <v>桃園市蘆竹區</v>
          </cell>
          <cell r="Z885" t="str">
            <v>桃園市蘆竹區中福里興仁路1巷22號</v>
          </cell>
          <cell r="AA885" t="str">
            <v>338桃園市蘆竹區中福里興仁路1巷22號</v>
          </cell>
          <cell r="AK885" t="str">
            <v>329-LL</v>
          </cell>
          <cell r="AL885" t="str">
            <v>1-0470-裕珉&gt;寄&gt;匯款633429.</v>
          </cell>
          <cell r="AM885" t="str">
            <v>1-0470</v>
          </cell>
        </row>
        <row r="886">
          <cell r="B886" t="str">
            <v>1-0881</v>
          </cell>
          <cell r="C886" t="str">
            <v>108-10-24</v>
          </cell>
          <cell r="D886" t="str">
            <v>1-0881-駿琳輪胎行&gt;寄&gt;附回郵</v>
          </cell>
          <cell r="E886" t="str">
            <v>駿琳輪胎行&gt;帝銓有限公司&gt;負:林信良</v>
          </cell>
          <cell r="F886" t="str">
            <v>駿琳輪胎行(881)</v>
          </cell>
          <cell r="G886" t="str">
            <v>未稅</v>
          </cell>
          <cell r="H886" t="str">
            <v>寄&gt;附回郵</v>
          </cell>
          <cell r="I886" t="str">
            <v>未稅</v>
          </cell>
          <cell r="J886">
            <v>30</v>
          </cell>
          <cell r="K886" t="str">
            <v>4547&gt;7562</v>
          </cell>
          <cell r="L886" t="str">
            <v>04-23359458&gt;0973-030328&gt;0960-412481林信良</v>
          </cell>
          <cell r="M886">
            <v>0</v>
          </cell>
          <cell r="R886" t="b">
            <v>0</v>
          </cell>
          <cell r="S886" t="str"/>
          <cell r="T886" t="b">
            <v>0</v>
          </cell>
          <cell r="W886">
            <v>414</v>
          </cell>
          <cell r="X886" t="str">
            <v>台中市烏日區太明路成豐巷215弄30號</v>
          </cell>
          <cell r="Y886" t="str">
            <v>台中市烏日區</v>
          </cell>
          <cell r="Z886" t="str">
            <v>台中市烏日區太明路成豐巷215弄30號</v>
          </cell>
          <cell r="AA886" t="str">
            <v>414台中市烏日區太明路成豐巷215弄30號</v>
          </cell>
          <cell r="AK886" t="str">
            <v>459-HH</v>
          </cell>
          <cell r="AL886" t="str">
            <v>1-0470-裕珉&gt;寄&gt;匯款633429.</v>
          </cell>
          <cell r="AM886" t="str">
            <v>1-0470</v>
          </cell>
        </row>
        <row r="887">
          <cell r="B887" t="str">
            <v>1-0882</v>
          </cell>
          <cell r="C887" t="str">
            <v>108-11-08</v>
          </cell>
          <cell r="D887" t="str">
            <v>1-0882-峻泰汽車&gt;峻榮交通&gt;禎翊汽車&gt;寄&gt;附回郵</v>
          </cell>
          <cell r="E887" t="str">
            <v>峻泰汽車貨運有限公司&gt;峻榮交通事業有限公司&gt;禎翊汽車貨運行</v>
          </cell>
          <cell r="F887" t="str">
            <v>峻泰汽車貨運有限公司(882)</v>
          </cell>
          <cell r="G887" t="str">
            <v>未稅</v>
          </cell>
          <cell r="H887" t="str">
            <v>寄&gt;附回郵&gt;302-HC是私人車輛會自行付款</v>
          </cell>
          <cell r="I887" t="str">
            <v>6494&gt;6691&gt;未稅</v>
          </cell>
          <cell r="J887">
            <v>30</v>
          </cell>
          <cell r="L887" t="str">
            <v>0912-329830李鶯嬌(會計小姐)&gt;0937-483201陳俊宏(老么)帳款問題&gt;0937-483170(太太)</v>
          </cell>
          <cell r="M887">
            <v>0</v>
          </cell>
          <cell r="R887" t="b">
            <v>0</v>
          </cell>
          <cell r="S887" t="str"/>
          <cell r="T887" t="b">
            <v>0</v>
          </cell>
          <cell r="V887" t="str">
            <v>陳俊宏</v>
          </cell>
          <cell r="W887">
            <v>356</v>
          </cell>
          <cell r="X887" t="str">
            <v>彰化縣大村鄉大村村大溪路12號&gt;寄:苗栗縣後龍鎮大庄里庄南街15號</v>
          </cell>
          <cell r="Y887" t="str">
            <v>苗栗縣後龍鎮</v>
          </cell>
          <cell r="Z887" t="str">
            <v>苗栗縣後龍鎮大庄里庄南街15號</v>
          </cell>
          <cell r="AA887" t="str">
            <v>356彰化縣大村鄉大村村大溪路12號&gt;寄:苗栗縣後龍鎮大庄里庄南街15號</v>
          </cell>
          <cell r="AK887" t="str">
            <v>593-QQ</v>
          </cell>
          <cell r="AL887" t="str">
            <v>1-0470-裕珉&gt;寄&gt;匯款633429.</v>
          </cell>
          <cell r="AM887" t="str">
            <v>1-0470</v>
          </cell>
        </row>
        <row r="888">
          <cell r="B888" t="str">
            <v>1-0883</v>
          </cell>
          <cell r="C888" t="str">
            <v>110-03-09/黃凱筠</v>
          </cell>
          <cell r="D888" t="str">
            <v>1-0883-勝弘輪胎&gt;寄&gt;附回郵</v>
          </cell>
          <cell r="E888" t="str">
            <v>勝弘輪胎有限公司</v>
          </cell>
          <cell r="F888" t="str">
            <v>勝弘輪胎有限公司(883)</v>
          </cell>
          <cell r="G888" t="str">
            <v>未稅</v>
          </cell>
          <cell r="H888" t="str">
            <v>寄&gt;附回郵</v>
          </cell>
          <cell r="I888" t="str">
            <v>未稅</v>
          </cell>
          <cell r="J888">
            <v>25</v>
          </cell>
          <cell r="L888" t="str">
            <v>06-5710395&gt;傳真:06-5715980</v>
          </cell>
          <cell r="M888">
            <v>0</v>
          </cell>
          <cell r="R888" t="b">
            <v>0</v>
          </cell>
          <cell r="S888" t="str"/>
          <cell r="T888" t="b">
            <v>0</v>
          </cell>
          <cell r="W888">
            <v>721</v>
          </cell>
          <cell r="X888" t="str">
            <v>台南市麻豆區新生南路532-5號</v>
          </cell>
          <cell r="Y888" t="str">
            <v>台南市麻豆區</v>
          </cell>
          <cell r="Z888" t="str">
            <v>台南市麻豆區新生南路532-5號</v>
          </cell>
          <cell r="AA888" t="str">
            <v>721台南市麻豆區新生南路532-5號</v>
          </cell>
          <cell r="AK888" t="str">
            <v>813-V6</v>
          </cell>
          <cell r="AL888" t="str">
            <v>1-0470-裕珉&gt;寄&gt;匯款633429.</v>
          </cell>
          <cell r="AM888" t="str">
            <v>1-0470</v>
          </cell>
        </row>
        <row r="889">
          <cell r="B889" t="str">
            <v>1-0884</v>
          </cell>
          <cell r="C889" t="str">
            <v>110-03-20/黃凱筠</v>
          </cell>
          <cell r="D889" t="str">
            <v>1-0884-黃志浩&gt;電&gt;自結</v>
          </cell>
          <cell r="E889" t="str">
            <v>黃志浩&gt;靠行兆崧</v>
          </cell>
          <cell r="F889" t="str">
            <v>黃志浩(884)</v>
          </cell>
          <cell r="G889" t="str">
            <v>未稅</v>
          </cell>
          <cell r="H889" t="str">
            <v>電&gt;自結</v>
          </cell>
          <cell r="I889" t="str">
            <v>未稅</v>
          </cell>
          <cell r="J889">
            <v>25</v>
          </cell>
          <cell r="L889" t="str">
            <v>0917-140288</v>
          </cell>
          <cell r="M889">
            <v>0</v>
          </cell>
          <cell r="O889">
            <v>80</v>
          </cell>
          <cell r="P889">
            <v>1</v>
          </cell>
          <cell r="Q889">
            <v>9</v>
          </cell>
          <cell r="R889">
            <v>31</v>
          </cell>
          <cell r="S889">
            <v>91</v>
          </cell>
          <cell r="T889">
            <v>33247</v>
          </cell>
          <cell r="U889" t="str">
            <v>F128225878</v>
          </cell>
          <cell r="V889" t="str">
            <v>黃志浩</v>
          </cell>
          <cell r="Y889" t="str"/>
          <cell r="AA889" t="str"/>
          <cell r="AK889" t="str">
            <v>426-MM</v>
          </cell>
          <cell r="AL889" t="str">
            <v>1-0470-裕珉&gt;寄&gt;匯款633429.</v>
          </cell>
          <cell r="AM889" t="str">
            <v>1-0470</v>
          </cell>
        </row>
        <row r="890">
          <cell r="B890" t="str">
            <v>1-0885</v>
          </cell>
          <cell r="C890" t="str">
            <v>110-03-25/黃凱筠</v>
          </cell>
          <cell r="D890" t="str">
            <v>1-0885-弘利開發&gt;龍蝦&gt;寄&gt;附發票&gt;附回郵</v>
          </cell>
          <cell r="E890" t="str">
            <v>弘利開發工程有限公司</v>
          </cell>
          <cell r="F890" t="str">
            <v>弘利開發(885)</v>
          </cell>
          <cell r="G890" t="str">
            <v>含稅</v>
          </cell>
          <cell r="H890" t="str">
            <v>寄&gt;附發票&gt;附回郵</v>
          </cell>
          <cell r="I890" t="str">
            <v>6626&gt;3209&gt;含稅</v>
          </cell>
          <cell r="J890">
            <v>25</v>
          </cell>
          <cell r="L890" t="str">
            <v>02-82951681&gt;龍蝦0955-100336</v>
          </cell>
          <cell r="M890">
            <v>0</v>
          </cell>
          <cell r="R890" t="b">
            <v>0</v>
          </cell>
          <cell r="S890" t="str"/>
          <cell r="T890" t="b">
            <v>0</v>
          </cell>
          <cell r="V890" t="str">
            <v>曾凱楓</v>
          </cell>
          <cell r="W890">
            <v>248</v>
          </cell>
          <cell r="X890" t="str">
            <v>新北市五股區西雲路203巷9號1樓</v>
          </cell>
          <cell r="Y890" t="str">
            <v>新北市五股區</v>
          </cell>
          <cell r="Z890" t="str">
            <v>新北市五股區西雲路203巷9號1樓</v>
          </cell>
          <cell r="AA890" t="str">
            <v>248新北市五股區西雲路203巷9號1樓</v>
          </cell>
          <cell r="AK890" t="str">
            <v>HB-201</v>
          </cell>
          <cell r="AL890" t="str">
            <v>1-0471-細漢&gt;寄&gt;自結</v>
          </cell>
          <cell r="AM890" t="str">
            <v>1-0471</v>
          </cell>
        </row>
        <row r="891">
          <cell r="B891" t="str">
            <v>1-0886</v>
          </cell>
          <cell r="C891" t="str">
            <v>108-11-21</v>
          </cell>
          <cell r="D891" t="str">
            <v>1-0886-鼎紘&gt;付現</v>
          </cell>
          <cell r="E891" t="str">
            <v>鼎紘事業有限公司&gt;負:楊世豪</v>
          </cell>
          <cell r="F891" t="str">
            <v>鼎紘事業有限公司(886)</v>
          </cell>
          <cell r="G891" t="str">
            <v>未稅</v>
          </cell>
          <cell r="H891" t="str">
            <v>付現</v>
          </cell>
          <cell r="I891" t="str">
            <v>未稅</v>
          </cell>
          <cell r="J891">
            <v>30</v>
          </cell>
          <cell r="K891" t="str">
            <v>5587&gt;5414</v>
          </cell>
          <cell r="L891" t="str">
            <v>037-477166&gt;0915226736&gt;0978711582楊世豪&gt;傳真:037-477133</v>
          </cell>
          <cell r="M891" t="str">
            <v>2-0075</v>
          </cell>
          <cell r="R891" t="b">
            <v>0</v>
          </cell>
          <cell r="S891" t="str"/>
          <cell r="T891" t="b">
            <v>0</v>
          </cell>
          <cell r="W891">
            <v>350</v>
          </cell>
          <cell r="X891" t="str">
            <v>苗栗縣竹南鎮龍天路192號</v>
          </cell>
          <cell r="Y891" t="str">
            <v>苗栗縣竹南鎮</v>
          </cell>
          <cell r="Z891" t="str">
            <v>苗栗縣竹南鎮龍天路192號</v>
          </cell>
          <cell r="AA891" t="str">
            <v>350苗栗縣竹南鎮龍天路192號</v>
          </cell>
          <cell r="AK891" t="str">
            <v>AFP-9131</v>
          </cell>
          <cell r="AL891" t="str">
            <v>1-0471-細漢&gt;寄&gt;自結</v>
          </cell>
          <cell r="AM891" t="str">
            <v>1-0471</v>
          </cell>
        </row>
        <row r="892">
          <cell r="B892" t="str">
            <v>1-0887</v>
          </cell>
          <cell r="C892" t="str">
            <v>110-03-30/黃凱筠</v>
          </cell>
          <cell r="D892" t="str">
            <v>1-0887-豪灃車業&gt;寄&gt;附回郵</v>
          </cell>
          <cell r="E892" t="str">
            <v>豪灃車業有限公司</v>
          </cell>
          <cell r="F892" t="str">
            <v>豪灃車業有限公司(887)</v>
          </cell>
          <cell r="G892" t="str">
            <v>未稅</v>
          </cell>
          <cell r="H892" t="str">
            <v>寄&gt;附回郵</v>
          </cell>
          <cell r="I892" t="str">
            <v>未稅</v>
          </cell>
          <cell r="J892">
            <v>25</v>
          </cell>
          <cell r="L892" t="str">
            <v>037-603434&gt;傳真037-603950&gt;0912-370911溫錦民</v>
          </cell>
          <cell r="M892">
            <v>0</v>
          </cell>
          <cell r="R892" t="b">
            <v>0</v>
          </cell>
          <cell r="S892" t="str"/>
          <cell r="T892" t="b">
            <v>0</v>
          </cell>
          <cell r="W892">
            <v>351</v>
          </cell>
          <cell r="X892" t="str">
            <v>苗栗縣頭份市珊瑚里九芎林3鄰2-1號</v>
          </cell>
          <cell r="Y892" t="str">
            <v>苗栗縣頭份市</v>
          </cell>
          <cell r="Z892" t="str">
            <v>苗栗縣頭份市珊瑚里九芎林3鄰2-1號</v>
          </cell>
          <cell r="AA892" t="str">
            <v>351苗栗縣頭份市珊瑚里九芎林3鄰2-1號</v>
          </cell>
          <cell r="AK892" t="str">
            <v>8407-HB</v>
          </cell>
          <cell r="AL892" t="str">
            <v>1-0472-虹銘&gt;寄&gt;附發票&gt;附回郵</v>
          </cell>
          <cell r="AM892" t="str">
            <v>1-0472</v>
          </cell>
        </row>
        <row r="893">
          <cell r="B893" t="str">
            <v>1-0888</v>
          </cell>
          <cell r="C893" t="str">
            <v>108-11-22</v>
          </cell>
          <cell r="D893" t="str">
            <v>1-0888-祐勝&gt;寄&gt;附發票&gt;附回郵</v>
          </cell>
          <cell r="E893" t="str">
            <v>祐勝車業有限公司＞負:張慶有</v>
          </cell>
          <cell r="F893" t="str">
            <v>祐勝車業有限公司(888)</v>
          </cell>
          <cell r="G893" t="str">
            <v>含稅</v>
          </cell>
          <cell r="H893" t="str">
            <v>寄＞附發票＞附回郵</v>
          </cell>
          <cell r="I893" t="str">
            <v>4518＞8084＞含稅</v>
          </cell>
          <cell r="J893">
            <v>30</v>
          </cell>
          <cell r="L893" t="str">
            <v>04-23690060＞傳真04-23690062</v>
          </cell>
          <cell r="M893">
            <v>0</v>
          </cell>
          <cell r="R893" t="b">
            <v>0</v>
          </cell>
          <cell r="S893" t="str"/>
          <cell r="T893" t="b">
            <v>0</v>
          </cell>
          <cell r="W893">
            <v>413</v>
          </cell>
          <cell r="X893" t="str">
            <v>台中市霧峰區峰堤路687號</v>
          </cell>
          <cell r="Y893" t="str">
            <v>台中市霧峰區</v>
          </cell>
          <cell r="Z893" t="str">
            <v>台中市霧峰區峰堤路687號</v>
          </cell>
          <cell r="AA893" t="str">
            <v>413台中市霧峰區峰堤路687號</v>
          </cell>
          <cell r="AK893" t="str">
            <v>478-UB</v>
          </cell>
          <cell r="AL893" t="str">
            <v>1-0472-虹銘&gt;寄&gt;附發票&gt;附回郵</v>
          </cell>
          <cell r="AM893" t="str">
            <v>1-0472</v>
          </cell>
        </row>
        <row r="894">
          <cell r="M894">
            <v>0</v>
          </cell>
          <cell r="R894" t="b">
            <v>0</v>
          </cell>
          <cell r="S894" t="str"/>
          <cell r="T894" t="b">
            <v>0</v>
          </cell>
          <cell r="Y894" t="str"/>
          <cell r="AA894" t="str"/>
          <cell r="AK894" t="str">
            <v>561-BK</v>
          </cell>
          <cell r="AL894" t="str">
            <v>1-0472-虹銘&gt;寄&gt;附發票&gt;附回郵</v>
          </cell>
          <cell r="AM894" t="str">
            <v>1-0472</v>
          </cell>
        </row>
        <row r="895">
          <cell r="B895" t="str">
            <v>1-0890</v>
          </cell>
          <cell r="C895" t="str">
            <v>108-12-03</v>
          </cell>
          <cell r="D895" t="str">
            <v>1-0890-群威輪胎行&gt;寄&gt;附發票&gt;附回郵</v>
          </cell>
          <cell r="E895" t="str">
            <v>群威輪胎行&gt;負:林秉璋&gt;羣威輪胎有限公司&gt;負:林秉璋</v>
          </cell>
          <cell r="F895" t="str">
            <v>群威輪胎行(890)</v>
          </cell>
          <cell r="G895" t="str">
            <v>未稅</v>
          </cell>
          <cell r="H895" t="str">
            <v>寄&gt;附發票&gt;附回郵&gt;</v>
          </cell>
          <cell r="I895" t="str">
            <v>6795&gt;6377群威&gt;4588&gt;3941羣威&gt;8244&gt;6796(他的客人)輪胎登祿普含稅&gt;翻修胎含稅&gt;先問發票開哪間</v>
          </cell>
          <cell r="J895">
            <v>30</v>
          </cell>
          <cell r="L895" t="str">
            <v>04-25257839&gt;傳真:04-25251298&gt;0910-376261林秉璋(帳務問題)</v>
          </cell>
          <cell r="M895" t="str">
            <v>2-0083</v>
          </cell>
          <cell r="R895" t="b">
            <v>0</v>
          </cell>
          <cell r="S895" t="str"/>
          <cell r="T895" t="b">
            <v>0</v>
          </cell>
          <cell r="W895">
            <v>420</v>
          </cell>
          <cell r="X895" t="str">
            <v>台中市豐原區翁子里豐勢路二段812號</v>
          </cell>
          <cell r="Y895" t="str">
            <v>台中市豐原區</v>
          </cell>
          <cell r="Z895" t="str">
            <v>台中市豐原區翁子里豐勢路二段812號</v>
          </cell>
          <cell r="AA895" t="str">
            <v>420台中市豐原區翁子里豐勢路二段812號</v>
          </cell>
          <cell r="AK895" t="str">
            <v>6F-948</v>
          </cell>
          <cell r="AL895" t="str">
            <v>1-0473-台灣肥料&gt;寄&gt;附發票&gt;兩個月底匯款</v>
          </cell>
          <cell r="AM895" t="str">
            <v>1-0473</v>
          </cell>
        </row>
        <row r="896">
          <cell r="B896" t="str">
            <v>1-0891</v>
          </cell>
          <cell r="C896" t="str">
            <v>108-12-04</v>
          </cell>
          <cell r="D896" t="str">
            <v>1-0891-陳朝正&gt;志鈞&gt;寄&gt;自結</v>
          </cell>
          <cell r="E896" t="str">
            <v>陳朝正&gt;靠行:志鈞貨運&gt;靠行:松生</v>
          </cell>
          <cell r="F896" t="str">
            <v>陳朝正(891)</v>
          </cell>
          <cell r="G896" t="str">
            <v>未稅</v>
          </cell>
          <cell r="H896" t="str">
            <v>寄&gt;自結&gt;車號KLD-3688</v>
          </cell>
          <cell r="I896" t="str">
            <v>未稅&gt;25號月結</v>
          </cell>
          <cell r="J896">
            <v>25</v>
          </cell>
          <cell r="L896" t="str">
            <v>0928-341600陳朝正</v>
          </cell>
          <cell r="M896">
            <v>0</v>
          </cell>
          <cell r="O896">
            <v>44</v>
          </cell>
          <cell r="P896">
            <v>6</v>
          </cell>
          <cell r="Q896">
            <v>25</v>
          </cell>
          <cell r="R896">
            <v>66</v>
          </cell>
          <cell r="S896">
            <v>55</v>
          </cell>
          <cell r="T896">
            <v>20265</v>
          </cell>
          <cell r="U896" t="str">
            <v>K101655223</v>
          </cell>
          <cell r="W896">
            <v>356</v>
          </cell>
          <cell r="X896" t="str">
            <v>苗栗縣後龍鎮大山里4鄰上大山腳68-3號</v>
          </cell>
          <cell r="Y896" t="str">
            <v>苗栗縣後龍鎮</v>
          </cell>
          <cell r="Z896" t="str">
            <v>苗栗縣後龍鎮大山里4鄰上大山腳68-3號</v>
          </cell>
          <cell r="AA896" t="str">
            <v>356苗栗縣後龍鎮大山里4鄰上大山腳68-3號</v>
          </cell>
          <cell r="AK896" t="str">
            <v>433-KP</v>
          </cell>
          <cell r="AL896" t="str">
            <v>1-0473-台灣肥料&gt;寄&gt;附發票&gt;兩個月底匯款</v>
          </cell>
          <cell r="AM896" t="str">
            <v>1-0473</v>
          </cell>
        </row>
        <row r="897">
          <cell r="B897" t="str">
            <v>1-0892</v>
          </cell>
          <cell r="C897" t="str">
            <v>108-12-06</v>
          </cell>
          <cell r="D897" t="str">
            <v>1-0892-永能汽車&gt;寄&gt;附回郵</v>
          </cell>
          <cell r="E897" t="str">
            <v>永能汽車修理廠</v>
          </cell>
          <cell r="F897" t="str">
            <v>永能汽車修理廠(892)</v>
          </cell>
          <cell r="G897" t="str">
            <v>未稅</v>
          </cell>
          <cell r="H897" t="str">
            <v>寄&gt;附回郵&gt;現金價</v>
          </cell>
          <cell r="I897" t="str">
            <v>未稅&gt;25號月結</v>
          </cell>
          <cell r="J897">
            <v>25</v>
          </cell>
          <cell r="L897" t="str">
            <v>03-5806606&gt;03-5806549&gt;0933-40689邱永能</v>
          </cell>
          <cell r="M897">
            <v>0</v>
          </cell>
          <cell r="R897" t="b">
            <v>0</v>
          </cell>
          <cell r="S897" t="str"/>
          <cell r="T897" t="b">
            <v>0</v>
          </cell>
          <cell r="W897">
            <v>315</v>
          </cell>
          <cell r="X897" t="str">
            <v>新竹縣峨眉鄉復興村11鄰21號</v>
          </cell>
          <cell r="Y897" t="str">
            <v>新竹縣峨眉鄉</v>
          </cell>
          <cell r="Z897" t="str">
            <v>新竹縣峨眉鄉復興村11鄰21號</v>
          </cell>
          <cell r="AA897" t="str">
            <v>315新竹縣峨眉鄉復興村11鄰21號</v>
          </cell>
          <cell r="AK897" t="str">
            <v>6F-856</v>
          </cell>
          <cell r="AL897" t="str">
            <v>1-0473-台灣肥料&gt;寄&gt;附發票&gt;兩個月底匯款</v>
          </cell>
          <cell r="AM897" t="str">
            <v>1-0473</v>
          </cell>
        </row>
        <row r="898">
          <cell r="B898" t="str">
            <v>1-0893</v>
          </cell>
          <cell r="C898" t="str">
            <v>108-12-07</v>
          </cell>
          <cell r="D898" t="str">
            <v>1-0893-高金星&gt;中區拖吊&gt;電&gt;自結</v>
          </cell>
          <cell r="E898" t="str">
            <v>高金星&gt;靠行:中區拖吊</v>
          </cell>
          <cell r="F898" t="str">
            <v>高金星(893)</v>
          </cell>
          <cell r="G898" t="str">
            <v>未稅</v>
          </cell>
          <cell r="H898" t="str">
            <v>電&gt;自結</v>
          </cell>
          <cell r="I898" t="str">
            <v>未稅&gt;25號月結</v>
          </cell>
          <cell r="J898">
            <v>25</v>
          </cell>
          <cell r="L898" t="str">
            <v>0910-450268高金星</v>
          </cell>
          <cell r="M898">
            <v>0</v>
          </cell>
          <cell r="O898">
            <v>50</v>
          </cell>
          <cell r="P898">
            <v>6</v>
          </cell>
          <cell r="Q898">
            <v>26</v>
          </cell>
          <cell r="R898">
            <v>60</v>
          </cell>
          <cell r="S898">
            <v>61</v>
          </cell>
          <cell r="T898">
            <v>22458</v>
          </cell>
          <cell r="W898">
            <v>356</v>
          </cell>
          <cell r="X898" t="str">
            <v>苗栗縣後龍鎮大庄里19鄰光明街78號</v>
          </cell>
          <cell r="Y898" t="str">
            <v>苗栗縣後龍鎮</v>
          </cell>
          <cell r="Z898" t="str">
            <v>苗栗縣後龍鎮大庄里19鄰光明街78號</v>
          </cell>
          <cell r="AA898" t="str">
            <v>356苗栗縣後龍鎮大庄里19鄰光明街78號</v>
          </cell>
          <cell r="AK898" t="str">
            <v>543-Y7</v>
          </cell>
          <cell r="AL898" t="str">
            <v>1-0473-台灣肥料&gt;寄&gt;附發票&gt;兩個月底匯款</v>
          </cell>
          <cell r="AM898" t="str">
            <v>1-0473</v>
          </cell>
        </row>
        <row r="899">
          <cell r="M899">
            <v>0</v>
          </cell>
          <cell r="R899" t="b">
            <v>0</v>
          </cell>
          <cell r="S899" t="str"/>
          <cell r="T899" t="b">
            <v>0</v>
          </cell>
          <cell r="Y899" t="str"/>
          <cell r="AA899" t="str"/>
          <cell r="AK899" t="str">
            <v>888-KR</v>
          </cell>
          <cell r="AL899" t="str">
            <v>1-0473-台灣肥料&gt;寄&gt;附發票&gt;兩個月底匯款</v>
          </cell>
          <cell r="AM899" t="str">
            <v>1-0473</v>
          </cell>
        </row>
        <row r="900">
          <cell r="M900">
            <v>0</v>
          </cell>
          <cell r="R900" t="b">
            <v>0</v>
          </cell>
          <cell r="S900" t="str"/>
          <cell r="T900" t="b">
            <v>0</v>
          </cell>
          <cell r="Y900" t="str"/>
          <cell r="AA900" t="str"/>
          <cell r="AK900" t="str">
            <v>999-RD</v>
          </cell>
          <cell r="AL900" t="str">
            <v>1-0477-利泰&gt;寄&gt;附發票&gt;附回郵</v>
          </cell>
          <cell r="AM900" t="str">
            <v>1-0477</v>
          </cell>
        </row>
        <row r="901">
          <cell r="B901" t="str">
            <v>1-0896</v>
          </cell>
          <cell r="C901" t="str">
            <v>108-12-13</v>
          </cell>
          <cell r="D901" t="str">
            <v>1-0896-上品通運有限公司&gt;寄&gt;1個月匯款</v>
          </cell>
          <cell r="E901" t="str">
            <v>上品通運有限公司&gt;負:呂彥宏&gt;蘭陽溪砂石商行有限公司&gt;負:游正雄</v>
          </cell>
          <cell r="F901" t="str">
            <v>上品通運(896)</v>
          </cell>
          <cell r="G901" t="str">
            <v>含稅</v>
          </cell>
          <cell r="H901" t="str">
            <v>寄＞附發票&gt;匯款</v>
          </cell>
          <cell r="I901" t="str">
            <v>2808＞7914＞含稅&gt;25號月結</v>
          </cell>
          <cell r="J901">
            <v>25</v>
          </cell>
          <cell r="L901" t="str">
            <v>03-9222222&gt;03-9221905&gt;傳真:03-9221906&gt;0921-099778呂彥宏</v>
          </cell>
          <cell r="M901" t="str">
            <v>2-0055</v>
          </cell>
          <cell r="R901" t="b">
            <v>0</v>
          </cell>
          <cell r="S901" t="str"/>
          <cell r="T901" t="b">
            <v>0</v>
          </cell>
          <cell r="W901">
            <v>264</v>
          </cell>
          <cell r="X901" t="str">
            <v>宜蘭縣員山鄉溪洲路502號</v>
          </cell>
          <cell r="Y901" t="str">
            <v>宜蘭縣員山鄉</v>
          </cell>
          <cell r="Z901" t="str">
            <v>宜蘭縣員山鄉溪洲路502號</v>
          </cell>
          <cell r="AA901" t="str">
            <v>264宜蘭縣員山鄉溪洲路502號</v>
          </cell>
          <cell r="AK901" t="str">
            <v>990-Q2</v>
          </cell>
          <cell r="AL901" t="str">
            <v>1-0481-後龍鎮公所&gt;寄&gt;附發票&gt;匯款</v>
          </cell>
          <cell r="AM901" t="str">
            <v>1-0481</v>
          </cell>
        </row>
        <row r="902">
          <cell r="M902">
            <v>0</v>
          </cell>
          <cell r="R902" t="b">
            <v>0</v>
          </cell>
          <cell r="S902" t="str"/>
          <cell r="T902" t="b">
            <v>0</v>
          </cell>
          <cell r="Y902" t="str"/>
          <cell r="AA902" t="str"/>
          <cell r="AK902" t="str">
            <v>183-Q2</v>
          </cell>
          <cell r="AL902" t="str">
            <v>1-0481-後龍鎮公所&gt;寄&gt;附發票&gt;匯款</v>
          </cell>
          <cell r="AM902" t="str">
            <v>1-0481</v>
          </cell>
        </row>
        <row r="903">
          <cell r="M903">
            <v>0</v>
          </cell>
          <cell r="R903" t="b">
            <v>0</v>
          </cell>
          <cell r="S903" t="str"/>
          <cell r="T903" t="b">
            <v>0</v>
          </cell>
          <cell r="Y903" t="str"/>
          <cell r="AA903" t="str"/>
          <cell r="AK903" t="str">
            <v>976-5A</v>
          </cell>
          <cell r="AL903" t="str">
            <v>1-0607-(2/2)瑋鎰&gt;寄&gt;附發票&gt;附回郵</v>
          </cell>
          <cell r="AM903" t="str">
            <v>1-0607</v>
          </cell>
        </row>
        <row r="904">
          <cell r="M904">
            <v>0</v>
          </cell>
          <cell r="R904" t="b">
            <v>0</v>
          </cell>
          <cell r="S904" t="str"/>
          <cell r="T904" t="b">
            <v>0</v>
          </cell>
          <cell r="Y904" t="str"/>
          <cell r="AA904" t="str"/>
          <cell r="AK904" t="str">
            <v>946-TU</v>
          </cell>
          <cell r="AL904" t="str">
            <v>1-0481-後龍鎮公所&gt;寄&gt;附發票&gt;匯款</v>
          </cell>
          <cell r="AM904" t="str">
            <v>1-0481</v>
          </cell>
        </row>
        <row r="905">
          <cell r="B905" t="str">
            <v>1-0900</v>
          </cell>
          <cell r="C905" t="str">
            <v>108-12-26</v>
          </cell>
          <cell r="D905" t="str">
            <v>1-0900-威揚貨運有限公司&gt;寄&gt;附回郵</v>
          </cell>
          <cell r="E905" t="str">
            <v>威揚貨運有限公司&gt;負:林永輝</v>
          </cell>
          <cell r="F905" t="str">
            <v>威揚貨運有限公司(900)</v>
          </cell>
          <cell r="G905" t="str">
            <v>稅外</v>
          </cell>
          <cell r="H905" t="str">
            <v>寄＞附發票＞附回郵</v>
          </cell>
          <cell r="I905" t="str">
            <v>1666&gt;5782&gt;稅外&gt;25號月結</v>
          </cell>
          <cell r="J905">
            <v>25</v>
          </cell>
          <cell r="L905" t="str">
            <v>03-9500683&gt;傳真:03-9507452&gt;0935-577513林永輝</v>
          </cell>
          <cell r="M905">
            <v>0</v>
          </cell>
          <cell r="R905" t="b">
            <v>0</v>
          </cell>
          <cell r="S905" t="str"/>
          <cell r="T905" t="b">
            <v>0</v>
          </cell>
          <cell r="W905">
            <v>268</v>
          </cell>
          <cell r="X905" t="str">
            <v>宜蘭縣五結鄉復興六路29巷13號</v>
          </cell>
          <cell r="Y905" t="str">
            <v>宜蘭縣五結鄉</v>
          </cell>
          <cell r="Z905" t="str">
            <v>宜蘭縣五結鄉復興六路29巷13號</v>
          </cell>
          <cell r="AA905" t="str">
            <v>268宜蘭縣五結鄉復興六路29巷13號</v>
          </cell>
          <cell r="AK905" t="str">
            <v>947-TU</v>
          </cell>
          <cell r="AL905" t="str">
            <v>1-0481-後龍鎮公所&gt;寄&gt;附發票&gt;匯款</v>
          </cell>
          <cell r="AM905" t="str">
            <v>1-0481</v>
          </cell>
        </row>
        <row r="906">
          <cell r="B906" t="str">
            <v>1-0901</v>
          </cell>
          <cell r="C906" t="str">
            <v>108-12-30</v>
          </cell>
          <cell r="D906" t="str">
            <v>1-0901-四方鮮乳&gt;寄&gt;附發票&gt;附回郵</v>
          </cell>
          <cell r="E906" t="str">
            <v>四方乳品工業股份有限公司&gt;負:蔡南</v>
          </cell>
          <cell r="F906" t="str">
            <v>四方鮮乳(901)</v>
          </cell>
          <cell r="G906" t="str">
            <v>稅外</v>
          </cell>
          <cell r="H906" t="str">
            <v>寄＞附發票＞附回郵</v>
          </cell>
          <cell r="I906" t="str">
            <v>8454&gt;7216&gt;稅外&gt;25號月結</v>
          </cell>
          <cell r="J906">
            <v>25</v>
          </cell>
          <cell r="L906" t="str">
            <v>037-472609&gt;傳真:037-472612&gt;0915633696林子平(車管)&gt;0935-042373老闆</v>
          </cell>
          <cell r="M906">
            <v>0</v>
          </cell>
          <cell r="R906" t="b">
            <v>0</v>
          </cell>
          <cell r="S906" t="str"/>
          <cell r="T906" t="b">
            <v>0</v>
          </cell>
          <cell r="W906">
            <v>350</v>
          </cell>
          <cell r="X906" t="str">
            <v>苗栗縣竹南鎮大厝里9鄰59-13號</v>
          </cell>
          <cell r="Y906" t="str">
            <v>苗栗縣竹南鎮</v>
          </cell>
          <cell r="Z906" t="str">
            <v>苗栗縣竹南鎮大厝里9鄰59-13號</v>
          </cell>
          <cell r="AA906" t="str">
            <v>350苗栗縣竹南鎮大厝里9鄰59-13號</v>
          </cell>
          <cell r="AK906" t="str">
            <v>972-TY</v>
          </cell>
          <cell r="AL906" t="str">
            <v>1-0481-後龍鎮公所&gt;寄&gt;附發票&gt;匯款</v>
          </cell>
          <cell r="AM906" t="str">
            <v>1-0481</v>
          </cell>
        </row>
        <row r="907">
          <cell r="B907" t="str">
            <v>1-0902</v>
          </cell>
          <cell r="C907" t="str">
            <v>109-01-04/郭雯瑀</v>
          </cell>
          <cell r="D907" t="str">
            <v>1-0902-詠吉&gt;國鉅&gt;寄&gt;附發票&gt;附回郵</v>
          </cell>
          <cell r="E907" t="str">
            <v>詠吉起重工程有限公司&gt;負:孫國順&gt;國鉅貿易有限公司&gt;負:孫國順</v>
          </cell>
          <cell r="F907" t="str">
            <v>詠吉起重有限公司(902)</v>
          </cell>
          <cell r="G907" t="str">
            <v>含稅</v>
          </cell>
          <cell r="H907" t="str">
            <v>寄＞附發票＞附回郵</v>
          </cell>
          <cell r="I907" t="str">
            <v>1290&gt;9055詠吉&gt;5664&gt;7831國鉅&gt;含稅&gt;25號月結</v>
          </cell>
          <cell r="J907">
            <v>25</v>
          </cell>
          <cell r="L907" t="str">
            <v>037-478999&gt;傳真037-552938&gt;0930-072949老闆</v>
          </cell>
          <cell r="M907" t="str">
            <v>2-0163</v>
          </cell>
          <cell r="R907" t="b">
            <v>0</v>
          </cell>
          <cell r="S907" t="str"/>
          <cell r="T907" t="b">
            <v>0</v>
          </cell>
          <cell r="W907">
            <v>350</v>
          </cell>
          <cell r="X907" t="str">
            <v>苗栗縣竹南鎮中美里保安林56-15號</v>
          </cell>
          <cell r="Y907" t="str">
            <v>苗栗縣竹南鎮</v>
          </cell>
          <cell r="Z907" t="str">
            <v>苗栗縣竹南鎮中美里保安林56-15號</v>
          </cell>
          <cell r="AA907" t="str">
            <v>350苗栗縣竹南鎮中美里保安林56-15號</v>
          </cell>
          <cell r="AK907" t="str">
            <v>KEA-9663</v>
          </cell>
          <cell r="AL907" t="str">
            <v>1-0285-友商&gt;友勝&gt;電&gt;親收&gt;帶客戶請款聯</v>
          </cell>
          <cell r="AM907" t="str">
            <v>1-0285</v>
          </cell>
        </row>
        <row r="908">
          <cell r="B908" t="str">
            <v>1-0903</v>
          </cell>
          <cell r="C908" t="str">
            <v>109-01-07/郭雯瑀</v>
          </cell>
          <cell r="D908" t="str">
            <v>1-0903-萬全鋼圈&gt;寄&gt;自結</v>
          </cell>
          <cell r="E908" t="str">
            <v>萬全鋼圈有限公司&gt;負:葉清爲</v>
          </cell>
          <cell r="F908" t="str">
            <v>萬全鋼圈(903)</v>
          </cell>
          <cell r="G908" t="str">
            <v>未稅</v>
          </cell>
          <cell r="H908" t="str">
            <v>寄&gt;自結</v>
          </cell>
          <cell r="I908" t="str">
            <v>未稅</v>
          </cell>
          <cell r="J908">
            <v>30</v>
          </cell>
          <cell r="L908" t="str">
            <v>03-5762990&gt;03-5204535&gt;0918-657372葉建男&gt;傳真03-5762950</v>
          </cell>
          <cell r="M908">
            <v>0</v>
          </cell>
          <cell r="R908" t="b">
            <v>0</v>
          </cell>
          <cell r="S908" t="str"/>
          <cell r="T908" t="b">
            <v>0</v>
          </cell>
          <cell r="W908">
            <v>308</v>
          </cell>
          <cell r="X908" t="str">
            <v>新竹縣寶山鄉雙林路二段168號。</v>
          </cell>
          <cell r="Y908" t="str">
            <v>新竹縣寶山鄉</v>
          </cell>
          <cell r="Z908" t="str">
            <v>新竹縣寶山鄉雙林路二段168號。</v>
          </cell>
          <cell r="AA908" t="str">
            <v>308新竹縣寶山鄉雙林路二段168號。</v>
          </cell>
          <cell r="AK908" t="str">
            <v>2361-N5</v>
          </cell>
          <cell r="AL908" t="str">
            <v>1-0481-後龍鎮公所&gt;寄&gt;附發票&gt;匯款</v>
          </cell>
          <cell r="AM908" t="str">
            <v>1-0481</v>
          </cell>
        </row>
        <row r="909">
          <cell r="B909" t="str">
            <v>1-0904</v>
          </cell>
          <cell r="C909" t="str">
            <v>109-01-09/郭雯瑀</v>
          </cell>
          <cell r="D909" t="str">
            <v>1-0904-全順環保有限公司(養豬)&gt;寄&gt;附發票&gt;匯款</v>
          </cell>
          <cell r="E909" t="str">
            <v>全順環保有限公司&gt;負:劉嘉順</v>
          </cell>
          <cell r="F909" t="str">
            <v>全順環保有限公司(904)</v>
          </cell>
          <cell r="G909" t="str">
            <v>稅外</v>
          </cell>
          <cell r="H909" t="str">
            <v>寄＞附發票＞匯款:劉嘉順</v>
          </cell>
          <cell r="I909" t="str">
            <v>5496&gt;8800&gt;稅外&gt;25號月結</v>
          </cell>
          <cell r="J909">
            <v>25</v>
          </cell>
          <cell r="L909" t="str">
            <v>037-759618&gt;0919672687劉嘉順</v>
          </cell>
          <cell r="M909">
            <v>0</v>
          </cell>
          <cell r="R909" t="b">
            <v>0</v>
          </cell>
          <cell r="S909" t="str"/>
          <cell r="T909" t="b">
            <v>0</v>
          </cell>
          <cell r="W909">
            <v>357</v>
          </cell>
          <cell r="X909" t="str">
            <v>苗栗縣通霄鎮楓樹里7鄰75-2號</v>
          </cell>
          <cell r="Y909" t="str">
            <v>苗栗縣通霄鎮</v>
          </cell>
          <cell r="Z909" t="str">
            <v>苗栗縣通霄鎮楓樹里7鄰75-2號</v>
          </cell>
          <cell r="AA909" t="str">
            <v>357苗栗縣通霄鎮楓樹里7鄰75-2號</v>
          </cell>
          <cell r="AK909" t="str">
            <v>板L12-09-06</v>
          </cell>
          <cell r="AL909" t="str">
            <v>1-0162-鎰利&gt;鎰金&gt;鎰加&gt;寄&gt;附發票&gt;2個月匯款</v>
          </cell>
          <cell r="AM909" t="str">
            <v>1-0162</v>
          </cell>
        </row>
        <row r="910">
          <cell r="B910" t="str">
            <v>1-0905</v>
          </cell>
          <cell r="C910" t="str">
            <v>109-01-09/郭雯瑀</v>
          </cell>
          <cell r="D910" t="str">
            <v>1-0905-黃耀祖&gt;恆誼化工&gt;嘉盛&gt;志鈞&gt;寄&gt;附回郵</v>
          </cell>
          <cell r="E910" t="str">
            <v>黃耀祖&gt;靠行:恆誼化工&gt;靠行:嘉盛&gt;靠行:志鈞</v>
          </cell>
          <cell r="F910" t="str">
            <v>黃耀祖(905)</v>
          </cell>
          <cell r="G910" t="str">
            <v>稅外</v>
          </cell>
          <cell r="H910" t="str">
            <v>寄&gt;附回郵</v>
          </cell>
          <cell r="I910" t="str">
            <v>4938&gt;&gt;9534&gt;稅外</v>
          </cell>
          <cell r="J910">
            <v>30</v>
          </cell>
          <cell r="L910" t="str">
            <v>037-615399&gt;傳真037-623537&gt;0932-614555黃耀祖</v>
          </cell>
          <cell r="M910">
            <v>0</v>
          </cell>
          <cell r="R910" t="b">
            <v>0</v>
          </cell>
          <cell r="S910" t="str"/>
          <cell r="T910" t="b">
            <v>0</v>
          </cell>
          <cell r="W910">
            <v>351</v>
          </cell>
          <cell r="X910" t="str">
            <v>苗栗縣頭份市中華路440號</v>
          </cell>
          <cell r="Y910" t="str">
            <v>苗栗縣頭份市</v>
          </cell>
          <cell r="Z910" t="str">
            <v>苗栗縣頭份市中華路440號</v>
          </cell>
          <cell r="AA910" t="str">
            <v>351苗栗縣頭份市中華路440號</v>
          </cell>
          <cell r="AK910" t="str">
            <v>792-RW</v>
          </cell>
          <cell r="AL910" t="str">
            <v>1-0481-後龍鎮公所&gt;寄&gt;附發票&gt;匯款</v>
          </cell>
          <cell r="AM910" t="str">
            <v>1-0481</v>
          </cell>
        </row>
        <row r="911">
          <cell r="B911" t="str">
            <v>1-0906</v>
          </cell>
          <cell r="C911" t="str">
            <v>109-01-15/郭雯瑀</v>
          </cell>
          <cell r="D911" t="str">
            <v>1-0906-宏星環保&gt;電&gt;自結</v>
          </cell>
          <cell r="E911" t="str">
            <v>宏星環保科技有限公司</v>
          </cell>
          <cell r="F911" t="str">
            <v>宏星環保科技有限公司(906)</v>
          </cell>
          <cell r="G911" t="str">
            <v>未稅</v>
          </cell>
          <cell r="H911" t="str">
            <v>電&gt;自結</v>
          </cell>
          <cell r="I911" t="str">
            <v>未稅&gt;25號月結</v>
          </cell>
          <cell r="J911">
            <v>25</v>
          </cell>
          <cell r="K911" t="str">
            <v>5396&gt;8866</v>
          </cell>
          <cell r="L911" t="str">
            <v>0919675802&gt;鍾*喜&gt;0907071889&gt;練錫明&gt;037-621058</v>
          </cell>
          <cell r="M911">
            <v>0</v>
          </cell>
          <cell r="R911" t="b">
            <v>0</v>
          </cell>
          <cell r="S911" t="str"/>
          <cell r="T911" t="b">
            <v>0</v>
          </cell>
          <cell r="W911">
            <v>360</v>
          </cell>
          <cell r="X911" t="str">
            <v>苗栗縣苗栗市福麗里民族路108號</v>
          </cell>
          <cell r="Y911" t="str">
            <v>苗栗縣苗栗市</v>
          </cell>
          <cell r="Z911" t="str">
            <v>苗栗縣苗栗市福麗里民族路108號</v>
          </cell>
          <cell r="AA911" t="str">
            <v>360苗栗縣苗栗市福麗里民族路108號</v>
          </cell>
          <cell r="AK911" t="str">
            <v>986-TZ</v>
          </cell>
          <cell r="AL911" t="str">
            <v>1-0481-後龍鎮公所&gt;寄&gt;附發票&gt;匯款</v>
          </cell>
          <cell r="AM911" t="str">
            <v>1-0481</v>
          </cell>
        </row>
        <row r="912">
          <cell r="B912" t="str">
            <v>1-0907</v>
          </cell>
          <cell r="C912" t="str">
            <v>109-01-17/郭雯瑀</v>
          </cell>
          <cell r="D912" t="str">
            <v>1-0907-展新汽車&gt;付現</v>
          </cell>
          <cell r="E912" t="str">
            <v>展新汽車&gt;負:鍾武雄</v>
          </cell>
          <cell r="F912" t="str">
            <v>展新汽車(907)</v>
          </cell>
          <cell r="G912" t="str">
            <v>稅外</v>
          </cell>
          <cell r="H912" t="str">
            <v>付現</v>
          </cell>
          <cell r="I912" t="str">
            <v>4526&gt;3273&gt;稅外</v>
          </cell>
          <cell r="J912">
            <v>30</v>
          </cell>
          <cell r="L912" t="str">
            <v>037-672289</v>
          </cell>
          <cell r="M912">
            <v>0</v>
          </cell>
          <cell r="R912" t="b">
            <v>0</v>
          </cell>
          <cell r="S912" t="str"/>
          <cell r="T912" t="b">
            <v>0</v>
          </cell>
          <cell r="W912">
            <v>350</v>
          </cell>
          <cell r="X912" t="str">
            <v>苗栗縣竹南鎮中華路82號</v>
          </cell>
          <cell r="Y912" t="str">
            <v>苗栗縣竹南鎮</v>
          </cell>
          <cell r="Z912" t="str">
            <v>苗栗縣竹南鎮中華路82號</v>
          </cell>
          <cell r="AA912" t="str">
            <v>350苗栗縣竹南鎮中華路82號</v>
          </cell>
          <cell r="AK912" t="str">
            <v>903-TK</v>
          </cell>
          <cell r="AL912" t="str">
            <v>1-0481-後龍鎮公所&gt;寄&gt;附發票&gt;匯款</v>
          </cell>
          <cell r="AM912" t="str">
            <v>1-0481</v>
          </cell>
        </row>
        <row r="913">
          <cell r="B913" t="str">
            <v>1-0908</v>
          </cell>
          <cell r="E913" t="str">
            <v>有限公司</v>
          </cell>
          <cell r="R913" t="b">
            <v>0</v>
          </cell>
          <cell r="S913" t="str"/>
          <cell r="T913" t="b">
            <v>0</v>
          </cell>
          <cell r="W913" t="str"/>
          <cell r="Y913" t="str"/>
          <cell r="AA913" t="str"/>
          <cell r="AK913" t="str">
            <v>210-Y7</v>
          </cell>
          <cell r="AL913" t="str">
            <v>1-0481-後龍鎮公所&gt;寄&gt;附發票&gt;匯款</v>
          </cell>
          <cell r="AM913" t="str">
            <v>1-0481</v>
          </cell>
        </row>
        <row r="914">
          <cell r="B914" t="str">
            <v>1-0909</v>
          </cell>
          <cell r="E914" t="str">
            <v>有限公司</v>
          </cell>
          <cell r="R914" t="b">
            <v>0</v>
          </cell>
          <cell r="S914" t="str"/>
          <cell r="T914" t="b">
            <v>0</v>
          </cell>
          <cell r="W914" t="str"/>
          <cell r="Y914" t="str"/>
          <cell r="AA914" t="str"/>
          <cell r="AK914" t="str">
            <v>587-RW</v>
          </cell>
          <cell r="AL914" t="str">
            <v>1-0481-後龍鎮公所&gt;寄&gt;附發票&gt;匯款</v>
          </cell>
          <cell r="AM914" t="str">
            <v>1-0481</v>
          </cell>
        </row>
        <row r="915">
          <cell r="B915" t="str">
            <v>1-0910</v>
          </cell>
          <cell r="E915" t="str">
            <v>有限公司</v>
          </cell>
          <cell r="R915" t="b">
            <v>0</v>
          </cell>
          <cell r="S915" t="str"/>
          <cell r="T915" t="b">
            <v>0</v>
          </cell>
          <cell r="W915" t="str"/>
          <cell r="Y915" t="str"/>
          <cell r="AA915" t="str"/>
          <cell r="AK915" t="str">
            <v>738-TZ</v>
          </cell>
          <cell r="AL915" t="str">
            <v>1-0481-後龍鎮公所&gt;寄&gt;附發票&gt;匯款</v>
          </cell>
          <cell r="AM915" t="str">
            <v>1-0481</v>
          </cell>
        </row>
        <row r="916">
          <cell r="B916" t="str">
            <v>1-0911</v>
          </cell>
          <cell r="E916" t="str">
            <v>有限公司</v>
          </cell>
          <cell r="R916" t="b">
            <v>0</v>
          </cell>
          <cell r="S916" t="str"/>
          <cell r="T916" t="b">
            <v>0</v>
          </cell>
          <cell r="W916" t="str"/>
          <cell r="Y916" t="str"/>
          <cell r="AA916" t="str"/>
          <cell r="AK916" t="str">
            <v>ABG-005</v>
          </cell>
          <cell r="AL916" t="str">
            <v>1-0481-後龍鎮公所&gt;寄&gt;附發票&gt;匯款</v>
          </cell>
          <cell r="AM916" t="str">
            <v>1-0481</v>
          </cell>
        </row>
        <row r="917">
          <cell r="B917" t="str">
            <v>1-0912</v>
          </cell>
          <cell r="E917" t="str">
            <v>有限公司</v>
          </cell>
          <cell r="R917" t="b">
            <v>0</v>
          </cell>
          <cell r="S917" t="str"/>
          <cell r="T917" t="b">
            <v>0</v>
          </cell>
          <cell r="W917" t="str"/>
          <cell r="Y917" t="str"/>
          <cell r="AA917" t="str"/>
          <cell r="AK917" t="str">
            <v>468-Y7</v>
          </cell>
          <cell r="AL917" t="str">
            <v>1-0481-後龍鎮公所&gt;寄&gt;附發票&gt;匯款</v>
          </cell>
          <cell r="AM917" t="str">
            <v>1-0481</v>
          </cell>
        </row>
        <row r="918">
          <cell r="B918" t="str">
            <v>1-0913</v>
          </cell>
          <cell r="E918" t="str">
            <v>有限公司</v>
          </cell>
          <cell r="R918" t="b">
            <v>0</v>
          </cell>
          <cell r="S918" t="str"/>
          <cell r="T918" t="b">
            <v>0</v>
          </cell>
          <cell r="W918" t="str"/>
          <cell r="Y918" t="str"/>
          <cell r="AA918" t="str"/>
          <cell r="AK918" t="str">
            <v>KLJ-9111</v>
          </cell>
          <cell r="AL918" t="str">
            <v>1-0175-莊人傑&gt;寄平信&gt;附發票＞自結</v>
          </cell>
          <cell r="AM918" t="str">
            <v>1-0175</v>
          </cell>
        </row>
        <row r="919">
          <cell r="B919" t="str">
            <v>1-0914</v>
          </cell>
          <cell r="E919" t="str">
            <v>有限公司</v>
          </cell>
          <cell r="R919" t="b">
            <v>0</v>
          </cell>
          <cell r="S919" t="str"/>
          <cell r="T919" t="b">
            <v>0</v>
          </cell>
          <cell r="W919" t="str"/>
          <cell r="Y919" t="str"/>
          <cell r="AA919" t="str"/>
          <cell r="AK919" t="str">
            <v>718-M7</v>
          </cell>
          <cell r="AL919" t="str">
            <v>1-0482-楊詩雅&gt;寄&gt;匯款</v>
          </cell>
          <cell r="AM919" t="str">
            <v>1-0482</v>
          </cell>
        </row>
        <row r="920">
          <cell r="B920" t="str">
            <v>1-0915</v>
          </cell>
          <cell r="E920" t="str">
            <v>有限公司</v>
          </cell>
          <cell r="R920" t="b">
            <v>0</v>
          </cell>
          <cell r="S920" t="str"/>
          <cell r="T920" t="b">
            <v>0</v>
          </cell>
          <cell r="W920" t="str"/>
          <cell r="Y920" t="str"/>
          <cell r="AA920" t="str"/>
          <cell r="AK920" t="str">
            <v>017-X2</v>
          </cell>
          <cell r="AL920" t="str">
            <v>1-0482-楊詩雅&gt;寄&gt;匯款</v>
          </cell>
          <cell r="AM920" t="str">
            <v>1-0482</v>
          </cell>
        </row>
        <row r="921">
          <cell r="B921" t="str">
            <v>1-0916</v>
          </cell>
          <cell r="E921" t="str">
            <v>有限公司</v>
          </cell>
          <cell r="R921" t="b">
            <v>0</v>
          </cell>
          <cell r="S921" t="str"/>
          <cell r="T921" t="b">
            <v>0</v>
          </cell>
          <cell r="W921" t="str"/>
          <cell r="Y921" t="str"/>
          <cell r="AA921" t="str"/>
          <cell r="AK921" t="str">
            <v>635-Q8</v>
          </cell>
          <cell r="AL921" t="str">
            <v>1-0482-楊詩雅&gt;寄&gt;匯款</v>
          </cell>
          <cell r="AM921" t="str">
            <v>1-0482</v>
          </cell>
        </row>
        <row r="922">
          <cell r="B922" t="str">
            <v>1-0917</v>
          </cell>
          <cell r="E922" t="str">
            <v>有限公司</v>
          </cell>
          <cell r="R922" t="b">
            <v>0</v>
          </cell>
          <cell r="S922" t="str"/>
          <cell r="T922" t="b">
            <v>0</v>
          </cell>
          <cell r="W922" t="str"/>
          <cell r="Y922" t="str"/>
          <cell r="AA922" t="str"/>
          <cell r="AK922" t="str">
            <v>571-W9</v>
          </cell>
          <cell r="AL922" t="str">
            <v>1-0482-楊詩雅&gt;寄&gt;匯款</v>
          </cell>
          <cell r="AM922" t="str">
            <v>1-0482</v>
          </cell>
        </row>
        <row r="923">
          <cell r="B923" t="str">
            <v>1-0918</v>
          </cell>
          <cell r="E923" t="str">
            <v>有限公司</v>
          </cell>
          <cell r="R923" t="b">
            <v>0</v>
          </cell>
          <cell r="S923" t="str"/>
          <cell r="T923" t="b">
            <v>0</v>
          </cell>
          <cell r="W923" t="str"/>
          <cell r="Y923" t="str"/>
          <cell r="AA923" t="str"/>
          <cell r="AK923" t="str">
            <v>019-X2</v>
          </cell>
          <cell r="AL923" t="str">
            <v>1-0482-楊詩雅&gt;寄&gt;匯款</v>
          </cell>
          <cell r="AM923" t="str">
            <v>1-0482</v>
          </cell>
        </row>
        <row r="924">
          <cell r="B924" t="str">
            <v>1-0919</v>
          </cell>
          <cell r="E924" t="str">
            <v>有限公司</v>
          </cell>
          <cell r="R924" t="b">
            <v>0</v>
          </cell>
          <cell r="S924" t="str"/>
          <cell r="T924" t="b">
            <v>0</v>
          </cell>
          <cell r="W924" t="str"/>
          <cell r="Y924" t="str"/>
          <cell r="AA924" t="str"/>
          <cell r="AK924" t="str">
            <v>070-G6</v>
          </cell>
          <cell r="AL924" t="str">
            <v>1-0482-楊詩雅&gt;寄&gt;匯款</v>
          </cell>
          <cell r="AM924" t="str">
            <v>1-0482</v>
          </cell>
        </row>
        <row r="925">
          <cell r="B925" t="str">
            <v>1-0920</v>
          </cell>
          <cell r="E925" t="str">
            <v>有限公司</v>
          </cell>
          <cell r="R925" t="b">
            <v>0</v>
          </cell>
          <cell r="S925" t="str"/>
          <cell r="T925" t="b">
            <v>0</v>
          </cell>
          <cell r="W925" t="str"/>
          <cell r="Y925" t="str"/>
          <cell r="AA925" t="str"/>
          <cell r="AK925" t="str">
            <v>LAJ-571</v>
          </cell>
          <cell r="AL925" t="str">
            <v>1-0482-楊詩雅&gt;寄&gt;匯款</v>
          </cell>
          <cell r="AM925" t="str">
            <v>1-0482</v>
          </cell>
        </row>
        <row r="926">
          <cell r="B926" t="str">
            <v>1-0921</v>
          </cell>
          <cell r="E926" t="str">
            <v>有限公司</v>
          </cell>
          <cell r="R926" t="b">
            <v>0</v>
          </cell>
          <cell r="S926" t="str"/>
          <cell r="T926" t="b">
            <v>0</v>
          </cell>
          <cell r="W926" t="str"/>
          <cell r="Y926" t="str"/>
          <cell r="AA926" t="str"/>
          <cell r="AK926" t="str">
            <v>135-X2</v>
          </cell>
          <cell r="AL926" t="str">
            <v>1-0482-楊詩雅&gt;寄&gt;匯款</v>
          </cell>
          <cell r="AM926" t="str">
            <v>1-0482</v>
          </cell>
        </row>
        <row r="927">
          <cell r="B927" t="str">
            <v>1-0922</v>
          </cell>
          <cell r="E927" t="str">
            <v>有限公司</v>
          </cell>
          <cell r="R927" t="b">
            <v>0</v>
          </cell>
          <cell r="S927" t="str"/>
          <cell r="T927" t="b">
            <v>0</v>
          </cell>
          <cell r="W927" t="str"/>
          <cell r="Y927" t="str"/>
          <cell r="AA927" t="str"/>
          <cell r="AK927" t="str">
            <v>643-SS</v>
          </cell>
          <cell r="AL927" t="str">
            <v>1-0525-勝興&gt;寄&gt;附發票&gt;自結</v>
          </cell>
          <cell r="AM927" t="str">
            <v>1-0525</v>
          </cell>
        </row>
        <row r="928">
          <cell r="B928" t="str">
            <v>1-0923</v>
          </cell>
          <cell r="E928" t="str">
            <v>有限公司</v>
          </cell>
          <cell r="R928" t="b">
            <v>0</v>
          </cell>
          <cell r="S928" t="str"/>
          <cell r="T928" t="b">
            <v>0</v>
          </cell>
          <cell r="W928" t="str"/>
          <cell r="Y928" t="str"/>
          <cell r="AA928" t="str"/>
          <cell r="AK928" t="str">
            <v>285-SS</v>
          </cell>
          <cell r="AL928" t="str">
            <v>1-0483-火炎山&gt;寄&gt;附發票&gt;附回郵</v>
          </cell>
          <cell r="AM928" t="str">
            <v>1-0483</v>
          </cell>
        </row>
        <row r="929">
          <cell r="B929" t="str">
            <v>1-0924</v>
          </cell>
          <cell r="E929" t="str">
            <v>有限公司</v>
          </cell>
          <cell r="R929" t="b">
            <v>0</v>
          </cell>
          <cell r="S929" t="str"/>
          <cell r="T929" t="b">
            <v>0</v>
          </cell>
          <cell r="W929" t="str"/>
          <cell r="Y929" t="str"/>
          <cell r="AA929" t="str"/>
          <cell r="AK929" t="str">
            <v>753-WW</v>
          </cell>
          <cell r="AL929" t="str">
            <v>1-0483-火炎山&gt;寄&gt;附發票&gt;附回郵</v>
          </cell>
          <cell r="AM929" t="str">
            <v>1-0483</v>
          </cell>
        </row>
        <row r="930">
          <cell r="B930" t="str">
            <v>1-0925</v>
          </cell>
          <cell r="E930" t="str">
            <v>有限公司</v>
          </cell>
          <cell r="R930" t="b">
            <v>0</v>
          </cell>
          <cell r="S930" t="str"/>
          <cell r="T930" t="b">
            <v>0</v>
          </cell>
          <cell r="W930" t="str"/>
          <cell r="Y930" t="str"/>
          <cell r="AA930" t="str"/>
          <cell r="AK930" t="str">
            <v>789-TY</v>
          </cell>
          <cell r="AL930" t="str">
            <v>1-0484-世鑫營造&gt;寄&gt;附發票&gt;2個月匯款</v>
          </cell>
          <cell r="AM930" t="str">
            <v>1-0484</v>
          </cell>
        </row>
        <row r="931">
          <cell r="B931" t="str">
            <v>1-0926</v>
          </cell>
          <cell r="E931" t="str">
            <v>有限公司</v>
          </cell>
          <cell r="R931" t="b">
            <v>0</v>
          </cell>
          <cell r="S931" t="str"/>
          <cell r="T931" t="b">
            <v>0</v>
          </cell>
          <cell r="W931" t="str"/>
          <cell r="Y931" t="str"/>
          <cell r="AA931" t="str"/>
          <cell r="AK931" t="str">
            <v>210-TK</v>
          </cell>
          <cell r="AL931" t="str">
            <v>1-0484-世鑫營造&gt;寄&gt;附發票&gt;2個月匯款</v>
          </cell>
          <cell r="AM931" t="str">
            <v>1-0484</v>
          </cell>
        </row>
        <row r="932">
          <cell r="B932" t="str">
            <v>1-0927</v>
          </cell>
          <cell r="E932" t="str">
            <v>有限公司</v>
          </cell>
          <cell r="R932" t="b">
            <v>0</v>
          </cell>
          <cell r="S932" t="str"/>
          <cell r="T932" t="b">
            <v>0</v>
          </cell>
          <cell r="W932" t="str"/>
          <cell r="Y932" t="str"/>
          <cell r="AA932" t="str"/>
          <cell r="AK932" t="str">
            <v>3839-U2</v>
          </cell>
          <cell r="AL932" t="str">
            <v>1-0484-世鑫營造&gt;寄&gt;附發票&gt;2個月匯款</v>
          </cell>
          <cell r="AM932" t="str">
            <v>1-0484</v>
          </cell>
        </row>
        <row r="933">
          <cell r="B933" t="str">
            <v>1-0928</v>
          </cell>
          <cell r="E933" t="str">
            <v>有限公司</v>
          </cell>
          <cell r="R933" t="b">
            <v>0</v>
          </cell>
          <cell r="S933" t="str"/>
          <cell r="T933" t="b">
            <v>0</v>
          </cell>
          <cell r="W933" t="str"/>
          <cell r="Y933" t="str"/>
          <cell r="AA933" t="str"/>
          <cell r="AK933" t="str">
            <v>3839-F5</v>
          </cell>
          <cell r="AL933" t="str">
            <v>1-0484-世鑫營造&gt;寄&gt;附發票&gt;2個月匯款</v>
          </cell>
          <cell r="AM933" t="str">
            <v>1-0484</v>
          </cell>
        </row>
        <row r="934">
          <cell r="B934" t="str">
            <v>1-0929</v>
          </cell>
          <cell r="E934" t="str">
            <v>有限公司</v>
          </cell>
          <cell r="R934" t="b">
            <v>0</v>
          </cell>
          <cell r="S934" t="str"/>
          <cell r="T934" t="b">
            <v>0</v>
          </cell>
          <cell r="W934" t="str"/>
          <cell r="Y934" t="str"/>
          <cell r="AA934" t="str"/>
          <cell r="AK934" t="str">
            <v>503-TK</v>
          </cell>
          <cell r="AL934" t="str">
            <v>1-0484-世鑫營造&gt;寄&gt;附發票&gt;2個月匯款</v>
          </cell>
          <cell r="AM934" t="str">
            <v>1-0484</v>
          </cell>
        </row>
        <row r="935">
          <cell r="B935" t="str">
            <v>1-0930</v>
          </cell>
          <cell r="E935" t="str">
            <v>有限公司</v>
          </cell>
          <cell r="R935" t="b">
            <v>0</v>
          </cell>
          <cell r="S935" t="str"/>
          <cell r="T935" t="b">
            <v>0</v>
          </cell>
          <cell r="W935" t="str"/>
          <cell r="Y935" t="str"/>
          <cell r="AA935" t="str"/>
          <cell r="AK935" t="str">
            <v>AX-160</v>
          </cell>
          <cell r="AL935" t="str">
            <v>1-0486-安欣&gt;東裕&gt;寄&gt;附發票&gt;附回郵</v>
          </cell>
          <cell r="AM935" t="str">
            <v>1-0486</v>
          </cell>
        </row>
        <row r="936">
          <cell r="B936" t="str">
            <v>1-0931</v>
          </cell>
          <cell r="E936" t="str">
            <v>有限公司</v>
          </cell>
          <cell r="R936" t="b">
            <v>0</v>
          </cell>
          <cell r="S936" t="str"/>
          <cell r="T936" t="b">
            <v>0</v>
          </cell>
          <cell r="W936" t="str"/>
          <cell r="Y936" t="str"/>
          <cell r="AA936" t="str"/>
          <cell r="AK936" t="str">
            <v>296-KN</v>
          </cell>
          <cell r="AL936" t="str">
            <v>1-0486-安欣&gt;東裕&gt;寄&gt;附發票&gt;附回郵</v>
          </cell>
          <cell r="AM936" t="str">
            <v>1-0486</v>
          </cell>
        </row>
        <row r="937">
          <cell r="B937" t="str">
            <v>1-0932</v>
          </cell>
          <cell r="E937" t="str">
            <v>有限公司</v>
          </cell>
          <cell r="R937" t="b">
            <v>0</v>
          </cell>
          <cell r="S937" t="str"/>
          <cell r="T937" t="b">
            <v>0</v>
          </cell>
          <cell r="W937" t="str"/>
          <cell r="Y937" t="str"/>
          <cell r="AA937" t="str"/>
          <cell r="AK937" t="str">
            <v>KR-260</v>
          </cell>
          <cell r="AL937" t="str">
            <v>1-0486-安欣&gt;東裕&gt;寄&gt;附發票&gt;附回郵</v>
          </cell>
          <cell r="AM937" t="str">
            <v>1-0486</v>
          </cell>
        </row>
        <row r="938">
          <cell r="B938" t="str">
            <v>1-0933</v>
          </cell>
          <cell r="E938" t="str">
            <v>有限公司</v>
          </cell>
          <cell r="R938" t="b">
            <v>0</v>
          </cell>
          <cell r="S938" t="str"/>
          <cell r="T938" t="b">
            <v>0</v>
          </cell>
          <cell r="W938" t="str"/>
          <cell r="Y938" t="str"/>
          <cell r="AA938" t="str"/>
          <cell r="AK938" t="str">
            <v>200-3A</v>
          </cell>
          <cell r="AL938" t="str">
            <v>1-0486-安欣&gt;東裕&gt;寄&gt;附發票&gt;附回郵</v>
          </cell>
          <cell r="AM938" t="str">
            <v>1-0486</v>
          </cell>
        </row>
        <row r="939">
          <cell r="B939" t="str">
            <v>1-0934</v>
          </cell>
          <cell r="E939" t="str">
            <v>有限公司</v>
          </cell>
          <cell r="R939" t="b">
            <v>0</v>
          </cell>
          <cell r="S939" t="str"/>
          <cell r="T939" t="b">
            <v>0</v>
          </cell>
          <cell r="W939" t="str"/>
          <cell r="Y939" t="str"/>
          <cell r="AA939" t="str"/>
          <cell r="AK939" t="str">
            <v>235-3A</v>
          </cell>
          <cell r="AL939" t="str">
            <v>1-0486-安欣&gt;東裕&gt;寄&gt;附發票&gt;附回郵</v>
          </cell>
          <cell r="AM939" t="str">
            <v>1-0486</v>
          </cell>
        </row>
        <row r="940">
          <cell r="B940" t="str">
            <v>1-0935</v>
          </cell>
          <cell r="E940" t="str">
            <v>有限公司</v>
          </cell>
          <cell r="R940" t="b">
            <v>0</v>
          </cell>
          <cell r="S940" t="str"/>
          <cell r="T940" t="b">
            <v>0</v>
          </cell>
          <cell r="W940" t="str"/>
          <cell r="Y940" t="str"/>
          <cell r="AA940" t="str"/>
          <cell r="AK940" t="str">
            <v>252-HV</v>
          </cell>
          <cell r="AL940" t="str">
            <v>1-0487-謝兆堂&gt;寄&gt;匯款</v>
          </cell>
          <cell r="AM940" t="str">
            <v>1-0487</v>
          </cell>
        </row>
        <row r="941">
          <cell r="B941" t="str">
            <v>1-0936</v>
          </cell>
          <cell r="E941" t="str">
            <v>有限公司</v>
          </cell>
          <cell r="R941" t="b">
            <v>0</v>
          </cell>
          <cell r="S941" t="str"/>
          <cell r="T941" t="b">
            <v>0</v>
          </cell>
          <cell r="W941" t="str"/>
          <cell r="Y941" t="str"/>
          <cell r="AA941" t="str"/>
          <cell r="AK941" t="str">
            <v>7258-NA</v>
          </cell>
          <cell r="AL941" t="str">
            <v>1-0488-陶晟相祺&gt;寄&gt;兩個月匯款57364.2344.</v>
          </cell>
          <cell r="AM941" t="str">
            <v>1-0488</v>
          </cell>
        </row>
        <row r="942">
          <cell r="B942" t="str">
            <v>1-0937</v>
          </cell>
          <cell r="E942" t="str">
            <v>有限公司</v>
          </cell>
          <cell r="R942" t="b">
            <v>0</v>
          </cell>
          <cell r="S942" t="str"/>
          <cell r="T942" t="b">
            <v>0</v>
          </cell>
          <cell r="W942" t="str"/>
          <cell r="Y942" t="str"/>
          <cell r="AA942" t="str"/>
          <cell r="AK942" t="str">
            <v>939-Q2</v>
          </cell>
          <cell r="AL942" t="str">
            <v>1-0488-陶晟相祺&gt;寄&gt;兩個月匯款57364.2344.</v>
          </cell>
          <cell r="AM942" t="str">
            <v>1-0488</v>
          </cell>
        </row>
        <row r="943">
          <cell r="B943" t="str">
            <v>1-0938</v>
          </cell>
          <cell r="E943" t="str">
            <v>有限公司</v>
          </cell>
          <cell r="R943" t="b">
            <v>0</v>
          </cell>
          <cell r="S943" t="str"/>
          <cell r="T943" t="b">
            <v>0</v>
          </cell>
          <cell r="W943" t="str"/>
          <cell r="Y943" t="str"/>
          <cell r="AA943" t="str"/>
          <cell r="AK943" t="str">
            <v>LN-8417</v>
          </cell>
          <cell r="AL943" t="str">
            <v>1-0488-陶晟相祺&gt;寄&gt;兩個月匯款57364.2344.</v>
          </cell>
          <cell r="AM943" t="str">
            <v>1-0488</v>
          </cell>
        </row>
        <row r="944">
          <cell r="B944" t="str">
            <v>1-0939</v>
          </cell>
          <cell r="E944" t="str">
            <v>有限公司</v>
          </cell>
          <cell r="R944" t="b">
            <v>0</v>
          </cell>
          <cell r="S944" t="str"/>
          <cell r="T944" t="b">
            <v>0</v>
          </cell>
          <cell r="W944" t="str"/>
          <cell r="Y944" t="str"/>
          <cell r="AA944" t="str"/>
          <cell r="AK944" t="str">
            <v>S6-967</v>
          </cell>
          <cell r="AL944" t="str">
            <v>1-0488-陶晟相祺&gt;寄&gt;兩個月匯款57364.2344.</v>
          </cell>
          <cell r="AM944" t="str">
            <v>1-0488</v>
          </cell>
        </row>
        <row r="945">
          <cell r="B945" t="str">
            <v>1-0940</v>
          </cell>
          <cell r="E945" t="str">
            <v>有限公司</v>
          </cell>
          <cell r="R945" t="b">
            <v>0</v>
          </cell>
          <cell r="S945" t="str"/>
          <cell r="T945" t="b">
            <v>0</v>
          </cell>
          <cell r="W945" t="str"/>
          <cell r="Y945" t="str"/>
          <cell r="AA945" t="str"/>
          <cell r="AK945" t="str">
            <v>9523-SA</v>
          </cell>
          <cell r="AL945" t="str">
            <v>1-0488-陶晟相祺&gt;寄&gt;兩個月匯款57364.2344.</v>
          </cell>
          <cell r="AM945" t="str">
            <v>1-0488</v>
          </cell>
        </row>
        <row r="946">
          <cell r="B946" t="str">
            <v>1-0941</v>
          </cell>
          <cell r="E946" t="str">
            <v>有限公司</v>
          </cell>
          <cell r="R946" t="b">
            <v>0</v>
          </cell>
          <cell r="S946" t="str"/>
          <cell r="T946" t="b">
            <v>0</v>
          </cell>
          <cell r="W946" t="str"/>
          <cell r="Y946" t="str"/>
          <cell r="AA946" t="str"/>
          <cell r="AK946" t="str">
            <v>209-TY</v>
          </cell>
          <cell r="AL946" t="str">
            <v>1-0489-晉翌&gt;寄&gt;附發票&gt;附回郵</v>
          </cell>
          <cell r="AM946" t="str">
            <v>1-0489</v>
          </cell>
        </row>
        <row r="947">
          <cell r="B947" t="str">
            <v>1-0942</v>
          </cell>
          <cell r="E947" t="str">
            <v>有限公司</v>
          </cell>
          <cell r="R947" t="b">
            <v>0</v>
          </cell>
          <cell r="S947" t="str"/>
          <cell r="T947" t="b">
            <v>0</v>
          </cell>
          <cell r="W947" t="str"/>
          <cell r="Y947" t="str"/>
          <cell r="AA947" t="str"/>
          <cell r="AK947" t="str">
            <v>2127-KX</v>
          </cell>
          <cell r="AL947" t="str">
            <v>1-0489-晉翌&gt;寄&gt;附發票&gt;附回郵</v>
          </cell>
          <cell r="AM947" t="str">
            <v>1-0489</v>
          </cell>
        </row>
        <row r="948">
          <cell r="B948" t="str">
            <v>1-0943</v>
          </cell>
          <cell r="E948" t="str">
            <v>有限公司</v>
          </cell>
          <cell r="R948" t="b">
            <v>0</v>
          </cell>
          <cell r="S948" t="str"/>
          <cell r="T948" t="b">
            <v>0</v>
          </cell>
          <cell r="W948" t="str"/>
          <cell r="Y948" t="str"/>
          <cell r="AA948" t="str"/>
          <cell r="AK948" t="str">
            <v>8062-M6</v>
          </cell>
          <cell r="AL948" t="str">
            <v>1-0489-晉翌&gt;寄&gt;附發票&gt;附回郵</v>
          </cell>
          <cell r="AM948" t="str">
            <v>1-0489</v>
          </cell>
        </row>
        <row r="949">
          <cell r="B949" t="str">
            <v>1-0944</v>
          </cell>
          <cell r="E949" t="str">
            <v>有限公司</v>
          </cell>
          <cell r="R949" t="b">
            <v>0</v>
          </cell>
          <cell r="S949" t="str"/>
          <cell r="T949" t="b">
            <v>0</v>
          </cell>
          <cell r="W949" t="str"/>
          <cell r="Y949" t="str"/>
          <cell r="AA949" t="str"/>
          <cell r="AK949" t="str">
            <v>AAG-026</v>
          </cell>
          <cell r="AL949" t="str">
            <v>1-0489-晉翌&gt;寄&gt;附發票&gt;附回郵</v>
          </cell>
          <cell r="AM949" t="str">
            <v>1-0489</v>
          </cell>
        </row>
        <row r="950">
          <cell r="B950" t="str">
            <v>1-0945</v>
          </cell>
          <cell r="E950" t="str">
            <v>有限公司</v>
          </cell>
          <cell r="R950" t="b">
            <v>0</v>
          </cell>
          <cell r="S950" t="str"/>
          <cell r="T950" t="b">
            <v>0</v>
          </cell>
          <cell r="W950" t="str"/>
          <cell r="Y950" t="str"/>
          <cell r="AA950" t="str"/>
          <cell r="AK950" t="str">
            <v>8673-HB</v>
          </cell>
          <cell r="AL950" t="str">
            <v>1-0490-炘發&gt;寄&gt;附發票&gt;附回郵</v>
          </cell>
          <cell r="AM950" t="str">
            <v>1-0490</v>
          </cell>
        </row>
        <row r="951">
          <cell r="B951" t="str">
            <v>1-0946</v>
          </cell>
          <cell r="E951" t="str">
            <v>有限公司</v>
          </cell>
          <cell r="R951" t="b">
            <v>0</v>
          </cell>
          <cell r="S951" t="str"/>
          <cell r="T951" t="b">
            <v>0</v>
          </cell>
          <cell r="W951" t="str"/>
          <cell r="Y951" t="str"/>
          <cell r="AA951" t="str"/>
          <cell r="AK951" t="str">
            <v>939-M3</v>
          </cell>
          <cell r="AL951" t="str">
            <v>1-0492-佳能環保&gt;鳳屏&gt;新益慶&gt;寄&gt;附發票&gt;一個月匯款</v>
          </cell>
          <cell r="AM951" t="str">
            <v>1-0492</v>
          </cell>
        </row>
        <row r="952">
          <cell r="B952" t="str">
            <v>1-0947</v>
          </cell>
          <cell r="E952" t="str">
            <v>有限公司</v>
          </cell>
          <cell r="R952" t="b">
            <v>0</v>
          </cell>
          <cell r="S952" t="str"/>
          <cell r="T952" t="b">
            <v>0</v>
          </cell>
          <cell r="W952" t="str"/>
          <cell r="Y952" t="str"/>
          <cell r="AA952" t="str"/>
          <cell r="AK952" t="str">
            <v>AAJ-597</v>
          </cell>
          <cell r="AL952" t="str">
            <v>1-0492-佳能環保&gt;鳳屏&gt;新益慶&gt;寄&gt;附發票&gt;一個月匯款</v>
          </cell>
          <cell r="AM952" t="str">
            <v>1-0492</v>
          </cell>
        </row>
        <row r="953">
          <cell r="B953" t="str">
            <v>1-0948</v>
          </cell>
          <cell r="E953" t="str">
            <v>有限公司</v>
          </cell>
          <cell r="R953" t="b">
            <v>0</v>
          </cell>
          <cell r="S953" t="str"/>
          <cell r="T953" t="b">
            <v>0</v>
          </cell>
          <cell r="W953" t="str"/>
          <cell r="Y953" t="str"/>
          <cell r="AA953" t="str"/>
          <cell r="AK953" t="str">
            <v>8705-TU</v>
          </cell>
          <cell r="AL953" t="str">
            <v>1-0492-佳能環保&gt;鳳屏&gt;新益慶&gt;寄&gt;附發票&gt;一個月匯款</v>
          </cell>
          <cell r="AM953" t="str">
            <v>1-0492</v>
          </cell>
        </row>
        <row r="954">
          <cell r="B954" t="str">
            <v>1-0949</v>
          </cell>
          <cell r="E954" t="str">
            <v>有限公司</v>
          </cell>
          <cell r="R954" t="b">
            <v>0</v>
          </cell>
          <cell r="S954" t="str"/>
          <cell r="T954" t="b">
            <v>0</v>
          </cell>
          <cell r="W954" t="str"/>
          <cell r="Y954" t="str"/>
          <cell r="AA954" t="str"/>
          <cell r="AK954" t="str">
            <v>437-UY</v>
          </cell>
          <cell r="AL954" t="str">
            <v>1-0492-佳能環保&gt;鳳屏&gt;新益慶&gt;寄&gt;附發票&gt;一個月匯款</v>
          </cell>
          <cell r="AM954" t="str">
            <v>1-0492</v>
          </cell>
        </row>
        <row r="955">
          <cell r="B955" t="str">
            <v>1-0950</v>
          </cell>
          <cell r="E955" t="str">
            <v>有限公司</v>
          </cell>
          <cell r="R955" t="b">
            <v>0</v>
          </cell>
          <cell r="S955" t="str"/>
          <cell r="T955" t="b">
            <v>0</v>
          </cell>
          <cell r="W955" t="str"/>
          <cell r="Y955" t="str"/>
          <cell r="AA955" t="str"/>
          <cell r="AK955" t="str">
            <v>758-W8</v>
          </cell>
          <cell r="AL955" t="str">
            <v>1-0492-佳能環保&gt;鳳屏&gt;新益慶&gt;寄&gt;附發票&gt;一個月匯款</v>
          </cell>
          <cell r="AM955" t="str">
            <v>1-0492</v>
          </cell>
        </row>
        <row r="956">
          <cell r="B956" t="str">
            <v>1-0951</v>
          </cell>
          <cell r="E956" t="str">
            <v>有限公司</v>
          </cell>
          <cell r="R956" t="b">
            <v>0</v>
          </cell>
          <cell r="S956" t="str"/>
          <cell r="T956" t="b">
            <v>0</v>
          </cell>
          <cell r="W956" t="str"/>
          <cell r="Y956" t="str"/>
          <cell r="AA956" t="str"/>
          <cell r="AK956" t="str">
            <v>580-Y7</v>
          </cell>
          <cell r="AL956" t="str">
            <v>1-0492-佳能環保&gt;鳳屏&gt;新益慶&gt;寄&gt;附發票&gt;一個月匯款</v>
          </cell>
          <cell r="AM956" t="str">
            <v>1-0492</v>
          </cell>
        </row>
        <row r="957">
          <cell r="B957" t="str">
            <v>1-0952</v>
          </cell>
          <cell r="E957" t="str">
            <v>有限公司</v>
          </cell>
          <cell r="R957" t="b">
            <v>0</v>
          </cell>
          <cell r="S957" t="str"/>
          <cell r="T957" t="b">
            <v>0</v>
          </cell>
          <cell r="W957" t="str"/>
          <cell r="Y957" t="str"/>
          <cell r="AA957" t="str"/>
          <cell r="AK957" t="str">
            <v>262-RN</v>
          </cell>
          <cell r="AL957" t="str">
            <v>1-0496-啟德&gt;寄&gt;附發票&gt;附回郵</v>
          </cell>
          <cell r="AM957" t="str">
            <v>1-0496</v>
          </cell>
        </row>
        <row r="958">
          <cell r="B958" t="str">
            <v>1-0953</v>
          </cell>
          <cell r="E958" t="str">
            <v>有限公司</v>
          </cell>
          <cell r="R958" t="b">
            <v>0</v>
          </cell>
          <cell r="S958" t="str"/>
          <cell r="T958" t="b">
            <v>0</v>
          </cell>
          <cell r="W958" t="str"/>
          <cell r="Y958" t="str"/>
          <cell r="AA958" t="str"/>
          <cell r="AK958" t="str">
            <v>102-RN</v>
          </cell>
          <cell r="AL958" t="str">
            <v>1-0496-啟德&gt;寄&gt;附發票&gt;附回郵</v>
          </cell>
          <cell r="AM958" t="str">
            <v>1-0496</v>
          </cell>
        </row>
        <row r="959">
          <cell r="B959" t="str">
            <v>1-0954</v>
          </cell>
          <cell r="E959" t="str">
            <v>有限公司</v>
          </cell>
          <cell r="R959" t="b">
            <v>0</v>
          </cell>
          <cell r="S959" t="str"/>
          <cell r="T959" t="b">
            <v>0</v>
          </cell>
          <cell r="W959" t="str"/>
          <cell r="Y959" t="str"/>
          <cell r="AA959" t="str"/>
          <cell r="AK959" t="str">
            <v>275-TK</v>
          </cell>
          <cell r="AL959" t="str">
            <v>1-0496-啟德&gt;寄&gt;附發票&gt;附回郵</v>
          </cell>
          <cell r="AM959" t="str">
            <v>1-0496</v>
          </cell>
        </row>
        <row r="960">
          <cell r="B960" t="str">
            <v>1-0955</v>
          </cell>
          <cell r="E960" t="str">
            <v>有限公司</v>
          </cell>
          <cell r="R960" t="b">
            <v>0</v>
          </cell>
          <cell r="S960" t="str"/>
          <cell r="T960" t="b">
            <v>0</v>
          </cell>
          <cell r="W960" t="str"/>
          <cell r="Y960" t="str"/>
          <cell r="AA960" t="str"/>
          <cell r="AK960" t="str">
            <v>633-HD</v>
          </cell>
          <cell r="AL960" t="str">
            <v>1-0496-啟德&gt;寄&gt;附發票&gt;附回郵</v>
          </cell>
          <cell r="AM960" t="str">
            <v>1-0496</v>
          </cell>
        </row>
        <row r="961">
          <cell r="B961" t="str">
            <v>1-0956</v>
          </cell>
          <cell r="E961" t="str">
            <v>有限公司</v>
          </cell>
          <cell r="R961" t="b">
            <v>0</v>
          </cell>
          <cell r="S961" t="str"/>
          <cell r="T961" t="b">
            <v>0</v>
          </cell>
          <cell r="W961" t="str"/>
          <cell r="Y961" t="str"/>
          <cell r="AA961" t="str"/>
          <cell r="AK961" t="str">
            <v>049-HY</v>
          </cell>
          <cell r="AL961" t="str">
            <v>1-0496-啟德&gt;寄&gt;附發票&gt;附回郵</v>
          </cell>
          <cell r="AM961" t="str">
            <v>1-0496</v>
          </cell>
        </row>
        <row r="962">
          <cell r="B962" t="str">
            <v>1-0957</v>
          </cell>
          <cell r="E962" t="str">
            <v>有限公司</v>
          </cell>
          <cell r="R962" t="b">
            <v>0</v>
          </cell>
          <cell r="S962" t="str"/>
          <cell r="T962" t="b">
            <v>0</v>
          </cell>
          <cell r="W962" t="str"/>
          <cell r="Y962" t="str"/>
          <cell r="AA962" t="str"/>
          <cell r="AK962" t="str">
            <v>050-HY</v>
          </cell>
          <cell r="AL962" t="str">
            <v>1-0496-啟德&gt;寄&gt;附發票&gt;附回郵</v>
          </cell>
          <cell r="AM962" t="str">
            <v>1-0496</v>
          </cell>
        </row>
        <row r="963">
          <cell r="B963" t="str">
            <v>1-0958</v>
          </cell>
          <cell r="E963" t="str">
            <v>有限公司</v>
          </cell>
          <cell r="R963" t="b">
            <v>0</v>
          </cell>
          <cell r="S963" t="str"/>
          <cell r="T963" t="b">
            <v>0</v>
          </cell>
          <cell r="W963" t="str"/>
          <cell r="Y963" t="str"/>
          <cell r="AA963" t="str"/>
          <cell r="AK963" t="str">
            <v>352-JD</v>
          </cell>
          <cell r="AL963" t="str">
            <v>1-0496-啟德&gt;寄&gt;附發票&gt;附回郵</v>
          </cell>
          <cell r="AM963" t="str">
            <v>1-0496</v>
          </cell>
        </row>
        <row r="964">
          <cell r="B964" t="str">
            <v>1-0959</v>
          </cell>
          <cell r="E964" t="str">
            <v>有限公司</v>
          </cell>
          <cell r="R964" t="b">
            <v>0</v>
          </cell>
          <cell r="S964" t="str"/>
          <cell r="T964" t="b">
            <v>0</v>
          </cell>
          <cell r="W964" t="str"/>
          <cell r="Y964" t="str"/>
          <cell r="AA964" t="str"/>
          <cell r="AK964" t="str">
            <v>102-JD</v>
          </cell>
          <cell r="AL964" t="str">
            <v>1-0496-啟德&gt;寄&gt;附發票&gt;附回郵</v>
          </cell>
          <cell r="AM964" t="str">
            <v>1-0496</v>
          </cell>
        </row>
        <row r="965">
          <cell r="B965" t="str">
            <v>1-0960</v>
          </cell>
          <cell r="E965" t="str">
            <v>有限公司</v>
          </cell>
          <cell r="R965" t="b">
            <v>0</v>
          </cell>
          <cell r="S965" t="str"/>
          <cell r="T965" t="b">
            <v>0</v>
          </cell>
          <cell r="W965" t="str"/>
          <cell r="Y965" t="str"/>
          <cell r="AA965" t="str"/>
          <cell r="AK965" t="str">
            <v>9391-88</v>
          </cell>
          <cell r="AL965" t="str">
            <v>1-0499-弘隆&gt;寄&gt;附回郵</v>
          </cell>
          <cell r="AM965" t="str">
            <v>1-0499</v>
          </cell>
        </row>
        <row r="966">
          <cell r="B966" t="str">
            <v>1-0961</v>
          </cell>
          <cell r="E966" t="str">
            <v>有限公司</v>
          </cell>
          <cell r="R966" t="b">
            <v>0</v>
          </cell>
          <cell r="S966" t="str"/>
          <cell r="T966" t="b">
            <v>0</v>
          </cell>
          <cell r="W966" t="str"/>
          <cell r="Y966" t="str"/>
          <cell r="AA966" t="str"/>
          <cell r="AK966" t="str">
            <v>ABR-2989</v>
          </cell>
          <cell r="AL966" t="str">
            <v>1-0502-光超建材&gt;寄&gt;附發票&gt;附回郵</v>
          </cell>
          <cell r="AM966" t="str">
            <v>1-0502</v>
          </cell>
        </row>
        <row r="967">
          <cell r="B967" t="str">
            <v>1-0962</v>
          </cell>
          <cell r="E967" t="str">
            <v>有限公司</v>
          </cell>
          <cell r="R967" t="b">
            <v>0</v>
          </cell>
          <cell r="S967" t="str"/>
          <cell r="T967" t="b">
            <v>0</v>
          </cell>
          <cell r="W967" t="str"/>
          <cell r="Y967" t="str"/>
          <cell r="AA967" t="str"/>
          <cell r="AK967" t="str">
            <v>2988-HB</v>
          </cell>
          <cell r="AL967" t="str">
            <v>1-0502-光超建材&gt;寄&gt;附發票&gt;附回郵</v>
          </cell>
          <cell r="AM967" t="str">
            <v>1-0502</v>
          </cell>
        </row>
        <row r="968">
          <cell r="B968" t="str">
            <v>1-0963</v>
          </cell>
          <cell r="E968" t="str">
            <v>有限公司</v>
          </cell>
          <cell r="R968" t="b">
            <v>0</v>
          </cell>
          <cell r="S968" t="str"/>
          <cell r="T968" t="b">
            <v>0</v>
          </cell>
          <cell r="W968" t="str"/>
          <cell r="Y968" t="str"/>
          <cell r="AA968" t="str"/>
          <cell r="AK968" t="str">
            <v>9489-U2</v>
          </cell>
          <cell r="AL968" t="str">
            <v>1-0502-光超建材&gt;寄&gt;附發票&gt;附回郵</v>
          </cell>
          <cell r="AM968" t="str">
            <v>1-0502</v>
          </cell>
        </row>
        <row r="969">
          <cell r="B969" t="str">
            <v>1-0964</v>
          </cell>
          <cell r="E969" t="str">
            <v>有限公司</v>
          </cell>
          <cell r="R969" t="b">
            <v>0</v>
          </cell>
          <cell r="S969" t="str"/>
          <cell r="T969" t="b">
            <v>0</v>
          </cell>
          <cell r="W969" t="str"/>
          <cell r="Y969" t="str"/>
          <cell r="AA969" t="str"/>
          <cell r="AK969" t="str">
            <v>345-G7</v>
          </cell>
          <cell r="AL969" t="str">
            <v>1-0503-阮錦堂&gt;嘉盛&gt;寄&gt;附發票&gt;附回郵</v>
          </cell>
          <cell r="AM969" t="str">
            <v>1-0503</v>
          </cell>
        </row>
        <row r="970">
          <cell r="B970" t="str">
            <v>1-0965</v>
          </cell>
          <cell r="E970" t="str">
            <v>有限公司</v>
          </cell>
          <cell r="R970" t="b">
            <v>0</v>
          </cell>
          <cell r="S970" t="str"/>
          <cell r="T970" t="b">
            <v>0</v>
          </cell>
          <cell r="W970" t="str"/>
          <cell r="Y970" t="str"/>
          <cell r="AA970" t="str"/>
          <cell r="AK970" t="str">
            <v>888-ZE</v>
          </cell>
          <cell r="AL970" t="str">
            <v>1-0503-阮錦堂&gt;嘉盛&gt;寄&gt;附發票&gt;附回郵</v>
          </cell>
          <cell r="AM970" t="str">
            <v>1-0503</v>
          </cell>
        </row>
        <row r="971">
          <cell r="B971" t="str">
            <v>1-0966</v>
          </cell>
          <cell r="E971" t="str">
            <v>有限公司</v>
          </cell>
          <cell r="R971" t="b">
            <v>0</v>
          </cell>
          <cell r="S971" t="str"/>
          <cell r="T971" t="b">
            <v>0</v>
          </cell>
          <cell r="W971" t="str"/>
          <cell r="Y971" t="str"/>
          <cell r="AA971" t="str"/>
          <cell r="AK971" t="str">
            <v>846-JB</v>
          </cell>
          <cell r="AL971" t="str">
            <v>1-0504-安泰起重&gt;寄&gt;附發票&gt;附回郵</v>
          </cell>
          <cell r="AM971" t="str">
            <v>1-0504</v>
          </cell>
        </row>
        <row r="972">
          <cell r="B972" t="str">
            <v>1-0967</v>
          </cell>
          <cell r="E972" t="str">
            <v>有限公司</v>
          </cell>
          <cell r="R972" t="b">
            <v>0</v>
          </cell>
          <cell r="S972" t="str"/>
          <cell r="T972" t="b">
            <v>0</v>
          </cell>
          <cell r="W972" t="str"/>
          <cell r="Y972" t="str"/>
          <cell r="AA972" t="str"/>
          <cell r="AK972" t="str">
            <v>LAG-377</v>
          </cell>
          <cell r="AL972" t="str">
            <v>1-0504-安泰起重&gt;寄&gt;附發票&gt;附回郵</v>
          </cell>
          <cell r="AM972" t="str">
            <v>1-0504</v>
          </cell>
        </row>
        <row r="973">
          <cell r="B973" t="str">
            <v>1-0968</v>
          </cell>
          <cell r="E973" t="str">
            <v>有限公司</v>
          </cell>
          <cell r="R973" t="b">
            <v>0</v>
          </cell>
          <cell r="S973" t="str"/>
          <cell r="T973" t="b">
            <v>0</v>
          </cell>
          <cell r="W973" t="str"/>
          <cell r="Y973" t="str"/>
          <cell r="AA973" t="str"/>
          <cell r="AK973" t="str">
            <v>5931-MQ</v>
          </cell>
          <cell r="AL973" t="str">
            <v>1-0504-安泰起重&gt;寄&gt;附發票&gt;附回郵</v>
          </cell>
          <cell r="AM973" t="str">
            <v>1-0504</v>
          </cell>
        </row>
        <row r="974">
          <cell r="B974" t="str">
            <v>1-0969</v>
          </cell>
          <cell r="E974" t="str">
            <v>有限公司</v>
          </cell>
          <cell r="R974" t="b">
            <v>0</v>
          </cell>
          <cell r="S974" t="str"/>
          <cell r="T974" t="b">
            <v>0</v>
          </cell>
          <cell r="W974" t="str"/>
          <cell r="Y974" t="str"/>
          <cell r="AA974" t="str"/>
          <cell r="AK974" t="str">
            <v>590-ZU</v>
          </cell>
          <cell r="AL974" t="str">
            <v>1-0504-安泰起重&gt;寄&gt;附發票&gt;附回郵</v>
          </cell>
          <cell r="AM974" t="str">
            <v>1-0504</v>
          </cell>
        </row>
        <row r="975">
          <cell r="B975" t="str">
            <v>1-0970</v>
          </cell>
          <cell r="E975" t="str">
            <v>有限公司</v>
          </cell>
          <cell r="R975" t="b">
            <v>0</v>
          </cell>
          <cell r="S975" t="str"/>
          <cell r="T975" t="b">
            <v>0</v>
          </cell>
          <cell r="W975" t="str"/>
          <cell r="Y975" t="str"/>
          <cell r="AA975" t="str"/>
          <cell r="AK975" t="str">
            <v>1931-MQ</v>
          </cell>
          <cell r="AL975" t="str">
            <v>1-0504-安泰起重&gt;寄&gt;附發票&gt;附回郵</v>
          </cell>
          <cell r="AM975" t="str">
            <v>1-0504</v>
          </cell>
        </row>
        <row r="976">
          <cell r="B976" t="str">
            <v>1-0971</v>
          </cell>
          <cell r="E976" t="str">
            <v>有限公司</v>
          </cell>
          <cell r="R976" t="b">
            <v>0</v>
          </cell>
          <cell r="S976" t="str"/>
          <cell r="T976" t="b">
            <v>0</v>
          </cell>
          <cell r="W976" t="str"/>
          <cell r="Y976" t="str"/>
          <cell r="AA976" t="str"/>
          <cell r="AK976" t="str">
            <v>005-W5</v>
          </cell>
          <cell r="AL976" t="str">
            <v>1-0504-安泰起重&gt;寄&gt;附發票&gt;附回郵</v>
          </cell>
          <cell r="AM976" t="str">
            <v>1-0504</v>
          </cell>
        </row>
        <row r="977">
          <cell r="B977" t="str">
            <v>1-0972</v>
          </cell>
          <cell r="E977" t="str">
            <v>有限公司</v>
          </cell>
          <cell r="R977" t="b">
            <v>0</v>
          </cell>
          <cell r="S977" t="str"/>
          <cell r="T977" t="b">
            <v>0</v>
          </cell>
          <cell r="W977" t="str"/>
          <cell r="Y977" t="str"/>
          <cell r="AA977" t="str"/>
          <cell r="AK977" t="str">
            <v>695-Q7</v>
          </cell>
          <cell r="AL977" t="str">
            <v>1-0504-安泰起重&gt;寄&gt;附發票&gt;附回郵</v>
          </cell>
          <cell r="AM977" t="str">
            <v>1-0504</v>
          </cell>
        </row>
        <row r="978">
          <cell r="B978" t="str">
            <v>1-0973</v>
          </cell>
          <cell r="E978" t="str">
            <v>有限公司</v>
          </cell>
          <cell r="R978" t="b">
            <v>0</v>
          </cell>
          <cell r="S978" t="str"/>
          <cell r="T978" t="b">
            <v>0</v>
          </cell>
          <cell r="W978" t="str"/>
          <cell r="Y978" t="str"/>
          <cell r="AA978" t="str"/>
          <cell r="AK978" t="str">
            <v>8963-DK</v>
          </cell>
          <cell r="AL978" t="str">
            <v>1-0504-安泰起重&gt;寄&gt;附發票&gt;附回郵</v>
          </cell>
          <cell r="AM978" t="str">
            <v>1-0504</v>
          </cell>
        </row>
        <row r="979">
          <cell r="B979" t="str">
            <v>1-0974</v>
          </cell>
          <cell r="E979" t="str">
            <v>有限公司</v>
          </cell>
          <cell r="R979" t="b">
            <v>0</v>
          </cell>
          <cell r="S979" t="str"/>
          <cell r="T979" t="b">
            <v>0</v>
          </cell>
          <cell r="W979" t="str"/>
          <cell r="Y979" t="str"/>
          <cell r="AA979" t="str"/>
          <cell r="AK979" t="str">
            <v>741-ZY</v>
          </cell>
          <cell r="AL979" t="str">
            <v>1-0504-安泰起重&gt;寄&gt;附發票&gt;附回郵</v>
          </cell>
          <cell r="AM979" t="str">
            <v>1-0504</v>
          </cell>
        </row>
        <row r="980">
          <cell r="B980" t="str">
            <v>1-0975</v>
          </cell>
          <cell r="E980" t="str">
            <v>有限公司</v>
          </cell>
          <cell r="R980" t="b">
            <v>0</v>
          </cell>
          <cell r="S980" t="str"/>
          <cell r="T980" t="b">
            <v>0</v>
          </cell>
          <cell r="W980" t="str"/>
          <cell r="Y980" t="str"/>
          <cell r="AA980" t="str"/>
          <cell r="AK980" t="str">
            <v>828-ZD</v>
          </cell>
          <cell r="AL980" t="str">
            <v>1-0504-安泰起重&gt;寄&gt;附發票&gt;附回郵</v>
          </cell>
          <cell r="AM980" t="str">
            <v>1-0504</v>
          </cell>
        </row>
        <row r="981">
          <cell r="B981" t="str">
            <v>1-0976</v>
          </cell>
          <cell r="E981" t="str">
            <v>有限公司</v>
          </cell>
          <cell r="R981" t="b">
            <v>0</v>
          </cell>
          <cell r="S981" t="str"/>
          <cell r="T981" t="b">
            <v>0</v>
          </cell>
          <cell r="W981" t="str"/>
          <cell r="Y981" t="str"/>
          <cell r="AA981" t="str"/>
          <cell r="AK981" t="str">
            <v>HJ-19</v>
          </cell>
          <cell r="AL981" t="str">
            <v>1-0504-安泰起重&gt;寄&gt;附發票&gt;附回郵</v>
          </cell>
          <cell r="AM981" t="str">
            <v>1-0504</v>
          </cell>
        </row>
        <row r="982">
          <cell r="B982" t="str">
            <v>1-0977</v>
          </cell>
          <cell r="E982" t="str">
            <v>有限公司</v>
          </cell>
          <cell r="R982" t="b">
            <v>0</v>
          </cell>
          <cell r="S982" t="str"/>
          <cell r="T982" t="b">
            <v>0</v>
          </cell>
          <cell r="W982" t="str"/>
          <cell r="Y982" t="str"/>
          <cell r="AA982" t="str"/>
          <cell r="AK982" t="str">
            <v>CK-4360</v>
          </cell>
          <cell r="AL982" t="str">
            <v>1-0504-安泰起重&gt;寄&gt;附發票&gt;附回郵</v>
          </cell>
          <cell r="AM982" t="str">
            <v>1-0504</v>
          </cell>
        </row>
        <row r="983">
          <cell r="B983" t="str">
            <v>1-0978</v>
          </cell>
          <cell r="E983" t="str">
            <v>有限公司</v>
          </cell>
          <cell r="R983" t="b">
            <v>0</v>
          </cell>
          <cell r="S983" t="str"/>
          <cell r="T983" t="b">
            <v>0</v>
          </cell>
          <cell r="W983" t="str"/>
          <cell r="Y983" t="str"/>
          <cell r="AA983" t="str"/>
          <cell r="AK983" t="str">
            <v>NM-93</v>
          </cell>
          <cell r="AL983" t="str">
            <v>1-0504-安泰起重&gt;寄&gt;附發票&gt;附回郵</v>
          </cell>
          <cell r="AM983" t="str">
            <v>1-0504</v>
          </cell>
        </row>
        <row r="984">
          <cell r="B984" t="str">
            <v>1-0979</v>
          </cell>
          <cell r="E984" t="str">
            <v>有限公司</v>
          </cell>
          <cell r="R984" t="b">
            <v>0</v>
          </cell>
          <cell r="S984" t="str"/>
          <cell r="T984" t="b">
            <v>0</v>
          </cell>
          <cell r="W984" t="str"/>
          <cell r="Y984" t="str"/>
          <cell r="AA984" t="str"/>
          <cell r="AK984" t="str">
            <v>38-UA</v>
          </cell>
          <cell r="AL984" t="str">
            <v>1-0504-安泰起重&gt;寄&gt;附發票&gt;附回郵</v>
          </cell>
          <cell r="AM984" t="str">
            <v>1-0504</v>
          </cell>
        </row>
        <row r="985">
          <cell r="B985" t="str">
            <v>1-0980</v>
          </cell>
          <cell r="E985" t="str">
            <v>有限公司</v>
          </cell>
          <cell r="R985" t="b">
            <v>0</v>
          </cell>
          <cell r="S985" t="str"/>
          <cell r="T985" t="b">
            <v>0</v>
          </cell>
          <cell r="W985" t="str"/>
          <cell r="Y985" t="str"/>
          <cell r="AA985" t="str"/>
          <cell r="AK985" t="str">
            <v>49-DH</v>
          </cell>
          <cell r="AL985" t="str">
            <v>1-0504-安泰起重&gt;寄&gt;附發票&gt;附回郵</v>
          </cell>
          <cell r="AM985" t="str">
            <v>1-0504</v>
          </cell>
        </row>
        <row r="986">
          <cell r="B986" t="str">
            <v>1-0981</v>
          </cell>
          <cell r="E986" t="str">
            <v>有限公司</v>
          </cell>
          <cell r="R986" t="b">
            <v>0</v>
          </cell>
          <cell r="S986" t="str"/>
          <cell r="T986" t="b">
            <v>0</v>
          </cell>
          <cell r="W986" t="str"/>
          <cell r="Y986" t="str"/>
          <cell r="AA986" t="str"/>
          <cell r="AK986" t="str">
            <v>KM-61</v>
          </cell>
          <cell r="AL986" t="str">
            <v>1-0504-安泰起重&gt;寄&gt;附發票&gt;附回郵</v>
          </cell>
          <cell r="AM986" t="str">
            <v>1-0504</v>
          </cell>
        </row>
        <row r="987">
          <cell r="B987" t="str">
            <v>1-0982</v>
          </cell>
          <cell r="E987" t="str">
            <v>有限公司</v>
          </cell>
          <cell r="R987" t="b">
            <v>0</v>
          </cell>
          <cell r="S987" t="str"/>
          <cell r="T987" t="b">
            <v>0</v>
          </cell>
          <cell r="W987" t="str"/>
          <cell r="Y987" t="str"/>
          <cell r="AA987" t="str"/>
          <cell r="AK987" t="str">
            <v>NJ-19</v>
          </cell>
          <cell r="AL987" t="str">
            <v>1-0504-安泰起重&gt;寄&gt;附發票&gt;附回郵</v>
          </cell>
          <cell r="AM987" t="str">
            <v>1-0504</v>
          </cell>
        </row>
        <row r="988">
          <cell r="B988" t="str">
            <v>1-0983</v>
          </cell>
          <cell r="E988" t="str">
            <v>有限公司</v>
          </cell>
          <cell r="R988" t="b">
            <v>0</v>
          </cell>
          <cell r="S988" t="str"/>
          <cell r="T988" t="b">
            <v>0</v>
          </cell>
          <cell r="W988" t="str"/>
          <cell r="Y988" t="str"/>
          <cell r="AA988" t="str"/>
          <cell r="AK988" t="str">
            <v>KM-55</v>
          </cell>
          <cell r="AL988" t="str">
            <v>1-0504-安泰起重&gt;寄&gt;附發票&gt;附回郵</v>
          </cell>
          <cell r="AM988" t="str">
            <v>1-0504</v>
          </cell>
        </row>
        <row r="989">
          <cell r="B989" t="str">
            <v>1-0984</v>
          </cell>
          <cell r="E989" t="str">
            <v>有限公司</v>
          </cell>
          <cell r="R989" t="b">
            <v>0</v>
          </cell>
          <cell r="S989" t="str"/>
          <cell r="T989" t="b">
            <v>0</v>
          </cell>
          <cell r="W989" t="str"/>
          <cell r="Y989" t="str"/>
          <cell r="AA989" t="str"/>
          <cell r="AK989" t="str">
            <v>KM-52</v>
          </cell>
          <cell r="AL989" t="str">
            <v>1-0504-安泰起重&gt;寄&gt;附發票&gt;附回郵</v>
          </cell>
          <cell r="AM989" t="str">
            <v>1-0504</v>
          </cell>
        </row>
        <row r="990">
          <cell r="B990" t="str">
            <v>1-0985</v>
          </cell>
          <cell r="E990" t="str">
            <v>有限公司</v>
          </cell>
          <cell r="R990" t="b">
            <v>0</v>
          </cell>
          <cell r="S990" t="str"/>
          <cell r="T990" t="b">
            <v>0</v>
          </cell>
          <cell r="W990" t="str"/>
          <cell r="Y990" t="str"/>
          <cell r="AA990" t="str"/>
          <cell r="AK990" t="str">
            <v>03-Q2</v>
          </cell>
          <cell r="AL990" t="str">
            <v>1-0504-安泰起重&gt;寄&gt;附發票&gt;附回郵</v>
          </cell>
          <cell r="AM990" t="str">
            <v>1-0504</v>
          </cell>
        </row>
        <row r="991">
          <cell r="B991" t="str">
            <v>1-0986</v>
          </cell>
          <cell r="E991" t="str">
            <v>有限公司</v>
          </cell>
          <cell r="R991" t="b">
            <v>0</v>
          </cell>
          <cell r="S991" t="str"/>
          <cell r="T991" t="b">
            <v>0</v>
          </cell>
          <cell r="W991" t="str"/>
          <cell r="Y991" t="str"/>
          <cell r="AA991" t="str"/>
          <cell r="AK991" t="str">
            <v>390-ZU</v>
          </cell>
          <cell r="AL991" t="str">
            <v>1-0504-安泰起重&gt;寄&gt;附發票&gt;附回郵</v>
          </cell>
          <cell r="AM991" t="str">
            <v>1-0504</v>
          </cell>
        </row>
        <row r="992">
          <cell r="B992" t="str">
            <v>1-0987</v>
          </cell>
          <cell r="E992" t="str">
            <v>有限公司</v>
          </cell>
          <cell r="R992" t="b">
            <v>0</v>
          </cell>
          <cell r="S992" t="str"/>
          <cell r="T992" t="b">
            <v>0</v>
          </cell>
          <cell r="W992" t="str"/>
          <cell r="Y992" t="str"/>
          <cell r="AA992" t="str"/>
          <cell r="AK992" t="str">
            <v>BQ-33</v>
          </cell>
          <cell r="AL992" t="str">
            <v>1-0504-安泰起重&gt;寄&gt;附發票&gt;附回郵</v>
          </cell>
          <cell r="AM992" t="str">
            <v>1-0504</v>
          </cell>
        </row>
        <row r="993">
          <cell r="B993" t="str">
            <v>1-0988</v>
          </cell>
          <cell r="E993" t="str">
            <v>有限公司</v>
          </cell>
          <cell r="R993" t="b">
            <v>0</v>
          </cell>
          <cell r="S993" t="str"/>
          <cell r="T993" t="b">
            <v>0</v>
          </cell>
          <cell r="W993" t="str"/>
          <cell r="Y993" t="str"/>
          <cell r="AA993" t="str"/>
          <cell r="AK993" t="str">
            <v>ATF60-4</v>
          </cell>
          <cell r="AL993" t="str">
            <v>1-0504-安泰起重&gt;寄&gt;附發票&gt;附回郵</v>
          </cell>
          <cell r="AM993" t="str">
            <v>1-0504</v>
          </cell>
        </row>
        <row r="994">
          <cell r="B994" t="str">
            <v>1-0989</v>
          </cell>
          <cell r="E994" t="str">
            <v>有限公司</v>
          </cell>
          <cell r="R994" t="b">
            <v>0</v>
          </cell>
          <cell r="S994" t="str"/>
          <cell r="T994" t="b">
            <v>0</v>
          </cell>
          <cell r="W994" t="str"/>
          <cell r="Y994" t="str"/>
          <cell r="AA994" t="str"/>
          <cell r="AK994" t="str">
            <v>RAH-8257</v>
          </cell>
          <cell r="AL994" t="str">
            <v>1-0610-恆陽&gt;聯鋮&gt;寄&gt;附發票&gt;附回郵</v>
          </cell>
          <cell r="AM994" t="str">
            <v>1-0610</v>
          </cell>
        </row>
        <row r="995">
          <cell r="B995" t="str">
            <v>1-0990</v>
          </cell>
          <cell r="E995" t="str">
            <v>有限公司</v>
          </cell>
          <cell r="R995" t="b">
            <v>0</v>
          </cell>
          <cell r="S995" t="str"/>
          <cell r="T995" t="b">
            <v>0</v>
          </cell>
          <cell r="W995" t="str"/>
          <cell r="Y995" t="str"/>
          <cell r="AA995" t="str"/>
          <cell r="AK995" t="str">
            <v>302-HC</v>
          </cell>
          <cell r="AL995" t="str">
            <v>1-0882-峻泰汽車&gt;峻榮交通&gt;禎翊汽車&gt;寄&gt;附回郵</v>
          </cell>
          <cell r="AM995" t="str">
            <v>1-0882</v>
          </cell>
        </row>
        <row r="996">
          <cell r="B996" t="str">
            <v>1-0991</v>
          </cell>
          <cell r="E996" t="str">
            <v>有限公司</v>
          </cell>
          <cell r="R996" t="b">
            <v>0</v>
          </cell>
          <cell r="S996" t="str"/>
          <cell r="T996" t="b">
            <v>0</v>
          </cell>
          <cell r="W996" t="str"/>
          <cell r="Y996" t="str"/>
          <cell r="AA996" t="str"/>
          <cell r="AK996" t="str">
            <v>4156-U2</v>
          </cell>
          <cell r="AL996" t="str">
            <v>1-0505-吉和&gt;三義消防隊&gt;寄&gt;附發票&gt;匯款</v>
          </cell>
          <cell r="AM996" t="str">
            <v>1-0505</v>
          </cell>
        </row>
        <row r="997">
          <cell r="B997" t="str">
            <v>1-0992</v>
          </cell>
          <cell r="E997" t="str">
            <v>有限公司</v>
          </cell>
          <cell r="R997" t="b">
            <v>0</v>
          </cell>
          <cell r="S997" t="str"/>
          <cell r="T997" t="b">
            <v>0</v>
          </cell>
          <cell r="W997" t="str"/>
          <cell r="Y997" t="str"/>
          <cell r="AA997" t="str"/>
          <cell r="AK997" t="str">
            <v>8521-NA</v>
          </cell>
          <cell r="AL997" t="str">
            <v>1-0505-吉和&gt;三義消防隊&gt;寄&gt;附發票&gt;匯款</v>
          </cell>
          <cell r="AM997" t="str">
            <v>1-0505</v>
          </cell>
        </row>
        <row r="998">
          <cell r="B998" t="str">
            <v>1-0993</v>
          </cell>
          <cell r="E998" t="str">
            <v>有限公司</v>
          </cell>
          <cell r="R998" t="b">
            <v>0</v>
          </cell>
          <cell r="S998" t="str"/>
          <cell r="T998" t="b">
            <v>0</v>
          </cell>
          <cell r="W998" t="str"/>
          <cell r="Y998" t="str"/>
          <cell r="AA998" t="str"/>
          <cell r="AK998" t="str">
            <v>01703-TV</v>
          </cell>
          <cell r="AL998" t="str">
            <v>1-0505-吉和&gt;三義消防隊&gt;寄&gt;附發票&gt;匯款</v>
          </cell>
          <cell r="AM998" t="str">
            <v>1-0505</v>
          </cell>
        </row>
        <row r="999">
          <cell r="B999" t="str">
            <v>1-0994</v>
          </cell>
          <cell r="E999" t="str">
            <v>有限公司</v>
          </cell>
          <cell r="R999" t="b">
            <v>0</v>
          </cell>
          <cell r="S999" t="str"/>
          <cell r="T999" t="b">
            <v>0</v>
          </cell>
          <cell r="W999" t="str"/>
          <cell r="Y999" t="str"/>
          <cell r="AA999" t="str"/>
          <cell r="AK999" t="str">
            <v>4155-U2</v>
          </cell>
          <cell r="AL999" t="str">
            <v>1-0505-吉和&gt;三義消防隊&gt;寄&gt;附發票&gt;匯款</v>
          </cell>
          <cell r="AM999" t="str">
            <v>1-0505</v>
          </cell>
        </row>
        <row r="1000">
          <cell r="B1000" t="str">
            <v>1-0995</v>
          </cell>
          <cell r="E1000" t="str">
            <v>有限公司</v>
          </cell>
          <cell r="R1000" t="b">
            <v>0</v>
          </cell>
          <cell r="S1000" t="str"/>
          <cell r="T1000" t="b">
            <v>0</v>
          </cell>
          <cell r="W1000" t="str"/>
          <cell r="Y1000" t="str"/>
          <cell r="AA1000" t="str"/>
          <cell r="AK1000" t="str">
            <v>8522-NA</v>
          </cell>
          <cell r="AL1000" t="str">
            <v>1-0505-吉和&gt;三義消防隊&gt;寄&gt;附發票&gt;匯款</v>
          </cell>
          <cell r="AM1000" t="str">
            <v>1-0505</v>
          </cell>
        </row>
        <row r="1001">
          <cell r="B1001" t="str">
            <v>1-0996</v>
          </cell>
          <cell r="E1001" t="str">
            <v>有限公司</v>
          </cell>
          <cell r="R1001" t="b">
            <v>0</v>
          </cell>
          <cell r="S1001" t="str"/>
          <cell r="T1001" t="b">
            <v>0</v>
          </cell>
          <cell r="W1001" t="str"/>
          <cell r="Y1001" t="str"/>
          <cell r="AA1001" t="str"/>
          <cell r="AK1001" t="str">
            <v>0175-TV</v>
          </cell>
          <cell r="AL1001" t="str">
            <v>1-0505-吉和&gt;三義消防隊&gt;寄&gt;附發票&gt;匯款</v>
          </cell>
          <cell r="AM1001" t="str">
            <v>1-0505</v>
          </cell>
        </row>
        <row r="1002">
          <cell r="B1002" t="str">
            <v>1-0997</v>
          </cell>
          <cell r="E1002" t="str">
            <v>有限公司</v>
          </cell>
          <cell r="R1002" t="b">
            <v>0</v>
          </cell>
          <cell r="S1002" t="str"/>
          <cell r="T1002" t="b">
            <v>0</v>
          </cell>
          <cell r="W1002" t="str"/>
          <cell r="Y1002" t="str"/>
          <cell r="AA1002" t="str"/>
          <cell r="AK1002" t="str">
            <v>AFP-7521</v>
          </cell>
          <cell r="AL1002" t="str">
            <v>1-0505-吉和&gt;三義消防隊&gt;寄&gt;附發票&gt;匯款</v>
          </cell>
          <cell r="AM1002" t="str">
            <v>1-0505</v>
          </cell>
        </row>
        <row r="1003">
          <cell r="B1003" t="str">
            <v>1-0998</v>
          </cell>
          <cell r="E1003" t="str">
            <v>有限公司</v>
          </cell>
          <cell r="R1003" t="b">
            <v>0</v>
          </cell>
          <cell r="S1003" t="str"/>
          <cell r="T1003" t="b">
            <v>0</v>
          </cell>
          <cell r="W1003" t="str"/>
          <cell r="Y1003" t="str"/>
          <cell r="AA1003" t="str"/>
          <cell r="AK1003" t="str">
            <v>321-PP</v>
          </cell>
          <cell r="AL1003" t="str">
            <v>1-0507-盛泰&gt;寄&gt;附發票&gt;附回郵</v>
          </cell>
          <cell r="AM1003" t="str">
            <v>1-0507</v>
          </cell>
        </row>
        <row r="1004">
          <cell r="B1004" t="str">
            <v>1-0999</v>
          </cell>
          <cell r="E1004" t="str">
            <v>有限公司</v>
          </cell>
          <cell r="R1004" t="b">
            <v>0</v>
          </cell>
          <cell r="S1004" t="str"/>
          <cell r="T1004" t="b">
            <v>0</v>
          </cell>
          <cell r="W1004" t="str"/>
          <cell r="Y1004" t="str"/>
          <cell r="AA1004" t="str"/>
          <cell r="AK1004" t="str">
            <v>1505-KY</v>
          </cell>
          <cell r="AL1004" t="str">
            <v>1-0509-陳龍泉&gt;苗豐交通&gt;寄&gt;電聯</v>
          </cell>
          <cell r="AM1004" t="str">
            <v>1-0509</v>
          </cell>
        </row>
        <row r="1005">
          <cell r="B1005" t="str">
            <v>1-1000</v>
          </cell>
          <cell r="E1005" t="str">
            <v>有限公司</v>
          </cell>
          <cell r="R1005" t="b">
            <v>0</v>
          </cell>
          <cell r="S1005" t="str"/>
          <cell r="T1005" t="b">
            <v>0</v>
          </cell>
          <cell r="W1005" t="str"/>
          <cell r="Y1005" t="str"/>
          <cell r="AA1005" t="str"/>
          <cell r="AK1005" t="str">
            <v>4510-KX</v>
          </cell>
          <cell r="AL1005" t="str">
            <v>1-0509-陳龍泉&gt;苗豐交通&gt;寄&gt;電聯</v>
          </cell>
          <cell r="AM1005" t="str">
            <v>1-0509</v>
          </cell>
        </row>
        <row r="1006">
          <cell r="B1006" t="str">
            <v>1-1001</v>
          </cell>
          <cell r="E1006" t="str">
            <v>有限公司</v>
          </cell>
          <cell r="R1006" t="b">
            <v>0</v>
          </cell>
          <cell r="S1006" t="str"/>
          <cell r="T1006" t="b">
            <v>0</v>
          </cell>
          <cell r="W1006" t="str"/>
          <cell r="Y1006" t="str"/>
          <cell r="AA1006" t="str"/>
          <cell r="AK1006" t="str">
            <v>852-HY</v>
          </cell>
          <cell r="AL1006" t="str">
            <v>1-0510-賴致全&gt;寄&gt;自結</v>
          </cell>
          <cell r="AM1006" t="str">
            <v>1-0510</v>
          </cell>
        </row>
        <row r="1007">
          <cell r="B1007" t="str">
            <v>1-1002</v>
          </cell>
          <cell r="E1007" t="str">
            <v>有限公司</v>
          </cell>
          <cell r="R1007" t="b">
            <v>0</v>
          </cell>
          <cell r="S1007" t="str"/>
          <cell r="T1007" t="b">
            <v>0</v>
          </cell>
          <cell r="W1007" t="str"/>
          <cell r="Y1007" t="str"/>
          <cell r="AA1007" t="str"/>
          <cell r="AK1007" t="str">
            <v>5403-FV</v>
          </cell>
          <cell r="AL1007" t="str">
            <v>1-0513-百飛.最安逸.天朝&gt;寄&gt;附發票&gt;自結</v>
          </cell>
          <cell r="AM1007" t="str">
            <v>1-0513</v>
          </cell>
        </row>
        <row r="1008">
          <cell r="B1008" t="str">
            <v>1-1003</v>
          </cell>
          <cell r="E1008" t="str">
            <v>有限公司</v>
          </cell>
          <cell r="R1008" t="b">
            <v>0</v>
          </cell>
          <cell r="S1008" t="str"/>
          <cell r="T1008" t="b">
            <v>0</v>
          </cell>
          <cell r="W1008" t="str"/>
          <cell r="Y1008" t="str"/>
          <cell r="AA1008" t="str"/>
          <cell r="AK1008" t="str">
            <v>1669-YG</v>
          </cell>
          <cell r="AL1008" t="str">
            <v>1-0513-百飛.最安逸.天朝&gt;寄&gt;附發票&gt;自結</v>
          </cell>
          <cell r="AM1008" t="str">
            <v>1-0513</v>
          </cell>
        </row>
        <row r="1009">
          <cell r="B1009" t="str">
            <v>1-1004</v>
          </cell>
          <cell r="E1009" t="str">
            <v>有限公司</v>
          </cell>
          <cell r="R1009" t="b">
            <v>0</v>
          </cell>
          <cell r="S1009" t="str"/>
          <cell r="T1009" t="b">
            <v>0</v>
          </cell>
          <cell r="W1009" t="str"/>
          <cell r="Y1009" t="str"/>
          <cell r="AA1009" t="str"/>
          <cell r="AK1009" t="str">
            <v>1668-HB</v>
          </cell>
          <cell r="AL1009" t="str">
            <v>1-0513-百飛.最安逸.天朝&gt;寄&gt;附發票&gt;自結</v>
          </cell>
          <cell r="AM1009" t="str">
            <v>1-0513</v>
          </cell>
        </row>
        <row r="1010">
          <cell r="B1010" t="str">
            <v>1-1005</v>
          </cell>
          <cell r="E1010" t="str">
            <v>有限公司</v>
          </cell>
          <cell r="R1010" t="b">
            <v>0</v>
          </cell>
          <cell r="S1010" t="str"/>
          <cell r="T1010" t="b">
            <v>0</v>
          </cell>
          <cell r="W1010" t="str"/>
          <cell r="Y1010" t="str"/>
          <cell r="AA1010" t="str"/>
          <cell r="AK1010" t="str">
            <v>789-TK</v>
          </cell>
          <cell r="AL1010" t="str">
            <v>1-0513-百飛.最安逸.天朝&gt;寄&gt;附發票&gt;自結</v>
          </cell>
          <cell r="AM1010" t="str">
            <v>1-0513</v>
          </cell>
        </row>
        <row r="1011">
          <cell r="B1011" t="str">
            <v>1-1006</v>
          </cell>
          <cell r="E1011" t="str">
            <v>有限公司</v>
          </cell>
          <cell r="R1011" t="b">
            <v>0</v>
          </cell>
          <cell r="S1011" t="str"/>
          <cell r="T1011" t="b">
            <v>0</v>
          </cell>
          <cell r="W1011" t="str"/>
          <cell r="Y1011" t="str"/>
          <cell r="AA1011" t="str"/>
          <cell r="AK1011" t="str">
            <v>199-Y7</v>
          </cell>
          <cell r="AL1011" t="str">
            <v>1-0513-百飛.最安逸.天朝&gt;寄&gt;附發票&gt;自結</v>
          </cell>
          <cell r="AM1011" t="str">
            <v>1-0513</v>
          </cell>
        </row>
        <row r="1012">
          <cell r="B1012" t="str">
            <v>1-1007</v>
          </cell>
          <cell r="E1012" t="str">
            <v>有限公司</v>
          </cell>
          <cell r="R1012" t="b">
            <v>0</v>
          </cell>
          <cell r="S1012" t="str"/>
          <cell r="T1012" t="b">
            <v>0</v>
          </cell>
          <cell r="W1012" t="str"/>
          <cell r="Y1012" t="str"/>
          <cell r="AA1012" t="str"/>
          <cell r="AK1012" t="str">
            <v>ZW-9378</v>
          </cell>
          <cell r="AL1012" t="str">
            <v>1-0513-百飛.最安逸.天朝&gt;寄&gt;附發票&gt;自結</v>
          </cell>
          <cell r="AM1012" t="str">
            <v>1-0513</v>
          </cell>
        </row>
        <row r="1013">
          <cell r="B1013" t="str">
            <v>1-1008</v>
          </cell>
          <cell r="E1013" t="str">
            <v>有限公司</v>
          </cell>
          <cell r="R1013" t="b">
            <v>0</v>
          </cell>
          <cell r="S1013" t="str"/>
          <cell r="T1013" t="b">
            <v>0</v>
          </cell>
          <cell r="W1013" t="str"/>
          <cell r="Y1013" t="str"/>
          <cell r="AA1013" t="str"/>
          <cell r="AK1013" t="str">
            <v>852-TZ</v>
          </cell>
          <cell r="AL1013" t="str">
            <v>1-0513-百飛.最安逸.天朝&gt;寄&gt;附發票&gt;自結</v>
          </cell>
          <cell r="AM1013" t="str">
            <v>1-0513</v>
          </cell>
        </row>
        <row r="1014">
          <cell r="B1014" t="str">
            <v>1-1009</v>
          </cell>
          <cell r="E1014" t="str">
            <v>有限公司</v>
          </cell>
          <cell r="R1014" t="b">
            <v>0</v>
          </cell>
          <cell r="S1014" t="str"/>
          <cell r="T1014" t="b">
            <v>0</v>
          </cell>
          <cell r="W1014" t="str"/>
          <cell r="Y1014" t="str"/>
          <cell r="AA1014" t="str"/>
          <cell r="AK1014" t="str">
            <v>073-SW</v>
          </cell>
          <cell r="AL1014" t="str">
            <v>1-0514-全亞冠&gt;寄&gt;附發票&gt;2個月後匯款</v>
          </cell>
          <cell r="AM1014" t="str">
            <v>1-0514</v>
          </cell>
        </row>
        <row r="1015">
          <cell r="B1015" t="str">
            <v>1-1010</v>
          </cell>
          <cell r="E1015" t="str">
            <v>有限公司</v>
          </cell>
          <cell r="R1015" t="b">
            <v>0</v>
          </cell>
          <cell r="S1015" t="str"/>
          <cell r="T1015" t="b">
            <v>0</v>
          </cell>
          <cell r="W1015" t="str"/>
          <cell r="Y1015" t="str"/>
          <cell r="AA1015" t="str"/>
          <cell r="AK1015" t="str">
            <v>9F-711</v>
          </cell>
          <cell r="AL1015" t="str">
            <v>1-0514-全亞冠&gt;寄&gt;附發票&gt;2個月後匯款</v>
          </cell>
          <cell r="AM1015" t="str">
            <v>1-0514</v>
          </cell>
        </row>
        <row r="1016">
          <cell r="B1016" t="str">
            <v>1-1011</v>
          </cell>
          <cell r="E1016" t="str">
            <v>有限公司</v>
          </cell>
          <cell r="R1016" t="b">
            <v>0</v>
          </cell>
          <cell r="S1016" t="str"/>
          <cell r="T1016" t="b">
            <v>0</v>
          </cell>
          <cell r="W1016" t="str"/>
          <cell r="Y1016" t="str"/>
          <cell r="AA1016" t="str"/>
          <cell r="AK1016" t="str">
            <v>9F-707</v>
          </cell>
          <cell r="AL1016" t="str">
            <v>1-0514-全亞冠&gt;寄&gt;附發票&gt;2個月後匯款</v>
          </cell>
          <cell r="AM1016" t="str">
            <v>1-0514</v>
          </cell>
        </row>
        <row r="1017">
          <cell r="B1017" t="str">
            <v>1-1012</v>
          </cell>
          <cell r="E1017" t="str">
            <v>有限公司</v>
          </cell>
          <cell r="R1017" t="b">
            <v>0</v>
          </cell>
          <cell r="S1017" t="str"/>
          <cell r="T1017" t="b">
            <v>0</v>
          </cell>
          <cell r="W1017" t="str"/>
          <cell r="Y1017" t="str"/>
          <cell r="AA1017" t="str"/>
          <cell r="AK1017" t="str">
            <v>2F-7732</v>
          </cell>
          <cell r="AL1017" t="str">
            <v>1-0514-全亞冠&gt;寄&gt;附發票&gt;2個月後匯款</v>
          </cell>
          <cell r="AM1017" t="str">
            <v>1-0514</v>
          </cell>
        </row>
        <row r="1018">
          <cell r="B1018" t="str">
            <v>1-1013</v>
          </cell>
          <cell r="E1018" t="str">
            <v>有限公司</v>
          </cell>
          <cell r="R1018" t="b">
            <v>0</v>
          </cell>
          <cell r="S1018" t="str"/>
          <cell r="T1018" t="b">
            <v>0</v>
          </cell>
          <cell r="W1018" t="str"/>
          <cell r="Y1018" t="str"/>
          <cell r="AA1018" t="str"/>
          <cell r="AK1018" t="str">
            <v>3C-1613</v>
          </cell>
          <cell r="AL1018" t="str">
            <v>1-0514-全亞冠&gt;寄&gt;附發票&gt;2個月後匯款</v>
          </cell>
          <cell r="AM1018" t="str">
            <v>1-0514</v>
          </cell>
        </row>
        <row r="1019">
          <cell r="B1019" t="str">
            <v>1-1014</v>
          </cell>
          <cell r="E1019" t="str">
            <v>有限公司</v>
          </cell>
          <cell r="R1019" t="b">
            <v>0</v>
          </cell>
          <cell r="S1019" t="str"/>
          <cell r="T1019" t="b">
            <v>0</v>
          </cell>
          <cell r="W1019" t="str"/>
          <cell r="Y1019" t="str"/>
          <cell r="AA1019" t="str"/>
          <cell r="AK1019" t="str">
            <v>3587-99</v>
          </cell>
          <cell r="AL1019" t="str">
            <v>1-0517-聖堂機械&gt;寄&gt;附發票&gt;附回郵</v>
          </cell>
          <cell r="AM1019" t="str">
            <v>1-0517</v>
          </cell>
        </row>
        <row r="1020">
          <cell r="B1020" t="str">
            <v>1-1015</v>
          </cell>
          <cell r="E1020" t="str">
            <v>有限公司</v>
          </cell>
          <cell r="R1020" t="b">
            <v>0</v>
          </cell>
          <cell r="S1020" t="str"/>
          <cell r="T1020" t="b">
            <v>0</v>
          </cell>
          <cell r="W1020" t="str"/>
          <cell r="Y1020" t="str"/>
          <cell r="AA1020" t="str"/>
          <cell r="AK1020" t="str">
            <v>780-UW</v>
          </cell>
          <cell r="AL1020" t="str">
            <v>1-0517-聖堂機械&gt;寄&gt;附發票&gt;附回郵</v>
          </cell>
          <cell r="AM1020" t="str">
            <v>1-0517</v>
          </cell>
        </row>
        <row r="1021">
          <cell r="B1021" t="str">
            <v>1-1016</v>
          </cell>
          <cell r="E1021" t="str">
            <v>有限公司</v>
          </cell>
          <cell r="R1021" t="b">
            <v>0</v>
          </cell>
          <cell r="S1021" t="str"/>
          <cell r="T1021" t="b">
            <v>0</v>
          </cell>
          <cell r="W1021" t="str"/>
          <cell r="Y1021" t="str"/>
          <cell r="AA1021" t="str"/>
          <cell r="AK1021" t="str">
            <v>1778-S6</v>
          </cell>
          <cell r="AL1021" t="str">
            <v>1-0517-聖堂機械&gt;寄&gt;附發票&gt;附回郵</v>
          </cell>
          <cell r="AM1021" t="str">
            <v>1-0517</v>
          </cell>
        </row>
        <row r="1022">
          <cell r="B1022" t="str">
            <v>1-1017</v>
          </cell>
          <cell r="E1022" t="str">
            <v>有限公司</v>
          </cell>
          <cell r="R1022" t="b">
            <v>0</v>
          </cell>
          <cell r="S1022" t="str"/>
          <cell r="T1022" t="b">
            <v>0</v>
          </cell>
          <cell r="W1022" t="str"/>
          <cell r="Y1022" t="str"/>
          <cell r="AA1022" t="str"/>
          <cell r="AK1022" t="str">
            <v>W2-3866</v>
          </cell>
          <cell r="AL1022" t="str">
            <v>1-0517-聖堂機械&gt;寄&gt;附發票&gt;附回郵</v>
          </cell>
          <cell r="AM1022" t="str">
            <v>1-0517</v>
          </cell>
        </row>
        <row r="1023">
          <cell r="B1023" t="str">
            <v>1-1018</v>
          </cell>
          <cell r="E1023" t="str">
            <v>有限公司</v>
          </cell>
          <cell r="R1023" t="b">
            <v>0</v>
          </cell>
          <cell r="S1023" t="str"/>
          <cell r="T1023" t="b">
            <v>0</v>
          </cell>
          <cell r="W1023" t="str"/>
          <cell r="Y1023" t="str"/>
          <cell r="AA1023" t="str"/>
          <cell r="AK1023" t="str">
            <v>W5-3177</v>
          </cell>
          <cell r="AL1023" t="str">
            <v>1-0517-聖堂機械&gt;寄&gt;附發票&gt;附回郵</v>
          </cell>
          <cell r="AM1023" t="str">
            <v>1-0517</v>
          </cell>
        </row>
        <row r="1024">
          <cell r="B1024" t="str">
            <v>1-1019</v>
          </cell>
          <cell r="E1024" t="str">
            <v>有限公司</v>
          </cell>
          <cell r="R1024" t="b">
            <v>0</v>
          </cell>
          <cell r="S1024" t="str"/>
          <cell r="T1024" t="b">
            <v>0</v>
          </cell>
          <cell r="W1024" t="str"/>
          <cell r="Y1024" t="str"/>
          <cell r="AA1024" t="str"/>
          <cell r="AK1024" t="str">
            <v>760-HF</v>
          </cell>
          <cell r="AL1024" t="str">
            <v>1-0518-魏世郎&gt;寄&gt;匯款</v>
          </cell>
          <cell r="AM1024" t="str">
            <v>1-0518</v>
          </cell>
        </row>
        <row r="1025">
          <cell r="B1025" t="str">
            <v>1-1020</v>
          </cell>
          <cell r="E1025" t="str">
            <v>有限公司</v>
          </cell>
          <cell r="R1025" t="b">
            <v>0</v>
          </cell>
          <cell r="S1025" t="str"/>
          <cell r="T1025" t="b">
            <v>0</v>
          </cell>
          <cell r="W1025" t="str"/>
          <cell r="Y1025" t="str"/>
          <cell r="AA1025" t="str"/>
          <cell r="AK1025" t="str">
            <v>KLF-8181</v>
          </cell>
          <cell r="AL1025" t="str">
            <v>1-0519-謝志明&gt;電&gt;自結&gt;匯款0218250．0503740.</v>
          </cell>
          <cell r="AM1025" t="str">
            <v>1-0519</v>
          </cell>
        </row>
        <row r="1026">
          <cell r="B1026" t="str">
            <v>1-1021</v>
          </cell>
          <cell r="E1026" t="str">
            <v>有限公司</v>
          </cell>
          <cell r="R1026" t="b">
            <v>0</v>
          </cell>
          <cell r="S1026" t="str"/>
          <cell r="T1026" t="b">
            <v>0</v>
          </cell>
          <cell r="W1026" t="str"/>
          <cell r="Y1026" t="str"/>
          <cell r="AA1026" t="str"/>
          <cell r="AK1026" t="str">
            <v>941-HY</v>
          </cell>
          <cell r="AL1026" t="str">
            <v>1-0520-陳勝義(黑友)&gt;寄&gt;自結</v>
          </cell>
          <cell r="AM1026" t="str">
            <v>1-0520</v>
          </cell>
        </row>
        <row r="1027">
          <cell r="B1027" t="str">
            <v>1-1022</v>
          </cell>
          <cell r="E1027" t="str">
            <v>有限公司</v>
          </cell>
          <cell r="R1027" t="b">
            <v>0</v>
          </cell>
          <cell r="S1027" t="str"/>
          <cell r="T1027" t="b">
            <v>0</v>
          </cell>
          <cell r="W1027" t="str"/>
          <cell r="Y1027" t="str"/>
          <cell r="AA1027" t="str"/>
          <cell r="AK1027" t="str">
            <v>656-Q2</v>
          </cell>
          <cell r="AL1027" t="str">
            <v>1-0724-葉志俊&gt;葉志勇&gt;旭勝&gt;寄&gt;附發票&gt;自結</v>
          </cell>
          <cell r="AM1027" t="str">
            <v>1-0724</v>
          </cell>
        </row>
        <row r="1028">
          <cell r="B1028" t="str">
            <v>1-1023</v>
          </cell>
          <cell r="E1028" t="str">
            <v>有限公司</v>
          </cell>
          <cell r="R1028" t="b">
            <v>0</v>
          </cell>
          <cell r="S1028" t="str"/>
          <cell r="T1028" t="b">
            <v>0</v>
          </cell>
          <cell r="W1028" t="str"/>
          <cell r="Y1028" t="str"/>
          <cell r="AA1028" t="str"/>
          <cell r="AK1028" t="str">
            <v>AAJ-527</v>
          </cell>
          <cell r="AL1028" t="str">
            <v>1-0725-葉志生&gt;一天&gt;寄&gt;附發票&gt;匯款</v>
          </cell>
          <cell r="AM1028" t="str">
            <v>1-0725</v>
          </cell>
        </row>
        <row r="1029">
          <cell r="B1029" t="str">
            <v>1-1024</v>
          </cell>
          <cell r="E1029" t="str">
            <v>有限公司</v>
          </cell>
          <cell r="R1029" t="b">
            <v>0</v>
          </cell>
          <cell r="S1029" t="str"/>
          <cell r="T1029" t="b">
            <v>0</v>
          </cell>
          <cell r="W1029" t="str"/>
          <cell r="Y1029" t="str"/>
          <cell r="AA1029" t="str"/>
          <cell r="AK1029" t="str">
            <v>989-ZX</v>
          </cell>
          <cell r="AL1029" t="str">
            <v>1-0725-葉志生&gt;一天&gt;寄&gt;附發票&gt;匯款</v>
          </cell>
          <cell r="AM1029" t="str">
            <v>1-0725</v>
          </cell>
        </row>
        <row r="1030">
          <cell r="B1030" t="str">
            <v>1-1025</v>
          </cell>
          <cell r="E1030" t="str">
            <v>有限公司</v>
          </cell>
          <cell r="R1030" t="b">
            <v>0</v>
          </cell>
          <cell r="S1030" t="str"/>
          <cell r="T1030" t="b">
            <v>0</v>
          </cell>
          <cell r="W1030" t="str"/>
          <cell r="Y1030" t="str"/>
          <cell r="AA1030" t="str"/>
          <cell r="AK1030" t="str">
            <v>500-Y7</v>
          </cell>
          <cell r="AL1030" t="str">
            <v>1-0725-葉志生&gt;一天&gt;寄&gt;附發票&gt;匯款</v>
          </cell>
          <cell r="AM1030" t="str">
            <v>1-0725</v>
          </cell>
        </row>
        <row r="1031">
          <cell r="B1031" t="str">
            <v>1-1026</v>
          </cell>
          <cell r="E1031" t="str">
            <v>有限公司</v>
          </cell>
          <cell r="R1031" t="b">
            <v>0</v>
          </cell>
          <cell r="S1031" t="str"/>
          <cell r="T1031" t="b">
            <v>0</v>
          </cell>
          <cell r="W1031" t="str"/>
          <cell r="Y1031" t="str"/>
          <cell r="AA1031" t="str"/>
          <cell r="AK1031" t="str">
            <v>8808-N2</v>
          </cell>
          <cell r="AL1031" t="str">
            <v>1-523-友利&gt;詠利&gt;付現</v>
          </cell>
          <cell r="AM1031" t="str">
            <v>1-0523</v>
          </cell>
        </row>
        <row r="1032">
          <cell r="B1032" t="str">
            <v>1-1027</v>
          </cell>
          <cell r="E1032" t="str">
            <v>有限公司</v>
          </cell>
          <cell r="R1032" t="b">
            <v>0</v>
          </cell>
          <cell r="S1032" t="str"/>
          <cell r="T1032" t="b">
            <v>0</v>
          </cell>
          <cell r="W1032" t="str"/>
          <cell r="Y1032" t="str"/>
          <cell r="AA1032" t="str"/>
          <cell r="AK1032" t="str">
            <v>8P-1788</v>
          </cell>
          <cell r="AL1032" t="str">
            <v>1-0524-馬董&gt;親送收</v>
          </cell>
          <cell r="AM1032" t="str">
            <v>1-0524</v>
          </cell>
        </row>
        <row r="1033">
          <cell r="B1033" t="str">
            <v>1-1028</v>
          </cell>
          <cell r="E1033" t="str">
            <v>有限公司</v>
          </cell>
          <cell r="R1033" t="b">
            <v>0</v>
          </cell>
          <cell r="S1033" t="str"/>
          <cell r="T1033" t="b">
            <v>0</v>
          </cell>
          <cell r="W1033" t="str"/>
          <cell r="Y1033" t="str"/>
          <cell r="AA1033" t="str"/>
          <cell r="AK1033" t="str">
            <v>108-QQ</v>
          </cell>
          <cell r="AL1033" t="str">
            <v>1-0525-勝興&gt;寄&gt;附發票&gt;自結</v>
          </cell>
          <cell r="AM1033" t="str">
            <v>1-0525</v>
          </cell>
        </row>
        <row r="1034">
          <cell r="B1034" t="str">
            <v>1-1029</v>
          </cell>
          <cell r="E1034" t="str">
            <v>有限公司</v>
          </cell>
          <cell r="R1034" t="b">
            <v>0</v>
          </cell>
          <cell r="S1034" t="str"/>
          <cell r="T1034" t="b">
            <v>0</v>
          </cell>
          <cell r="W1034" t="str"/>
          <cell r="Y1034" t="str"/>
          <cell r="AA1034" t="str"/>
          <cell r="AK1034" t="str">
            <v>663-BB</v>
          </cell>
          <cell r="AL1034" t="str">
            <v>1-0525-勝興&gt;寄&gt;附發票&gt;自結</v>
          </cell>
          <cell r="AM1034" t="str">
            <v>1-0525</v>
          </cell>
        </row>
        <row r="1035">
          <cell r="B1035" t="str">
            <v>1-1030</v>
          </cell>
          <cell r="E1035" t="str">
            <v>有限公司</v>
          </cell>
          <cell r="R1035" t="b">
            <v>0</v>
          </cell>
          <cell r="S1035" t="str"/>
          <cell r="T1035" t="b">
            <v>0</v>
          </cell>
          <cell r="W1035" t="str"/>
          <cell r="Y1035" t="str"/>
          <cell r="AA1035" t="str"/>
          <cell r="AK1035" t="str">
            <v>197-KM</v>
          </cell>
          <cell r="AL1035" t="str">
            <v>1-0526-林濬康&gt;寄&gt;自結</v>
          </cell>
          <cell r="AM1035" t="str">
            <v>1-0526</v>
          </cell>
        </row>
        <row r="1036">
          <cell r="B1036" t="str">
            <v>1-1031</v>
          </cell>
          <cell r="E1036" t="str">
            <v>有限公司</v>
          </cell>
          <cell r="R1036" t="b">
            <v>0</v>
          </cell>
          <cell r="S1036" t="str"/>
          <cell r="T1036" t="b">
            <v>0</v>
          </cell>
          <cell r="W1036" t="str"/>
          <cell r="Y1036" t="str"/>
          <cell r="AA1036" t="str"/>
          <cell r="AK1036" t="str">
            <v>422-KD</v>
          </cell>
          <cell r="AL1036" t="str">
            <v>1-0526-林濬康&gt;寄&gt;自結</v>
          </cell>
          <cell r="AM1036" t="str">
            <v>1-0526</v>
          </cell>
        </row>
        <row r="1037">
          <cell r="B1037" t="str">
            <v>1-1032</v>
          </cell>
          <cell r="E1037" t="str">
            <v>有限公司</v>
          </cell>
          <cell r="R1037" t="b">
            <v>0</v>
          </cell>
          <cell r="S1037" t="str"/>
          <cell r="T1037" t="b">
            <v>0</v>
          </cell>
          <cell r="W1037" t="str"/>
          <cell r="Y1037" t="str"/>
          <cell r="AA1037" t="str"/>
          <cell r="AK1037" t="str">
            <v>189-Q8</v>
          </cell>
          <cell r="AL1037" t="str">
            <v>1-0526-林濬康&gt;寄&gt;自結</v>
          </cell>
          <cell r="AM1037" t="str">
            <v>1-0526</v>
          </cell>
        </row>
        <row r="1038">
          <cell r="B1038" t="str">
            <v>1-1033</v>
          </cell>
          <cell r="E1038" t="str">
            <v>有限公司</v>
          </cell>
          <cell r="R1038" t="b">
            <v>0</v>
          </cell>
          <cell r="S1038" t="str"/>
          <cell r="T1038" t="b">
            <v>0</v>
          </cell>
          <cell r="W1038" t="str"/>
          <cell r="Y1038" t="str"/>
          <cell r="AA1038" t="str"/>
          <cell r="AK1038" t="str">
            <v>158-ZF</v>
          </cell>
          <cell r="AL1038" t="str">
            <v>1-0530-李鎧丞.胖胖.&gt;寄＞匯款0151811.51816</v>
          </cell>
          <cell r="AM1038" t="str">
            <v>1-0530</v>
          </cell>
        </row>
        <row r="1039">
          <cell r="B1039" t="str">
            <v>1-1034</v>
          </cell>
          <cell r="E1039" t="str">
            <v>有限公司</v>
          </cell>
          <cell r="R1039" t="b">
            <v>0</v>
          </cell>
          <cell r="S1039" t="str"/>
          <cell r="T1039" t="b">
            <v>0</v>
          </cell>
          <cell r="W1039" t="str"/>
          <cell r="Y1039" t="str"/>
          <cell r="AA1039" t="str"/>
          <cell r="AK1039" t="str">
            <v>3853-88</v>
          </cell>
          <cell r="AL1039" t="str">
            <v>1-0531-鋒魁.笠格科技&gt;寄&gt;附發票&gt;匯款(兩個月10號匯)</v>
          </cell>
          <cell r="AM1039" t="str">
            <v>1-0531</v>
          </cell>
        </row>
        <row r="1040">
          <cell r="B1040" t="str">
            <v>1-1035</v>
          </cell>
          <cell r="E1040" t="str">
            <v>有限公司</v>
          </cell>
          <cell r="R1040" t="b">
            <v>0</v>
          </cell>
          <cell r="S1040" t="str"/>
          <cell r="T1040" t="b">
            <v>0</v>
          </cell>
          <cell r="W1040" t="str"/>
          <cell r="Y1040" t="str"/>
          <cell r="AA1040" t="str"/>
          <cell r="AK1040" t="str">
            <v>038-Y7</v>
          </cell>
          <cell r="AL1040" t="str">
            <v>1-0532-驛順&gt;寄&gt;附發票&gt;附回郵</v>
          </cell>
          <cell r="AM1040" t="str">
            <v>1-0532</v>
          </cell>
        </row>
        <row r="1041">
          <cell r="B1041" t="str">
            <v>1-1036</v>
          </cell>
          <cell r="E1041" t="str">
            <v>有限公司</v>
          </cell>
          <cell r="R1041" t="b">
            <v>0</v>
          </cell>
          <cell r="S1041" t="str"/>
          <cell r="T1041" t="b">
            <v>0</v>
          </cell>
          <cell r="W1041" t="str"/>
          <cell r="Y1041" t="str"/>
          <cell r="AA1041" t="str"/>
          <cell r="AK1041" t="str">
            <v>622-Q2</v>
          </cell>
          <cell r="AL1041" t="str">
            <v>1-0532-驛順&gt;寄&gt;附發票&gt;附回郵</v>
          </cell>
          <cell r="AM1041" t="str">
            <v>1-0532</v>
          </cell>
        </row>
        <row r="1042">
          <cell r="B1042" t="str">
            <v>1-1037</v>
          </cell>
          <cell r="E1042" t="str">
            <v>有限公司</v>
          </cell>
          <cell r="R1042" t="b">
            <v>0</v>
          </cell>
          <cell r="S1042" t="str"/>
          <cell r="T1042" t="b">
            <v>0</v>
          </cell>
          <cell r="W1042" t="str"/>
          <cell r="Y1042" t="str"/>
          <cell r="AA1042" t="str"/>
          <cell r="AK1042" t="str">
            <v>740-W8</v>
          </cell>
          <cell r="AL1042" t="str">
            <v>1-0733-元智通運-小山豬&gt;寄&gt;附發票&gt;附回郵</v>
          </cell>
          <cell r="AM1042" t="str">
            <v>1-0733</v>
          </cell>
        </row>
        <row r="1043">
          <cell r="B1043" t="str">
            <v>1-1038</v>
          </cell>
          <cell r="E1043" t="str">
            <v>有限公司</v>
          </cell>
          <cell r="R1043" t="b">
            <v>0</v>
          </cell>
          <cell r="S1043" t="str"/>
          <cell r="T1043" t="b">
            <v>0</v>
          </cell>
          <cell r="W1043" t="str"/>
          <cell r="Y1043" t="str"/>
          <cell r="AA1043" t="str"/>
          <cell r="AK1043" t="str">
            <v>636-WW</v>
          </cell>
          <cell r="AL1043" t="str">
            <v>1-0534-輝煌.金仕&gt;新棋興&gt;小額不寄&gt;自結</v>
          </cell>
          <cell r="AM1043" t="str">
            <v>1-0534</v>
          </cell>
        </row>
        <row r="1044">
          <cell r="B1044" t="str">
            <v>1-1039</v>
          </cell>
          <cell r="E1044" t="str">
            <v>有限公司</v>
          </cell>
          <cell r="R1044" t="b">
            <v>0</v>
          </cell>
          <cell r="S1044" t="str"/>
          <cell r="T1044" t="b">
            <v>0</v>
          </cell>
          <cell r="W1044" t="str"/>
          <cell r="Y1044" t="str"/>
          <cell r="AA1044" t="str"/>
          <cell r="AK1044" t="str">
            <v>816-RR</v>
          </cell>
          <cell r="AL1044" t="str">
            <v>1-0534-輝煌.金仕&gt;新棋興&gt;小額不寄&gt;自結</v>
          </cell>
          <cell r="AM1044" t="str">
            <v>1-0534</v>
          </cell>
        </row>
        <row r="1045">
          <cell r="B1045" t="str">
            <v>1-1040</v>
          </cell>
          <cell r="E1045" t="str">
            <v>有限公司</v>
          </cell>
          <cell r="R1045" t="b">
            <v>0</v>
          </cell>
          <cell r="S1045" t="str"/>
          <cell r="T1045" t="b">
            <v>0</v>
          </cell>
          <cell r="W1045" t="str"/>
          <cell r="Y1045" t="str"/>
          <cell r="AA1045" t="str"/>
          <cell r="AK1045" t="str">
            <v>199-SS</v>
          </cell>
          <cell r="AL1045" t="str">
            <v>1-0534-輝煌.金仕&gt;新棋興&gt;小額不寄&gt;自結</v>
          </cell>
          <cell r="AM1045" t="str">
            <v>1-0534</v>
          </cell>
        </row>
        <row r="1046">
          <cell r="B1046" t="str">
            <v>1-1041</v>
          </cell>
          <cell r="E1046" t="str">
            <v>有限公司</v>
          </cell>
          <cell r="R1046" t="b">
            <v>0</v>
          </cell>
          <cell r="S1046" t="str"/>
          <cell r="T1046" t="b">
            <v>0</v>
          </cell>
          <cell r="W1046" t="str"/>
          <cell r="Y1046" t="str"/>
          <cell r="AA1046" t="str"/>
          <cell r="AK1046" t="str">
            <v>275-SS</v>
          </cell>
          <cell r="AL1046" t="str">
            <v>1-0534-輝煌.金仕&gt;新棋興&gt;小額不寄&gt;自結</v>
          </cell>
          <cell r="AM1046" t="str">
            <v>1-0534</v>
          </cell>
        </row>
        <row r="1047">
          <cell r="B1047" t="str">
            <v>1-1042</v>
          </cell>
          <cell r="E1047" t="str">
            <v>有限公司</v>
          </cell>
          <cell r="R1047" t="b">
            <v>0</v>
          </cell>
          <cell r="S1047" t="str"/>
          <cell r="T1047" t="b">
            <v>0</v>
          </cell>
          <cell r="W1047" t="str"/>
          <cell r="Y1047" t="str"/>
          <cell r="AA1047" t="str"/>
          <cell r="AK1047" t="str">
            <v>992-ZS</v>
          </cell>
          <cell r="AL1047" t="str">
            <v>1-0535-洪勝寶&gt;寄&gt;自結</v>
          </cell>
          <cell r="AM1047" t="str">
            <v>1-0535</v>
          </cell>
        </row>
        <row r="1048">
          <cell r="B1048" t="str">
            <v>1-1043</v>
          </cell>
          <cell r="E1048" t="str">
            <v>有限公司</v>
          </cell>
          <cell r="R1048" t="b">
            <v>0</v>
          </cell>
          <cell r="S1048" t="str"/>
          <cell r="T1048" t="b">
            <v>0</v>
          </cell>
          <cell r="W1048" t="str"/>
          <cell r="Y1048" t="str"/>
          <cell r="AA1048" t="str"/>
          <cell r="AK1048" t="str">
            <v>218-XX</v>
          </cell>
          <cell r="AL1048" t="str">
            <v>1-0536-統成&gt;寄&gt;附發票&gt;附回郵</v>
          </cell>
          <cell r="AM1048" t="str">
            <v>1-0536</v>
          </cell>
        </row>
        <row r="1049">
          <cell r="B1049" t="str">
            <v>1-1044</v>
          </cell>
          <cell r="E1049" t="str">
            <v>有限公司</v>
          </cell>
          <cell r="R1049" t="b">
            <v>0</v>
          </cell>
          <cell r="S1049" t="str"/>
          <cell r="T1049" t="b">
            <v>0</v>
          </cell>
          <cell r="W1049" t="str"/>
          <cell r="Y1049" t="str"/>
          <cell r="AA1049" t="str"/>
          <cell r="AK1049" t="str">
            <v>321-V7</v>
          </cell>
          <cell r="AL1049" t="str">
            <v>1-0536-統成&gt;寄&gt;附發票&gt;附回郵</v>
          </cell>
          <cell r="AM1049" t="str">
            <v>1-0536</v>
          </cell>
        </row>
        <row r="1050">
          <cell r="B1050" t="str">
            <v>1-1045</v>
          </cell>
          <cell r="E1050" t="str">
            <v>有限公司</v>
          </cell>
          <cell r="R1050" t="b">
            <v>0</v>
          </cell>
          <cell r="S1050" t="str"/>
          <cell r="T1050" t="b">
            <v>0</v>
          </cell>
          <cell r="W1050" t="str"/>
          <cell r="Y1050" t="str"/>
          <cell r="AA1050" t="str"/>
          <cell r="AK1050" t="str">
            <v>272-QQ</v>
          </cell>
          <cell r="AL1050" t="str">
            <v>1-0536-統成&gt;寄&gt;附發票&gt;附回郵</v>
          </cell>
          <cell r="AM1050" t="str">
            <v>1-0536</v>
          </cell>
        </row>
        <row r="1051">
          <cell r="B1051" t="str">
            <v>1-1046</v>
          </cell>
          <cell r="E1051" t="str">
            <v>有限公司</v>
          </cell>
          <cell r="R1051" t="b">
            <v>0</v>
          </cell>
          <cell r="S1051" t="str"/>
          <cell r="T1051" t="b">
            <v>0</v>
          </cell>
          <cell r="W1051" t="str"/>
          <cell r="Y1051" t="str"/>
          <cell r="AA1051" t="str"/>
          <cell r="AK1051" t="str">
            <v>660-RW</v>
          </cell>
          <cell r="AL1051" t="str">
            <v>1-0537-巨浩&gt;寄&gt;附發票&gt;附回郵</v>
          </cell>
          <cell r="AM1051" t="str">
            <v>1-0537</v>
          </cell>
        </row>
        <row r="1052">
          <cell r="B1052" t="str">
            <v>1-1047</v>
          </cell>
          <cell r="E1052" t="str">
            <v>有限公司</v>
          </cell>
          <cell r="R1052" t="b">
            <v>0</v>
          </cell>
          <cell r="S1052" t="str"/>
          <cell r="T1052" t="b">
            <v>0</v>
          </cell>
          <cell r="W1052" t="str"/>
          <cell r="Y1052" t="str"/>
          <cell r="AA1052" t="str"/>
          <cell r="AK1052" t="str">
            <v>907-RD</v>
          </cell>
          <cell r="AL1052" t="str">
            <v>1-0537-巨浩&gt;寄&gt;附發票&gt;附回郵</v>
          </cell>
          <cell r="AM1052" t="str">
            <v>1-0537</v>
          </cell>
        </row>
        <row r="1053">
          <cell r="B1053" t="str">
            <v>1-1048</v>
          </cell>
          <cell r="E1053" t="str">
            <v>有限公司</v>
          </cell>
          <cell r="R1053" t="b">
            <v>0</v>
          </cell>
          <cell r="S1053" t="str"/>
          <cell r="T1053" t="b">
            <v>0</v>
          </cell>
          <cell r="W1053" t="str"/>
          <cell r="Y1053" t="str"/>
          <cell r="AA1053" t="str"/>
          <cell r="AK1053" t="str">
            <v>370-UW</v>
          </cell>
          <cell r="AL1053" t="str">
            <v>1-0537-巨浩&gt;寄&gt;附發票&gt;附回郵</v>
          </cell>
          <cell r="AM1053" t="str">
            <v>1-0537</v>
          </cell>
        </row>
        <row r="1054">
          <cell r="B1054" t="str">
            <v>1-1049</v>
          </cell>
          <cell r="E1054" t="str">
            <v>有限公司</v>
          </cell>
          <cell r="R1054" t="b">
            <v>0</v>
          </cell>
          <cell r="S1054" t="str"/>
          <cell r="T1054" t="b">
            <v>0</v>
          </cell>
          <cell r="W1054" t="str"/>
          <cell r="Y1054" t="str"/>
          <cell r="AA1054" t="str"/>
          <cell r="AK1054" t="str">
            <v>458-GF</v>
          </cell>
          <cell r="AL1054" t="str">
            <v>1-0538-正龍&gt;寄&gt;現結</v>
          </cell>
          <cell r="AM1054" t="str">
            <v>1-0538</v>
          </cell>
        </row>
        <row r="1055">
          <cell r="B1055" t="str">
            <v>1-1050</v>
          </cell>
          <cell r="E1055" t="str">
            <v>有限公司</v>
          </cell>
          <cell r="R1055" t="b">
            <v>0</v>
          </cell>
          <cell r="S1055" t="str"/>
          <cell r="T1055" t="b">
            <v>0</v>
          </cell>
          <cell r="W1055" t="str"/>
          <cell r="Y1055" t="str"/>
          <cell r="AA1055" t="str"/>
          <cell r="AK1055" t="str">
            <v>923-M7</v>
          </cell>
          <cell r="AL1055" t="str">
            <v>1-0540-聯興&gt;葉秀禮&gt;寄平信&gt;自結</v>
          </cell>
          <cell r="AM1055" t="str">
            <v>1-0540</v>
          </cell>
        </row>
        <row r="1056">
          <cell r="B1056" t="str">
            <v>1-1051</v>
          </cell>
          <cell r="E1056" t="str">
            <v>有限公司</v>
          </cell>
          <cell r="R1056" t="b">
            <v>0</v>
          </cell>
          <cell r="S1056" t="str"/>
          <cell r="T1056" t="b">
            <v>0</v>
          </cell>
          <cell r="W1056" t="str"/>
          <cell r="Y1056" t="str"/>
          <cell r="AA1056" t="str"/>
          <cell r="AK1056" t="str">
            <v>806-M7</v>
          </cell>
          <cell r="AL1056" t="str">
            <v>1-0540-聯興&gt;葉秀禮&gt;寄平信&gt;自結</v>
          </cell>
          <cell r="AM1056" t="str">
            <v>1-0540</v>
          </cell>
        </row>
        <row r="1057">
          <cell r="B1057" t="str">
            <v>1-1052</v>
          </cell>
          <cell r="E1057" t="str">
            <v>有限公司</v>
          </cell>
          <cell r="R1057" t="b">
            <v>0</v>
          </cell>
          <cell r="S1057" t="str"/>
          <cell r="T1057" t="b">
            <v>0</v>
          </cell>
          <cell r="W1057" t="str"/>
          <cell r="Y1057" t="str"/>
          <cell r="AA1057" t="str"/>
          <cell r="AK1057" t="str">
            <v>473-KE</v>
          </cell>
          <cell r="AL1057" t="str">
            <v>1-0541-威明&gt;寄&gt;附發票&gt;附回郵</v>
          </cell>
          <cell r="AM1057" t="str">
            <v>1-0541</v>
          </cell>
        </row>
        <row r="1058">
          <cell r="B1058" t="str">
            <v>1-1053</v>
          </cell>
          <cell r="E1058" t="str">
            <v>有限公司</v>
          </cell>
          <cell r="R1058" t="b">
            <v>0</v>
          </cell>
          <cell r="S1058" t="str"/>
          <cell r="T1058" t="b">
            <v>0</v>
          </cell>
          <cell r="W1058" t="str"/>
          <cell r="Y1058" t="str"/>
          <cell r="AA1058" t="str"/>
          <cell r="AK1058" t="str">
            <v>KEK-2563</v>
          </cell>
          <cell r="AL1058" t="str">
            <v>1-0542-儒鴻(苗栗廠)&gt;寄&gt;附發票&gt;一個月匯款</v>
          </cell>
          <cell r="AM1058" t="str">
            <v>1-0542</v>
          </cell>
        </row>
        <row r="1059">
          <cell r="B1059" t="str">
            <v>1-1054</v>
          </cell>
          <cell r="E1059" t="str">
            <v>有限公司</v>
          </cell>
          <cell r="R1059" t="b">
            <v>0</v>
          </cell>
          <cell r="S1059" t="str"/>
          <cell r="T1059" t="b">
            <v>0</v>
          </cell>
          <cell r="W1059" t="str"/>
          <cell r="Y1059" t="str"/>
          <cell r="AA1059" t="str"/>
          <cell r="AK1059" t="str">
            <v>563-Q2</v>
          </cell>
          <cell r="AL1059" t="str">
            <v>1-0542-儒鴻(苗栗廠)&gt;寄&gt;附發票&gt;一個月匯款</v>
          </cell>
          <cell r="AM1059" t="str">
            <v>1-0542</v>
          </cell>
        </row>
        <row r="1060">
          <cell r="B1060" t="str">
            <v>1-1055</v>
          </cell>
          <cell r="E1060" t="str">
            <v>有限公司</v>
          </cell>
          <cell r="R1060" t="b">
            <v>0</v>
          </cell>
          <cell r="S1060" t="str"/>
          <cell r="T1060" t="b">
            <v>0</v>
          </cell>
          <cell r="W1060" t="str"/>
          <cell r="Y1060" t="str"/>
          <cell r="AA1060" t="str"/>
          <cell r="AK1060" t="str">
            <v>HQ-907</v>
          </cell>
          <cell r="AL1060" t="str">
            <v>1-0546-慈揚&gt;賴進烈&gt;寄&gt;1個月15號匯款</v>
          </cell>
          <cell r="AM1060" t="str">
            <v>1-0546</v>
          </cell>
        </row>
        <row r="1061">
          <cell r="B1061" t="str">
            <v>1-1056</v>
          </cell>
          <cell r="E1061" t="str">
            <v>有限公司</v>
          </cell>
          <cell r="R1061" t="b">
            <v>0</v>
          </cell>
          <cell r="S1061" t="str"/>
          <cell r="T1061" t="b">
            <v>0</v>
          </cell>
          <cell r="W1061" t="str"/>
          <cell r="Y1061" t="str"/>
          <cell r="AA1061" t="str"/>
          <cell r="AK1061" t="str">
            <v>OQ-086</v>
          </cell>
          <cell r="AL1061" t="str">
            <v>1-0546-慈揚&gt;賴進烈&gt;寄&gt;1個月15號匯款</v>
          </cell>
          <cell r="AM1061" t="str">
            <v>1-0546</v>
          </cell>
        </row>
        <row r="1062">
          <cell r="B1062" t="str">
            <v>1-1057</v>
          </cell>
          <cell r="E1062" t="str">
            <v>有限公司</v>
          </cell>
          <cell r="R1062" t="b">
            <v>0</v>
          </cell>
          <cell r="S1062" t="str"/>
          <cell r="T1062" t="b">
            <v>0</v>
          </cell>
          <cell r="W1062" t="str"/>
          <cell r="Y1062" t="str"/>
          <cell r="AA1062" t="str"/>
          <cell r="AK1062" t="str">
            <v>531-G6</v>
          </cell>
          <cell r="AL1062" t="str">
            <v>1-0546-慈揚&gt;賴進烈&gt;寄&gt;1個月15號匯款</v>
          </cell>
          <cell r="AM1062" t="str">
            <v>1-0546</v>
          </cell>
        </row>
        <row r="1063">
          <cell r="B1063" t="str">
            <v>1-1058</v>
          </cell>
          <cell r="E1063" t="str">
            <v>有限公司</v>
          </cell>
          <cell r="R1063" t="b">
            <v>0</v>
          </cell>
          <cell r="S1063" t="str"/>
          <cell r="T1063" t="b">
            <v>0</v>
          </cell>
          <cell r="W1063" t="str"/>
          <cell r="Y1063" t="str"/>
          <cell r="AA1063" t="str"/>
          <cell r="AK1063" t="str">
            <v>908-JD</v>
          </cell>
          <cell r="AL1063" t="str">
            <v>1-0546-慈揚&gt;賴進烈&gt;寄&gt;1個月15號匯款</v>
          </cell>
          <cell r="AM1063" t="str">
            <v>1-0546</v>
          </cell>
        </row>
        <row r="1064">
          <cell r="B1064" t="str">
            <v>1-1059</v>
          </cell>
          <cell r="E1064" t="str">
            <v>有限公司</v>
          </cell>
          <cell r="R1064" t="b">
            <v>0</v>
          </cell>
          <cell r="S1064" t="str"/>
          <cell r="T1064" t="b">
            <v>0</v>
          </cell>
          <cell r="W1064" t="str"/>
          <cell r="Y1064" t="str"/>
          <cell r="AA1064" t="str"/>
          <cell r="AK1064" t="str">
            <v>922-XY</v>
          </cell>
          <cell r="AL1064" t="str">
            <v>1-0546-慈揚&gt;賴進烈&gt;寄&gt;1個月15號匯款</v>
          </cell>
          <cell r="AM1064" t="str">
            <v>1-0546</v>
          </cell>
        </row>
        <row r="1065">
          <cell r="B1065" t="str">
            <v>1-1060</v>
          </cell>
          <cell r="E1065" t="str">
            <v>有限公司</v>
          </cell>
          <cell r="R1065" t="b">
            <v>0</v>
          </cell>
          <cell r="S1065" t="str"/>
          <cell r="T1065" t="b">
            <v>0</v>
          </cell>
          <cell r="W1065" t="str"/>
          <cell r="Y1065" t="str"/>
          <cell r="AA1065" t="str"/>
          <cell r="AK1065" t="str">
            <v>715-ZA</v>
          </cell>
          <cell r="AL1065" t="str">
            <v>1-0547-曹坤霖&gt;寄&gt;自結</v>
          </cell>
          <cell r="AM1065" t="str">
            <v>1-0547</v>
          </cell>
        </row>
        <row r="1066">
          <cell r="B1066" t="str">
            <v>1-1061</v>
          </cell>
          <cell r="E1066" t="str">
            <v>有限公司</v>
          </cell>
          <cell r="R1066" t="b">
            <v>0</v>
          </cell>
          <cell r="S1066" t="str"/>
          <cell r="T1066" t="b">
            <v>0</v>
          </cell>
          <cell r="W1066" t="str"/>
          <cell r="Y1066" t="str"/>
          <cell r="AA1066" t="str"/>
          <cell r="AK1066" t="str">
            <v>353-HP</v>
          </cell>
          <cell r="AL1066" t="str">
            <v>1-0548-題陞&gt;寄&gt;附發票&gt;附回郵</v>
          </cell>
          <cell r="AM1066" t="str">
            <v>1-0548</v>
          </cell>
        </row>
        <row r="1067">
          <cell r="B1067" t="str">
            <v>1-1062</v>
          </cell>
          <cell r="E1067" t="str">
            <v>有限公司</v>
          </cell>
          <cell r="R1067" t="b">
            <v>0</v>
          </cell>
          <cell r="S1067" t="str"/>
          <cell r="T1067" t="b">
            <v>0</v>
          </cell>
          <cell r="W1067" t="str"/>
          <cell r="Y1067" t="str"/>
          <cell r="AA1067" t="str"/>
          <cell r="AK1067" t="str">
            <v>937-VK</v>
          </cell>
          <cell r="AL1067" t="str">
            <v>1-0548-題陞&gt;寄&gt;附發票&gt;附回郵</v>
          </cell>
          <cell r="AM1067" t="str">
            <v>1-0548</v>
          </cell>
        </row>
        <row r="1068">
          <cell r="B1068" t="str">
            <v>1-1063</v>
          </cell>
          <cell r="E1068" t="str">
            <v>有限公司</v>
          </cell>
          <cell r="R1068" t="b">
            <v>0</v>
          </cell>
          <cell r="S1068" t="str"/>
          <cell r="T1068" t="b">
            <v>0</v>
          </cell>
          <cell r="W1068" t="str"/>
          <cell r="Y1068" t="str"/>
          <cell r="AA1068" t="str"/>
          <cell r="AK1068" t="str">
            <v>341-WD</v>
          </cell>
          <cell r="AL1068" t="str">
            <v>1-0548-題陞&gt;寄&gt;附發票&gt;附回郵</v>
          </cell>
          <cell r="AM1068" t="str">
            <v>1-0548</v>
          </cell>
        </row>
        <row r="1069">
          <cell r="B1069" t="str">
            <v>1-1064</v>
          </cell>
          <cell r="E1069" t="str">
            <v>有限公司</v>
          </cell>
          <cell r="R1069" t="b">
            <v>0</v>
          </cell>
          <cell r="S1069" t="str"/>
          <cell r="T1069" t="b">
            <v>0</v>
          </cell>
          <cell r="W1069" t="str"/>
          <cell r="Y1069" t="str"/>
          <cell r="AA1069" t="str"/>
          <cell r="AK1069" t="str">
            <v>6F-519</v>
          </cell>
          <cell r="AL1069" t="str">
            <v>1-0548-題陞&gt;寄&gt;附發票&gt;附回郵</v>
          </cell>
          <cell r="AM1069" t="str">
            <v>1-0548</v>
          </cell>
        </row>
        <row r="1070">
          <cell r="B1070" t="str">
            <v>1-1065</v>
          </cell>
          <cell r="E1070" t="str">
            <v>有限公司</v>
          </cell>
          <cell r="R1070" t="b">
            <v>0</v>
          </cell>
          <cell r="S1070" t="str"/>
          <cell r="T1070" t="b">
            <v>0</v>
          </cell>
          <cell r="W1070" t="str"/>
          <cell r="Y1070" t="str"/>
          <cell r="AA1070" t="str"/>
          <cell r="AK1070" t="str">
            <v>46-F9</v>
          </cell>
          <cell r="AL1070" t="str">
            <v>1-0548-題陞&gt;寄&gt;附發票&gt;附回郵</v>
          </cell>
          <cell r="AM1070" t="str">
            <v>1-0548</v>
          </cell>
        </row>
        <row r="1071">
          <cell r="B1071" t="str">
            <v>1-1066</v>
          </cell>
          <cell r="E1071" t="str">
            <v>有限公司</v>
          </cell>
          <cell r="R1071" t="b">
            <v>0</v>
          </cell>
          <cell r="S1071" t="str"/>
          <cell r="T1071" t="b">
            <v>0</v>
          </cell>
          <cell r="W1071" t="str"/>
          <cell r="Y1071" t="str"/>
          <cell r="AA1071" t="str"/>
          <cell r="AK1071" t="str">
            <v>Q8-323</v>
          </cell>
          <cell r="AL1071" t="str">
            <v>1-0548-題陞&gt;寄&gt;附發票&gt;附回郵</v>
          </cell>
          <cell r="AM1071" t="str">
            <v>1-0548</v>
          </cell>
        </row>
        <row r="1072">
          <cell r="B1072" t="str">
            <v>1-1067</v>
          </cell>
          <cell r="E1072" t="str">
            <v>有限公司</v>
          </cell>
          <cell r="R1072" t="b">
            <v>0</v>
          </cell>
          <cell r="S1072" t="str"/>
          <cell r="T1072" t="b">
            <v>0</v>
          </cell>
          <cell r="W1072" t="str"/>
          <cell r="Y1072" t="str"/>
          <cell r="AA1072" t="str"/>
          <cell r="AK1072" t="str">
            <v>AAJ-567</v>
          </cell>
          <cell r="AL1072" t="str">
            <v>1-0549-華品&gt;佳上&gt;冠仁&gt;寄&gt;附發票&gt;附回郵</v>
          </cell>
          <cell r="AM1072" t="str">
            <v>1-0549</v>
          </cell>
        </row>
        <row r="1073">
          <cell r="B1073" t="str">
            <v>1-1068</v>
          </cell>
          <cell r="E1073" t="str">
            <v>有限公司</v>
          </cell>
          <cell r="R1073" t="b">
            <v>0</v>
          </cell>
          <cell r="S1073" t="str"/>
          <cell r="T1073" t="b">
            <v>0</v>
          </cell>
          <cell r="W1073" t="str"/>
          <cell r="Y1073" t="str"/>
          <cell r="AA1073" t="str"/>
          <cell r="AK1073" t="str">
            <v>490-VB</v>
          </cell>
          <cell r="AL1073" t="str">
            <v>1-0549-華品&gt;佳上&gt;冠仁&gt;寄&gt;附發票&gt;附回郵</v>
          </cell>
          <cell r="AM1073" t="str">
            <v>1-0549</v>
          </cell>
        </row>
        <row r="1074">
          <cell r="B1074" t="str">
            <v>1-1069</v>
          </cell>
          <cell r="E1074" t="str">
            <v>有限公司</v>
          </cell>
          <cell r="R1074" t="b">
            <v>0</v>
          </cell>
          <cell r="S1074" t="str"/>
          <cell r="T1074" t="b">
            <v>0</v>
          </cell>
          <cell r="W1074" t="str"/>
          <cell r="Y1074" t="str"/>
          <cell r="AA1074" t="str"/>
          <cell r="AK1074" t="str">
            <v>589-RW</v>
          </cell>
          <cell r="AL1074" t="str">
            <v>1-0549-華品&gt;佳上&gt;冠仁&gt;寄&gt;附發票&gt;附回郵</v>
          </cell>
          <cell r="AM1074" t="str">
            <v>1-0549</v>
          </cell>
        </row>
        <row r="1075">
          <cell r="B1075" t="str">
            <v>1-1070</v>
          </cell>
          <cell r="E1075" t="str">
            <v>有限公司</v>
          </cell>
          <cell r="R1075" t="b">
            <v>0</v>
          </cell>
          <cell r="S1075" t="str"/>
          <cell r="T1075" t="b">
            <v>0</v>
          </cell>
          <cell r="W1075" t="str"/>
          <cell r="Y1075" t="str"/>
          <cell r="AA1075" t="str"/>
          <cell r="AK1075" t="str">
            <v>840-TD</v>
          </cell>
          <cell r="AL1075" t="str">
            <v>1-0549-華品&gt;佳上&gt;冠仁&gt;寄&gt;附發票&gt;附回郵</v>
          </cell>
          <cell r="AM1075" t="str">
            <v>1-0549</v>
          </cell>
        </row>
        <row r="1076">
          <cell r="B1076" t="str">
            <v>1-1071</v>
          </cell>
          <cell r="E1076" t="str">
            <v>有限公司</v>
          </cell>
          <cell r="R1076" t="b">
            <v>0</v>
          </cell>
          <cell r="S1076" t="str"/>
          <cell r="T1076" t="b">
            <v>0</v>
          </cell>
          <cell r="W1076" t="str"/>
          <cell r="Y1076" t="str"/>
          <cell r="AA1076" t="str"/>
          <cell r="AK1076" t="str">
            <v>030-Y7</v>
          </cell>
          <cell r="AL1076" t="str">
            <v>1-0549-華品&gt;佳上&gt;冠仁&gt;寄&gt;附發票&gt;附回郵</v>
          </cell>
          <cell r="AM1076" t="str">
            <v>1-0549</v>
          </cell>
        </row>
        <row r="1077">
          <cell r="B1077" t="str">
            <v>1-1072</v>
          </cell>
          <cell r="E1077" t="str">
            <v>有限公司</v>
          </cell>
          <cell r="R1077" t="b">
            <v>0</v>
          </cell>
          <cell r="S1077" t="str"/>
          <cell r="T1077" t="b">
            <v>0</v>
          </cell>
          <cell r="W1077" t="str"/>
          <cell r="Y1077" t="str"/>
          <cell r="AA1077" t="str"/>
          <cell r="AK1077" t="str">
            <v>7021-U2</v>
          </cell>
          <cell r="AL1077" t="str">
            <v>1-0549-華品&gt;佳上&gt;冠仁&gt;寄&gt;附發票&gt;附回郵</v>
          </cell>
          <cell r="AM1077" t="str">
            <v>1-0549</v>
          </cell>
        </row>
        <row r="1078">
          <cell r="B1078" t="str">
            <v>1-1073</v>
          </cell>
          <cell r="E1078" t="str">
            <v>有限公司</v>
          </cell>
          <cell r="R1078" t="b">
            <v>0</v>
          </cell>
          <cell r="S1078" t="str"/>
          <cell r="T1078" t="b">
            <v>0</v>
          </cell>
          <cell r="W1078" t="str"/>
          <cell r="Y1078" t="str"/>
          <cell r="AA1078" t="str"/>
          <cell r="AK1078" t="str">
            <v>LT-9920</v>
          </cell>
          <cell r="AL1078" t="str">
            <v>1-0549-華品&gt;佳上&gt;冠仁&gt;寄&gt;附發票&gt;附回郵</v>
          </cell>
          <cell r="AM1078" t="str">
            <v>1-0549</v>
          </cell>
        </row>
        <row r="1079">
          <cell r="B1079" t="str">
            <v>1-1074</v>
          </cell>
          <cell r="E1079" t="str">
            <v>有限公司</v>
          </cell>
          <cell r="R1079" t="b">
            <v>0</v>
          </cell>
          <cell r="S1079" t="str"/>
          <cell r="T1079" t="b">
            <v>0</v>
          </cell>
          <cell r="W1079" t="str"/>
          <cell r="Y1079" t="str"/>
          <cell r="AA1079" t="str"/>
          <cell r="AK1079" t="str">
            <v>149-VB</v>
          </cell>
          <cell r="AL1079" t="str">
            <v>1-0549-華品&gt;佳上&gt;冠仁&gt;寄&gt;附發票&gt;附回郵</v>
          </cell>
          <cell r="AM1079" t="str">
            <v>1-0549</v>
          </cell>
        </row>
        <row r="1080">
          <cell r="B1080" t="str">
            <v>1-1075</v>
          </cell>
          <cell r="E1080" t="str">
            <v>有限公司</v>
          </cell>
          <cell r="R1080" t="b">
            <v>0</v>
          </cell>
          <cell r="S1080" t="str"/>
          <cell r="T1080" t="b">
            <v>0</v>
          </cell>
          <cell r="W1080" t="str"/>
          <cell r="Y1080" t="str"/>
          <cell r="AA1080" t="str"/>
          <cell r="AK1080" t="str">
            <v>958-TZ</v>
          </cell>
          <cell r="AL1080" t="str">
            <v>1-0549-華品&gt;佳上&gt;冠仁&gt;寄&gt;附發票&gt;附回郵</v>
          </cell>
          <cell r="AM1080" t="str">
            <v>1-0549</v>
          </cell>
        </row>
        <row r="1081">
          <cell r="B1081" t="str">
            <v>1-1076</v>
          </cell>
          <cell r="E1081" t="str">
            <v>有限公司</v>
          </cell>
          <cell r="R1081" t="b">
            <v>0</v>
          </cell>
          <cell r="S1081" t="str"/>
          <cell r="T1081" t="b">
            <v>0</v>
          </cell>
          <cell r="W1081" t="str"/>
          <cell r="Y1081" t="str"/>
          <cell r="AA1081" t="str"/>
          <cell r="AK1081" t="str">
            <v>AAJ-565</v>
          </cell>
          <cell r="AL1081" t="str">
            <v>1-0549-華品&gt;佳上&gt;冠仁&gt;寄&gt;附發票&gt;附回郵</v>
          </cell>
          <cell r="AM1081" t="str">
            <v>1-0549</v>
          </cell>
        </row>
        <row r="1082">
          <cell r="B1082" t="str">
            <v>1-1077</v>
          </cell>
          <cell r="E1082" t="str">
            <v>有限公司</v>
          </cell>
          <cell r="R1082" t="b">
            <v>0</v>
          </cell>
          <cell r="S1082" t="str"/>
          <cell r="T1082" t="b">
            <v>0</v>
          </cell>
          <cell r="W1082" t="str"/>
          <cell r="Y1082" t="str"/>
          <cell r="AA1082" t="str"/>
          <cell r="AK1082" t="str">
            <v>563-TZ</v>
          </cell>
          <cell r="AL1082" t="str">
            <v>1-0549-華品&gt;佳上&gt;冠仁&gt;寄&gt;附發票&gt;附回郵</v>
          </cell>
          <cell r="AM1082" t="str">
            <v>1-0549</v>
          </cell>
        </row>
        <row r="1083">
          <cell r="B1083" t="str">
            <v>1-1078</v>
          </cell>
          <cell r="E1083" t="str">
            <v>有限公司</v>
          </cell>
          <cell r="R1083" t="b">
            <v>0</v>
          </cell>
          <cell r="S1083" t="str"/>
          <cell r="T1083" t="b">
            <v>0</v>
          </cell>
          <cell r="W1083" t="str"/>
          <cell r="Y1083" t="str"/>
          <cell r="AA1083" t="str"/>
          <cell r="AK1083" t="str">
            <v>029-Y7</v>
          </cell>
          <cell r="AL1083" t="str">
            <v>1-0549-華品&gt;佳上&gt;冠仁&gt;寄&gt;附發票&gt;附回郵</v>
          </cell>
          <cell r="AM1083" t="str">
            <v>1-0549</v>
          </cell>
        </row>
        <row r="1084">
          <cell r="B1084" t="str">
            <v>1-1079</v>
          </cell>
          <cell r="E1084" t="str">
            <v>有限公司</v>
          </cell>
          <cell r="R1084" t="b">
            <v>0</v>
          </cell>
          <cell r="S1084" t="str"/>
          <cell r="T1084" t="b">
            <v>0</v>
          </cell>
          <cell r="W1084" t="str"/>
          <cell r="Y1084" t="str"/>
          <cell r="AA1084" t="str"/>
          <cell r="AK1084" t="str">
            <v>AAJ-563</v>
          </cell>
          <cell r="AL1084" t="str">
            <v>1-0549-華品&gt;佳上&gt;冠仁&gt;寄&gt;附發票&gt;附回郵</v>
          </cell>
          <cell r="AM1084" t="str">
            <v>1-0549</v>
          </cell>
        </row>
        <row r="1085">
          <cell r="B1085" t="str">
            <v>1-1080</v>
          </cell>
          <cell r="E1085" t="str">
            <v>有限公司</v>
          </cell>
          <cell r="R1085" t="b">
            <v>0</v>
          </cell>
          <cell r="S1085" t="str"/>
          <cell r="T1085" t="b">
            <v>0</v>
          </cell>
          <cell r="W1085" t="str"/>
          <cell r="Y1085" t="str"/>
          <cell r="AA1085" t="str"/>
          <cell r="AK1085" t="str">
            <v>AAJ-532</v>
          </cell>
          <cell r="AL1085" t="str">
            <v>1-0549-華品&gt;佳上&gt;冠仁&gt;寄&gt;附發票&gt;附回郵</v>
          </cell>
          <cell r="AM1085" t="str">
            <v>1-0549</v>
          </cell>
        </row>
        <row r="1086">
          <cell r="B1086" t="str">
            <v>1-1081</v>
          </cell>
          <cell r="E1086" t="str">
            <v>有限公司</v>
          </cell>
          <cell r="R1086" t="b">
            <v>0</v>
          </cell>
          <cell r="S1086" t="str"/>
          <cell r="T1086" t="b">
            <v>0</v>
          </cell>
          <cell r="W1086" t="str"/>
          <cell r="Y1086" t="str"/>
          <cell r="AA1086" t="str"/>
          <cell r="AK1086" t="str">
            <v>999-Q2</v>
          </cell>
          <cell r="AL1086" t="str">
            <v>1-0549-華品&gt;佳上&gt;冠仁&gt;寄&gt;附發票&gt;附回郵</v>
          </cell>
          <cell r="AM1086" t="str">
            <v>1-0549</v>
          </cell>
        </row>
        <row r="1087">
          <cell r="B1087" t="str">
            <v>1-1082</v>
          </cell>
          <cell r="E1087" t="str">
            <v>有限公司</v>
          </cell>
          <cell r="R1087" t="b">
            <v>0</v>
          </cell>
          <cell r="S1087" t="str"/>
          <cell r="T1087" t="b">
            <v>0</v>
          </cell>
          <cell r="W1087" t="str"/>
          <cell r="Y1087" t="str"/>
          <cell r="AA1087" t="str"/>
          <cell r="AK1087" t="str">
            <v>893-VN</v>
          </cell>
          <cell r="AL1087" t="str">
            <v>1-0549-華品&gt;佳上&gt;冠仁&gt;寄&gt;附發票&gt;附回郵</v>
          </cell>
          <cell r="AM1087" t="str">
            <v>1-0549</v>
          </cell>
        </row>
        <row r="1088">
          <cell r="B1088" t="str">
            <v>1-1083</v>
          </cell>
          <cell r="E1088" t="str">
            <v>有限公司</v>
          </cell>
          <cell r="R1088" t="b">
            <v>0</v>
          </cell>
          <cell r="S1088" t="str"/>
          <cell r="T1088" t="b">
            <v>0</v>
          </cell>
          <cell r="W1088" t="str"/>
          <cell r="Y1088" t="str"/>
          <cell r="AA1088" t="str"/>
          <cell r="AK1088" t="str">
            <v>822-VN</v>
          </cell>
          <cell r="AL1088" t="str">
            <v>1-0549-華品&gt;佳上&gt;冠仁&gt;寄&gt;附發票&gt;附回郵</v>
          </cell>
          <cell r="AM1088" t="str">
            <v>1-0549</v>
          </cell>
        </row>
        <row r="1089">
          <cell r="B1089" t="str">
            <v>1-1084</v>
          </cell>
          <cell r="E1089" t="str">
            <v>有限公司</v>
          </cell>
          <cell r="R1089" t="b">
            <v>0</v>
          </cell>
          <cell r="S1089" t="str"/>
          <cell r="T1089" t="b">
            <v>0</v>
          </cell>
          <cell r="W1089" t="str"/>
          <cell r="Y1089" t="str"/>
          <cell r="AA1089" t="str"/>
          <cell r="AK1089" t="str">
            <v>031-Y7</v>
          </cell>
          <cell r="AL1089" t="str">
            <v>1-0549-華品&gt;佳上&gt;冠仁&gt;寄&gt;附發票&gt;附回郵</v>
          </cell>
          <cell r="AM1089" t="str">
            <v>1-0549</v>
          </cell>
        </row>
        <row r="1090">
          <cell r="B1090" t="str">
            <v>1-1085</v>
          </cell>
          <cell r="E1090" t="str">
            <v>有限公司</v>
          </cell>
          <cell r="R1090" t="b">
            <v>0</v>
          </cell>
          <cell r="S1090" t="str"/>
          <cell r="T1090" t="b">
            <v>0</v>
          </cell>
          <cell r="W1090" t="str"/>
          <cell r="Y1090" t="str"/>
          <cell r="AA1090" t="str"/>
          <cell r="AK1090" t="str">
            <v>AA-902</v>
          </cell>
          <cell r="AL1090" t="str">
            <v>1-0549-華品&gt;佳上&gt;冠仁&gt;寄&gt;附發票&gt;附回郵</v>
          </cell>
          <cell r="AM1090" t="str">
            <v>1-0549</v>
          </cell>
        </row>
        <row r="1091">
          <cell r="B1091" t="str">
            <v>1-1086</v>
          </cell>
          <cell r="E1091" t="str">
            <v>有限公司</v>
          </cell>
          <cell r="R1091" t="b">
            <v>0</v>
          </cell>
          <cell r="S1091" t="str"/>
          <cell r="T1091" t="b">
            <v>0</v>
          </cell>
          <cell r="W1091" t="str"/>
          <cell r="Y1091" t="str"/>
          <cell r="AA1091" t="str"/>
          <cell r="AK1091" t="str">
            <v>457-Y7</v>
          </cell>
          <cell r="AL1091" t="str">
            <v>1-0549-華品&gt;佳上&gt;冠仁&gt;寄&gt;附發票&gt;附回郵</v>
          </cell>
          <cell r="AM1091" t="str">
            <v>1-0549</v>
          </cell>
        </row>
        <row r="1092">
          <cell r="B1092" t="str">
            <v>1-1087</v>
          </cell>
          <cell r="E1092" t="str">
            <v>有限公司</v>
          </cell>
          <cell r="R1092" t="b">
            <v>0</v>
          </cell>
          <cell r="S1092" t="str"/>
          <cell r="T1092" t="b">
            <v>0</v>
          </cell>
          <cell r="W1092" t="str"/>
          <cell r="Y1092" t="str"/>
          <cell r="AA1092" t="str"/>
          <cell r="AK1092" t="str">
            <v>108-Y7</v>
          </cell>
          <cell r="AL1092" t="str">
            <v>1-0549-華品&gt;佳上&gt;冠仁&gt;寄&gt;附發票&gt;附回郵</v>
          </cell>
          <cell r="AM1092" t="str">
            <v>1-0549</v>
          </cell>
        </row>
        <row r="1093">
          <cell r="B1093" t="str">
            <v>1-1088</v>
          </cell>
          <cell r="E1093" t="str">
            <v>有限公司</v>
          </cell>
          <cell r="R1093" t="b">
            <v>0</v>
          </cell>
          <cell r="S1093" t="str"/>
          <cell r="T1093" t="b">
            <v>0</v>
          </cell>
          <cell r="W1093" t="str"/>
          <cell r="Y1093" t="str"/>
          <cell r="AA1093" t="str"/>
          <cell r="AK1093" t="str">
            <v>282-VB</v>
          </cell>
          <cell r="AL1093" t="str">
            <v>1-0549-華品&gt;佳上&gt;冠仁&gt;寄&gt;附發票&gt;附回郵</v>
          </cell>
          <cell r="AM1093" t="str">
            <v>1-0549</v>
          </cell>
        </row>
        <row r="1094">
          <cell r="B1094" t="str">
            <v>1-1089</v>
          </cell>
          <cell r="E1094" t="str">
            <v>有限公司</v>
          </cell>
          <cell r="R1094" t="b">
            <v>0</v>
          </cell>
          <cell r="S1094" t="str"/>
          <cell r="T1094" t="b">
            <v>0</v>
          </cell>
          <cell r="W1094" t="str"/>
          <cell r="Y1094" t="str"/>
          <cell r="AA1094" t="str"/>
          <cell r="AK1094" t="str">
            <v>465-VB</v>
          </cell>
          <cell r="AL1094" t="str">
            <v>1-0549-華品&gt;佳上&gt;冠仁&gt;寄&gt;附發票&gt;附回郵</v>
          </cell>
          <cell r="AM1094" t="str">
            <v>1-0549</v>
          </cell>
        </row>
        <row r="1095">
          <cell r="B1095" t="str">
            <v>1-1090</v>
          </cell>
          <cell r="E1095" t="str">
            <v>有限公司</v>
          </cell>
          <cell r="R1095" t="b">
            <v>0</v>
          </cell>
          <cell r="S1095" t="str"/>
          <cell r="T1095" t="b">
            <v>0</v>
          </cell>
          <cell r="W1095" t="str"/>
          <cell r="Y1095" t="str"/>
          <cell r="AA1095" t="str"/>
          <cell r="AK1095" t="str">
            <v>251-Y7</v>
          </cell>
          <cell r="AL1095" t="str">
            <v>1-0549-華品&gt;佳上&gt;冠仁&gt;寄&gt;附發票&gt;附回郵</v>
          </cell>
          <cell r="AM1095" t="str">
            <v>1-0549</v>
          </cell>
        </row>
        <row r="1096">
          <cell r="B1096" t="str">
            <v>1-1091</v>
          </cell>
          <cell r="E1096" t="str">
            <v>有限公司</v>
          </cell>
          <cell r="R1096" t="b">
            <v>0</v>
          </cell>
          <cell r="S1096" t="str"/>
          <cell r="T1096" t="b">
            <v>0</v>
          </cell>
          <cell r="W1096" t="str"/>
          <cell r="Y1096" t="str"/>
          <cell r="AA1096" t="str"/>
          <cell r="AK1096" t="str">
            <v>97-TK</v>
          </cell>
          <cell r="AL1096" t="str">
            <v>1-0549-華品&gt;佳上&gt;冠仁&gt;寄&gt;附發票&gt;附回郵</v>
          </cell>
          <cell r="AM1096" t="str">
            <v>1-0549</v>
          </cell>
        </row>
        <row r="1097">
          <cell r="B1097" t="str">
            <v>1-1092</v>
          </cell>
          <cell r="E1097" t="str">
            <v>有限公司</v>
          </cell>
          <cell r="R1097" t="b">
            <v>0</v>
          </cell>
          <cell r="S1097" t="str"/>
          <cell r="T1097" t="b">
            <v>0</v>
          </cell>
          <cell r="W1097" t="str"/>
          <cell r="Y1097" t="str"/>
          <cell r="AA1097" t="str"/>
          <cell r="AK1097" t="str">
            <v>6612-NA</v>
          </cell>
          <cell r="AL1097" t="str">
            <v>1-0549-華品&gt;佳上&gt;冠仁&gt;寄&gt;附發票&gt;附回郵</v>
          </cell>
          <cell r="AM1097" t="str">
            <v>1-0549</v>
          </cell>
        </row>
        <row r="1098">
          <cell r="B1098" t="str">
            <v>1-1093</v>
          </cell>
          <cell r="E1098" t="str">
            <v>有限公司</v>
          </cell>
          <cell r="R1098" t="b">
            <v>0</v>
          </cell>
          <cell r="S1098" t="str"/>
          <cell r="T1098" t="b">
            <v>0</v>
          </cell>
          <cell r="W1098" t="str"/>
          <cell r="Y1098" t="str"/>
          <cell r="AA1098" t="str"/>
          <cell r="AK1098" t="str">
            <v>HO-099</v>
          </cell>
          <cell r="AL1098" t="str">
            <v>1-0550-莊淑慧&gt;寄&gt;自結</v>
          </cell>
          <cell r="AM1098" t="str">
            <v>1-0550</v>
          </cell>
        </row>
        <row r="1099">
          <cell r="B1099" t="str">
            <v>1-1094</v>
          </cell>
          <cell r="E1099" t="str">
            <v>有限公司</v>
          </cell>
          <cell r="R1099" t="b">
            <v>0</v>
          </cell>
          <cell r="S1099" t="str"/>
          <cell r="T1099" t="b">
            <v>0</v>
          </cell>
          <cell r="W1099" t="str"/>
          <cell r="Y1099" t="str"/>
          <cell r="AA1099" t="str"/>
          <cell r="AK1099" t="str">
            <v>019-VB</v>
          </cell>
          <cell r="AL1099" t="str">
            <v>1-0551-久展&gt;寄&gt;附發票&gt;兩個月28號匯款</v>
          </cell>
          <cell r="AM1099" t="str">
            <v>1-0551</v>
          </cell>
        </row>
        <row r="1100">
          <cell r="B1100" t="str">
            <v>1-1095</v>
          </cell>
          <cell r="E1100" t="str">
            <v>有限公司</v>
          </cell>
          <cell r="R1100" t="b">
            <v>0</v>
          </cell>
          <cell r="S1100" t="str"/>
          <cell r="T1100" t="b">
            <v>0</v>
          </cell>
          <cell r="W1100" t="str"/>
          <cell r="Y1100" t="str"/>
          <cell r="AA1100" t="str"/>
          <cell r="AK1100" t="str">
            <v>251-VB</v>
          </cell>
          <cell r="AL1100" t="str">
            <v>1-0551-久展&gt;寄&gt;附發票&gt;兩個月28號匯款</v>
          </cell>
          <cell r="AM1100" t="str">
            <v>1-0551</v>
          </cell>
        </row>
        <row r="1101">
          <cell r="B1101" t="str">
            <v>1-1096</v>
          </cell>
          <cell r="E1101" t="str">
            <v>有限公司</v>
          </cell>
          <cell r="R1101" t="b">
            <v>0</v>
          </cell>
          <cell r="S1101" t="str"/>
          <cell r="T1101" t="b">
            <v>0</v>
          </cell>
          <cell r="W1101" t="str"/>
          <cell r="Y1101" t="str"/>
          <cell r="AA1101" t="str"/>
          <cell r="AK1101" t="str">
            <v>840-RW</v>
          </cell>
          <cell r="AL1101" t="str">
            <v>1-0551-久展&gt;寄&gt;附發票&gt;兩個月28號匯款</v>
          </cell>
          <cell r="AM1101" t="str">
            <v>1-0551</v>
          </cell>
        </row>
        <row r="1102">
          <cell r="B1102" t="str">
            <v>1-1097</v>
          </cell>
          <cell r="E1102" t="str">
            <v>有限公司</v>
          </cell>
          <cell r="R1102" t="b">
            <v>0</v>
          </cell>
          <cell r="S1102" t="str"/>
          <cell r="T1102" t="b">
            <v>0</v>
          </cell>
          <cell r="W1102" t="str"/>
          <cell r="Y1102" t="str"/>
          <cell r="AA1102" t="str"/>
          <cell r="AK1102" t="str">
            <v>4553-JD</v>
          </cell>
          <cell r="AL1102" t="str">
            <v>1-0551-久展&gt;寄&gt;附發票&gt;兩個月28號匯款</v>
          </cell>
          <cell r="AM1102" t="str">
            <v>1-0551</v>
          </cell>
        </row>
        <row r="1103">
          <cell r="B1103" t="str">
            <v>1-1098</v>
          </cell>
          <cell r="E1103" t="str">
            <v>有限公司</v>
          </cell>
          <cell r="R1103" t="b">
            <v>0</v>
          </cell>
          <cell r="S1103" t="str"/>
          <cell r="T1103" t="b">
            <v>0</v>
          </cell>
          <cell r="W1103" t="str"/>
          <cell r="Y1103" t="str"/>
          <cell r="AA1103" t="str"/>
          <cell r="AK1103" t="str">
            <v>351-VB</v>
          </cell>
          <cell r="AL1103" t="str">
            <v>1-0551-久展&gt;寄&gt;附發票&gt;兩個月28號匯款</v>
          </cell>
          <cell r="AM1103" t="str">
            <v>1-0551</v>
          </cell>
        </row>
        <row r="1104">
          <cell r="B1104" t="str">
            <v>1-1099</v>
          </cell>
          <cell r="E1104" t="str">
            <v>有限公司</v>
          </cell>
          <cell r="R1104" t="b">
            <v>0</v>
          </cell>
          <cell r="S1104" t="str"/>
          <cell r="T1104" t="b">
            <v>0</v>
          </cell>
          <cell r="W1104" t="str"/>
          <cell r="Y1104" t="str"/>
          <cell r="AA1104" t="str"/>
          <cell r="AK1104" t="str">
            <v>360-Y7</v>
          </cell>
          <cell r="AL1104" t="str">
            <v>1-0551-久展&gt;寄&gt;附發票&gt;兩個月28號匯款</v>
          </cell>
          <cell r="AM1104" t="str">
            <v>1-0551</v>
          </cell>
        </row>
        <row r="1105">
          <cell r="B1105" t="str">
            <v>1-1100</v>
          </cell>
          <cell r="E1105" t="str">
            <v>有限公司</v>
          </cell>
          <cell r="R1105" t="b">
            <v>0</v>
          </cell>
          <cell r="S1105" t="str"/>
          <cell r="T1105" t="b">
            <v>0</v>
          </cell>
          <cell r="W1105" t="str"/>
          <cell r="Y1105" t="str"/>
          <cell r="AA1105" t="str"/>
          <cell r="AK1105" t="str">
            <v>086-HX</v>
          </cell>
          <cell r="AL1105" t="str">
            <v>1-0552-鍾錦福&gt;寄&gt;自結</v>
          </cell>
          <cell r="AM1105" t="str">
            <v>1-0552</v>
          </cell>
        </row>
        <row r="1106">
          <cell r="B1106" t="str">
            <v>1-1101</v>
          </cell>
          <cell r="E1106" t="str">
            <v>有限公司</v>
          </cell>
          <cell r="R1106" t="b">
            <v>0</v>
          </cell>
          <cell r="S1106" t="str"/>
          <cell r="T1106" t="b">
            <v>0</v>
          </cell>
          <cell r="W1106" t="str"/>
          <cell r="Y1106" t="str"/>
          <cell r="AA1106" t="str"/>
          <cell r="AK1106" t="str">
            <v>037-ZB</v>
          </cell>
          <cell r="AL1106" t="str">
            <v>1-0552-鍾錦福&gt;寄&gt;自結</v>
          </cell>
          <cell r="AM1106" t="str">
            <v>1-0552</v>
          </cell>
        </row>
        <row r="1107">
          <cell r="B1107" t="str">
            <v>1-1102</v>
          </cell>
          <cell r="E1107" t="str">
            <v>有限公司</v>
          </cell>
          <cell r="R1107" t="b">
            <v>0</v>
          </cell>
          <cell r="S1107" t="str"/>
          <cell r="T1107" t="b">
            <v>0</v>
          </cell>
          <cell r="W1107" t="str"/>
          <cell r="Y1107" t="str"/>
          <cell r="AA1107" t="str"/>
          <cell r="AK1107" t="str">
            <v>7493-F7</v>
          </cell>
          <cell r="AL1107" t="str">
            <v>1-0553-旭峰&gt;寄&gt;附發票&gt;附回郵</v>
          </cell>
          <cell r="AM1107" t="str">
            <v>1-0553</v>
          </cell>
        </row>
        <row r="1108">
          <cell r="B1108" t="str">
            <v>1-1103</v>
          </cell>
          <cell r="E1108" t="str">
            <v>有限公司</v>
          </cell>
          <cell r="R1108" t="b">
            <v>0</v>
          </cell>
          <cell r="S1108" t="str"/>
          <cell r="T1108" t="b">
            <v>0</v>
          </cell>
          <cell r="W1108" t="str"/>
          <cell r="Y1108" t="str"/>
          <cell r="AA1108" t="str"/>
          <cell r="AK1108" t="str">
            <v>ABN-8095</v>
          </cell>
          <cell r="AL1108" t="str">
            <v>1-0553-旭峰&gt;寄&gt;附發票&gt;附回郵</v>
          </cell>
          <cell r="AM1108" t="str">
            <v>1-0553</v>
          </cell>
        </row>
        <row r="1109">
          <cell r="B1109" t="str">
            <v>1-1104</v>
          </cell>
          <cell r="E1109" t="str">
            <v>有限公司</v>
          </cell>
          <cell r="R1109" t="b">
            <v>0</v>
          </cell>
          <cell r="S1109" t="str"/>
          <cell r="T1109" t="b">
            <v>0</v>
          </cell>
          <cell r="W1109" t="str"/>
          <cell r="Y1109" t="str"/>
          <cell r="AA1109" t="str"/>
          <cell r="AK1109" t="str">
            <v>LAD-057</v>
          </cell>
          <cell r="AL1109" t="str">
            <v>1-0555-品旺.品鑫&gt;寄&gt;自結</v>
          </cell>
          <cell r="AM1109" t="str">
            <v>1-0555</v>
          </cell>
        </row>
        <row r="1110">
          <cell r="B1110" t="str">
            <v>1-1105</v>
          </cell>
          <cell r="E1110" t="str">
            <v>有限公司</v>
          </cell>
          <cell r="R1110" t="b">
            <v>0</v>
          </cell>
          <cell r="S1110" t="str"/>
          <cell r="T1110" t="b">
            <v>0</v>
          </cell>
          <cell r="W1110" t="str"/>
          <cell r="Y1110" t="str"/>
          <cell r="AA1110" t="str"/>
          <cell r="AK1110" t="str">
            <v>593-Q7</v>
          </cell>
          <cell r="AL1110" t="str">
            <v>1-0555-品旺.品鑫&gt;寄&gt;自結</v>
          </cell>
          <cell r="AM1110" t="str">
            <v>1-0555</v>
          </cell>
        </row>
        <row r="1111">
          <cell r="B1111" t="str">
            <v>1-1106</v>
          </cell>
          <cell r="E1111" t="str">
            <v>有限公司</v>
          </cell>
          <cell r="R1111" t="b">
            <v>0</v>
          </cell>
          <cell r="S1111" t="str"/>
          <cell r="T1111" t="b">
            <v>0</v>
          </cell>
          <cell r="W1111" t="str"/>
          <cell r="Y1111" t="str"/>
          <cell r="AA1111" t="str"/>
          <cell r="AK1111" t="str">
            <v>AAQ-5861</v>
          </cell>
          <cell r="AL1111" t="str">
            <v>1-0555-品旺.品鑫&gt;寄&gt;自結</v>
          </cell>
          <cell r="AM1111" t="str">
            <v>1-0555</v>
          </cell>
        </row>
        <row r="1112">
          <cell r="B1112" t="str">
            <v>1-1107</v>
          </cell>
          <cell r="E1112" t="str">
            <v>有限公司</v>
          </cell>
          <cell r="R1112" t="b">
            <v>0</v>
          </cell>
          <cell r="S1112" t="str"/>
          <cell r="T1112" t="b">
            <v>0</v>
          </cell>
          <cell r="W1112" t="str"/>
          <cell r="Y1112" t="str"/>
          <cell r="AA1112" t="str"/>
          <cell r="AK1112" t="str">
            <v>851-G5</v>
          </cell>
          <cell r="AL1112" t="str">
            <v>1-0555-品旺.品鑫&gt;寄&gt;自結</v>
          </cell>
          <cell r="AM1112" t="str">
            <v>1-0555</v>
          </cell>
        </row>
        <row r="1113">
          <cell r="B1113" t="str">
            <v>1-1108</v>
          </cell>
          <cell r="E1113" t="str">
            <v>有限公司</v>
          </cell>
          <cell r="R1113" t="b">
            <v>0</v>
          </cell>
          <cell r="S1113" t="str"/>
          <cell r="T1113" t="b">
            <v>0</v>
          </cell>
          <cell r="W1113" t="str"/>
          <cell r="Y1113" t="str"/>
          <cell r="AA1113" t="str"/>
          <cell r="AK1113" t="str">
            <v>827-W6</v>
          </cell>
          <cell r="AL1113" t="str">
            <v>1-0555-品旺.品鑫&gt;寄&gt;自結</v>
          </cell>
          <cell r="AM1113" t="str">
            <v>1-0555</v>
          </cell>
        </row>
        <row r="1114">
          <cell r="B1114" t="str">
            <v>1-1109</v>
          </cell>
          <cell r="E1114" t="str">
            <v>有限公司</v>
          </cell>
          <cell r="R1114" t="b">
            <v>0</v>
          </cell>
          <cell r="S1114" t="str"/>
          <cell r="T1114" t="b">
            <v>0</v>
          </cell>
          <cell r="W1114" t="str"/>
          <cell r="Y1114" t="str"/>
          <cell r="AA1114" t="str"/>
          <cell r="AK1114" t="str">
            <v>1135-HN</v>
          </cell>
          <cell r="AL1114" t="str">
            <v>1-0465-原新金屬&gt;寄&gt;附發票&gt;附回郵</v>
          </cell>
          <cell r="AM1114" t="str">
            <v>1-0465</v>
          </cell>
        </row>
        <row r="1115">
          <cell r="B1115" t="str">
            <v>1-1110</v>
          </cell>
          <cell r="E1115" t="str">
            <v>有限公司</v>
          </cell>
          <cell r="R1115" t="b">
            <v>0</v>
          </cell>
          <cell r="S1115" t="str"/>
          <cell r="T1115" t="b">
            <v>0</v>
          </cell>
          <cell r="W1115" t="str"/>
          <cell r="Y1115" t="str"/>
          <cell r="AA1115" t="str"/>
          <cell r="AK1115" t="str">
            <v>KLF-0329</v>
          </cell>
          <cell r="AL1115" t="str">
            <v>1-0022-台新&gt;寄&gt;附發票&gt;兩個月25號匯款</v>
          </cell>
          <cell r="AM1115" t="str">
            <v>1-0022</v>
          </cell>
        </row>
        <row r="1116">
          <cell r="B1116" t="str">
            <v>1-1111</v>
          </cell>
          <cell r="E1116" t="str">
            <v>有限公司</v>
          </cell>
          <cell r="R1116" t="b">
            <v>0</v>
          </cell>
          <cell r="S1116" t="str"/>
          <cell r="T1116" t="b">
            <v>0</v>
          </cell>
          <cell r="W1116" t="str"/>
          <cell r="Y1116" t="str"/>
          <cell r="AA1116" t="str"/>
          <cell r="AK1116" t="str">
            <v>KLB-0539</v>
          </cell>
          <cell r="AL1116" t="str">
            <v>1-0736-盛鋐開發&gt;旺佶&gt;寄&gt;附發票&gt;1個月匯款</v>
          </cell>
          <cell r="AM1116" t="str">
            <v>1-0736</v>
          </cell>
        </row>
        <row r="1117">
          <cell r="B1117" t="str">
            <v>1-1112</v>
          </cell>
          <cell r="E1117" t="str">
            <v>有限公司</v>
          </cell>
          <cell r="R1117" t="b">
            <v>0</v>
          </cell>
          <cell r="S1117" t="str"/>
          <cell r="T1117" t="b">
            <v>0</v>
          </cell>
          <cell r="W1117" t="str"/>
          <cell r="Y1117" t="str"/>
          <cell r="AA1117" t="str"/>
          <cell r="AK1117" t="str">
            <v>280-ZW</v>
          </cell>
          <cell r="AL1117" t="str">
            <v>1-0557-詹馬力&gt;電&gt;匯款</v>
          </cell>
          <cell r="AM1117" t="str">
            <v>1-0557</v>
          </cell>
        </row>
        <row r="1118">
          <cell r="B1118" t="str">
            <v>1-1113</v>
          </cell>
          <cell r="E1118" t="str">
            <v>有限公司</v>
          </cell>
          <cell r="R1118" t="b">
            <v>0</v>
          </cell>
          <cell r="S1118" t="str"/>
          <cell r="T1118" t="b">
            <v>0</v>
          </cell>
          <cell r="W1118" t="str"/>
          <cell r="Y1118" t="str"/>
          <cell r="AA1118" t="str"/>
          <cell r="AK1118" t="str">
            <v>621-FY</v>
          </cell>
          <cell r="AL1118" t="str">
            <v>1-0558-苗栗客運&gt;寄&gt;附發票&gt;附回郵</v>
          </cell>
          <cell r="AM1118" t="str">
            <v>1-0558</v>
          </cell>
        </row>
        <row r="1119">
          <cell r="B1119" t="str">
            <v>1-1114</v>
          </cell>
          <cell r="E1119" t="str">
            <v>有限公司</v>
          </cell>
          <cell r="R1119" t="b">
            <v>0</v>
          </cell>
          <cell r="S1119" t="str"/>
          <cell r="T1119" t="b">
            <v>0</v>
          </cell>
          <cell r="W1119" t="str"/>
          <cell r="Y1119" t="str"/>
          <cell r="AA1119" t="str"/>
          <cell r="AK1119" t="str">
            <v>825-JD</v>
          </cell>
          <cell r="AL1119" t="str">
            <v>1-0559-黃清輝&gt;寄&gt;匯款</v>
          </cell>
          <cell r="AM1119" t="str">
            <v>1-0559</v>
          </cell>
        </row>
        <row r="1120">
          <cell r="B1120" t="str">
            <v>1-1115</v>
          </cell>
          <cell r="E1120" t="str">
            <v>有限公司</v>
          </cell>
          <cell r="R1120" t="b">
            <v>0</v>
          </cell>
          <cell r="S1120" t="str"/>
          <cell r="T1120" t="b">
            <v>0</v>
          </cell>
          <cell r="W1120" t="str"/>
          <cell r="Y1120" t="str"/>
          <cell r="AA1120" t="str"/>
          <cell r="AK1120" t="str">
            <v>3V-252</v>
          </cell>
          <cell r="AL1120" t="str">
            <v>1-0560-億弘&gt;寄&gt;附發票&gt;附回郵</v>
          </cell>
          <cell r="AM1120" t="str">
            <v>1-0560</v>
          </cell>
        </row>
        <row r="1121">
          <cell r="B1121" t="str">
            <v>1-1116</v>
          </cell>
          <cell r="E1121" t="str">
            <v>有限公司</v>
          </cell>
          <cell r="R1121" t="b">
            <v>0</v>
          </cell>
          <cell r="S1121" t="str"/>
          <cell r="T1121" t="b">
            <v>0</v>
          </cell>
          <cell r="W1121" t="str"/>
          <cell r="Y1121" t="str"/>
          <cell r="AA1121" t="str"/>
          <cell r="AK1121" t="str">
            <v>106-SW</v>
          </cell>
          <cell r="AL1121" t="str">
            <v>1-0560-億弘&gt;寄&gt;附發票&gt;附回郵</v>
          </cell>
          <cell r="AM1121" t="str">
            <v>1-0560</v>
          </cell>
        </row>
        <row r="1122">
          <cell r="B1122" t="str">
            <v>1-1117</v>
          </cell>
          <cell r="E1122" t="str">
            <v>有限公司</v>
          </cell>
          <cell r="R1122" t="b">
            <v>0</v>
          </cell>
          <cell r="S1122" t="str"/>
          <cell r="T1122" t="b">
            <v>0</v>
          </cell>
          <cell r="W1122" t="str"/>
          <cell r="Y1122" t="str"/>
          <cell r="AA1122" t="str"/>
          <cell r="AK1122" t="str">
            <v>889-VN</v>
          </cell>
          <cell r="AL1122" t="str">
            <v>1-0560-億弘&gt;寄&gt;附發票&gt;附回郵</v>
          </cell>
          <cell r="AM1122" t="str">
            <v>1-0560</v>
          </cell>
        </row>
        <row r="1123">
          <cell r="B1123" t="str">
            <v>1-1118</v>
          </cell>
          <cell r="E1123" t="str">
            <v>有限公司</v>
          </cell>
          <cell r="R1123" t="b">
            <v>0</v>
          </cell>
          <cell r="S1123" t="str"/>
          <cell r="T1123" t="b">
            <v>0</v>
          </cell>
          <cell r="W1123" t="str"/>
          <cell r="Y1123" t="str"/>
          <cell r="AA1123" t="str"/>
          <cell r="AK1123" t="str">
            <v>5686-F5</v>
          </cell>
          <cell r="AL1123" t="str">
            <v>1-0560-億弘&gt;寄&gt;附發票&gt;附回郵</v>
          </cell>
          <cell r="AM1123" t="str">
            <v>1-0560</v>
          </cell>
        </row>
        <row r="1124">
          <cell r="B1124" t="str">
            <v>1-1119</v>
          </cell>
          <cell r="E1124" t="str">
            <v>有限公司</v>
          </cell>
          <cell r="R1124" t="b">
            <v>0</v>
          </cell>
          <cell r="S1124" t="str"/>
          <cell r="T1124" t="b">
            <v>0</v>
          </cell>
          <cell r="W1124" t="str"/>
          <cell r="Y1124" t="str"/>
          <cell r="AA1124" t="str"/>
          <cell r="AK1124" t="str">
            <v>019-X6</v>
          </cell>
          <cell r="AL1124" t="str">
            <v>1-0561-吳子權&gt;駱駝&gt;電&gt;款</v>
          </cell>
          <cell r="AM1124" t="str">
            <v>1-0561</v>
          </cell>
        </row>
        <row r="1125">
          <cell r="B1125" t="str">
            <v>1-1120</v>
          </cell>
          <cell r="E1125" t="str">
            <v>有限公司</v>
          </cell>
          <cell r="R1125" t="b">
            <v>0</v>
          </cell>
          <cell r="S1125" t="str"/>
          <cell r="T1125" t="b">
            <v>0</v>
          </cell>
          <cell r="W1125" t="str"/>
          <cell r="Y1125" t="str"/>
          <cell r="AA1125" t="str"/>
          <cell r="AK1125" t="str">
            <v>GX-Z61</v>
          </cell>
          <cell r="AL1125" t="str">
            <v>1-0562-蔣芳勇&gt;寄&gt;自結</v>
          </cell>
          <cell r="AM1125" t="str">
            <v>1-0562</v>
          </cell>
        </row>
        <row r="1126">
          <cell r="B1126" t="str">
            <v>1-1121</v>
          </cell>
          <cell r="E1126" t="str">
            <v>有限公司</v>
          </cell>
          <cell r="R1126" t="b">
            <v>0</v>
          </cell>
          <cell r="S1126" t="str"/>
          <cell r="T1126" t="b">
            <v>0</v>
          </cell>
          <cell r="W1126" t="str"/>
          <cell r="Y1126" t="str"/>
          <cell r="AA1126" t="str"/>
          <cell r="AK1126" t="str">
            <v>8369-N5</v>
          </cell>
          <cell r="AL1126" t="str">
            <v>1-0563-鳴倫&gt;寄&gt;附發票&gt;附回郵</v>
          </cell>
          <cell r="AM1126" t="str">
            <v>1-0563</v>
          </cell>
        </row>
        <row r="1127">
          <cell r="B1127" t="str">
            <v>1-1122</v>
          </cell>
          <cell r="E1127" t="str">
            <v>有限公司</v>
          </cell>
          <cell r="R1127" t="b">
            <v>0</v>
          </cell>
          <cell r="S1127" t="str"/>
          <cell r="T1127" t="b">
            <v>0</v>
          </cell>
          <cell r="W1127" t="str"/>
          <cell r="Y1127" t="str"/>
          <cell r="AA1127" t="str"/>
          <cell r="AK1127" t="str">
            <v>982-RD</v>
          </cell>
          <cell r="AL1127" t="str">
            <v>1-0563-鳴倫&gt;寄&gt;附發票&gt;附回郵</v>
          </cell>
          <cell r="AM1127" t="str">
            <v>1-0563</v>
          </cell>
        </row>
        <row r="1128">
          <cell r="B1128" t="str">
            <v>1-1123</v>
          </cell>
          <cell r="E1128" t="str">
            <v>有限公司</v>
          </cell>
          <cell r="R1128" t="b">
            <v>0</v>
          </cell>
          <cell r="S1128" t="str"/>
          <cell r="T1128" t="b">
            <v>0</v>
          </cell>
          <cell r="W1128" t="str"/>
          <cell r="Y1128" t="str"/>
          <cell r="AA1128" t="str"/>
          <cell r="AK1128" t="str">
            <v>6U-552</v>
          </cell>
          <cell r="AL1128" t="str">
            <v>1-0564-全泰&gt;寄&gt;附發票&gt;附回郵</v>
          </cell>
          <cell r="AM1128" t="str">
            <v>1-0564</v>
          </cell>
        </row>
        <row r="1129">
          <cell r="B1129" t="str">
            <v>1-1124</v>
          </cell>
          <cell r="E1129" t="str">
            <v>有限公司</v>
          </cell>
          <cell r="R1129" t="b">
            <v>0</v>
          </cell>
          <cell r="S1129" t="str"/>
          <cell r="T1129" t="b">
            <v>0</v>
          </cell>
          <cell r="W1129" t="str"/>
          <cell r="Y1129" t="str"/>
          <cell r="AA1129" t="str"/>
          <cell r="AK1129" t="str">
            <v>331-VB</v>
          </cell>
          <cell r="AL1129" t="str">
            <v>1-0565-有利&gt;寄&gt;附發票&gt;附回郵</v>
          </cell>
          <cell r="AM1129" t="str">
            <v>1-0565</v>
          </cell>
        </row>
        <row r="1130">
          <cell r="B1130" t="str">
            <v>1-1125</v>
          </cell>
          <cell r="E1130" t="str">
            <v>有限公司</v>
          </cell>
          <cell r="R1130" t="b">
            <v>0</v>
          </cell>
          <cell r="S1130" t="str"/>
          <cell r="T1130" t="b">
            <v>0</v>
          </cell>
          <cell r="W1130" t="str"/>
          <cell r="Y1130" t="str"/>
          <cell r="AA1130" t="str"/>
          <cell r="AK1130" t="str">
            <v>8699-B6</v>
          </cell>
          <cell r="AL1130" t="str">
            <v>1-0566-順彬&gt;寄&gt;附發票&gt;附回郵</v>
          </cell>
          <cell r="AM1130" t="str">
            <v>1-0566</v>
          </cell>
        </row>
        <row r="1131">
          <cell r="B1131" t="str">
            <v>1-1126</v>
          </cell>
          <cell r="E1131" t="str">
            <v>有限公司</v>
          </cell>
          <cell r="R1131" t="b">
            <v>0</v>
          </cell>
          <cell r="S1131" t="str"/>
          <cell r="T1131" t="b">
            <v>0</v>
          </cell>
          <cell r="W1131" t="str"/>
          <cell r="Y1131" t="str"/>
          <cell r="AA1131" t="str"/>
          <cell r="AK1131" t="str">
            <v>388-Y7</v>
          </cell>
          <cell r="AL1131" t="str">
            <v>1-0566-順彬&gt;寄&gt;附發票&gt;附回郵</v>
          </cell>
          <cell r="AM1131" t="str">
            <v>1-0566</v>
          </cell>
        </row>
        <row r="1132">
          <cell r="B1132" t="str">
            <v>1-1127</v>
          </cell>
          <cell r="E1132" t="str">
            <v>有限公司</v>
          </cell>
          <cell r="R1132" t="b">
            <v>0</v>
          </cell>
          <cell r="S1132" t="str"/>
          <cell r="T1132" t="b">
            <v>0</v>
          </cell>
          <cell r="W1132" t="str"/>
          <cell r="Y1132" t="str"/>
          <cell r="AA1132" t="str"/>
          <cell r="AK1132" t="str">
            <v>089-Y7</v>
          </cell>
          <cell r="AL1132" t="str">
            <v>1-0566-順彬&gt;寄&gt;附發票&gt;附回郵</v>
          </cell>
          <cell r="AM1132" t="str">
            <v>1-0566</v>
          </cell>
        </row>
        <row r="1133">
          <cell r="B1133" t="str">
            <v>1-1128</v>
          </cell>
          <cell r="E1133" t="str">
            <v>有限公司</v>
          </cell>
          <cell r="R1133" t="b">
            <v>0</v>
          </cell>
          <cell r="S1133" t="str"/>
          <cell r="T1133" t="b">
            <v>0</v>
          </cell>
          <cell r="W1133" t="str"/>
          <cell r="Y1133" t="str"/>
          <cell r="AA1133" t="str"/>
          <cell r="AK1133" t="str">
            <v>688-Q2</v>
          </cell>
          <cell r="AL1133" t="str">
            <v>1-0566-順彬&gt;寄&gt;附發票&gt;附回郵</v>
          </cell>
          <cell r="AM1133" t="str">
            <v>1-0566</v>
          </cell>
        </row>
        <row r="1134">
          <cell r="B1134" t="str">
            <v>1-1129</v>
          </cell>
          <cell r="E1134" t="str">
            <v>有限公司</v>
          </cell>
          <cell r="R1134" t="b">
            <v>0</v>
          </cell>
          <cell r="S1134" t="str"/>
          <cell r="T1134" t="b">
            <v>0</v>
          </cell>
          <cell r="W1134" t="str"/>
          <cell r="Y1134" t="str"/>
          <cell r="AA1134" t="str"/>
          <cell r="AK1134" t="str">
            <v>2290-M7</v>
          </cell>
          <cell r="AL1134" t="str">
            <v>1-0567-東億&gt;寄&gt;附發票&gt;附回郵</v>
          </cell>
          <cell r="AM1134" t="str">
            <v>1-0567</v>
          </cell>
        </row>
        <row r="1135">
          <cell r="B1135" t="str">
            <v>1-1130</v>
          </cell>
          <cell r="E1135" t="str">
            <v>有限公司</v>
          </cell>
          <cell r="R1135" t="b">
            <v>0</v>
          </cell>
          <cell r="S1135" t="str"/>
          <cell r="T1135" t="b">
            <v>0</v>
          </cell>
          <cell r="W1135" t="str"/>
          <cell r="Y1135" t="str"/>
          <cell r="AA1135" t="str"/>
          <cell r="AK1135" t="str">
            <v>1811-HK</v>
          </cell>
          <cell r="AL1135" t="str">
            <v>1-0567-東億&gt;寄&gt;附發票&gt;附回郵</v>
          </cell>
          <cell r="AM1135" t="str">
            <v>1-0567</v>
          </cell>
        </row>
        <row r="1136">
          <cell r="B1136" t="str">
            <v>1-1131</v>
          </cell>
          <cell r="E1136" t="str">
            <v>有限公司</v>
          </cell>
          <cell r="R1136" t="b">
            <v>0</v>
          </cell>
          <cell r="S1136" t="str"/>
          <cell r="T1136" t="b">
            <v>0</v>
          </cell>
          <cell r="W1136" t="str"/>
          <cell r="Y1136" t="str"/>
          <cell r="AA1136" t="str"/>
          <cell r="AK1136" t="str">
            <v>652-Q2</v>
          </cell>
          <cell r="AL1136" t="str">
            <v>1-0568-奇昇&gt;寄&gt;附回郵</v>
          </cell>
          <cell r="AM1136" t="str">
            <v>1-0568</v>
          </cell>
        </row>
        <row r="1137">
          <cell r="B1137" t="str">
            <v>1-1132</v>
          </cell>
          <cell r="E1137" t="str">
            <v>有限公司</v>
          </cell>
          <cell r="R1137" t="b">
            <v>0</v>
          </cell>
          <cell r="S1137" t="str"/>
          <cell r="T1137" t="b">
            <v>0</v>
          </cell>
          <cell r="W1137" t="str"/>
          <cell r="Y1137" t="str"/>
          <cell r="AA1137" t="str"/>
          <cell r="AK1137" t="str">
            <v>149-GF</v>
          </cell>
          <cell r="AL1137" t="str">
            <v>1-0569-洪和平&gt;松生&gt;寄&gt;自結</v>
          </cell>
          <cell r="AM1137" t="str">
            <v>1-0569</v>
          </cell>
        </row>
        <row r="1138">
          <cell r="B1138" t="str">
            <v>1-1133</v>
          </cell>
          <cell r="E1138" t="str">
            <v>有限公司</v>
          </cell>
          <cell r="R1138" t="b">
            <v>0</v>
          </cell>
          <cell r="S1138" t="str"/>
          <cell r="T1138" t="b">
            <v>0</v>
          </cell>
          <cell r="W1138" t="str"/>
          <cell r="Y1138" t="str"/>
          <cell r="AA1138" t="str"/>
          <cell r="AK1138" t="str">
            <v>919-JD</v>
          </cell>
          <cell r="AL1138" t="str">
            <v>1-0571-賴鼎龍&gt;菱揚&gt;酒空&gt;寄&gt;自結</v>
          </cell>
          <cell r="AM1138" t="str">
            <v>1-0571</v>
          </cell>
        </row>
        <row r="1139">
          <cell r="B1139" t="str">
            <v>1-1134</v>
          </cell>
          <cell r="E1139" t="str">
            <v>有限公司</v>
          </cell>
          <cell r="R1139" t="b">
            <v>0</v>
          </cell>
          <cell r="S1139" t="str"/>
          <cell r="T1139" t="b">
            <v>0</v>
          </cell>
          <cell r="W1139" t="str"/>
          <cell r="Y1139" t="str"/>
          <cell r="AA1139" t="str"/>
          <cell r="AK1139" t="str">
            <v>RW-881</v>
          </cell>
          <cell r="AL1139" t="str">
            <v>1-0572-正洋&gt;寄&gt;附發票&gt;附回郵</v>
          </cell>
          <cell r="AM1139" t="str">
            <v>1-0572</v>
          </cell>
        </row>
        <row r="1140">
          <cell r="B1140" t="str">
            <v>1-1135</v>
          </cell>
          <cell r="E1140" t="str">
            <v>有限公司</v>
          </cell>
          <cell r="R1140" t="b">
            <v>0</v>
          </cell>
          <cell r="S1140" t="str"/>
          <cell r="T1140" t="b">
            <v>0</v>
          </cell>
          <cell r="W1140" t="str"/>
          <cell r="Y1140" t="str"/>
          <cell r="AA1140" t="str"/>
          <cell r="AK1140" t="str">
            <v>121-G6</v>
          </cell>
          <cell r="AL1140" t="str">
            <v>1-0334-廣寶&gt;環亞&gt;正大&gt;寄&gt;附回郵&gt;1個月後匯款</v>
          </cell>
          <cell r="AM1140" t="str">
            <v>1-0334</v>
          </cell>
        </row>
        <row r="1141">
          <cell r="B1141" t="str">
            <v>1-1136</v>
          </cell>
          <cell r="E1141" t="str">
            <v>有限公司</v>
          </cell>
          <cell r="R1141" t="b">
            <v>0</v>
          </cell>
          <cell r="S1141" t="str"/>
          <cell r="T1141" t="b">
            <v>0</v>
          </cell>
          <cell r="W1141" t="str"/>
          <cell r="Y1141" t="str"/>
          <cell r="AA1141" t="str"/>
          <cell r="AK1141" t="str">
            <v>730-HF</v>
          </cell>
          <cell r="AL1141" t="str">
            <v>1-0574-洪其振&gt;寄&gt;匯款:日新.周杏美.</v>
          </cell>
          <cell r="AM1141" t="str">
            <v>1-0574</v>
          </cell>
        </row>
        <row r="1142">
          <cell r="B1142" t="str">
            <v>1-1137</v>
          </cell>
          <cell r="E1142" t="str">
            <v>有限公司</v>
          </cell>
          <cell r="R1142" t="b">
            <v>0</v>
          </cell>
          <cell r="S1142" t="str"/>
          <cell r="T1142" t="b">
            <v>0</v>
          </cell>
          <cell r="W1142" t="str"/>
          <cell r="Y1142" t="str"/>
          <cell r="AA1142" t="str"/>
          <cell r="AK1142" t="str">
            <v>398-HQ</v>
          </cell>
          <cell r="AL1142" t="str">
            <v>1-0574-洪其振&gt;寄&gt;匯款:日新.周杏美.</v>
          </cell>
          <cell r="AM1142" t="str">
            <v>1-0574</v>
          </cell>
        </row>
        <row r="1143">
          <cell r="B1143" t="str">
            <v>1-1138</v>
          </cell>
          <cell r="E1143" t="str">
            <v>有限公司</v>
          </cell>
          <cell r="R1143" t="b">
            <v>0</v>
          </cell>
          <cell r="S1143" t="str"/>
          <cell r="T1143" t="b">
            <v>0</v>
          </cell>
          <cell r="W1143" t="str"/>
          <cell r="Y1143" t="str"/>
          <cell r="AA1143" t="str"/>
          <cell r="AK1143" t="str">
            <v>736-RV</v>
          </cell>
          <cell r="AL1143" t="str">
            <v>1-0575-力麟&gt;寄&gt;附發票&gt;附回郵</v>
          </cell>
          <cell r="AM1143" t="str">
            <v>1-0575</v>
          </cell>
        </row>
        <row r="1144">
          <cell r="B1144" t="str">
            <v>1-1139</v>
          </cell>
          <cell r="E1144" t="str">
            <v>有限公司</v>
          </cell>
          <cell r="R1144" t="b">
            <v>0</v>
          </cell>
          <cell r="S1144" t="str"/>
          <cell r="T1144" t="b">
            <v>0</v>
          </cell>
          <cell r="W1144" t="str"/>
          <cell r="Y1144" t="str"/>
          <cell r="AA1144" t="str"/>
          <cell r="AK1144" t="str">
            <v>268-W9</v>
          </cell>
          <cell r="AL1144" t="str">
            <v>1-0576-弘振&gt;寄&gt;匯款</v>
          </cell>
          <cell r="AM1144" t="str">
            <v>1-0576</v>
          </cell>
        </row>
        <row r="1145">
          <cell r="B1145" t="str">
            <v>1-1140</v>
          </cell>
          <cell r="E1145" t="str">
            <v>有限公司</v>
          </cell>
          <cell r="R1145" t="b">
            <v>0</v>
          </cell>
          <cell r="S1145" t="str"/>
          <cell r="T1145" t="b">
            <v>0</v>
          </cell>
          <cell r="W1145" t="str"/>
          <cell r="Y1145" t="str"/>
          <cell r="AA1145" t="str"/>
          <cell r="AK1145" t="str">
            <v>8U-573</v>
          </cell>
          <cell r="AL1145" t="str">
            <v>1-0577-毓丰&gt;寄&gt;附發票&gt;附回郵</v>
          </cell>
          <cell r="AM1145" t="str">
            <v>1-0577</v>
          </cell>
        </row>
        <row r="1146">
          <cell r="B1146" t="str">
            <v>1-1141</v>
          </cell>
          <cell r="E1146" t="str">
            <v>有限公司</v>
          </cell>
          <cell r="R1146" t="b">
            <v>0</v>
          </cell>
          <cell r="S1146" t="str"/>
          <cell r="T1146" t="b">
            <v>0</v>
          </cell>
          <cell r="W1146" t="str"/>
          <cell r="Y1146" t="str"/>
          <cell r="AA1146" t="str"/>
          <cell r="AK1146" t="str">
            <v>6F-167</v>
          </cell>
          <cell r="AL1146" t="str">
            <v>1-0577-毓丰&gt;寄&gt;附發票&gt;附回郵</v>
          </cell>
          <cell r="AM1146" t="str">
            <v>1-0577</v>
          </cell>
        </row>
        <row r="1147">
          <cell r="B1147" t="str">
            <v>1-1142</v>
          </cell>
          <cell r="E1147" t="str">
            <v>有限公司</v>
          </cell>
          <cell r="R1147" t="b">
            <v>0</v>
          </cell>
          <cell r="S1147" t="str"/>
          <cell r="T1147" t="b">
            <v>0</v>
          </cell>
          <cell r="W1147" t="str"/>
          <cell r="Y1147" t="str"/>
          <cell r="AA1147" t="str"/>
          <cell r="AK1147" t="str">
            <v>AAV-155</v>
          </cell>
          <cell r="AL1147" t="str">
            <v>1-0577-毓丰&gt;寄&gt;附發票&gt;附回郵</v>
          </cell>
          <cell r="AM1147" t="str">
            <v>1-0577</v>
          </cell>
        </row>
        <row r="1148">
          <cell r="B1148" t="str">
            <v>1-1143</v>
          </cell>
          <cell r="E1148" t="str">
            <v>有限公司</v>
          </cell>
          <cell r="R1148" t="b">
            <v>0</v>
          </cell>
          <cell r="S1148" t="str"/>
          <cell r="T1148" t="b">
            <v>0</v>
          </cell>
          <cell r="W1148" t="str"/>
          <cell r="Y1148" t="str"/>
          <cell r="AA1148" t="str"/>
          <cell r="AK1148" t="str">
            <v>370-YV</v>
          </cell>
          <cell r="AL1148" t="str">
            <v>1-0579-(1/2)捷盛&gt;寄&gt;附發票&gt;3個月匯款</v>
          </cell>
          <cell r="AM1148" t="str">
            <v>1-0579</v>
          </cell>
        </row>
        <row r="1149">
          <cell r="B1149" t="str">
            <v>1-1144</v>
          </cell>
          <cell r="E1149" t="str">
            <v>有限公司</v>
          </cell>
          <cell r="R1149" t="b">
            <v>0</v>
          </cell>
          <cell r="S1149" t="str"/>
          <cell r="T1149" t="b">
            <v>0</v>
          </cell>
          <cell r="W1149" t="str"/>
          <cell r="Y1149" t="str"/>
          <cell r="AA1149" t="str"/>
          <cell r="AK1149" t="str">
            <v>415-YV</v>
          </cell>
          <cell r="AL1149" t="str">
            <v>1-0579-(1/2)捷盛&gt;寄&gt;附發票&gt;3個月匯款</v>
          </cell>
          <cell r="AM1149" t="str">
            <v>1-0579</v>
          </cell>
        </row>
        <row r="1150">
          <cell r="B1150" t="str">
            <v>1-1145</v>
          </cell>
          <cell r="E1150" t="str">
            <v>有限公司</v>
          </cell>
          <cell r="R1150" t="b">
            <v>0</v>
          </cell>
          <cell r="S1150" t="str"/>
          <cell r="T1150" t="b">
            <v>0</v>
          </cell>
          <cell r="W1150" t="str"/>
          <cell r="Y1150" t="str"/>
          <cell r="AA1150" t="str"/>
          <cell r="AK1150" t="str">
            <v>416-YV</v>
          </cell>
          <cell r="AL1150" t="str">
            <v>1-0579-(1/2)捷盛&gt;寄&gt;附發票&gt;3個月匯款</v>
          </cell>
          <cell r="AM1150" t="str">
            <v>1-0579</v>
          </cell>
        </row>
        <row r="1151">
          <cell r="B1151" t="str">
            <v>1-1146</v>
          </cell>
          <cell r="E1151" t="str">
            <v>有限公司</v>
          </cell>
          <cell r="R1151" t="b">
            <v>0</v>
          </cell>
          <cell r="S1151" t="str"/>
          <cell r="T1151" t="b">
            <v>0</v>
          </cell>
          <cell r="W1151" t="str"/>
          <cell r="Y1151" t="str"/>
          <cell r="AA1151" t="str"/>
          <cell r="AK1151" t="str">
            <v>580-ZB</v>
          </cell>
          <cell r="AL1151" t="str">
            <v>1-0579-(1/2)捷盛&gt;寄&gt;附發票&gt;3個月匯款</v>
          </cell>
          <cell r="AM1151" t="str">
            <v>1-0579</v>
          </cell>
        </row>
        <row r="1152">
          <cell r="B1152" t="str">
            <v>1-1147</v>
          </cell>
          <cell r="E1152" t="str">
            <v>有限公司</v>
          </cell>
          <cell r="R1152" t="b">
            <v>0</v>
          </cell>
          <cell r="S1152" t="str"/>
          <cell r="T1152" t="b">
            <v>0</v>
          </cell>
          <cell r="W1152" t="str"/>
          <cell r="Y1152" t="str"/>
          <cell r="AA1152" t="str"/>
          <cell r="AK1152" t="str">
            <v>583-ZB</v>
          </cell>
          <cell r="AL1152" t="str">
            <v>1-0579-(1/2)捷盛&gt;寄&gt;附發票&gt;3個月匯款</v>
          </cell>
          <cell r="AM1152" t="str">
            <v>1-0579</v>
          </cell>
        </row>
        <row r="1153">
          <cell r="B1153" t="str">
            <v>1-1148</v>
          </cell>
          <cell r="E1153" t="str">
            <v>有限公司</v>
          </cell>
          <cell r="R1153" t="b">
            <v>0</v>
          </cell>
          <cell r="S1153" t="str"/>
          <cell r="T1153" t="b">
            <v>0</v>
          </cell>
          <cell r="W1153" t="str"/>
          <cell r="Y1153" t="str"/>
          <cell r="AA1153" t="str"/>
          <cell r="AK1153" t="str">
            <v>013-G6</v>
          </cell>
          <cell r="AL1153" t="str">
            <v>1-0579-(1/2)捷盛&gt;寄&gt;附發票&gt;3個月匯款</v>
          </cell>
          <cell r="AM1153" t="str">
            <v>1-0579</v>
          </cell>
        </row>
        <row r="1154">
          <cell r="B1154" t="str">
            <v>1-1149</v>
          </cell>
          <cell r="E1154" t="str">
            <v>有限公司</v>
          </cell>
          <cell r="R1154" t="b">
            <v>0</v>
          </cell>
          <cell r="S1154" t="str"/>
          <cell r="T1154" t="b">
            <v>0</v>
          </cell>
          <cell r="W1154" t="str"/>
          <cell r="Y1154" t="str"/>
          <cell r="AA1154" t="str"/>
          <cell r="AK1154" t="str">
            <v>015-G6</v>
          </cell>
          <cell r="AL1154" t="str">
            <v>1-0579-(1/2)捷盛&gt;寄&gt;附發票&gt;3個月匯款</v>
          </cell>
          <cell r="AM1154" t="str">
            <v>1-0579</v>
          </cell>
        </row>
        <row r="1155">
          <cell r="B1155" t="str">
            <v>1-1150</v>
          </cell>
          <cell r="E1155" t="str">
            <v>有限公司</v>
          </cell>
          <cell r="R1155" t="b">
            <v>0</v>
          </cell>
          <cell r="S1155" t="str"/>
          <cell r="T1155" t="b">
            <v>0</v>
          </cell>
          <cell r="W1155" t="str"/>
          <cell r="Y1155" t="str"/>
          <cell r="AA1155" t="str"/>
          <cell r="AK1155" t="str">
            <v>016-G6</v>
          </cell>
          <cell r="AL1155" t="str">
            <v>1-0579-(1/2)捷盛&gt;寄&gt;附發票&gt;3個月匯款</v>
          </cell>
          <cell r="AM1155" t="str">
            <v>1-0579</v>
          </cell>
        </row>
        <row r="1156">
          <cell r="B1156" t="str">
            <v>1-1151</v>
          </cell>
          <cell r="E1156" t="str">
            <v>有限公司</v>
          </cell>
          <cell r="R1156" t="b">
            <v>0</v>
          </cell>
          <cell r="S1156" t="str"/>
          <cell r="T1156" t="b">
            <v>0</v>
          </cell>
          <cell r="W1156" t="str"/>
          <cell r="Y1156" t="str"/>
          <cell r="AA1156" t="str"/>
          <cell r="AK1156" t="str">
            <v>301-Q8</v>
          </cell>
          <cell r="AL1156" t="str">
            <v>1-0579-(1/2)捷盛&gt;寄&gt;附發票&gt;3個月匯款</v>
          </cell>
          <cell r="AM1156" t="str">
            <v>1-0579</v>
          </cell>
        </row>
        <row r="1157">
          <cell r="B1157" t="str">
            <v>1-1152</v>
          </cell>
          <cell r="E1157" t="str">
            <v>有限公司</v>
          </cell>
          <cell r="R1157" t="b">
            <v>0</v>
          </cell>
          <cell r="S1157" t="str"/>
          <cell r="T1157" t="b">
            <v>0</v>
          </cell>
          <cell r="W1157" t="str"/>
          <cell r="Y1157" t="str"/>
          <cell r="AA1157" t="str"/>
          <cell r="AK1157" t="str">
            <v>579-ZB</v>
          </cell>
          <cell r="AL1157" t="str">
            <v>1-0579-(1/2)捷盛&gt;寄&gt;附發票&gt;3個月匯款</v>
          </cell>
          <cell r="AM1157" t="str">
            <v>1-0579</v>
          </cell>
        </row>
        <row r="1158">
          <cell r="B1158" t="str">
            <v>1-1153</v>
          </cell>
          <cell r="E1158" t="str">
            <v>有限公司</v>
          </cell>
          <cell r="R1158" t="b">
            <v>0</v>
          </cell>
          <cell r="S1158" t="str"/>
          <cell r="T1158" t="b">
            <v>0</v>
          </cell>
          <cell r="W1158" t="str"/>
          <cell r="Y1158" t="str"/>
          <cell r="AA1158" t="str"/>
          <cell r="AK1158" t="str">
            <v>683-HY</v>
          </cell>
          <cell r="AL1158" t="str">
            <v>1-0579-(1/2)捷盛&gt;寄&gt;附發票&gt;3個月匯款</v>
          </cell>
          <cell r="AM1158" t="str">
            <v>1-0579</v>
          </cell>
        </row>
        <row r="1159">
          <cell r="B1159" t="str">
            <v>1-1154</v>
          </cell>
          <cell r="E1159" t="str">
            <v>有限公司</v>
          </cell>
          <cell r="R1159" t="b">
            <v>0</v>
          </cell>
          <cell r="S1159" t="str"/>
          <cell r="T1159" t="b">
            <v>0</v>
          </cell>
          <cell r="W1159" t="str"/>
          <cell r="Y1159" t="str"/>
          <cell r="AA1159" t="str"/>
          <cell r="AK1159" t="str">
            <v>LAF-315</v>
          </cell>
          <cell r="AL1159" t="str">
            <v>1-0579-(1/2)捷盛&gt;寄&gt;附發票&gt;3個月匯款</v>
          </cell>
          <cell r="AM1159" t="str">
            <v>1-0579</v>
          </cell>
        </row>
        <row r="1160">
          <cell r="B1160" t="str">
            <v>1-1155</v>
          </cell>
          <cell r="E1160" t="str">
            <v>有限公司</v>
          </cell>
          <cell r="R1160" t="b">
            <v>0</v>
          </cell>
          <cell r="S1160" t="str"/>
          <cell r="T1160" t="b">
            <v>0</v>
          </cell>
          <cell r="W1160" t="str"/>
          <cell r="Y1160" t="str"/>
          <cell r="AA1160" t="str"/>
          <cell r="AK1160" t="str">
            <v>LAF-318</v>
          </cell>
          <cell r="AL1160" t="str">
            <v>1-0579-(1/2)捷盛&gt;寄&gt;附發票&gt;3個月匯款</v>
          </cell>
          <cell r="AM1160" t="str">
            <v>1-0579</v>
          </cell>
        </row>
        <row r="1161">
          <cell r="B1161" t="str">
            <v>1-1156</v>
          </cell>
          <cell r="E1161" t="str">
            <v>有限公司</v>
          </cell>
          <cell r="R1161" t="b">
            <v>0</v>
          </cell>
          <cell r="S1161" t="str"/>
          <cell r="T1161" t="b">
            <v>0</v>
          </cell>
          <cell r="W1161" t="str"/>
          <cell r="Y1161" t="str"/>
          <cell r="AA1161" t="str"/>
          <cell r="AK1161" t="str">
            <v>LAF-326</v>
          </cell>
          <cell r="AL1161" t="str">
            <v>1-0579-(1/2)捷盛&gt;寄&gt;附發票&gt;3個月匯款</v>
          </cell>
          <cell r="AM1161" t="str">
            <v>1-0579</v>
          </cell>
        </row>
        <row r="1162">
          <cell r="B1162" t="str">
            <v>1-1157</v>
          </cell>
          <cell r="E1162" t="str">
            <v>有限公司</v>
          </cell>
          <cell r="R1162" t="b">
            <v>0</v>
          </cell>
          <cell r="S1162" t="str"/>
          <cell r="T1162" t="b">
            <v>0</v>
          </cell>
          <cell r="W1162" t="str"/>
          <cell r="Y1162" t="str"/>
          <cell r="AA1162" t="str"/>
          <cell r="AK1162" t="str">
            <v>LAF-660</v>
          </cell>
          <cell r="AL1162" t="str">
            <v>1-0579-(1/2)捷盛&gt;寄&gt;附發票&gt;3個月匯款</v>
          </cell>
          <cell r="AM1162" t="str">
            <v>1-0579</v>
          </cell>
        </row>
        <row r="1163">
          <cell r="B1163" t="str">
            <v>1-1158</v>
          </cell>
          <cell r="E1163" t="str">
            <v>有限公司</v>
          </cell>
          <cell r="R1163" t="b">
            <v>0</v>
          </cell>
          <cell r="S1163" t="str"/>
          <cell r="T1163" t="b">
            <v>0</v>
          </cell>
          <cell r="W1163" t="str"/>
          <cell r="Y1163" t="str"/>
          <cell r="AA1163" t="str"/>
          <cell r="AK1163" t="str">
            <v>KLA-8131</v>
          </cell>
          <cell r="AL1163" t="str">
            <v>1-0579-(1/2)捷盛&gt;寄&gt;附發票&gt;3個月匯款</v>
          </cell>
          <cell r="AM1163" t="str">
            <v>1-0579</v>
          </cell>
        </row>
        <row r="1164">
          <cell r="B1164" t="str">
            <v>1-1159</v>
          </cell>
          <cell r="E1164" t="str">
            <v>有限公司</v>
          </cell>
          <cell r="R1164" t="b">
            <v>0</v>
          </cell>
          <cell r="S1164" t="str"/>
          <cell r="T1164" t="b">
            <v>0</v>
          </cell>
          <cell r="W1164" t="str"/>
          <cell r="Y1164" t="str"/>
          <cell r="AA1164" t="str"/>
          <cell r="AK1164" t="str">
            <v>KLD-6282</v>
          </cell>
          <cell r="AL1164" t="str">
            <v>1-0579-(1/2)捷盛&gt;寄&gt;附發票&gt;3個月匯款</v>
          </cell>
          <cell r="AM1164" t="str">
            <v>1-0579</v>
          </cell>
        </row>
        <row r="1165">
          <cell r="B1165" t="str">
            <v>1-1160</v>
          </cell>
          <cell r="E1165" t="str">
            <v>有限公司</v>
          </cell>
          <cell r="R1165" t="b">
            <v>0</v>
          </cell>
          <cell r="S1165" t="str"/>
          <cell r="T1165" t="b">
            <v>0</v>
          </cell>
          <cell r="W1165" t="str"/>
          <cell r="Y1165" t="str"/>
          <cell r="AA1165" t="str"/>
          <cell r="AK1165" t="str">
            <v>KLE-3556</v>
          </cell>
          <cell r="AL1165" t="str">
            <v>1-0579-(1/2)捷盛&gt;寄&gt;附發票&gt;3個月匯款</v>
          </cell>
          <cell r="AM1165" t="str">
            <v>1-0579</v>
          </cell>
        </row>
        <row r="1166">
          <cell r="B1166" t="str">
            <v>1-1161</v>
          </cell>
          <cell r="E1166" t="str">
            <v>有限公司</v>
          </cell>
          <cell r="R1166" t="b">
            <v>0</v>
          </cell>
          <cell r="S1166" t="str"/>
          <cell r="T1166" t="b">
            <v>0</v>
          </cell>
          <cell r="W1166" t="str"/>
          <cell r="Y1166" t="str"/>
          <cell r="AA1166" t="str"/>
          <cell r="AK1166" t="str">
            <v>579-UW</v>
          </cell>
          <cell r="AL1166" t="str">
            <v>1-0582-周應欽&gt;電&gt;自結</v>
          </cell>
          <cell r="AM1166" t="str">
            <v>1-0582</v>
          </cell>
        </row>
        <row r="1167">
          <cell r="B1167" t="str">
            <v>1-1162</v>
          </cell>
          <cell r="E1167" t="str">
            <v>有限公司</v>
          </cell>
          <cell r="R1167" t="b">
            <v>0</v>
          </cell>
          <cell r="S1167" t="str"/>
          <cell r="T1167" t="b">
            <v>0</v>
          </cell>
          <cell r="W1167" t="str"/>
          <cell r="Y1167" t="str"/>
          <cell r="AA1167" t="str"/>
          <cell r="AK1167" t="str">
            <v>3767-RZ</v>
          </cell>
          <cell r="AL1167" t="str">
            <v>1-0019-福雄&gt;寄&gt;附發票&gt;附回郵</v>
          </cell>
          <cell r="AM1167" t="str">
            <v>1-0019</v>
          </cell>
        </row>
        <row r="1168">
          <cell r="B1168" t="str">
            <v>1-1163</v>
          </cell>
          <cell r="E1168" t="str">
            <v>有限公司</v>
          </cell>
          <cell r="R1168" t="b">
            <v>0</v>
          </cell>
          <cell r="S1168" t="str"/>
          <cell r="T1168" t="b">
            <v>0</v>
          </cell>
          <cell r="W1168" t="str"/>
          <cell r="Y1168" t="str"/>
          <cell r="AA1168" t="str"/>
          <cell r="AK1168" t="str">
            <v>5935-FN</v>
          </cell>
          <cell r="AL1168" t="str">
            <v>1-523-友利&gt;詠利&gt;付現</v>
          </cell>
          <cell r="AM1168" t="str">
            <v>1-0523</v>
          </cell>
        </row>
        <row r="1169">
          <cell r="B1169" t="str">
            <v>1-1164</v>
          </cell>
          <cell r="E1169" t="str">
            <v>有限公司</v>
          </cell>
          <cell r="R1169" t="b">
            <v>0</v>
          </cell>
          <cell r="S1169" t="str"/>
          <cell r="T1169" t="b">
            <v>0</v>
          </cell>
          <cell r="W1169" t="str"/>
          <cell r="Y1169" t="str"/>
          <cell r="AA1169" t="str"/>
          <cell r="AK1169" t="str">
            <v>KLC-7029</v>
          </cell>
          <cell r="AL1169" t="str">
            <v>1-0073-李志文&gt;龍秀&gt;裕嘉&gt;寄平信&gt;自結</v>
          </cell>
          <cell r="AM1169" t="str">
            <v>1-0073</v>
          </cell>
        </row>
        <row r="1170">
          <cell r="B1170" t="str">
            <v>1-1165</v>
          </cell>
          <cell r="E1170" t="str">
            <v>有限公司</v>
          </cell>
          <cell r="R1170" t="b">
            <v>0</v>
          </cell>
          <cell r="S1170" t="str"/>
          <cell r="T1170" t="b">
            <v>0</v>
          </cell>
          <cell r="W1170" t="str"/>
          <cell r="Y1170" t="str"/>
          <cell r="AA1170" t="str"/>
          <cell r="AK1170" t="str">
            <v>弘喬堆土機</v>
          </cell>
          <cell r="AL1170" t="str">
            <v>1-0581-弘喬&gt;寄&gt;附發票&gt;附回郵</v>
          </cell>
          <cell r="AM1170" t="str">
            <v>1-0581</v>
          </cell>
        </row>
        <row r="1171">
          <cell r="B1171" t="str">
            <v>1-1166</v>
          </cell>
          <cell r="E1171" t="str">
            <v>有限公司</v>
          </cell>
          <cell r="R1171" t="b">
            <v>0</v>
          </cell>
          <cell r="S1171" t="str"/>
          <cell r="T1171" t="b">
            <v>0</v>
          </cell>
          <cell r="W1171" t="str"/>
          <cell r="Y1171" t="str"/>
          <cell r="AA1171" t="str"/>
          <cell r="AK1171" t="str">
            <v>0285-22</v>
          </cell>
          <cell r="AL1171" t="str">
            <v>1-0582-周應欽&gt;電&gt;自結</v>
          </cell>
          <cell r="AM1171" t="str">
            <v>1-0582</v>
          </cell>
        </row>
        <row r="1172">
          <cell r="B1172" t="str">
            <v>1-1167</v>
          </cell>
          <cell r="E1172" t="str">
            <v>有限公司</v>
          </cell>
          <cell r="R1172" t="b">
            <v>0</v>
          </cell>
          <cell r="S1172" t="str"/>
          <cell r="T1172" t="b">
            <v>0</v>
          </cell>
          <cell r="W1172" t="str"/>
          <cell r="Y1172" t="str"/>
          <cell r="AA1172" t="str"/>
          <cell r="AK1172" t="str">
            <v>2028-LM</v>
          </cell>
          <cell r="AL1172" t="str">
            <v>1-0582-周應欽&gt;電&gt;自結</v>
          </cell>
          <cell r="AM1172" t="str">
            <v>1-0582</v>
          </cell>
        </row>
        <row r="1173">
          <cell r="B1173" t="str">
            <v>1-1168</v>
          </cell>
          <cell r="E1173" t="str">
            <v>有限公司</v>
          </cell>
          <cell r="R1173" t="b">
            <v>0</v>
          </cell>
          <cell r="S1173" t="str"/>
          <cell r="T1173" t="b">
            <v>0</v>
          </cell>
          <cell r="W1173" t="str"/>
          <cell r="Y1173" t="str"/>
          <cell r="AA1173" t="str"/>
          <cell r="AK1173" t="str">
            <v>A2-7746</v>
          </cell>
          <cell r="AL1173" t="str">
            <v>1-0582-周應欽&gt;電&gt;自結</v>
          </cell>
          <cell r="AM1173" t="str">
            <v>1-0582</v>
          </cell>
        </row>
        <row r="1174">
          <cell r="B1174" t="str">
            <v>1-1169</v>
          </cell>
          <cell r="E1174" t="str">
            <v>有限公司</v>
          </cell>
          <cell r="R1174" t="b">
            <v>0</v>
          </cell>
          <cell r="S1174" t="str"/>
          <cell r="T1174" t="b">
            <v>0</v>
          </cell>
          <cell r="W1174" t="str"/>
          <cell r="Y1174" t="str"/>
          <cell r="AA1174" t="str"/>
          <cell r="AK1174" t="str">
            <v>811-GJ</v>
          </cell>
          <cell r="AL1174" t="str">
            <v>1-0582-周應欽&gt;電&gt;自結</v>
          </cell>
          <cell r="AM1174" t="str">
            <v>1-0582</v>
          </cell>
        </row>
        <row r="1175">
          <cell r="B1175" t="str">
            <v>1-1170</v>
          </cell>
          <cell r="E1175" t="str">
            <v>有限公司</v>
          </cell>
          <cell r="R1175" t="b">
            <v>0</v>
          </cell>
          <cell r="S1175" t="str"/>
          <cell r="T1175" t="b">
            <v>0</v>
          </cell>
          <cell r="W1175" t="str"/>
          <cell r="Y1175" t="str"/>
          <cell r="AA1175" t="str"/>
          <cell r="AK1175" t="str">
            <v>670-Q2</v>
          </cell>
          <cell r="AL1175" t="str">
            <v>1-0582-周應欽&gt;電&gt;自結</v>
          </cell>
          <cell r="AM1175" t="str">
            <v>1-0582</v>
          </cell>
        </row>
        <row r="1176">
          <cell r="B1176" t="str">
            <v>1-1171</v>
          </cell>
          <cell r="E1176" t="str">
            <v>有限公司</v>
          </cell>
          <cell r="R1176" t="b">
            <v>0</v>
          </cell>
          <cell r="S1176" t="str"/>
          <cell r="T1176" t="b">
            <v>0</v>
          </cell>
          <cell r="W1176" t="str"/>
          <cell r="Y1176" t="str"/>
          <cell r="AA1176" t="str"/>
          <cell r="AK1176" t="str">
            <v>207-VB</v>
          </cell>
          <cell r="AL1176" t="str">
            <v>1-0582-周應欽&gt;電&gt;自結</v>
          </cell>
          <cell r="AM1176" t="str">
            <v>1-0582</v>
          </cell>
        </row>
        <row r="1177">
          <cell r="B1177" t="str">
            <v>1-1172</v>
          </cell>
          <cell r="E1177" t="str">
            <v>有限公司</v>
          </cell>
          <cell r="R1177" t="b">
            <v>0</v>
          </cell>
          <cell r="S1177" t="str"/>
          <cell r="T1177" t="b">
            <v>0</v>
          </cell>
          <cell r="W1177" t="str"/>
          <cell r="Y1177" t="str"/>
          <cell r="AA1177" t="str"/>
          <cell r="AK1177" t="str">
            <v>QU-875</v>
          </cell>
          <cell r="AL1177" t="str">
            <v>1-0582-周應欽&gt;電&gt;自結</v>
          </cell>
          <cell r="AM1177" t="str">
            <v>1-0582</v>
          </cell>
        </row>
        <row r="1178">
          <cell r="B1178" t="str">
            <v>1-1173</v>
          </cell>
          <cell r="E1178" t="str">
            <v>有限公司</v>
          </cell>
          <cell r="R1178" t="b">
            <v>0</v>
          </cell>
          <cell r="S1178" t="str"/>
          <cell r="T1178" t="b">
            <v>0</v>
          </cell>
          <cell r="W1178" t="str"/>
          <cell r="Y1178" t="str"/>
          <cell r="AA1178" t="str"/>
          <cell r="AK1178" t="str">
            <v>798-W8</v>
          </cell>
          <cell r="AL1178" t="str">
            <v>1-0582-周應欽&gt;電&gt;自結</v>
          </cell>
          <cell r="AM1178" t="str">
            <v>1-0582</v>
          </cell>
        </row>
        <row r="1179">
          <cell r="B1179" t="str">
            <v>1-1174</v>
          </cell>
          <cell r="E1179" t="str">
            <v>有限公司</v>
          </cell>
          <cell r="R1179" t="b">
            <v>0</v>
          </cell>
          <cell r="S1179" t="str"/>
          <cell r="T1179" t="b">
            <v>0</v>
          </cell>
          <cell r="W1179" t="str"/>
          <cell r="Y1179" t="str"/>
          <cell r="AA1179" t="str"/>
          <cell r="AK1179" t="str">
            <v>RV-099</v>
          </cell>
          <cell r="AL1179" t="str">
            <v>1-0582-周應欽&gt;電&gt;自結</v>
          </cell>
          <cell r="AM1179" t="str">
            <v>1-0582</v>
          </cell>
        </row>
        <row r="1180">
          <cell r="B1180" t="str">
            <v>1-1175</v>
          </cell>
          <cell r="E1180" t="str">
            <v>有限公司</v>
          </cell>
          <cell r="R1180" t="b">
            <v>0</v>
          </cell>
          <cell r="S1180" t="str"/>
          <cell r="T1180" t="b">
            <v>0</v>
          </cell>
          <cell r="W1180" t="str"/>
          <cell r="Y1180" t="str"/>
          <cell r="AA1180" t="str"/>
          <cell r="AK1180" t="str">
            <v>855-W8</v>
          </cell>
          <cell r="AL1180" t="str">
            <v>1-0582-周應欽&gt;電&gt;自結</v>
          </cell>
          <cell r="AM1180" t="str">
            <v>1-0582</v>
          </cell>
        </row>
        <row r="1181">
          <cell r="B1181" t="str">
            <v>1-1176</v>
          </cell>
          <cell r="E1181" t="str">
            <v>有限公司</v>
          </cell>
          <cell r="R1181" t="b">
            <v>0</v>
          </cell>
          <cell r="S1181" t="str"/>
          <cell r="T1181" t="b">
            <v>0</v>
          </cell>
          <cell r="W1181" t="str"/>
          <cell r="Y1181" t="str"/>
          <cell r="AA1181" t="str"/>
          <cell r="AK1181" t="str">
            <v>853-W8</v>
          </cell>
          <cell r="AL1181" t="str">
            <v>1-0582-周應欽&gt;電&gt;自結</v>
          </cell>
          <cell r="AM1181" t="str">
            <v>1-0582</v>
          </cell>
        </row>
        <row r="1182">
          <cell r="B1182" t="str">
            <v>1-1177</v>
          </cell>
          <cell r="E1182" t="str">
            <v>有限公司</v>
          </cell>
          <cell r="R1182" t="b">
            <v>0</v>
          </cell>
          <cell r="S1182" t="str"/>
          <cell r="T1182" t="b">
            <v>0</v>
          </cell>
          <cell r="W1182" t="str"/>
          <cell r="Y1182" t="str"/>
          <cell r="AA1182" t="str"/>
          <cell r="AK1182" t="str">
            <v>988-W8</v>
          </cell>
          <cell r="AL1182" t="str">
            <v>1-0582-周應欽&gt;電&gt;自結</v>
          </cell>
          <cell r="AM1182" t="str">
            <v>1-0582</v>
          </cell>
        </row>
        <row r="1183">
          <cell r="B1183" t="str">
            <v>1-1178</v>
          </cell>
          <cell r="E1183" t="str">
            <v>有限公司</v>
          </cell>
          <cell r="R1183" t="b">
            <v>0</v>
          </cell>
          <cell r="S1183" t="str"/>
          <cell r="T1183" t="b">
            <v>0</v>
          </cell>
          <cell r="W1183" t="str"/>
          <cell r="Y1183" t="str"/>
          <cell r="AA1183" t="str"/>
          <cell r="AK1183" t="str">
            <v>板HK-991</v>
          </cell>
          <cell r="AL1183" t="str">
            <v>1-0706-(2/3)福民&gt;寄&gt;附發票&gt;附回郵</v>
          </cell>
          <cell r="AM1183" t="str">
            <v>1-0706</v>
          </cell>
        </row>
        <row r="1184">
          <cell r="B1184" t="str">
            <v>1-1179</v>
          </cell>
          <cell r="E1184" t="str">
            <v>有限公司</v>
          </cell>
          <cell r="R1184" t="b">
            <v>0</v>
          </cell>
          <cell r="S1184" t="str"/>
          <cell r="T1184" t="b">
            <v>0</v>
          </cell>
          <cell r="W1184" t="str"/>
          <cell r="Y1184" t="str"/>
          <cell r="AA1184" t="str"/>
          <cell r="AK1184" t="str">
            <v>8617-ZV</v>
          </cell>
          <cell r="AL1184" t="str">
            <v>1-0582-周應欽&gt;電&gt;自結</v>
          </cell>
          <cell r="AM1184" t="str">
            <v>1-0582</v>
          </cell>
        </row>
        <row r="1185">
          <cell r="B1185" t="str">
            <v>1-1180</v>
          </cell>
          <cell r="E1185" t="str">
            <v>有限公司</v>
          </cell>
          <cell r="R1185" t="b">
            <v>0</v>
          </cell>
          <cell r="S1185" t="str"/>
          <cell r="T1185" t="b">
            <v>0</v>
          </cell>
          <cell r="W1185" t="str"/>
          <cell r="Y1185" t="str"/>
          <cell r="AA1185" t="str"/>
          <cell r="AK1185" t="str">
            <v>ABG-3576</v>
          </cell>
          <cell r="AL1185" t="str">
            <v>1-0582-周應欽&gt;電&gt;自結</v>
          </cell>
          <cell r="AM1185" t="str">
            <v>1-0582</v>
          </cell>
        </row>
        <row r="1186">
          <cell r="B1186" t="str">
            <v>1-1181</v>
          </cell>
          <cell r="E1186" t="str">
            <v>有限公司</v>
          </cell>
          <cell r="R1186" t="b">
            <v>0</v>
          </cell>
          <cell r="S1186" t="str"/>
          <cell r="T1186" t="b">
            <v>0</v>
          </cell>
          <cell r="W1186" t="str"/>
          <cell r="Y1186" t="str"/>
          <cell r="AA1186" t="str"/>
          <cell r="AK1186" t="str">
            <v>LAG-707</v>
          </cell>
          <cell r="AL1186" t="str">
            <v>1-0583-天大&gt;陳秋枝&gt;寄&gt;自結</v>
          </cell>
          <cell r="AM1186" t="str">
            <v>1-0583</v>
          </cell>
        </row>
        <row r="1187">
          <cell r="B1187" t="str">
            <v>1-1182</v>
          </cell>
          <cell r="E1187" t="str">
            <v>有限公司</v>
          </cell>
          <cell r="R1187" t="b">
            <v>0</v>
          </cell>
          <cell r="S1187" t="str"/>
          <cell r="T1187" t="b">
            <v>0</v>
          </cell>
          <cell r="W1187" t="str"/>
          <cell r="Y1187" t="str"/>
          <cell r="AA1187" t="str"/>
          <cell r="AK1187" t="str">
            <v>963-TS</v>
          </cell>
          <cell r="AL1187" t="str">
            <v>1-0584-李世璋&gt;寄&gt;附發票&gt;自結</v>
          </cell>
          <cell r="AM1187" t="str">
            <v>1-0584</v>
          </cell>
        </row>
        <row r="1188">
          <cell r="B1188" t="str">
            <v>1-1183</v>
          </cell>
          <cell r="E1188" t="str">
            <v>有限公司</v>
          </cell>
          <cell r="R1188" t="b">
            <v>0</v>
          </cell>
          <cell r="S1188" t="str"/>
          <cell r="T1188" t="b">
            <v>0</v>
          </cell>
          <cell r="W1188" t="str"/>
          <cell r="Y1188" t="str"/>
          <cell r="AA1188" t="str"/>
          <cell r="AK1188" t="str">
            <v>603-Q2</v>
          </cell>
          <cell r="AL1188" t="str">
            <v>1-0585-華鴻&gt;寄&gt;附發票&gt;附回郵</v>
          </cell>
          <cell r="AM1188" t="str">
            <v>1-0585</v>
          </cell>
        </row>
        <row r="1189">
          <cell r="B1189" t="str">
            <v>1-1184</v>
          </cell>
          <cell r="E1189" t="str">
            <v>有限公司</v>
          </cell>
          <cell r="R1189" t="b">
            <v>0</v>
          </cell>
          <cell r="S1189" t="str"/>
          <cell r="T1189" t="b">
            <v>0</v>
          </cell>
          <cell r="W1189" t="str"/>
          <cell r="Y1189" t="str"/>
          <cell r="AA1189" t="str"/>
          <cell r="AK1189" t="str">
            <v>890-TK</v>
          </cell>
          <cell r="AL1189" t="str">
            <v>1-0585-華鴻&gt;寄&gt;附發票&gt;附回郵</v>
          </cell>
          <cell r="AM1189" t="str">
            <v>1-0585</v>
          </cell>
        </row>
        <row r="1190">
          <cell r="B1190" t="str">
            <v>1-1185</v>
          </cell>
          <cell r="E1190" t="str">
            <v>有限公司</v>
          </cell>
          <cell r="R1190" t="b">
            <v>0</v>
          </cell>
          <cell r="S1190" t="str"/>
          <cell r="T1190" t="b">
            <v>0</v>
          </cell>
          <cell r="W1190" t="str"/>
          <cell r="Y1190" t="str"/>
          <cell r="AA1190" t="str"/>
          <cell r="AK1190" t="str">
            <v>563-X3</v>
          </cell>
          <cell r="AL1190" t="str">
            <v>1-0587-志竹&gt;現收</v>
          </cell>
          <cell r="AM1190" t="str">
            <v>1-0587</v>
          </cell>
        </row>
        <row r="1191">
          <cell r="B1191" t="str">
            <v>1-1186</v>
          </cell>
          <cell r="E1191" t="str">
            <v>有限公司</v>
          </cell>
          <cell r="R1191" t="b">
            <v>0</v>
          </cell>
          <cell r="S1191" t="str"/>
          <cell r="T1191" t="b">
            <v>0</v>
          </cell>
          <cell r="W1191" t="str"/>
          <cell r="Y1191" t="str"/>
          <cell r="AA1191" t="str"/>
          <cell r="AK1191" t="str">
            <v>056-ZA</v>
          </cell>
          <cell r="AL1191" t="str">
            <v>1-0588-蔡長永(原華)&gt;寄&gt;自結</v>
          </cell>
          <cell r="AM1191" t="str">
            <v>1-0588</v>
          </cell>
        </row>
        <row r="1192">
          <cell r="B1192" t="str">
            <v>1-1187</v>
          </cell>
          <cell r="E1192" t="str">
            <v>有限公司</v>
          </cell>
          <cell r="R1192" t="b">
            <v>0</v>
          </cell>
          <cell r="S1192" t="str"/>
          <cell r="T1192" t="b">
            <v>0</v>
          </cell>
          <cell r="W1192" t="str"/>
          <cell r="Y1192" t="str"/>
          <cell r="AA1192" t="str"/>
          <cell r="AK1192" t="str">
            <v>537-TY</v>
          </cell>
          <cell r="AL1192" t="str">
            <v>1-0589-汯宸&gt;寄&gt;附發票&gt;一個月匯款</v>
          </cell>
          <cell r="AM1192" t="str">
            <v>1-0589</v>
          </cell>
        </row>
        <row r="1193">
          <cell r="B1193" t="str">
            <v>1-1188</v>
          </cell>
          <cell r="E1193" t="str">
            <v>有限公司</v>
          </cell>
          <cell r="R1193" t="b">
            <v>0</v>
          </cell>
          <cell r="S1193" t="str"/>
          <cell r="T1193" t="b">
            <v>0</v>
          </cell>
          <cell r="W1193" t="str"/>
          <cell r="Y1193" t="str"/>
          <cell r="AA1193" t="str"/>
          <cell r="AK1193" t="str">
            <v>477-TY</v>
          </cell>
          <cell r="AL1193" t="str">
            <v>1-0589-汯宸&gt;寄&gt;附發票&gt;一個月匯款</v>
          </cell>
          <cell r="AM1193" t="str">
            <v>1-0589</v>
          </cell>
        </row>
        <row r="1194">
          <cell r="B1194" t="str">
            <v>1-1189</v>
          </cell>
          <cell r="E1194" t="str">
            <v>有限公司</v>
          </cell>
          <cell r="R1194" t="b">
            <v>0</v>
          </cell>
          <cell r="S1194" t="str"/>
          <cell r="T1194" t="b">
            <v>0</v>
          </cell>
          <cell r="W1194" t="str"/>
          <cell r="Y1194" t="str"/>
          <cell r="AA1194" t="str"/>
          <cell r="AK1194" t="str">
            <v>AHR-6958</v>
          </cell>
          <cell r="AL1194" t="str">
            <v>1-0590-電機葆&gt;張正葆&gt;寄&gt;自結</v>
          </cell>
          <cell r="AM1194" t="str">
            <v>1-0590</v>
          </cell>
        </row>
        <row r="1195">
          <cell r="B1195" t="str">
            <v>1-1190</v>
          </cell>
          <cell r="E1195" t="str">
            <v>有限公司</v>
          </cell>
          <cell r="R1195" t="b">
            <v>0</v>
          </cell>
          <cell r="S1195" t="str"/>
          <cell r="T1195" t="b">
            <v>0</v>
          </cell>
          <cell r="W1195" t="str"/>
          <cell r="Y1195" t="str"/>
          <cell r="AA1195" t="str"/>
          <cell r="AK1195" t="str">
            <v>A5-976</v>
          </cell>
          <cell r="AL1195" t="str">
            <v>1-0591-羅正宏&gt;寄&gt;自結</v>
          </cell>
          <cell r="AM1195" t="str">
            <v>1-0591</v>
          </cell>
        </row>
        <row r="1196">
          <cell r="B1196" t="str">
            <v>1-1191</v>
          </cell>
          <cell r="E1196" t="str">
            <v>有限公司</v>
          </cell>
          <cell r="R1196" t="b">
            <v>0</v>
          </cell>
          <cell r="S1196" t="str"/>
          <cell r="T1196" t="b">
            <v>0</v>
          </cell>
          <cell r="W1196" t="str"/>
          <cell r="Y1196" t="str"/>
          <cell r="AA1196" t="str"/>
          <cell r="AK1196" t="str">
            <v>711-MM</v>
          </cell>
          <cell r="AL1196" t="str">
            <v>1-0391-邱政義&gt;寄&gt;自結</v>
          </cell>
          <cell r="AM1196" t="str">
            <v>1-0391</v>
          </cell>
        </row>
        <row r="1197">
          <cell r="B1197" t="str">
            <v>1-1192</v>
          </cell>
          <cell r="E1197" t="str">
            <v>有限公司</v>
          </cell>
          <cell r="R1197" t="b">
            <v>0</v>
          </cell>
          <cell r="S1197" t="str"/>
          <cell r="T1197" t="b">
            <v>0</v>
          </cell>
          <cell r="W1197" t="str"/>
          <cell r="Y1197" t="str"/>
          <cell r="AA1197" t="str"/>
          <cell r="AK1197" t="str">
            <v>188-Y7</v>
          </cell>
          <cell r="AL1197" t="str">
            <v>1-0594-景明&gt;寄&gt;附發票&gt;三個月匯款</v>
          </cell>
          <cell r="AM1197" t="str">
            <v>1-0594</v>
          </cell>
        </row>
        <row r="1198">
          <cell r="B1198" t="str">
            <v>1-1193</v>
          </cell>
          <cell r="E1198" t="str">
            <v>有限公司</v>
          </cell>
          <cell r="R1198" t="b">
            <v>0</v>
          </cell>
          <cell r="S1198" t="str"/>
          <cell r="T1198" t="b">
            <v>0</v>
          </cell>
          <cell r="W1198" t="str"/>
          <cell r="Y1198" t="str"/>
          <cell r="AA1198" t="str"/>
          <cell r="AK1198" t="str">
            <v>946-TZ</v>
          </cell>
          <cell r="AL1198" t="str">
            <v>1-0595-順鑫&gt;寄&gt;附發票&gt;附回郵</v>
          </cell>
          <cell r="AM1198" t="str">
            <v>1-0595</v>
          </cell>
        </row>
        <row r="1199">
          <cell r="B1199" t="str">
            <v>1-1194</v>
          </cell>
          <cell r="E1199" t="str">
            <v>有限公司</v>
          </cell>
          <cell r="R1199" t="b">
            <v>0</v>
          </cell>
          <cell r="S1199" t="str"/>
          <cell r="T1199" t="b">
            <v>0</v>
          </cell>
          <cell r="W1199" t="str"/>
          <cell r="Y1199" t="str"/>
          <cell r="AA1199" t="str"/>
          <cell r="AK1199" t="str">
            <v>002-KV</v>
          </cell>
          <cell r="AL1199" t="str">
            <v>1-0596-龍翔&gt;寄&gt;匯款</v>
          </cell>
          <cell r="AM1199" t="str">
            <v>1-0596</v>
          </cell>
        </row>
        <row r="1200">
          <cell r="B1200" t="str">
            <v>1-1195</v>
          </cell>
          <cell r="E1200" t="str">
            <v>有限公司</v>
          </cell>
          <cell r="R1200" t="b">
            <v>0</v>
          </cell>
          <cell r="S1200" t="str"/>
          <cell r="T1200" t="b">
            <v>0</v>
          </cell>
          <cell r="W1200" t="str"/>
          <cell r="Y1200" t="str"/>
          <cell r="AA1200" t="str"/>
          <cell r="AK1200" t="str">
            <v>566-KS</v>
          </cell>
          <cell r="AL1200" t="str">
            <v>1-0096-正新砂石行&gt;寄&gt;附回郵</v>
          </cell>
          <cell r="AM1200" t="str">
            <v>1-0096</v>
          </cell>
        </row>
        <row r="1201">
          <cell r="B1201" t="str">
            <v>1-1196</v>
          </cell>
          <cell r="E1201" t="str">
            <v>有限公司</v>
          </cell>
          <cell r="R1201" t="b">
            <v>0</v>
          </cell>
          <cell r="S1201" t="str"/>
          <cell r="T1201" t="b">
            <v>0</v>
          </cell>
          <cell r="W1201" t="str"/>
          <cell r="Y1201" t="str"/>
          <cell r="AA1201" t="str"/>
          <cell r="AK1201" t="str">
            <v>0111-RZ</v>
          </cell>
          <cell r="AL1201" t="str">
            <v>1-0597-佳明玻璃&gt;寄&gt;附回郵</v>
          </cell>
          <cell r="AM1201" t="str">
            <v>1-0597</v>
          </cell>
        </row>
        <row r="1202">
          <cell r="B1202" t="str">
            <v>1-1197</v>
          </cell>
          <cell r="E1202" t="str">
            <v>有限公司</v>
          </cell>
          <cell r="R1202" t="b">
            <v>0</v>
          </cell>
          <cell r="S1202" t="str"/>
          <cell r="T1202" t="b">
            <v>0</v>
          </cell>
          <cell r="W1202" t="str"/>
          <cell r="Y1202" t="str"/>
          <cell r="AA1202" t="str"/>
          <cell r="AK1202" t="str">
            <v>Q7-603</v>
          </cell>
          <cell r="AL1202" t="str">
            <v>1-0600-葉興寄&gt;附發票&gt;附回郵</v>
          </cell>
          <cell r="AM1202" t="str">
            <v>1-0600</v>
          </cell>
        </row>
        <row r="1203">
          <cell r="B1203" t="str">
            <v>1-1198</v>
          </cell>
          <cell r="E1203" t="str">
            <v>有限公司</v>
          </cell>
          <cell r="R1203" t="b">
            <v>0</v>
          </cell>
          <cell r="S1203" t="str"/>
          <cell r="T1203" t="b">
            <v>0</v>
          </cell>
          <cell r="W1203" t="str"/>
          <cell r="Y1203" t="str"/>
          <cell r="AA1203" t="str"/>
          <cell r="AK1203" t="str">
            <v>6657-NA</v>
          </cell>
          <cell r="AL1203" t="str">
            <v>1-0600-葉興寄&gt;附發票&gt;附回郵</v>
          </cell>
          <cell r="AM1203" t="str">
            <v>1-0600</v>
          </cell>
        </row>
        <row r="1204">
          <cell r="B1204" t="str">
            <v>1-1199</v>
          </cell>
          <cell r="E1204" t="str">
            <v>有限公司</v>
          </cell>
          <cell r="R1204" t="b">
            <v>0</v>
          </cell>
          <cell r="S1204" t="str"/>
          <cell r="T1204" t="b">
            <v>0</v>
          </cell>
          <cell r="W1204" t="str"/>
          <cell r="Y1204" t="str"/>
          <cell r="AA1204" t="str"/>
          <cell r="AK1204" t="str">
            <v>RV-139</v>
          </cell>
          <cell r="AL1204" t="str">
            <v>1-0601-鴻友&gt;寄&gt;自結</v>
          </cell>
          <cell r="AM1204" t="str">
            <v>1-0601</v>
          </cell>
        </row>
        <row r="1205">
          <cell r="B1205" t="str">
            <v>1-1200</v>
          </cell>
          <cell r="E1205" t="str">
            <v>有限公司</v>
          </cell>
          <cell r="R1205" t="b">
            <v>0</v>
          </cell>
          <cell r="S1205" t="str"/>
          <cell r="T1205" t="b">
            <v>0</v>
          </cell>
          <cell r="W1205" t="str"/>
          <cell r="Y1205" t="str"/>
          <cell r="AA1205" t="str"/>
          <cell r="AK1205" t="str">
            <v>7P-7273</v>
          </cell>
          <cell r="AL1205" t="str">
            <v>1-0601-鴻友&gt;寄&gt;自結</v>
          </cell>
          <cell r="AM1205" t="str">
            <v>1-0601</v>
          </cell>
        </row>
        <row r="1206">
          <cell r="B1206" t="str">
            <v>1-1201</v>
          </cell>
          <cell r="E1206" t="str">
            <v>有限公司</v>
          </cell>
          <cell r="R1206" t="b">
            <v>0</v>
          </cell>
          <cell r="S1206" t="str"/>
          <cell r="T1206" t="b">
            <v>0</v>
          </cell>
          <cell r="W1206" t="str"/>
          <cell r="Y1206" t="str"/>
          <cell r="AA1206" t="str"/>
          <cell r="AK1206" t="str">
            <v>0232-B6</v>
          </cell>
          <cell r="AL1206" t="str">
            <v>1-0602-新復發&gt;寄&gt;附發票&gt;附回郵</v>
          </cell>
          <cell r="AM1206" t="str">
            <v>1-0602</v>
          </cell>
        </row>
        <row r="1207">
          <cell r="B1207" t="str">
            <v>1-1202</v>
          </cell>
          <cell r="E1207" t="str">
            <v>有限公司</v>
          </cell>
          <cell r="R1207" t="b">
            <v>0</v>
          </cell>
          <cell r="S1207" t="str"/>
          <cell r="T1207" t="b">
            <v>0</v>
          </cell>
          <cell r="W1207" t="str"/>
          <cell r="Y1207" t="str"/>
          <cell r="AA1207" t="str"/>
          <cell r="AK1207" t="str">
            <v>731-RD</v>
          </cell>
          <cell r="AL1207" t="str">
            <v>1-0602-新復發&gt;寄&gt;附發票&gt;附回郵</v>
          </cell>
          <cell r="AM1207" t="str">
            <v>1-0602</v>
          </cell>
        </row>
        <row r="1208">
          <cell r="B1208" t="str">
            <v>1-1203</v>
          </cell>
          <cell r="E1208" t="str">
            <v>有限公司</v>
          </cell>
          <cell r="R1208" t="b">
            <v>0</v>
          </cell>
          <cell r="S1208" t="str"/>
          <cell r="T1208" t="b">
            <v>0</v>
          </cell>
          <cell r="W1208" t="str"/>
          <cell r="Y1208" t="str"/>
          <cell r="AA1208" t="str"/>
          <cell r="AK1208" t="str">
            <v>202-ZB</v>
          </cell>
          <cell r="AL1208" t="str">
            <v>1-0603-邱志銘&gt;寄平信&gt;自結</v>
          </cell>
          <cell r="AM1208" t="str">
            <v>1-0603</v>
          </cell>
        </row>
        <row r="1209">
          <cell r="B1209" t="str">
            <v>1-1204</v>
          </cell>
          <cell r="E1209" t="str">
            <v>有限公司</v>
          </cell>
          <cell r="R1209" t="b">
            <v>0</v>
          </cell>
          <cell r="S1209" t="str"/>
          <cell r="T1209" t="b">
            <v>0</v>
          </cell>
          <cell r="W1209" t="str"/>
          <cell r="Y1209" t="str"/>
          <cell r="AA1209" t="str"/>
          <cell r="AK1209" t="str">
            <v>211-RD</v>
          </cell>
          <cell r="AL1209" t="str">
            <v>1-0604-新瑞僑&gt;寄&gt;附發票&gt;附回郵</v>
          </cell>
          <cell r="AM1209" t="str">
            <v>1-0604</v>
          </cell>
        </row>
        <row r="1210">
          <cell r="B1210" t="str">
            <v>1-1205</v>
          </cell>
          <cell r="E1210" t="str">
            <v>有限公司</v>
          </cell>
          <cell r="R1210" t="b">
            <v>0</v>
          </cell>
          <cell r="S1210" t="str"/>
          <cell r="T1210" t="b">
            <v>0</v>
          </cell>
          <cell r="W1210" t="str"/>
          <cell r="Y1210" t="str"/>
          <cell r="AA1210" t="str"/>
          <cell r="AK1210" t="str">
            <v>LAG-760</v>
          </cell>
          <cell r="AL1210" t="str">
            <v>1-0606-(1/2)冠德&gt;寄&gt;附發票&gt;附回郵</v>
          </cell>
          <cell r="AM1210" t="str">
            <v>1-0606</v>
          </cell>
        </row>
        <row r="1211">
          <cell r="B1211" t="str">
            <v>1-1206</v>
          </cell>
          <cell r="E1211" t="str">
            <v>有限公司</v>
          </cell>
          <cell r="R1211" t="b">
            <v>0</v>
          </cell>
          <cell r="S1211" t="str"/>
          <cell r="T1211" t="b">
            <v>0</v>
          </cell>
          <cell r="W1211" t="str"/>
          <cell r="Y1211" t="str"/>
          <cell r="AA1211" t="str"/>
          <cell r="AK1211" t="str">
            <v>LAG-763</v>
          </cell>
          <cell r="AL1211" t="str">
            <v>1-0605-大信玻璃&gt;寄&gt;附回郵</v>
          </cell>
          <cell r="AM1211" t="str">
            <v>1-0605</v>
          </cell>
        </row>
        <row r="1212">
          <cell r="B1212" t="str">
            <v>1-1207</v>
          </cell>
          <cell r="E1212" t="str">
            <v>有限公司</v>
          </cell>
          <cell r="R1212" t="b">
            <v>0</v>
          </cell>
          <cell r="S1212" t="str"/>
          <cell r="T1212" t="b">
            <v>0</v>
          </cell>
          <cell r="W1212" t="str"/>
          <cell r="Y1212" t="str"/>
          <cell r="AA1212" t="str"/>
          <cell r="AK1212" t="str">
            <v>HB-170</v>
          </cell>
          <cell r="AL1212" t="str">
            <v>1-0606-(1/2)冠德&gt;寄&gt;附發票&gt;附回郵</v>
          </cell>
          <cell r="AM1212" t="str">
            <v>1-0606</v>
          </cell>
        </row>
        <row r="1213">
          <cell r="B1213" t="str">
            <v>1-1208</v>
          </cell>
          <cell r="E1213" t="str">
            <v>有限公司</v>
          </cell>
          <cell r="R1213" t="b">
            <v>0</v>
          </cell>
          <cell r="S1213" t="str"/>
          <cell r="T1213" t="b">
            <v>0</v>
          </cell>
          <cell r="W1213" t="str"/>
          <cell r="Y1213" t="str"/>
          <cell r="AA1213" t="str"/>
          <cell r="AK1213" t="str">
            <v>LAG-712</v>
          </cell>
          <cell r="AL1213" t="str">
            <v>1-0606-(1/2)冠德&gt;寄&gt;附發票&gt;附回郵</v>
          </cell>
          <cell r="AM1213" t="str">
            <v>1-0606</v>
          </cell>
        </row>
        <row r="1214">
          <cell r="B1214" t="str">
            <v>1-1209</v>
          </cell>
          <cell r="E1214" t="str">
            <v>有限公司</v>
          </cell>
          <cell r="R1214" t="b">
            <v>0</v>
          </cell>
          <cell r="S1214" t="str"/>
          <cell r="T1214" t="b">
            <v>0</v>
          </cell>
          <cell r="W1214" t="str"/>
          <cell r="Y1214" t="str"/>
          <cell r="AA1214" t="str"/>
          <cell r="AK1214" t="str">
            <v>762-HF</v>
          </cell>
          <cell r="AL1214" t="str">
            <v>1-0606-(1/2)冠德&gt;寄&gt;附發票&gt;附回郵</v>
          </cell>
          <cell r="AM1214" t="str">
            <v>1-0606</v>
          </cell>
        </row>
        <row r="1215">
          <cell r="B1215" t="str">
            <v>1-1210</v>
          </cell>
          <cell r="E1215" t="str">
            <v>有限公司</v>
          </cell>
          <cell r="R1215" t="b">
            <v>0</v>
          </cell>
          <cell r="S1215" t="str"/>
          <cell r="T1215" t="b">
            <v>0</v>
          </cell>
          <cell r="W1215" t="str"/>
          <cell r="Y1215" t="str"/>
          <cell r="AA1215" t="str"/>
          <cell r="AK1215" t="str">
            <v>772-JD</v>
          </cell>
          <cell r="AL1215" t="str">
            <v>1-0606-(1/2)冠德&gt;寄&gt;附發票&gt;附回郵</v>
          </cell>
          <cell r="AM1215" t="str">
            <v>1-0606</v>
          </cell>
        </row>
        <row r="1216">
          <cell r="B1216" t="str">
            <v>1-1211</v>
          </cell>
          <cell r="E1216" t="str">
            <v>有限公司</v>
          </cell>
          <cell r="R1216" t="b">
            <v>0</v>
          </cell>
          <cell r="S1216" t="str"/>
          <cell r="T1216" t="b">
            <v>0</v>
          </cell>
          <cell r="W1216" t="str"/>
          <cell r="Y1216" t="str"/>
          <cell r="AA1216" t="str"/>
          <cell r="AK1216" t="str">
            <v>783-JD</v>
          </cell>
          <cell r="AL1216" t="str">
            <v>1-0606-(1/2)冠德&gt;寄&gt;附發票&gt;附回郵</v>
          </cell>
          <cell r="AM1216" t="str">
            <v>1-0606</v>
          </cell>
        </row>
        <row r="1217">
          <cell r="B1217" t="str">
            <v>1-1212</v>
          </cell>
          <cell r="E1217" t="str">
            <v>有限公司</v>
          </cell>
          <cell r="R1217" t="b">
            <v>0</v>
          </cell>
          <cell r="S1217" t="str"/>
          <cell r="T1217" t="b">
            <v>0</v>
          </cell>
          <cell r="W1217" t="str"/>
          <cell r="Y1217" t="str"/>
          <cell r="AA1217" t="str"/>
          <cell r="AK1217" t="str">
            <v>786-JD</v>
          </cell>
          <cell r="AL1217" t="str">
            <v>1-0606-(1/2)冠德&gt;寄&gt;附發票&gt;附回郵</v>
          </cell>
          <cell r="AM1217" t="str">
            <v>1-0606</v>
          </cell>
        </row>
        <row r="1218">
          <cell r="B1218" t="str">
            <v>1-1213</v>
          </cell>
          <cell r="E1218" t="str">
            <v>有限公司</v>
          </cell>
          <cell r="R1218" t="b">
            <v>0</v>
          </cell>
          <cell r="S1218" t="str"/>
          <cell r="T1218" t="b">
            <v>0</v>
          </cell>
          <cell r="W1218" t="str"/>
          <cell r="Y1218" t="str"/>
          <cell r="AA1218" t="str"/>
          <cell r="AK1218" t="str">
            <v>793-W8</v>
          </cell>
          <cell r="AL1218" t="str">
            <v>1-0606-(1/2)冠德&gt;寄&gt;附發票&gt;附回郵</v>
          </cell>
          <cell r="AM1218" t="str">
            <v>1-0606</v>
          </cell>
        </row>
        <row r="1219">
          <cell r="B1219" t="str">
            <v>1-1214</v>
          </cell>
          <cell r="E1219" t="str">
            <v>有限公司</v>
          </cell>
          <cell r="R1219" t="b">
            <v>0</v>
          </cell>
          <cell r="S1219" t="str"/>
          <cell r="T1219" t="b">
            <v>0</v>
          </cell>
          <cell r="W1219" t="str"/>
          <cell r="Y1219" t="str"/>
          <cell r="AA1219" t="str"/>
          <cell r="AK1219" t="str">
            <v>806-W8</v>
          </cell>
          <cell r="AL1219" t="str">
            <v>1-0606-(1/2)冠德&gt;寄&gt;附發票&gt;附回郵</v>
          </cell>
          <cell r="AM1219" t="str">
            <v>1-0606</v>
          </cell>
        </row>
        <row r="1220">
          <cell r="B1220" t="str">
            <v>1-1215</v>
          </cell>
          <cell r="E1220" t="str">
            <v>有限公司</v>
          </cell>
          <cell r="R1220" t="b">
            <v>0</v>
          </cell>
          <cell r="S1220" t="str"/>
          <cell r="T1220" t="b">
            <v>0</v>
          </cell>
          <cell r="W1220" t="str"/>
          <cell r="Y1220" t="str"/>
          <cell r="AA1220" t="str"/>
          <cell r="AK1220" t="str">
            <v>8616-B6</v>
          </cell>
          <cell r="AL1220" t="str">
            <v>1-0606-(1/2)冠德&gt;寄&gt;附發票&gt;附回郵</v>
          </cell>
          <cell r="AM1220" t="str">
            <v>1-0606</v>
          </cell>
        </row>
        <row r="1221">
          <cell r="B1221" t="str">
            <v>1-1216</v>
          </cell>
          <cell r="E1221" t="str">
            <v>有限公司</v>
          </cell>
          <cell r="R1221" t="b">
            <v>0</v>
          </cell>
          <cell r="S1221" t="str"/>
          <cell r="T1221" t="b">
            <v>0</v>
          </cell>
          <cell r="W1221" t="str"/>
          <cell r="Y1221" t="str"/>
          <cell r="AA1221" t="str"/>
          <cell r="AK1221" t="str">
            <v>KM-806</v>
          </cell>
          <cell r="AL1221" t="str">
            <v>1-0607-(2/2)瑋鎰&gt;寄&gt;附發票&gt;附回郵</v>
          </cell>
          <cell r="AM1221" t="str">
            <v>1-0607</v>
          </cell>
        </row>
        <row r="1222">
          <cell r="B1222" t="str">
            <v>1-1217</v>
          </cell>
          <cell r="E1222" t="str">
            <v>有限公司</v>
          </cell>
          <cell r="R1222" t="b">
            <v>0</v>
          </cell>
          <cell r="S1222" t="str"/>
          <cell r="T1222" t="b">
            <v>0</v>
          </cell>
          <cell r="W1222" t="str"/>
          <cell r="Y1222" t="str"/>
          <cell r="AA1222" t="str"/>
          <cell r="AK1222" t="str">
            <v>KM-808</v>
          </cell>
          <cell r="AL1222" t="str">
            <v>1-0607-(2/2)瑋鎰&gt;寄&gt;附發票&gt;附回郵</v>
          </cell>
          <cell r="AM1222" t="str">
            <v>1-0607</v>
          </cell>
        </row>
        <row r="1223">
          <cell r="B1223" t="str">
            <v>1-1218</v>
          </cell>
          <cell r="E1223" t="str">
            <v>有限公司</v>
          </cell>
          <cell r="R1223" t="b">
            <v>0</v>
          </cell>
          <cell r="S1223" t="str"/>
          <cell r="T1223" t="b">
            <v>0</v>
          </cell>
          <cell r="W1223" t="str"/>
          <cell r="Y1223" t="str"/>
          <cell r="AA1223" t="str"/>
          <cell r="AK1223" t="str">
            <v>KM-809</v>
          </cell>
          <cell r="AL1223" t="str">
            <v>1-0607-(2/2)瑋鎰&gt;寄&gt;附發票&gt;附回郵</v>
          </cell>
          <cell r="AM1223" t="str">
            <v>1-0607</v>
          </cell>
        </row>
        <row r="1224">
          <cell r="B1224" t="str">
            <v>1-1219</v>
          </cell>
          <cell r="E1224" t="str">
            <v>有限公司</v>
          </cell>
          <cell r="R1224" t="b">
            <v>0</v>
          </cell>
          <cell r="S1224" t="str"/>
          <cell r="T1224" t="b">
            <v>0</v>
          </cell>
          <cell r="W1224" t="str"/>
          <cell r="Y1224" t="str"/>
          <cell r="AA1224" t="str"/>
          <cell r="AK1224" t="str">
            <v>KU-212</v>
          </cell>
          <cell r="AL1224" t="str">
            <v>1-0607-(2/2)瑋鎰&gt;寄&gt;附發票&gt;附回郵</v>
          </cell>
          <cell r="AM1224" t="str">
            <v>1-0607</v>
          </cell>
        </row>
        <row r="1225">
          <cell r="B1225" t="str">
            <v>1-1220</v>
          </cell>
          <cell r="E1225" t="str">
            <v>有限公司</v>
          </cell>
          <cell r="R1225" t="b">
            <v>0</v>
          </cell>
          <cell r="S1225" t="str"/>
          <cell r="T1225" t="b">
            <v>0</v>
          </cell>
          <cell r="W1225" t="str"/>
          <cell r="Y1225" t="str"/>
          <cell r="AA1225" t="str"/>
          <cell r="AK1225" t="str">
            <v>426-KP</v>
          </cell>
          <cell r="AL1225" t="str">
            <v>1-0607-(2/2)瑋鎰&gt;寄&gt;附發票&gt;附回郵</v>
          </cell>
          <cell r="AM1225" t="str">
            <v>1-0607</v>
          </cell>
        </row>
        <row r="1226">
          <cell r="B1226" t="str">
            <v>1-1221</v>
          </cell>
          <cell r="E1226" t="str">
            <v>有限公司</v>
          </cell>
          <cell r="R1226" t="b">
            <v>0</v>
          </cell>
          <cell r="S1226" t="str"/>
          <cell r="T1226" t="b">
            <v>0</v>
          </cell>
          <cell r="W1226" t="str"/>
          <cell r="Y1226" t="str"/>
          <cell r="AA1226" t="str"/>
          <cell r="AK1226" t="str">
            <v>098-KC</v>
          </cell>
          <cell r="AL1226" t="str">
            <v>1-0607-(2/2)瑋鎰&gt;寄&gt;附發票&gt;附回郵</v>
          </cell>
          <cell r="AM1226" t="str">
            <v>1-0607</v>
          </cell>
        </row>
        <row r="1227">
          <cell r="B1227" t="str">
            <v>1-1222</v>
          </cell>
          <cell r="E1227" t="str">
            <v>有限公司</v>
          </cell>
          <cell r="R1227" t="b">
            <v>0</v>
          </cell>
          <cell r="S1227" t="str"/>
          <cell r="T1227" t="b">
            <v>0</v>
          </cell>
          <cell r="W1227" t="str"/>
          <cell r="Y1227" t="str"/>
          <cell r="AA1227" t="str"/>
          <cell r="AK1227" t="str">
            <v>HAA-907</v>
          </cell>
          <cell r="AL1227" t="str">
            <v>1-0607-(2/2)瑋鎰&gt;寄&gt;附發票&gt;附回郵</v>
          </cell>
          <cell r="AM1227" t="str">
            <v>1-0607</v>
          </cell>
        </row>
        <row r="1228">
          <cell r="B1228" t="str">
            <v>1-1223</v>
          </cell>
          <cell r="E1228" t="str">
            <v>有限公司</v>
          </cell>
          <cell r="R1228" t="b">
            <v>0</v>
          </cell>
          <cell r="S1228" t="str"/>
          <cell r="T1228" t="b">
            <v>0</v>
          </cell>
          <cell r="W1228" t="str"/>
          <cell r="Y1228" t="str"/>
          <cell r="AA1228" t="str"/>
          <cell r="AK1228" t="str">
            <v>877-KR</v>
          </cell>
          <cell r="AL1228" t="str">
            <v>1-0607-(2/2)瑋鎰&gt;寄&gt;附發票&gt;附回郵</v>
          </cell>
          <cell r="AM1228" t="str">
            <v>1-0607</v>
          </cell>
        </row>
        <row r="1229">
          <cell r="B1229" t="str">
            <v>1-1224</v>
          </cell>
          <cell r="E1229" t="str">
            <v>有限公司</v>
          </cell>
          <cell r="R1229" t="b">
            <v>0</v>
          </cell>
          <cell r="S1229" t="str"/>
          <cell r="T1229" t="b">
            <v>0</v>
          </cell>
          <cell r="W1229" t="str"/>
          <cell r="Y1229" t="str"/>
          <cell r="AA1229" t="str"/>
          <cell r="AK1229" t="str">
            <v>470-KP</v>
          </cell>
          <cell r="AL1229" t="str">
            <v>1-0607-(2/2)瑋鎰&gt;寄&gt;附發票&gt;附回郵</v>
          </cell>
          <cell r="AM1229" t="str">
            <v>1-0607</v>
          </cell>
        </row>
        <row r="1230">
          <cell r="B1230" t="str">
            <v>1-1225</v>
          </cell>
          <cell r="E1230" t="str">
            <v>有限公司</v>
          </cell>
          <cell r="R1230" t="b">
            <v>0</v>
          </cell>
          <cell r="S1230" t="str"/>
          <cell r="T1230" t="b">
            <v>0</v>
          </cell>
          <cell r="W1230" t="str"/>
          <cell r="Y1230" t="str"/>
          <cell r="AA1230" t="str"/>
          <cell r="AK1230" t="str">
            <v>963-QB</v>
          </cell>
          <cell r="AL1230" t="str">
            <v>1-0609-吉寅&gt;寄&gt;附發票&gt;附回郵</v>
          </cell>
          <cell r="AM1230" t="str">
            <v>1-0609</v>
          </cell>
        </row>
        <row r="1231">
          <cell r="B1231" t="str">
            <v>1-1226</v>
          </cell>
          <cell r="E1231" t="str">
            <v>有限公司</v>
          </cell>
          <cell r="R1231" t="b">
            <v>0</v>
          </cell>
          <cell r="S1231" t="str"/>
          <cell r="T1231" t="b">
            <v>0</v>
          </cell>
          <cell r="W1231" t="str"/>
          <cell r="Y1231" t="str"/>
          <cell r="AA1231" t="str"/>
          <cell r="AK1231" t="str">
            <v>ABG-1167</v>
          </cell>
          <cell r="AL1231" t="str">
            <v>1-0610-恆陽&gt;聯鋮&gt;寄&gt;附發票&gt;附回郵</v>
          </cell>
          <cell r="AM1231" t="str">
            <v>1-0610</v>
          </cell>
        </row>
        <row r="1232">
          <cell r="B1232" t="str">
            <v>1-1227</v>
          </cell>
          <cell r="E1232" t="str">
            <v>有限公司</v>
          </cell>
          <cell r="R1232" t="b">
            <v>0</v>
          </cell>
          <cell r="S1232" t="str"/>
          <cell r="T1232" t="b">
            <v>0</v>
          </cell>
          <cell r="W1232" t="str"/>
          <cell r="Y1232" t="str"/>
          <cell r="AA1232" t="str"/>
          <cell r="AK1232" t="str">
            <v>1978-VZ</v>
          </cell>
          <cell r="AL1232" t="str">
            <v>1-0610-恆陽&gt;聯鋮&gt;寄&gt;附發票&gt;附回郵</v>
          </cell>
          <cell r="AM1232" t="str">
            <v>1-0610</v>
          </cell>
        </row>
        <row r="1233">
          <cell r="B1233" t="str">
            <v>1-1228</v>
          </cell>
          <cell r="E1233" t="str">
            <v>有限公司</v>
          </cell>
          <cell r="R1233" t="b">
            <v>0</v>
          </cell>
          <cell r="S1233" t="str"/>
          <cell r="T1233" t="b">
            <v>0</v>
          </cell>
          <cell r="W1233" t="str"/>
          <cell r="Y1233" t="str"/>
          <cell r="AA1233" t="str"/>
          <cell r="AK1233" t="str">
            <v>1387-Q2</v>
          </cell>
          <cell r="AL1233" t="str">
            <v>1-0610-恆陽&gt;聯鋮&gt;寄&gt;附發票&gt;附回郵</v>
          </cell>
          <cell r="AM1233" t="str">
            <v>1-0610</v>
          </cell>
        </row>
        <row r="1234">
          <cell r="B1234" t="str">
            <v>1-1229</v>
          </cell>
          <cell r="E1234" t="str">
            <v>有限公司</v>
          </cell>
          <cell r="R1234" t="b">
            <v>0</v>
          </cell>
          <cell r="S1234" t="str"/>
          <cell r="T1234" t="b">
            <v>0</v>
          </cell>
          <cell r="W1234" t="str"/>
          <cell r="Y1234" t="str"/>
          <cell r="AA1234" t="str"/>
          <cell r="AK1234" t="str">
            <v>ABR-2019</v>
          </cell>
          <cell r="AL1234" t="str">
            <v>1-0610-恆陽&gt;聯鋮&gt;寄&gt;附發票&gt;附回郵</v>
          </cell>
          <cell r="AM1234" t="str">
            <v>1-0610</v>
          </cell>
        </row>
        <row r="1235">
          <cell r="B1235" t="str">
            <v>1-1230</v>
          </cell>
          <cell r="E1235" t="str">
            <v>有限公司</v>
          </cell>
          <cell r="R1235" t="b">
            <v>0</v>
          </cell>
          <cell r="S1235" t="str"/>
          <cell r="T1235" t="b">
            <v>0</v>
          </cell>
          <cell r="W1235" t="str"/>
          <cell r="Y1235" t="str"/>
          <cell r="AA1235" t="str"/>
          <cell r="AK1235" t="str">
            <v>55-5168</v>
          </cell>
          <cell r="AL1235" t="str">
            <v>1-0610-恆陽&gt;聯鋮&gt;寄&gt;附發票&gt;附回郵</v>
          </cell>
          <cell r="AM1235" t="str">
            <v>1-0610</v>
          </cell>
        </row>
        <row r="1236">
          <cell r="B1236" t="str">
            <v>1-1231</v>
          </cell>
          <cell r="E1236" t="str">
            <v>有限公司</v>
          </cell>
          <cell r="R1236" t="b">
            <v>0</v>
          </cell>
          <cell r="S1236" t="str"/>
          <cell r="T1236" t="b">
            <v>0</v>
          </cell>
          <cell r="W1236" t="str"/>
          <cell r="Y1236" t="str"/>
          <cell r="AA1236" t="str"/>
          <cell r="AK1236" t="str">
            <v>045-Y7</v>
          </cell>
          <cell r="AL1236" t="str">
            <v>1-0610-恆陽&gt;聯鋮&gt;寄&gt;附發票&gt;附回郵</v>
          </cell>
          <cell r="AM1236" t="str">
            <v>1-0610</v>
          </cell>
        </row>
        <row r="1237">
          <cell r="B1237" t="str">
            <v>1-1232</v>
          </cell>
          <cell r="E1237" t="str">
            <v>有限公司</v>
          </cell>
          <cell r="R1237" t="b">
            <v>0</v>
          </cell>
          <cell r="S1237" t="str"/>
          <cell r="T1237" t="b">
            <v>0</v>
          </cell>
          <cell r="W1237" t="str"/>
          <cell r="Y1237" t="str"/>
          <cell r="AA1237" t="str"/>
          <cell r="AK1237" t="str">
            <v>W2-1165</v>
          </cell>
          <cell r="AL1237" t="str">
            <v>1-0610-恆陽&gt;聯鋮&gt;寄&gt;附發票&gt;附回郵</v>
          </cell>
          <cell r="AM1237" t="str">
            <v>1-0610</v>
          </cell>
        </row>
        <row r="1238">
          <cell r="B1238" t="str">
            <v>1-1233</v>
          </cell>
          <cell r="E1238" t="str">
            <v>有限公司</v>
          </cell>
          <cell r="R1238" t="b">
            <v>0</v>
          </cell>
          <cell r="S1238" t="str"/>
          <cell r="T1238" t="b">
            <v>0</v>
          </cell>
          <cell r="W1238" t="str"/>
          <cell r="Y1238" t="str"/>
          <cell r="AA1238" t="str"/>
          <cell r="AK1238" t="str">
            <v>RAY-2367</v>
          </cell>
          <cell r="AL1238" t="str">
            <v>1-0610-恆陽&gt;聯鋮&gt;寄&gt;附發票&gt;附回郵</v>
          </cell>
          <cell r="AM1238" t="str">
            <v>1-0610</v>
          </cell>
        </row>
        <row r="1239">
          <cell r="B1239" t="str">
            <v>1-1234</v>
          </cell>
          <cell r="E1239" t="str">
            <v>有限公司</v>
          </cell>
          <cell r="R1239" t="b">
            <v>0</v>
          </cell>
          <cell r="S1239" t="str"/>
          <cell r="T1239" t="b">
            <v>0</v>
          </cell>
          <cell r="W1239" t="str"/>
          <cell r="Y1239" t="str"/>
          <cell r="AA1239" t="str"/>
          <cell r="AK1239" t="str">
            <v>66-1678</v>
          </cell>
          <cell r="AL1239" t="str">
            <v>1-0610-恆陽&gt;聯鋮&gt;寄&gt;附發票&gt;附回郵</v>
          </cell>
          <cell r="AM1239" t="str">
            <v>1-0610</v>
          </cell>
        </row>
        <row r="1240">
          <cell r="B1240" t="str">
            <v>1-1235</v>
          </cell>
          <cell r="E1240" t="str">
            <v>有限公司</v>
          </cell>
          <cell r="R1240" t="b">
            <v>0</v>
          </cell>
          <cell r="S1240" t="str"/>
          <cell r="T1240" t="b">
            <v>0</v>
          </cell>
          <cell r="W1240" t="str"/>
          <cell r="Y1240" t="str"/>
          <cell r="AA1240" t="str"/>
          <cell r="AK1240" t="str">
            <v>4810-N5</v>
          </cell>
          <cell r="AL1240" t="str">
            <v>1-0610-恆陽&gt;聯鋮&gt;寄&gt;附發票&gt;附回郵</v>
          </cell>
          <cell r="AM1240" t="str">
            <v>1-0610</v>
          </cell>
        </row>
        <row r="1241">
          <cell r="B1241" t="str">
            <v>1-1236</v>
          </cell>
          <cell r="E1241" t="str">
            <v>有限公司</v>
          </cell>
          <cell r="R1241" t="b">
            <v>0</v>
          </cell>
          <cell r="S1241" t="str"/>
          <cell r="T1241" t="b">
            <v>0</v>
          </cell>
          <cell r="W1241" t="str"/>
          <cell r="Y1241" t="str"/>
          <cell r="AA1241" t="str"/>
          <cell r="AK1241" t="str">
            <v>368-VB</v>
          </cell>
          <cell r="AL1241" t="str">
            <v>1-0610-恆陽&gt;聯鋮&gt;寄&gt;附發票&gt;附回郵</v>
          </cell>
          <cell r="AM1241" t="str">
            <v>1-0610</v>
          </cell>
        </row>
        <row r="1242">
          <cell r="B1242" t="str">
            <v>1-1237</v>
          </cell>
          <cell r="E1242" t="str">
            <v>有限公司</v>
          </cell>
          <cell r="R1242" t="b">
            <v>0</v>
          </cell>
          <cell r="S1242" t="str"/>
          <cell r="T1242" t="b">
            <v>0</v>
          </cell>
          <cell r="W1242" t="str"/>
          <cell r="Y1242" t="str"/>
          <cell r="AA1242" t="str"/>
          <cell r="AK1242" t="str">
            <v>4129.B6</v>
          </cell>
          <cell r="AL1242" t="str">
            <v>1-0610-恆陽&gt;聯鋮&gt;寄&gt;附發票&gt;附回郵</v>
          </cell>
          <cell r="AM1242" t="str">
            <v>1-0610</v>
          </cell>
        </row>
        <row r="1243">
          <cell r="B1243" t="str">
            <v>1-1238</v>
          </cell>
          <cell r="E1243" t="str">
            <v>有限公司</v>
          </cell>
          <cell r="R1243" t="b">
            <v>0</v>
          </cell>
          <cell r="S1243" t="str"/>
          <cell r="T1243" t="b">
            <v>0</v>
          </cell>
          <cell r="W1243" t="str"/>
          <cell r="Y1243" t="str"/>
          <cell r="AA1243" t="str"/>
          <cell r="AK1243" t="str">
            <v>AFP-8785</v>
          </cell>
          <cell r="AL1243" t="str">
            <v>1-0610-恆陽&gt;聯鋮&gt;寄&gt;附發票&gt;附回郵</v>
          </cell>
          <cell r="AM1243" t="str">
            <v>1-0610</v>
          </cell>
        </row>
        <row r="1244">
          <cell r="B1244" t="str">
            <v>1-1239</v>
          </cell>
          <cell r="E1244" t="str">
            <v>有限公司</v>
          </cell>
          <cell r="R1244" t="b">
            <v>0</v>
          </cell>
          <cell r="S1244" t="str"/>
          <cell r="T1244" t="b">
            <v>0</v>
          </cell>
          <cell r="W1244" t="str"/>
          <cell r="Y1244" t="str"/>
          <cell r="AA1244" t="str"/>
          <cell r="AK1244" t="str">
            <v>845-VN</v>
          </cell>
          <cell r="AL1244" t="str">
            <v>1-0610-恆陽&gt;聯鋮&gt;寄&gt;附發票&gt;附回郵</v>
          </cell>
          <cell r="AM1244" t="str">
            <v>1-0610</v>
          </cell>
        </row>
        <row r="1245">
          <cell r="B1245" t="str">
            <v>1-1240</v>
          </cell>
          <cell r="E1245" t="str">
            <v>有限公司</v>
          </cell>
          <cell r="R1245" t="b">
            <v>0</v>
          </cell>
          <cell r="S1245" t="str"/>
          <cell r="T1245" t="b">
            <v>0</v>
          </cell>
          <cell r="W1245" t="str"/>
          <cell r="Y1245" t="str"/>
          <cell r="AA1245" t="str"/>
          <cell r="AK1245" t="str">
            <v>A8-8597</v>
          </cell>
          <cell r="AL1245" t="str">
            <v>1-0610-恆陽&gt;聯鋮&gt;寄&gt;附發票&gt;附回郵</v>
          </cell>
          <cell r="AM1245" t="str">
            <v>1-0610</v>
          </cell>
        </row>
        <row r="1246">
          <cell r="B1246" t="str">
            <v>1-1241</v>
          </cell>
          <cell r="E1246" t="str">
            <v>有限公司</v>
          </cell>
          <cell r="R1246" t="b">
            <v>0</v>
          </cell>
          <cell r="S1246" t="str"/>
          <cell r="T1246" t="b">
            <v>0</v>
          </cell>
          <cell r="W1246" t="str"/>
          <cell r="Y1246" t="str"/>
          <cell r="AA1246" t="str"/>
          <cell r="AK1246" t="str">
            <v>006-Y7</v>
          </cell>
          <cell r="AL1246" t="str">
            <v>1-0610-恆陽&gt;聯鋮&gt;寄&gt;附發票&gt;附回郵</v>
          </cell>
          <cell r="AM1246" t="str">
            <v>1-0610</v>
          </cell>
        </row>
        <row r="1247">
          <cell r="B1247" t="str">
            <v>1-1242</v>
          </cell>
          <cell r="E1247" t="str">
            <v>有限公司</v>
          </cell>
          <cell r="R1247" t="b">
            <v>0</v>
          </cell>
          <cell r="S1247" t="str"/>
          <cell r="T1247" t="b">
            <v>0</v>
          </cell>
          <cell r="W1247" t="str"/>
          <cell r="Y1247" t="str"/>
          <cell r="AA1247" t="str"/>
          <cell r="AK1247" t="str">
            <v>RAH-2667</v>
          </cell>
          <cell r="AL1247" t="str">
            <v>1-0610-恆陽&gt;聯鋮&gt;寄&gt;附發票&gt;附回郵</v>
          </cell>
          <cell r="AM1247" t="str">
            <v>1-0610</v>
          </cell>
        </row>
        <row r="1248">
          <cell r="B1248" t="str">
            <v>1-1243</v>
          </cell>
          <cell r="E1248" t="str">
            <v>有限公司</v>
          </cell>
          <cell r="R1248" t="b">
            <v>0</v>
          </cell>
          <cell r="S1248" t="str"/>
          <cell r="T1248" t="b">
            <v>0</v>
          </cell>
          <cell r="W1248" t="str"/>
          <cell r="Y1248" t="str"/>
          <cell r="AA1248" t="str"/>
          <cell r="AK1248" t="str">
            <v>1979-PQ</v>
          </cell>
          <cell r="AL1248" t="str">
            <v>1-0610-恆陽&gt;聯鋮&gt;寄&gt;附發票&gt;附回郵</v>
          </cell>
          <cell r="AM1248" t="str">
            <v>1-0610</v>
          </cell>
        </row>
        <row r="1249">
          <cell r="B1249" t="str">
            <v>1-1244</v>
          </cell>
          <cell r="E1249" t="str">
            <v>有限公司</v>
          </cell>
          <cell r="R1249" t="b">
            <v>0</v>
          </cell>
          <cell r="S1249" t="str"/>
          <cell r="T1249" t="b">
            <v>0</v>
          </cell>
          <cell r="W1249" t="str"/>
          <cell r="Y1249" t="str"/>
          <cell r="AA1249" t="str"/>
          <cell r="AK1249" t="str">
            <v>267-S2</v>
          </cell>
          <cell r="AL1249" t="str">
            <v>1-0612-祖揚&gt;寄&gt;附發票&gt;附回郵</v>
          </cell>
          <cell r="AM1249" t="str">
            <v>1-0612</v>
          </cell>
        </row>
        <row r="1250">
          <cell r="B1250" t="str">
            <v>1-1245</v>
          </cell>
          <cell r="E1250" t="str">
            <v>有限公司</v>
          </cell>
          <cell r="R1250" t="b">
            <v>0</v>
          </cell>
          <cell r="S1250" t="str"/>
          <cell r="T1250" t="b">
            <v>0</v>
          </cell>
          <cell r="W1250" t="str"/>
          <cell r="Y1250" t="str"/>
          <cell r="AA1250" t="str"/>
          <cell r="AK1250" t="str">
            <v>671-R9</v>
          </cell>
          <cell r="AL1250" t="str">
            <v>1-0613-大盈&gt;寄&gt;附發票&gt;匯款</v>
          </cell>
          <cell r="AM1250" t="str">
            <v>1-0613</v>
          </cell>
        </row>
        <row r="1251">
          <cell r="B1251" t="str">
            <v>1-1246</v>
          </cell>
          <cell r="E1251" t="str">
            <v>有限公司</v>
          </cell>
          <cell r="R1251" t="b">
            <v>0</v>
          </cell>
          <cell r="S1251" t="str"/>
          <cell r="T1251" t="b">
            <v>0</v>
          </cell>
          <cell r="W1251" t="str"/>
          <cell r="Y1251" t="str"/>
          <cell r="AA1251" t="str"/>
          <cell r="AK1251" t="str">
            <v>7Q-1862</v>
          </cell>
          <cell r="AL1251" t="str">
            <v>1-0615-弘陞&gt;寄&gt;自結</v>
          </cell>
          <cell r="AM1251" t="str">
            <v>1-0615</v>
          </cell>
        </row>
        <row r="1252">
          <cell r="B1252" t="str">
            <v>1-1247</v>
          </cell>
          <cell r="E1252" t="str">
            <v>有限公司</v>
          </cell>
          <cell r="R1252" t="b">
            <v>0</v>
          </cell>
          <cell r="S1252" t="str"/>
          <cell r="T1252" t="b">
            <v>0</v>
          </cell>
          <cell r="W1252" t="str"/>
          <cell r="Y1252" t="str"/>
          <cell r="AA1252" t="str"/>
          <cell r="AK1252" t="str">
            <v>547-Y7</v>
          </cell>
          <cell r="AL1252" t="str">
            <v>1-0617-福盈&gt;高陞&gt;寄&gt;附回郵</v>
          </cell>
          <cell r="AM1252" t="str">
            <v>1-0617</v>
          </cell>
        </row>
        <row r="1253">
          <cell r="B1253" t="str">
            <v>1-1248</v>
          </cell>
          <cell r="E1253" t="str">
            <v>有限公司</v>
          </cell>
          <cell r="R1253" t="b">
            <v>0</v>
          </cell>
          <cell r="S1253" t="str"/>
          <cell r="T1253" t="b">
            <v>0</v>
          </cell>
          <cell r="W1253" t="str"/>
          <cell r="Y1253" t="str"/>
          <cell r="AA1253" t="str"/>
          <cell r="AK1253" t="str">
            <v>485-RW</v>
          </cell>
          <cell r="AL1253" t="str">
            <v>1-0618-新諺&gt;寄&gt;附發票&gt;附回郵</v>
          </cell>
          <cell r="AM1253" t="str">
            <v>1-0618</v>
          </cell>
        </row>
        <row r="1254">
          <cell r="B1254" t="str">
            <v>1-1249</v>
          </cell>
          <cell r="E1254" t="str">
            <v>有限公司</v>
          </cell>
          <cell r="R1254" t="b">
            <v>0</v>
          </cell>
          <cell r="S1254" t="str"/>
          <cell r="T1254" t="b">
            <v>0</v>
          </cell>
          <cell r="W1254" t="str"/>
          <cell r="Y1254" t="str"/>
          <cell r="AA1254" t="str"/>
          <cell r="AK1254" t="str">
            <v>9F-362</v>
          </cell>
          <cell r="AL1254" t="str">
            <v>1-0618-新諺&gt;寄&gt;附發票&gt;附回郵</v>
          </cell>
          <cell r="AM1254" t="str">
            <v>1-0618</v>
          </cell>
        </row>
        <row r="1255">
          <cell r="B1255" t="str">
            <v>1-1250</v>
          </cell>
          <cell r="E1255" t="str">
            <v>有限公司</v>
          </cell>
          <cell r="R1255" t="b">
            <v>0</v>
          </cell>
          <cell r="S1255" t="str"/>
          <cell r="T1255" t="b">
            <v>0</v>
          </cell>
          <cell r="W1255" t="str"/>
          <cell r="Y1255" t="str"/>
          <cell r="AA1255" t="str"/>
          <cell r="AK1255" t="str">
            <v>3426-TW</v>
          </cell>
          <cell r="AL1255" t="str">
            <v>1-0618-新諺&gt;寄&gt;附發票&gt;附回郵</v>
          </cell>
          <cell r="AM1255" t="str">
            <v>1-0618</v>
          </cell>
        </row>
        <row r="1256">
          <cell r="B1256" t="str">
            <v>1-1251</v>
          </cell>
          <cell r="E1256" t="str">
            <v>有限公司</v>
          </cell>
          <cell r="R1256" t="b">
            <v>0</v>
          </cell>
          <cell r="S1256" t="str"/>
          <cell r="T1256" t="b">
            <v>0</v>
          </cell>
          <cell r="W1256" t="str"/>
          <cell r="Y1256" t="str"/>
          <cell r="AA1256" t="str"/>
          <cell r="AK1256" t="str">
            <v>148-S2</v>
          </cell>
          <cell r="AL1256" t="str">
            <v>1-0625-(2/3)永矩(卡車)&gt;寄&gt;附發票&gt;附回郵</v>
          </cell>
          <cell r="AM1256" t="str">
            <v>1-0625</v>
          </cell>
        </row>
        <row r="1257">
          <cell r="B1257" t="str">
            <v>1-1252</v>
          </cell>
          <cell r="E1257" t="str">
            <v>有限公司</v>
          </cell>
          <cell r="R1257" t="b">
            <v>0</v>
          </cell>
          <cell r="S1257" t="str"/>
          <cell r="T1257" t="b">
            <v>0</v>
          </cell>
          <cell r="W1257" t="str"/>
          <cell r="Y1257" t="str"/>
          <cell r="AA1257" t="str"/>
          <cell r="AK1257" t="str">
            <v>KLF-0178</v>
          </cell>
          <cell r="AL1257" t="str">
            <v>1-0709-(3/3)金正汽車貨運&gt;寄&gt;附回郵</v>
          </cell>
          <cell r="AM1257" t="str">
            <v>1-0709</v>
          </cell>
        </row>
        <row r="1258">
          <cell r="B1258" t="str">
            <v>1-1253</v>
          </cell>
          <cell r="E1258" t="str">
            <v>有限公司</v>
          </cell>
          <cell r="R1258" t="b">
            <v>0</v>
          </cell>
          <cell r="S1258" t="str"/>
          <cell r="T1258" t="b">
            <v>0</v>
          </cell>
          <cell r="W1258" t="str"/>
          <cell r="Y1258" t="str"/>
          <cell r="AA1258" t="str"/>
          <cell r="AK1258" t="str">
            <v>202-S2</v>
          </cell>
          <cell r="AL1258" t="str">
            <v>1-0625-(2/3)永矩(卡車)&gt;寄&gt;附發票&gt;附回郵</v>
          </cell>
          <cell r="AM1258" t="str">
            <v>1-0625</v>
          </cell>
        </row>
        <row r="1259">
          <cell r="B1259" t="str">
            <v>1-1254</v>
          </cell>
          <cell r="E1259" t="str">
            <v>有限公司</v>
          </cell>
          <cell r="R1259" t="b">
            <v>0</v>
          </cell>
          <cell r="S1259" t="str"/>
          <cell r="T1259" t="b">
            <v>0</v>
          </cell>
          <cell r="W1259" t="str"/>
          <cell r="Y1259" t="str"/>
          <cell r="AA1259" t="str"/>
          <cell r="AK1259" t="str">
            <v>GU-272</v>
          </cell>
          <cell r="AL1259" t="str">
            <v>1-0018-輝業&gt;寄&gt;附發票&gt;附回郵</v>
          </cell>
          <cell r="AM1259" t="str">
            <v>1-0018</v>
          </cell>
        </row>
        <row r="1260">
          <cell r="B1260" t="str">
            <v>1-1255</v>
          </cell>
          <cell r="E1260" t="str">
            <v>有限公司</v>
          </cell>
          <cell r="R1260" t="b">
            <v>0</v>
          </cell>
          <cell r="S1260" t="str"/>
          <cell r="T1260" t="b">
            <v>0</v>
          </cell>
          <cell r="W1260" t="str"/>
          <cell r="Y1260" t="str"/>
          <cell r="AA1260" t="str"/>
          <cell r="AK1260" t="str">
            <v>2781-N2</v>
          </cell>
          <cell r="AL1260" t="str">
            <v>1-0624-聖麒工程&gt;閎元&gt;永金&gt;寄&gt;附回郵&gt;現金價</v>
          </cell>
          <cell r="AM1260" t="str">
            <v>1-0624</v>
          </cell>
        </row>
        <row r="1261">
          <cell r="B1261" t="str">
            <v>1-1256</v>
          </cell>
          <cell r="E1261" t="str">
            <v>有限公司</v>
          </cell>
          <cell r="R1261" t="b">
            <v>0</v>
          </cell>
          <cell r="S1261" t="str"/>
          <cell r="T1261" t="b">
            <v>0</v>
          </cell>
          <cell r="W1261" t="str"/>
          <cell r="Y1261" t="str"/>
          <cell r="AA1261" t="str"/>
          <cell r="AK1261" t="str">
            <v>LAG-903</v>
          </cell>
          <cell r="AL1261" t="str">
            <v>1-0047-(2/4)鴻安&gt;寄&gt;附發票&gt;附回郵</v>
          </cell>
          <cell r="AM1261" t="str">
            <v>1-0047</v>
          </cell>
        </row>
        <row r="1262">
          <cell r="B1262" t="str">
            <v>1-1257</v>
          </cell>
          <cell r="E1262" t="str">
            <v>有限公司</v>
          </cell>
          <cell r="R1262" t="b">
            <v>0</v>
          </cell>
          <cell r="S1262" t="str"/>
          <cell r="T1262" t="b">
            <v>0</v>
          </cell>
          <cell r="W1262" t="str"/>
          <cell r="Y1262" t="str"/>
          <cell r="AA1262" t="str"/>
          <cell r="AK1262" t="str">
            <v>ABF-1397</v>
          </cell>
          <cell r="AL1262" t="str">
            <v>1-0624-聖麒工程&gt;閎元&gt;永金&gt;寄&gt;附回郵&gt;現金價</v>
          </cell>
          <cell r="AM1262" t="str">
            <v>1-0624</v>
          </cell>
        </row>
        <row r="1263">
          <cell r="B1263" t="str">
            <v>1-1258</v>
          </cell>
          <cell r="E1263" t="str">
            <v>有限公司</v>
          </cell>
          <cell r="R1263" t="b">
            <v>0</v>
          </cell>
          <cell r="S1263" t="str"/>
          <cell r="T1263" t="b">
            <v>0</v>
          </cell>
          <cell r="W1263" t="str"/>
          <cell r="Y1263" t="str"/>
          <cell r="AA1263" t="str"/>
          <cell r="AK1263" t="str">
            <v>242-UU</v>
          </cell>
          <cell r="AL1263" t="str">
            <v>1-0164-元慶&gt;寄&gt;附發票&gt;附回郵</v>
          </cell>
          <cell r="AM1263" t="str">
            <v>1-0164</v>
          </cell>
        </row>
        <row r="1264">
          <cell r="B1264" t="str">
            <v>1-1259</v>
          </cell>
          <cell r="E1264" t="str">
            <v>有限公司</v>
          </cell>
          <cell r="R1264" t="b">
            <v>0</v>
          </cell>
          <cell r="S1264" t="str"/>
          <cell r="T1264" t="b">
            <v>0</v>
          </cell>
          <cell r="W1264" t="str"/>
          <cell r="Y1264" t="str"/>
          <cell r="AA1264" t="str"/>
          <cell r="AK1264" t="str">
            <v>板HK-992</v>
          </cell>
          <cell r="AL1264" t="str">
            <v>1-0705-(1/3)福瑞&gt;寄&gt;附發票&gt;附回郵</v>
          </cell>
          <cell r="AM1264" t="str">
            <v>1-0705</v>
          </cell>
        </row>
        <row r="1265">
          <cell r="B1265" t="str">
            <v>1-1260</v>
          </cell>
          <cell r="E1265" t="str">
            <v>有限公司</v>
          </cell>
          <cell r="R1265" t="b">
            <v>0</v>
          </cell>
          <cell r="S1265" t="str"/>
          <cell r="T1265" t="b">
            <v>0</v>
          </cell>
          <cell r="W1265" t="str"/>
          <cell r="Y1265" t="str"/>
          <cell r="AA1265" t="str"/>
          <cell r="AK1265" t="str">
            <v>203-S2</v>
          </cell>
          <cell r="AL1265" t="str">
            <v>1-0625-(2/3)永矩(卡車)&gt;寄&gt;附發票&gt;附回郵</v>
          </cell>
          <cell r="AM1265" t="str">
            <v>1-0625</v>
          </cell>
        </row>
        <row r="1266">
          <cell r="B1266" t="str">
            <v>1-1261</v>
          </cell>
          <cell r="E1266" t="str">
            <v>有限公司</v>
          </cell>
          <cell r="R1266" t="b">
            <v>0</v>
          </cell>
          <cell r="S1266" t="str"/>
          <cell r="T1266" t="b">
            <v>0</v>
          </cell>
          <cell r="W1266" t="str"/>
          <cell r="Y1266" t="str"/>
          <cell r="AA1266" t="str"/>
          <cell r="AK1266" t="str">
            <v>QAE-561</v>
          </cell>
          <cell r="AL1266" t="str">
            <v>1-0804-峰宸&gt;豪新&gt;電&gt;自結(刷卡含稅)</v>
          </cell>
          <cell r="AM1266" t="str">
            <v>1-0804</v>
          </cell>
        </row>
        <row r="1267">
          <cell r="B1267" t="str">
            <v>1-1262</v>
          </cell>
          <cell r="E1267" t="str">
            <v>有限公司</v>
          </cell>
          <cell r="R1267" t="b">
            <v>0</v>
          </cell>
          <cell r="S1267" t="str"/>
          <cell r="T1267" t="b">
            <v>0</v>
          </cell>
          <cell r="W1267" t="str"/>
          <cell r="Y1267" t="str"/>
          <cell r="AA1267" t="str"/>
          <cell r="AK1267" t="str">
            <v>205-S2</v>
          </cell>
          <cell r="AL1267" t="str">
            <v>1-0625-(2/3)永矩(卡車)&gt;寄&gt;附發票&gt;附回郵</v>
          </cell>
          <cell r="AM1267" t="str">
            <v>1-0625</v>
          </cell>
        </row>
        <row r="1268">
          <cell r="B1268" t="str">
            <v>1-1263</v>
          </cell>
          <cell r="E1268" t="str">
            <v>有限公司</v>
          </cell>
          <cell r="R1268" t="b">
            <v>0</v>
          </cell>
          <cell r="S1268" t="str"/>
          <cell r="T1268" t="b">
            <v>0</v>
          </cell>
          <cell r="W1268" t="str"/>
          <cell r="Y1268" t="str"/>
          <cell r="AA1268" t="str"/>
          <cell r="AK1268" t="str">
            <v>板HK-211</v>
          </cell>
          <cell r="AL1268" t="str">
            <v>1-0705-(1/3)福瑞&gt;寄&gt;附發票&gt;附回郵</v>
          </cell>
          <cell r="AM1268" t="str">
            <v>1-0705</v>
          </cell>
        </row>
        <row r="1269">
          <cell r="B1269" t="str">
            <v>1-1264</v>
          </cell>
          <cell r="E1269" t="str">
            <v>有限公司</v>
          </cell>
          <cell r="R1269" t="b">
            <v>0</v>
          </cell>
          <cell r="S1269" t="str"/>
          <cell r="T1269" t="b">
            <v>0</v>
          </cell>
          <cell r="W1269" t="str"/>
          <cell r="Y1269" t="str"/>
          <cell r="AA1269" t="str"/>
          <cell r="AK1269" t="str">
            <v>608-FF</v>
          </cell>
          <cell r="AL1269" t="str">
            <v>1-0347-仁德&gt;寄&gt;附發票&gt;附回郵</v>
          </cell>
          <cell r="AM1269" t="str">
            <v>1-0347</v>
          </cell>
        </row>
        <row r="1270">
          <cell r="B1270" t="str">
            <v>1-1265</v>
          </cell>
          <cell r="E1270" t="str">
            <v>有限公司</v>
          </cell>
          <cell r="R1270" t="b">
            <v>0</v>
          </cell>
          <cell r="S1270" t="str"/>
          <cell r="T1270" t="b">
            <v>0</v>
          </cell>
          <cell r="W1270" t="str"/>
          <cell r="Y1270" t="str"/>
          <cell r="AA1270" t="str"/>
          <cell r="AK1270" t="str">
            <v>KEA-9389</v>
          </cell>
          <cell r="AL1270" t="str">
            <v>1-0549-華品&gt;佳上&gt;冠仁&gt;寄&gt;附發票&gt;附回郵</v>
          </cell>
          <cell r="AM1270" t="str">
            <v>1-0549</v>
          </cell>
        </row>
        <row r="1271">
          <cell r="B1271" t="str">
            <v>1-1266</v>
          </cell>
          <cell r="E1271" t="str">
            <v>有限公司</v>
          </cell>
          <cell r="R1271" t="b">
            <v>0</v>
          </cell>
          <cell r="S1271" t="str"/>
          <cell r="T1271" t="b">
            <v>0</v>
          </cell>
          <cell r="W1271" t="str"/>
          <cell r="Y1271" t="str"/>
          <cell r="AA1271" t="str"/>
          <cell r="AK1271" t="str">
            <v>975-X3</v>
          </cell>
          <cell r="AL1271" t="str">
            <v>1-0819-(2/2)捷順&gt;寄&gt;附發票&gt;三個月匯款</v>
          </cell>
          <cell r="AM1271" t="str">
            <v>1-0819</v>
          </cell>
        </row>
        <row r="1272">
          <cell r="B1272" t="str">
            <v>1-1267</v>
          </cell>
          <cell r="E1272" t="str">
            <v>有限公司</v>
          </cell>
          <cell r="R1272" t="b">
            <v>0</v>
          </cell>
          <cell r="S1272" t="str"/>
          <cell r="T1272" t="b">
            <v>0</v>
          </cell>
          <cell r="W1272" t="str"/>
          <cell r="Y1272" t="str"/>
          <cell r="AA1272" t="str"/>
          <cell r="AK1272" t="str">
            <v>109-UU</v>
          </cell>
          <cell r="AL1272" t="str">
            <v>1-0164-元慶&gt;寄&gt;附發票&gt;附回郵</v>
          </cell>
          <cell r="AM1272" t="str">
            <v>1-0164</v>
          </cell>
        </row>
        <row r="1273">
          <cell r="B1273" t="str">
            <v>1-1268</v>
          </cell>
          <cell r="E1273" t="str">
            <v>有限公司</v>
          </cell>
          <cell r="R1273" t="b">
            <v>0</v>
          </cell>
          <cell r="S1273" t="str"/>
          <cell r="T1273" t="b">
            <v>0</v>
          </cell>
          <cell r="W1273" t="str"/>
          <cell r="Y1273" t="str"/>
          <cell r="AA1273" t="str"/>
          <cell r="AK1273" t="str">
            <v>2125-N2</v>
          </cell>
          <cell r="AL1273" t="str">
            <v>1-0624-聖麒工程&gt;閎元&gt;永金&gt;寄&gt;附回郵&gt;現金價</v>
          </cell>
          <cell r="AM1273" t="str">
            <v>1-0624</v>
          </cell>
        </row>
        <row r="1274">
          <cell r="B1274" t="str">
            <v>1-1269</v>
          </cell>
          <cell r="E1274" t="str">
            <v>有限公司</v>
          </cell>
          <cell r="R1274" t="b">
            <v>0</v>
          </cell>
          <cell r="S1274" t="str"/>
          <cell r="T1274" t="b">
            <v>0</v>
          </cell>
          <cell r="W1274" t="str"/>
          <cell r="Y1274" t="str"/>
          <cell r="AA1274" t="str"/>
          <cell r="AK1274" t="str">
            <v>918-5A</v>
          </cell>
          <cell r="AL1274" t="str">
            <v>1-0056-寬輾&gt;寄&gt;附回郵(1/3)</v>
          </cell>
          <cell r="AM1274" t="str">
            <v>1-0056</v>
          </cell>
        </row>
        <row r="1275">
          <cell r="B1275" t="str">
            <v>1-1270</v>
          </cell>
          <cell r="E1275" t="str">
            <v>有限公司</v>
          </cell>
          <cell r="R1275" t="b">
            <v>0</v>
          </cell>
          <cell r="S1275" t="str"/>
          <cell r="T1275" t="b">
            <v>0</v>
          </cell>
          <cell r="W1275" t="str"/>
          <cell r="Y1275" t="str"/>
          <cell r="AA1275" t="str"/>
          <cell r="AK1275" t="str">
            <v>357-S2</v>
          </cell>
          <cell r="AL1275" t="str">
            <v>1-0625-(2/3)永矩(卡車)&gt;寄&gt;附發票&gt;附回郵</v>
          </cell>
          <cell r="AM1275" t="str">
            <v>1-0625</v>
          </cell>
        </row>
        <row r="1276">
          <cell r="B1276" t="str">
            <v>1-1271</v>
          </cell>
          <cell r="E1276" t="str">
            <v>有限公司</v>
          </cell>
          <cell r="R1276" t="b">
            <v>0</v>
          </cell>
          <cell r="S1276" t="str"/>
          <cell r="T1276" t="b">
            <v>0</v>
          </cell>
          <cell r="W1276" t="str"/>
          <cell r="Y1276" t="str"/>
          <cell r="AA1276" t="str"/>
          <cell r="AK1276" t="str">
            <v>358-S2</v>
          </cell>
          <cell r="AL1276" t="str">
            <v>1-0625-(2/3)永矩(卡車)&gt;寄&gt;附發票&gt;附回郵</v>
          </cell>
          <cell r="AM1276" t="str">
            <v>1-0625</v>
          </cell>
        </row>
        <row r="1277">
          <cell r="B1277" t="str">
            <v>1-1272</v>
          </cell>
          <cell r="E1277" t="str">
            <v>有限公司</v>
          </cell>
          <cell r="R1277" t="b">
            <v>0</v>
          </cell>
          <cell r="S1277" t="str"/>
          <cell r="T1277" t="b">
            <v>0</v>
          </cell>
          <cell r="W1277" t="str"/>
          <cell r="Y1277" t="str"/>
          <cell r="AA1277" t="str"/>
          <cell r="AK1277" t="str">
            <v>359-S2</v>
          </cell>
          <cell r="AL1277" t="str">
            <v>1-0625-(2/3)永矩(卡車)&gt;寄&gt;附發票&gt;附回郵</v>
          </cell>
          <cell r="AM1277" t="str">
            <v>1-0625</v>
          </cell>
        </row>
        <row r="1278">
          <cell r="B1278" t="str">
            <v>1-1273</v>
          </cell>
          <cell r="E1278" t="str">
            <v>有限公司</v>
          </cell>
          <cell r="R1278" t="b">
            <v>0</v>
          </cell>
          <cell r="S1278" t="str"/>
          <cell r="T1278" t="b">
            <v>0</v>
          </cell>
          <cell r="W1278" t="str"/>
          <cell r="Y1278" t="str"/>
          <cell r="AA1278" t="str"/>
          <cell r="AK1278" t="str">
            <v>169-V6</v>
          </cell>
          <cell r="AL1278" t="str">
            <v>1-0593-大宇&gt;寄&gt;附發票&gt;附回郵</v>
          </cell>
          <cell r="AM1278" t="str">
            <v>1-0593</v>
          </cell>
        </row>
        <row r="1279">
          <cell r="B1279" t="str">
            <v>1-1274</v>
          </cell>
          <cell r="E1279" t="str">
            <v>有限公司</v>
          </cell>
          <cell r="R1279" t="b">
            <v>0</v>
          </cell>
          <cell r="S1279" t="str"/>
          <cell r="T1279" t="b">
            <v>0</v>
          </cell>
          <cell r="W1279" t="str"/>
          <cell r="Y1279" t="str"/>
          <cell r="AA1279" t="str"/>
          <cell r="AK1279" t="str">
            <v>017-S2</v>
          </cell>
          <cell r="AL1279" t="str">
            <v>1-0625-(2/3)永矩(卡車)&gt;寄&gt;附發票&gt;附回郵</v>
          </cell>
          <cell r="AM1279" t="str">
            <v>1-0625</v>
          </cell>
        </row>
        <row r="1280">
          <cell r="B1280" t="str">
            <v>1-1275</v>
          </cell>
          <cell r="E1280" t="str">
            <v>有限公司</v>
          </cell>
          <cell r="R1280" t="b">
            <v>0</v>
          </cell>
          <cell r="S1280" t="str"/>
          <cell r="T1280" t="b">
            <v>0</v>
          </cell>
          <cell r="W1280" t="str"/>
          <cell r="Y1280" t="str"/>
          <cell r="AA1280" t="str"/>
          <cell r="AK1280" t="str">
            <v>APR-6702</v>
          </cell>
          <cell r="AL1280" t="str">
            <v>1-0386-唯辰行&gt;佳佳商行&gt;寄&gt;自結</v>
          </cell>
          <cell r="AM1280" t="str">
            <v>1-0386</v>
          </cell>
        </row>
        <row r="1281">
          <cell r="B1281" t="str">
            <v>1-1276</v>
          </cell>
          <cell r="E1281" t="str">
            <v>有限公司</v>
          </cell>
          <cell r="R1281" t="b">
            <v>0</v>
          </cell>
          <cell r="S1281" t="str"/>
          <cell r="T1281" t="b">
            <v>0</v>
          </cell>
          <cell r="W1281" t="str"/>
          <cell r="Y1281" t="str"/>
          <cell r="AA1281" t="str"/>
          <cell r="AK1281" t="str">
            <v>KEG-6121</v>
          </cell>
          <cell r="AL1281" t="str">
            <v>1-0364-弘翔.東大&gt;寄&gt;附發票&gt;附回郵</v>
          </cell>
          <cell r="AM1281" t="str">
            <v>1-0364</v>
          </cell>
        </row>
        <row r="1282">
          <cell r="B1282" t="str">
            <v>1-1277</v>
          </cell>
          <cell r="E1282" t="str">
            <v>有限公司</v>
          </cell>
          <cell r="R1282" t="b">
            <v>0</v>
          </cell>
          <cell r="S1282" t="str"/>
          <cell r="T1282" t="b">
            <v>0</v>
          </cell>
          <cell r="W1282" t="str"/>
          <cell r="Y1282" t="str"/>
          <cell r="AA1282" t="str"/>
          <cell r="AK1282" t="str">
            <v>W4-1495</v>
          </cell>
          <cell r="AL1282" t="str">
            <v>1-0563-鳴倫&gt;寄&gt;附發票&gt;附回郵</v>
          </cell>
          <cell r="AM1282" t="str">
            <v>1-0563</v>
          </cell>
        </row>
        <row r="1283">
          <cell r="B1283" t="str">
            <v>1-1278</v>
          </cell>
          <cell r="E1283" t="str">
            <v>有限公司</v>
          </cell>
          <cell r="R1283" t="b">
            <v>0</v>
          </cell>
          <cell r="S1283" t="str"/>
          <cell r="T1283" t="b">
            <v>0</v>
          </cell>
          <cell r="W1283" t="str"/>
          <cell r="Y1283" t="str"/>
          <cell r="AA1283" t="str"/>
          <cell r="AK1283" t="str">
            <v>402-WW</v>
          </cell>
          <cell r="AL1283" t="str">
            <v>1-0164-元慶&gt;寄&gt;附發票&gt;附回郵</v>
          </cell>
          <cell r="AM1283" t="str">
            <v>1-0164</v>
          </cell>
        </row>
        <row r="1284">
          <cell r="B1284" t="str">
            <v>1-1279</v>
          </cell>
          <cell r="E1284" t="str">
            <v>有限公司</v>
          </cell>
          <cell r="R1284" t="b">
            <v>0</v>
          </cell>
          <cell r="S1284" t="str"/>
          <cell r="T1284" t="b">
            <v>0</v>
          </cell>
          <cell r="W1284" t="str"/>
          <cell r="Y1284" t="str"/>
          <cell r="AA1284" t="str"/>
          <cell r="AK1284" t="str">
            <v>KLB-5011</v>
          </cell>
          <cell r="AL1284" t="str">
            <v>1-0334-廣寶&gt;環亞&gt;正大&gt;寄&gt;附回郵&gt;1個月後匯款</v>
          </cell>
          <cell r="AM1284" t="str">
            <v>1-0334</v>
          </cell>
        </row>
        <row r="1285">
          <cell r="B1285" t="str">
            <v>1-1280</v>
          </cell>
          <cell r="E1285" t="str">
            <v>有限公司</v>
          </cell>
          <cell r="R1285" t="b">
            <v>0</v>
          </cell>
          <cell r="S1285" t="str"/>
          <cell r="T1285" t="b">
            <v>0</v>
          </cell>
          <cell r="W1285" t="str"/>
          <cell r="Y1285" t="str"/>
          <cell r="AA1285" t="str"/>
          <cell r="AK1285" t="str">
            <v>LAG-972</v>
          </cell>
          <cell r="AL1285" t="str">
            <v>1-0162-鎰利&gt;鎰金&gt;鎰加&gt;寄&gt;附發票&gt;2個月匯款</v>
          </cell>
          <cell r="AM1285" t="str">
            <v>1-0162</v>
          </cell>
        </row>
        <row r="1286">
          <cell r="B1286" t="str">
            <v>1-1281</v>
          </cell>
          <cell r="E1286" t="str">
            <v>有限公司</v>
          </cell>
          <cell r="R1286" t="b">
            <v>0</v>
          </cell>
          <cell r="S1286" t="str"/>
          <cell r="T1286" t="b">
            <v>0</v>
          </cell>
          <cell r="W1286" t="str"/>
          <cell r="Y1286" t="str"/>
          <cell r="AA1286" t="str"/>
          <cell r="AK1286" t="str">
            <v>927-V6</v>
          </cell>
          <cell r="AL1286" t="str">
            <v>1-0347-仁德&gt;寄&gt;附發票&gt;附回郵</v>
          </cell>
          <cell r="AM1286" t="str">
            <v>1-0347</v>
          </cell>
        </row>
        <row r="1287">
          <cell r="B1287" t="str">
            <v>1-1282</v>
          </cell>
          <cell r="E1287" t="str">
            <v>有限公司</v>
          </cell>
          <cell r="R1287" t="b">
            <v>0</v>
          </cell>
          <cell r="S1287" t="str"/>
          <cell r="T1287" t="b">
            <v>0</v>
          </cell>
          <cell r="W1287" t="str"/>
          <cell r="Y1287" t="str"/>
          <cell r="AA1287" t="str"/>
          <cell r="AK1287" t="str">
            <v>6712-T9</v>
          </cell>
          <cell r="AL1287" t="str">
            <v>1-0565-有利&gt;寄&gt;附發票&gt;附回郵</v>
          </cell>
          <cell r="AM1287" t="str">
            <v>1-0565</v>
          </cell>
        </row>
        <row r="1288">
          <cell r="B1288" t="str">
            <v>1-1283</v>
          </cell>
          <cell r="E1288" t="str">
            <v>有限公司</v>
          </cell>
          <cell r="R1288" t="b">
            <v>0</v>
          </cell>
          <cell r="S1288" t="str"/>
          <cell r="T1288" t="b">
            <v>0</v>
          </cell>
          <cell r="W1288" t="str"/>
          <cell r="Y1288" t="str"/>
          <cell r="AA1288" t="str"/>
          <cell r="AK1288" t="str">
            <v>7428-YV</v>
          </cell>
          <cell r="AL1288" t="str">
            <v>1-0773-寬裕&gt;李寬裕&gt;寄&gt;附發票&gt;附回郵</v>
          </cell>
          <cell r="AM1288" t="str">
            <v>1-0773</v>
          </cell>
        </row>
        <row r="1289">
          <cell r="B1289" t="str">
            <v>1-1284</v>
          </cell>
          <cell r="E1289" t="str">
            <v>有限公司</v>
          </cell>
          <cell r="R1289" t="b">
            <v>0</v>
          </cell>
          <cell r="S1289" t="str"/>
          <cell r="T1289" t="b">
            <v>0</v>
          </cell>
          <cell r="W1289" t="str"/>
          <cell r="Y1289" t="str"/>
          <cell r="AA1289" t="str"/>
          <cell r="AK1289" t="str">
            <v>KAC-262</v>
          </cell>
          <cell r="AL1289" t="str">
            <v>1-0118-金昌&gt;寄&gt;附發票&gt;附回郵</v>
          </cell>
          <cell r="AM1289" t="str">
            <v>1-0118</v>
          </cell>
        </row>
        <row r="1290">
          <cell r="B1290" t="str">
            <v>1-1285</v>
          </cell>
          <cell r="E1290" t="str">
            <v>有限公司</v>
          </cell>
          <cell r="R1290" t="b">
            <v>0</v>
          </cell>
          <cell r="S1290" t="str"/>
          <cell r="T1290" t="b">
            <v>0</v>
          </cell>
          <cell r="W1290" t="str"/>
          <cell r="Y1290" t="str"/>
          <cell r="AA1290" t="str"/>
          <cell r="AK1290" t="str">
            <v>013-S2</v>
          </cell>
          <cell r="AL1290" t="str">
            <v>1-0625-(2/3)永矩(卡車)&gt;寄&gt;附發票&gt;附回郵</v>
          </cell>
          <cell r="AM1290" t="str">
            <v>1-0625</v>
          </cell>
        </row>
        <row r="1291">
          <cell r="B1291" t="str">
            <v>1-1286</v>
          </cell>
          <cell r="E1291" t="str">
            <v>有限公司</v>
          </cell>
          <cell r="R1291" t="b">
            <v>0</v>
          </cell>
          <cell r="S1291" t="str"/>
          <cell r="T1291" t="b">
            <v>0</v>
          </cell>
          <cell r="W1291" t="str"/>
          <cell r="Y1291" t="str"/>
          <cell r="AA1291" t="str"/>
          <cell r="AK1291" t="str">
            <v>015-S2</v>
          </cell>
          <cell r="AL1291" t="str">
            <v>1-0625-(2/3)永矩(卡車)&gt;寄&gt;附發票&gt;附回郵</v>
          </cell>
          <cell r="AM1291" t="str">
            <v>1-0625</v>
          </cell>
        </row>
        <row r="1292">
          <cell r="B1292" t="str">
            <v>1-1287</v>
          </cell>
          <cell r="E1292" t="str">
            <v>有限公司</v>
          </cell>
          <cell r="R1292" t="b">
            <v>0</v>
          </cell>
          <cell r="S1292" t="str"/>
          <cell r="T1292" t="b">
            <v>0</v>
          </cell>
          <cell r="W1292" t="str"/>
          <cell r="Y1292" t="str"/>
          <cell r="AA1292" t="str"/>
          <cell r="AK1292" t="str">
            <v>371-HV</v>
          </cell>
          <cell r="AL1292" t="str">
            <v>1-0571-賴鼎龍&gt;菱揚&gt;酒空&gt;寄&gt;自結</v>
          </cell>
          <cell r="AM1292" t="str">
            <v>1-0571</v>
          </cell>
        </row>
        <row r="1293">
          <cell r="B1293" t="str">
            <v>1-1288</v>
          </cell>
          <cell r="E1293" t="str">
            <v>有限公司</v>
          </cell>
          <cell r="R1293" t="b">
            <v>0</v>
          </cell>
          <cell r="S1293" t="str"/>
          <cell r="T1293" t="b">
            <v>0</v>
          </cell>
          <cell r="W1293" t="str"/>
          <cell r="Y1293" t="str"/>
          <cell r="AA1293" t="str"/>
          <cell r="AK1293" t="str">
            <v>201-S2</v>
          </cell>
          <cell r="AL1293" t="str">
            <v>1-0625-(2/3)永矩(卡車)&gt;寄&gt;附發票&gt;附回郵</v>
          </cell>
          <cell r="AM1293" t="str">
            <v>1-0625</v>
          </cell>
        </row>
        <row r="1294">
          <cell r="B1294" t="str">
            <v>1-1289</v>
          </cell>
          <cell r="E1294" t="str">
            <v>有限公司</v>
          </cell>
          <cell r="R1294" t="b">
            <v>0</v>
          </cell>
          <cell r="S1294" t="str"/>
          <cell r="T1294" t="b">
            <v>0</v>
          </cell>
          <cell r="W1294" t="str"/>
          <cell r="Y1294" t="str"/>
          <cell r="AA1294" t="str"/>
          <cell r="AK1294" t="str">
            <v>206-S2</v>
          </cell>
          <cell r="AL1294" t="str">
            <v>1-0625-(2/3)永矩(卡車)&gt;寄&gt;附發票&gt;附回郵</v>
          </cell>
          <cell r="AM1294" t="str">
            <v>1-0625</v>
          </cell>
        </row>
        <row r="1295">
          <cell r="B1295" t="str">
            <v>1-1290</v>
          </cell>
          <cell r="E1295" t="str">
            <v>有限公司</v>
          </cell>
          <cell r="R1295" t="b">
            <v>0</v>
          </cell>
          <cell r="S1295" t="str"/>
          <cell r="T1295" t="b">
            <v>0</v>
          </cell>
          <cell r="W1295" t="str"/>
          <cell r="Y1295" t="str"/>
          <cell r="AA1295" t="str"/>
          <cell r="AK1295" t="str">
            <v>207-S2</v>
          </cell>
          <cell r="AL1295" t="str">
            <v>1-0625-(2/3)永矩(卡車)&gt;寄&gt;附發票&gt;附回郵</v>
          </cell>
          <cell r="AM1295" t="str">
            <v>1-0625</v>
          </cell>
        </row>
        <row r="1296">
          <cell r="B1296" t="str">
            <v>1-1291</v>
          </cell>
          <cell r="E1296" t="str">
            <v>有限公司</v>
          </cell>
          <cell r="R1296" t="b">
            <v>0</v>
          </cell>
          <cell r="S1296" t="str"/>
          <cell r="T1296" t="b">
            <v>0</v>
          </cell>
          <cell r="W1296" t="str"/>
          <cell r="Y1296" t="str"/>
          <cell r="AA1296" t="str"/>
          <cell r="AK1296" t="str">
            <v>151-S2</v>
          </cell>
          <cell r="AL1296" t="str">
            <v>1-0625-(2/3)永矩(卡車)&gt;寄&gt;附發票&gt;附回郵</v>
          </cell>
          <cell r="AM1296" t="str">
            <v>1-0625</v>
          </cell>
        </row>
        <row r="1297">
          <cell r="B1297" t="str">
            <v>1-1292</v>
          </cell>
          <cell r="E1297" t="str">
            <v>有限公司</v>
          </cell>
          <cell r="R1297" t="b">
            <v>0</v>
          </cell>
          <cell r="S1297" t="str"/>
          <cell r="T1297" t="b">
            <v>0</v>
          </cell>
          <cell r="W1297" t="str"/>
          <cell r="Y1297" t="str"/>
          <cell r="AA1297" t="str"/>
          <cell r="AK1297" t="str">
            <v>150-S2</v>
          </cell>
          <cell r="AL1297" t="str">
            <v>1-0625-(2/3)永矩(卡車)&gt;寄&gt;附發票&gt;附回郵</v>
          </cell>
          <cell r="AM1297" t="str">
            <v>1-0625</v>
          </cell>
        </row>
        <row r="1298">
          <cell r="B1298" t="str">
            <v>1-1293</v>
          </cell>
          <cell r="E1298" t="str">
            <v>有限公司</v>
          </cell>
          <cell r="R1298" t="b">
            <v>0</v>
          </cell>
          <cell r="S1298" t="str"/>
          <cell r="T1298" t="b">
            <v>0</v>
          </cell>
          <cell r="W1298" t="str"/>
          <cell r="Y1298" t="str"/>
          <cell r="AA1298" t="str"/>
          <cell r="AK1298" t="str">
            <v>名豐 505-JD</v>
          </cell>
          <cell r="AL1298" t="str">
            <v>1-0630-國順苗栗&gt;寄&gt;附發票&gt;附回郵</v>
          </cell>
          <cell r="AM1298" t="str">
            <v>1-0630</v>
          </cell>
        </row>
        <row r="1299">
          <cell r="B1299" t="str">
            <v>1-1294</v>
          </cell>
          <cell r="E1299" t="str">
            <v>有限公司</v>
          </cell>
          <cell r="R1299" t="b">
            <v>0</v>
          </cell>
          <cell r="S1299" t="str"/>
          <cell r="T1299" t="b">
            <v>0</v>
          </cell>
          <cell r="W1299" t="str"/>
          <cell r="Y1299" t="str"/>
          <cell r="AA1299" t="str"/>
          <cell r="AK1299" t="str">
            <v>名豐 300-HY</v>
          </cell>
          <cell r="AL1299" t="str">
            <v>1-0630-國順苗栗&gt;寄&gt;附發票&gt;附回郵</v>
          </cell>
          <cell r="AM1299" t="str">
            <v>1-0630</v>
          </cell>
        </row>
        <row r="1300">
          <cell r="B1300" t="str">
            <v>1-1295</v>
          </cell>
          <cell r="E1300" t="str">
            <v>有限公司</v>
          </cell>
          <cell r="R1300" t="b">
            <v>0</v>
          </cell>
          <cell r="S1300" t="str"/>
          <cell r="T1300" t="b">
            <v>0</v>
          </cell>
          <cell r="W1300" t="str"/>
          <cell r="Y1300" t="str"/>
          <cell r="AA1300" t="str"/>
          <cell r="AK1300" t="str">
            <v>名豐 265-HY</v>
          </cell>
          <cell r="AL1300" t="str">
            <v>1-0630-國順苗栗&gt;寄&gt;附發票&gt;附回郵</v>
          </cell>
          <cell r="AM1300" t="str">
            <v>1-0630</v>
          </cell>
        </row>
        <row r="1301">
          <cell r="B1301" t="str">
            <v>1-1296</v>
          </cell>
          <cell r="E1301" t="str">
            <v>有限公司</v>
          </cell>
          <cell r="R1301" t="b">
            <v>0</v>
          </cell>
          <cell r="S1301" t="str"/>
          <cell r="T1301" t="b">
            <v>0</v>
          </cell>
          <cell r="W1301" t="str"/>
          <cell r="Y1301" t="str"/>
          <cell r="AA1301" t="str"/>
          <cell r="AK1301" t="str">
            <v>名豐 259-HY</v>
          </cell>
          <cell r="AL1301" t="str">
            <v>1-0630-國順苗栗&gt;寄&gt;附發票&gt;附回郵</v>
          </cell>
          <cell r="AM1301" t="str">
            <v>1-0630</v>
          </cell>
        </row>
        <row r="1302">
          <cell r="B1302" t="str">
            <v>1-1297</v>
          </cell>
          <cell r="E1302" t="str">
            <v>有限公司</v>
          </cell>
          <cell r="R1302" t="b">
            <v>0</v>
          </cell>
          <cell r="S1302" t="str"/>
          <cell r="T1302" t="b">
            <v>0</v>
          </cell>
          <cell r="W1302" t="str"/>
          <cell r="Y1302" t="str"/>
          <cell r="AA1302" t="str"/>
          <cell r="AK1302" t="str">
            <v>875-TL</v>
          </cell>
          <cell r="AL1302" t="str">
            <v>1-0629-國順土城&gt;寄&gt;附發票&gt;附回郵</v>
          </cell>
          <cell r="AM1302" t="str">
            <v>1-0629</v>
          </cell>
        </row>
        <row r="1303">
          <cell r="B1303" t="str">
            <v>1-1298</v>
          </cell>
          <cell r="E1303" t="str">
            <v>有限公司</v>
          </cell>
          <cell r="R1303" t="b">
            <v>0</v>
          </cell>
          <cell r="S1303" t="str"/>
          <cell r="T1303" t="b">
            <v>0</v>
          </cell>
          <cell r="W1303" t="str"/>
          <cell r="Y1303" t="str"/>
          <cell r="AA1303" t="str"/>
          <cell r="AK1303" t="str">
            <v>420-VM</v>
          </cell>
          <cell r="AL1303" t="str">
            <v>1-0632-長源新竹&gt;寄＞附發票＞三個月匯款</v>
          </cell>
          <cell r="AM1303" t="str">
            <v>1-0632</v>
          </cell>
        </row>
        <row r="1304">
          <cell r="B1304" t="str">
            <v>1-1299</v>
          </cell>
          <cell r="E1304" t="str">
            <v>有限公司</v>
          </cell>
          <cell r="R1304" t="b">
            <v>0</v>
          </cell>
          <cell r="S1304" t="str"/>
          <cell r="T1304" t="b">
            <v>0</v>
          </cell>
          <cell r="W1304" t="str"/>
          <cell r="Y1304" t="str"/>
          <cell r="AA1304" t="str"/>
          <cell r="AK1304" t="str">
            <v>498-TY</v>
          </cell>
          <cell r="AL1304" t="str">
            <v>1-0632-長源新竹&gt;寄＞附發票＞三個月匯款</v>
          </cell>
          <cell r="AM1304" t="str">
            <v>1-0632</v>
          </cell>
        </row>
        <row r="1305">
          <cell r="B1305" t="str">
            <v>1-1300</v>
          </cell>
          <cell r="E1305" t="str">
            <v>有限公司</v>
          </cell>
          <cell r="R1305" t="b">
            <v>0</v>
          </cell>
          <cell r="S1305" t="str"/>
          <cell r="T1305" t="b">
            <v>0</v>
          </cell>
          <cell r="W1305" t="str"/>
          <cell r="Y1305" t="str"/>
          <cell r="AA1305" t="str"/>
          <cell r="AK1305" t="str">
            <v>LAG-370</v>
          </cell>
          <cell r="AL1305" t="str">
            <v>1-0632-長源新竹&gt;寄＞附發票＞三個月匯款</v>
          </cell>
          <cell r="AM1305" t="str">
            <v>1-0632</v>
          </cell>
        </row>
        <row r="1306">
          <cell r="B1306" t="str">
            <v>1-1301</v>
          </cell>
          <cell r="E1306" t="str">
            <v>有限公司</v>
          </cell>
          <cell r="R1306" t="b">
            <v>0</v>
          </cell>
          <cell r="S1306" t="str"/>
          <cell r="T1306" t="b">
            <v>0</v>
          </cell>
          <cell r="W1306" t="str"/>
          <cell r="Y1306" t="str"/>
          <cell r="AA1306" t="str"/>
          <cell r="AK1306" t="str">
            <v>RAB-6165</v>
          </cell>
          <cell r="AL1306" t="str">
            <v>1-0632-長源新竹&gt;寄＞附發票＞三個月匯款</v>
          </cell>
          <cell r="AM1306" t="str">
            <v>1-0632</v>
          </cell>
        </row>
        <row r="1307">
          <cell r="B1307" t="str">
            <v>1-1302</v>
          </cell>
          <cell r="E1307" t="str">
            <v>有限公司</v>
          </cell>
          <cell r="R1307" t="b">
            <v>0</v>
          </cell>
          <cell r="S1307" t="str"/>
          <cell r="T1307" t="b">
            <v>0</v>
          </cell>
          <cell r="W1307" t="str"/>
          <cell r="Y1307" t="str"/>
          <cell r="AA1307" t="str"/>
          <cell r="AK1307" t="str">
            <v>309-HP</v>
          </cell>
          <cell r="AL1307" t="str">
            <v>1-0734-葉照德&gt;電&gt;自結</v>
          </cell>
          <cell r="AM1307" t="str">
            <v>1-0734</v>
          </cell>
        </row>
        <row r="1308">
          <cell r="B1308" t="str">
            <v>1-1303</v>
          </cell>
          <cell r="E1308" t="str">
            <v>有限公司</v>
          </cell>
          <cell r="R1308" t="b">
            <v>0</v>
          </cell>
          <cell r="S1308" t="str"/>
          <cell r="T1308" t="b">
            <v>0</v>
          </cell>
          <cell r="W1308" t="str"/>
          <cell r="Y1308" t="str"/>
          <cell r="AA1308" t="str"/>
          <cell r="AK1308" t="str">
            <v>668-HX</v>
          </cell>
          <cell r="AL1308" t="str">
            <v>1-0734-葉照德&gt;電&gt;自結</v>
          </cell>
          <cell r="AM1308" t="str">
            <v>1-0734</v>
          </cell>
        </row>
        <row r="1309">
          <cell r="B1309" t="str">
            <v>1-1304</v>
          </cell>
          <cell r="E1309" t="str">
            <v>威威</v>
          </cell>
          <cell r="R1309" t="b">
            <v>0</v>
          </cell>
          <cell r="S1309" t="str"/>
          <cell r="T1309" t="b">
            <v>0</v>
          </cell>
          <cell r="W1309" t="str"/>
          <cell r="Y1309" t="str"/>
          <cell r="AA1309" t="str"/>
          <cell r="AK1309" t="str">
            <v>976-ZC</v>
          </cell>
          <cell r="AL1309" t="str">
            <v>1-0734-葉照德&gt;電&gt;自結</v>
          </cell>
          <cell r="AM1309" t="str">
            <v>1-0734</v>
          </cell>
        </row>
        <row r="1310">
          <cell r="B1310" t="str">
            <v>1-1305</v>
          </cell>
          <cell r="E1310" t="str">
            <v>有限公司</v>
          </cell>
          <cell r="R1310" t="b">
            <v>0</v>
          </cell>
          <cell r="S1310" t="str"/>
          <cell r="T1310" t="b">
            <v>0</v>
          </cell>
          <cell r="W1310" t="str"/>
          <cell r="Y1310" t="str"/>
          <cell r="AA1310" t="str"/>
          <cell r="AK1310" t="str">
            <v>RA-F3</v>
          </cell>
          <cell r="AL1310" t="str">
            <v>1-0640-(1/2)紀志易.公司帳&gt;寄&gt;自結</v>
          </cell>
          <cell r="AM1310" t="str">
            <v>1-0640</v>
          </cell>
        </row>
        <row r="1311">
          <cell r="B1311" t="str">
            <v>1-1306</v>
          </cell>
          <cell r="E1311" t="str">
            <v>有限公司</v>
          </cell>
          <cell r="R1311" t="b">
            <v>0</v>
          </cell>
          <cell r="S1311" t="str"/>
          <cell r="T1311" t="b">
            <v>0</v>
          </cell>
          <cell r="W1311" t="str"/>
          <cell r="Y1311" t="str"/>
          <cell r="AA1311" t="str"/>
          <cell r="AK1311" t="str">
            <v>1025-HL</v>
          </cell>
          <cell r="AL1311" t="str">
            <v>1-0640-(1/2)紀志易.公司帳&gt;寄&gt;自結</v>
          </cell>
          <cell r="AM1311" t="str">
            <v>1-0640</v>
          </cell>
        </row>
        <row r="1312">
          <cell r="B1312" t="str">
            <v>1-1307</v>
          </cell>
          <cell r="E1312" t="str">
            <v>有限公司</v>
          </cell>
          <cell r="R1312" t="b">
            <v>0</v>
          </cell>
          <cell r="S1312" t="str"/>
          <cell r="T1312" t="b">
            <v>0</v>
          </cell>
          <cell r="W1312" t="str"/>
          <cell r="Y1312" t="str"/>
          <cell r="AA1312" t="str"/>
          <cell r="AK1312" t="str">
            <v>562-ZX</v>
          </cell>
          <cell r="AL1312" t="str">
            <v>1-0640-(1/2)紀志易.公司帳&gt;寄&gt;自結</v>
          </cell>
          <cell r="AM1312" t="str">
            <v>1-0640</v>
          </cell>
        </row>
        <row r="1313">
          <cell r="B1313" t="str">
            <v>1-1308</v>
          </cell>
          <cell r="E1313" t="str">
            <v>有限公司</v>
          </cell>
          <cell r="R1313" t="b">
            <v>0</v>
          </cell>
          <cell r="S1313" t="str"/>
          <cell r="T1313" t="b">
            <v>0</v>
          </cell>
          <cell r="W1313" t="str"/>
          <cell r="Y1313" t="str"/>
          <cell r="AA1313" t="str"/>
          <cell r="AK1313" t="str">
            <v>8880-RZ</v>
          </cell>
          <cell r="AL1313" t="str">
            <v>1-0640-(1/2)紀志易.公司帳&gt;寄&gt;自結</v>
          </cell>
          <cell r="AM1313" t="str">
            <v>1-0640</v>
          </cell>
        </row>
        <row r="1314">
          <cell r="B1314" t="str">
            <v>1-1309</v>
          </cell>
          <cell r="E1314" t="str">
            <v>有限公司</v>
          </cell>
          <cell r="R1314" t="b">
            <v>0</v>
          </cell>
          <cell r="S1314" t="str"/>
          <cell r="T1314" t="b">
            <v>0</v>
          </cell>
          <cell r="W1314" t="str"/>
          <cell r="Y1314" t="str"/>
          <cell r="AA1314" t="str"/>
          <cell r="AK1314" t="str">
            <v>942-HC</v>
          </cell>
          <cell r="AL1314" t="str">
            <v>1-0640-(1/2)紀志易.公司帳&gt;寄&gt;自結</v>
          </cell>
          <cell r="AM1314" t="str">
            <v>1-0640</v>
          </cell>
        </row>
        <row r="1315">
          <cell r="B1315" t="str">
            <v>1-1310</v>
          </cell>
          <cell r="E1315" t="str">
            <v>有限公司</v>
          </cell>
          <cell r="R1315" t="b">
            <v>0</v>
          </cell>
          <cell r="S1315" t="str"/>
          <cell r="T1315" t="b">
            <v>0</v>
          </cell>
          <cell r="W1315" t="str"/>
          <cell r="Y1315" t="str"/>
          <cell r="AA1315" t="str"/>
          <cell r="AK1315" t="str">
            <v>LAE-037</v>
          </cell>
          <cell r="AL1315" t="str">
            <v>1-0640-(1/2)紀志易.公司帳&gt;寄&gt;自結</v>
          </cell>
          <cell r="AM1315" t="str">
            <v>1-0640</v>
          </cell>
        </row>
        <row r="1316">
          <cell r="B1316" t="str">
            <v>1-1311</v>
          </cell>
          <cell r="E1316" t="str">
            <v>有限公司</v>
          </cell>
          <cell r="R1316" t="b">
            <v>0</v>
          </cell>
          <cell r="S1316" t="str"/>
          <cell r="T1316" t="b">
            <v>0</v>
          </cell>
          <cell r="W1316" t="str"/>
          <cell r="Y1316" t="str"/>
          <cell r="AA1316" t="str"/>
          <cell r="AK1316" t="str">
            <v>LAG-709</v>
          </cell>
          <cell r="AL1316" t="str">
            <v>1-0640-(1/2)紀志易.公司帳&gt;寄&gt;自結</v>
          </cell>
          <cell r="AM1316" t="str">
            <v>1-0640</v>
          </cell>
        </row>
        <row r="1317">
          <cell r="B1317" t="str">
            <v>1-1312</v>
          </cell>
          <cell r="E1317" t="str">
            <v>有限公司</v>
          </cell>
          <cell r="R1317" t="b">
            <v>0</v>
          </cell>
          <cell r="S1317" t="str"/>
          <cell r="T1317" t="b">
            <v>0</v>
          </cell>
          <cell r="W1317" t="str"/>
          <cell r="Y1317" t="str"/>
          <cell r="AA1317" t="str"/>
          <cell r="AK1317" t="str">
            <v>LN-8966</v>
          </cell>
          <cell r="AL1317" t="str">
            <v>1-0640-(1/2)紀志易.公司帳&gt;寄&gt;自結</v>
          </cell>
          <cell r="AM1317" t="str">
            <v>1-0640</v>
          </cell>
        </row>
        <row r="1318">
          <cell r="B1318" t="str">
            <v>1-1313</v>
          </cell>
          <cell r="E1318" t="str">
            <v>有限公司</v>
          </cell>
          <cell r="R1318" t="b">
            <v>0</v>
          </cell>
          <cell r="S1318" t="str"/>
          <cell r="T1318" t="b">
            <v>0</v>
          </cell>
          <cell r="W1318" t="str"/>
          <cell r="Y1318" t="str"/>
          <cell r="AA1318" t="str"/>
          <cell r="AK1318" t="str">
            <v>279-HB</v>
          </cell>
          <cell r="AL1318" t="str">
            <v>1-0640-(1/2)紀志易.公司帳&gt;寄&gt;自結</v>
          </cell>
          <cell r="AM1318" t="str">
            <v>1-0640</v>
          </cell>
        </row>
        <row r="1319">
          <cell r="B1319" t="str">
            <v>1-1314</v>
          </cell>
          <cell r="E1319" t="str">
            <v>有限公司</v>
          </cell>
          <cell r="R1319" t="b">
            <v>0</v>
          </cell>
          <cell r="S1319" t="str"/>
          <cell r="T1319" t="b">
            <v>0</v>
          </cell>
          <cell r="W1319" t="str"/>
          <cell r="Y1319" t="str"/>
          <cell r="AA1319" t="str"/>
          <cell r="AK1319" t="str">
            <v>238-VB</v>
          </cell>
          <cell r="AL1319" t="str">
            <v>1-0643-永倡興.億豐.棺&gt;寄&gt;自結</v>
          </cell>
          <cell r="AM1319" t="str">
            <v>1-0643</v>
          </cell>
        </row>
        <row r="1320">
          <cell r="B1320" t="str">
            <v>1-1315</v>
          </cell>
          <cell r="E1320" t="str">
            <v>有限公司</v>
          </cell>
          <cell r="R1320" t="b">
            <v>0</v>
          </cell>
          <cell r="S1320" t="str"/>
          <cell r="T1320" t="b">
            <v>0</v>
          </cell>
          <cell r="W1320" t="str"/>
          <cell r="Y1320" t="str"/>
          <cell r="AA1320" t="str"/>
          <cell r="AK1320" t="str">
            <v>6439-TX</v>
          </cell>
          <cell r="AL1320" t="str">
            <v>1-0643-永倡興.億豐.棺&gt;寄&gt;自結</v>
          </cell>
          <cell r="AM1320" t="str">
            <v>1-0643</v>
          </cell>
        </row>
        <row r="1321">
          <cell r="B1321" t="str">
            <v>1-1316</v>
          </cell>
          <cell r="E1321" t="str">
            <v>有限公司</v>
          </cell>
          <cell r="R1321" t="b">
            <v>0</v>
          </cell>
          <cell r="S1321" t="str"/>
          <cell r="T1321" t="b">
            <v>0</v>
          </cell>
          <cell r="W1321" t="str"/>
          <cell r="Y1321" t="str"/>
          <cell r="AA1321" t="str"/>
          <cell r="AK1321" t="str">
            <v>673-HF</v>
          </cell>
          <cell r="AL1321" t="str">
            <v>1-0645-宏道.欣甫&gt;寄&gt;附發票&gt;匯款</v>
          </cell>
          <cell r="AM1321" t="str">
            <v>1-0645</v>
          </cell>
        </row>
        <row r="1322">
          <cell r="B1322" t="str">
            <v>1-1317</v>
          </cell>
          <cell r="E1322" t="str">
            <v>有限公司</v>
          </cell>
          <cell r="R1322" t="b">
            <v>0</v>
          </cell>
          <cell r="S1322" t="str"/>
          <cell r="T1322" t="b">
            <v>0</v>
          </cell>
          <cell r="W1322" t="str"/>
          <cell r="Y1322" t="str"/>
          <cell r="AA1322" t="str"/>
          <cell r="AK1322" t="str">
            <v>ALQ-1089</v>
          </cell>
          <cell r="AL1322" t="str">
            <v>1-0646-許丘銘&gt;電&gt;付現</v>
          </cell>
          <cell r="AM1322" t="str">
            <v>1-0646</v>
          </cell>
        </row>
        <row r="1323">
          <cell r="B1323" t="str">
            <v>1-1318</v>
          </cell>
          <cell r="E1323" t="str">
            <v>有限公司</v>
          </cell>
          <cell r="R1323" t="b">
            <v>0</v>
          </cell>
          <cell r="S1323" t="str"/>
          <cell r="T1323" t="b">
            <v>0</v>
          </cell>
          <cell r="W1323" t="str"/>
          <cell r="Y1323" t="str"/>
          <cell r="AA1323" t="str"/>
          <cell r="AK1323" t="str">
            <v>APX-0853</v>
          </cell>
          <cell r="AL1323" t="str">
            <v>1-0646-許丘銘&gt;電&gt;付現</v>
          </cell>
          <cell r="AM1323" t="str">
            <v>1-0646</v>
          </cell>
        </row>
        <row r="1324">
          <cell r="B1324" t="str">
            <v>1-1319</v>
          </cell>
          <cell r="E1324" t="str">
            <v>有限公司</v>
          </cell>
          <cell r="R1324" t="b">
            <v>0</v>
          </cell>
          <cell r="S1324" t="str"/>
          <cell r="T1324" t="b">
            <v>0</v>
          </cell>
          <cell r="W1324" t="str"/>
          <cell r="Y1324" t="str"/>
          <cell r="AA1324" t="str"/>
          <cell r="AK1324">
            <v>2083070</v>
          </cell>
          <cell r="AL1324" t="str">
            <v>1-0646-許丘銘&gt;電&gt;付現</v>
          </cell>
          <cell r="AM1324" t="str">
            <v>1-0646</v>
          </cell>
        </row>
        <row r="1325">
          <cell r="B1325" t="str">
            <v>1-1320</v>
          </cell>
          <cell r="E1325" t="str">
            <v>有限公司</v>
          </cell>
          <cell r="R1325" t="b">
            <v>0</v>
          </cell>
          <cell r="S1325" t="str"/>
          <cell r="T1325" t="b">
            <v>0</v>
          </cell>
          <cell r="W1325" t="str"/>
          <cell r="Y1325" t="str"/>
          <cell r="AA1325" t="str"/>
          <cell r="AK1325" t="str">
            <v>KEG-6189</v>
          </cell>
          <cell r="AL1325" t="str">
            <v>1-0492-佳能環保&gt;鳳屏&gt;新益慶&gt;寄&gt;附發票&gt;一個月匯款</v>
          </cell>
          <cell r="AM1325" t="str">
            <v>1-0492</v>
          </cell>
        </row>
        <row r="1326">
          <cell r="B1326" t="str">
            <v>1-1321</v>
          </cell>
          <cell r="E1326" t="str">
            <v>有限公司</v>
          </cell>
          <cell r="R1326" t="b">
            <v>0</v>
          </cell>
          <cell r="S1326" t="str"/>
          <cell r="T1326" t="b">
            <v>0</v>
          </cell>
          <cell r="W1326" t="str"/>
          <cell r="Y1326" t="str"/>
          <cell r="AA1326" t="str"/>
          <cell r="AK1326" t="str">
            <v>HAB-3297</v>
          </cell>
          <cell r="AL1326" t="str">
            <v>1-0364-弘翔.東大&gt;寄&gt;附發票&gt;附回郵</v>
          </cell>
          <cell r="AM1326" t="str">
            <v>1-0364</v>
          </cell>
        </row>
        <row r="1327">
          <cell r="B1327" t="str">
            <v>1-1322</v>
          </cell>
          <cell r="E1327" t="str">
            <v>有限公司</v>
          </cell>
          <cell r="R1327" t="b">
            <v>0</v>
          </cell>
          <cell r="S1327" t="str"/>
          <cell r="T1327" t="b">
            <v>0</v>
          </cell>
          <cell r="W1327" t="str"/>
          <cell r="Y1327" t="str"/>
          <cell r="AA1327" t="str"/>
          <cell r="AK1327" t="str">
            <v>6079-MX</v>
          </cell>
          <cell r="AL1327" t="str">
            <v>1-0648-和謙.葉文欽&gt;寄&gt;附發票&gt;附回郵</v>
          </cell>
          <cell r="AM1327" t="str">
            <v>1-0648</v>
          </cell>
        </row>
        <row r="1328">
          <cell r="B1328" t="str">
            <v>1-1323</v>
          </cell>
          <cell r="E1328" t="str">
            <v>有限公司</v>
          </cell>
          <cell r="R1328" t="b">
            <v>0</v>
          </cell>
          <cell r="S1328" t="str"/>
          <cell r="T1328" t="b">
            <v>0</v>
          </cell>
          <cell r="W1328" t="str"/>
          <cell r="Y1328" t="str"/>
          <cell r="AA1328" t="str"/>
          <cell r="AK1328" t="str">
            <v>OQ-255</v>
          </cell>
          <cell r="AL1328" t="str">
            <v>1-0651-王嘉昇.尚弘&gt;電&gt;自結</v>
          </cell>
          <cell r="AM1328" t="str">
            <v>1-0651</v>
          </cell>
        </row>
        <row r="1329">
          <cell r="B1329" t="str">
            <v>1-1324</v>
          </cell>
          <cell r="E1329" t="str">
            <v>有限公司</v>
          </cell>
          <cell r="R1329" t="b">
            <v>0</v>
          </cell>
          <cell r="S1329" t="str"/>
          <cell r="T1329" t="b">
            <v>0</v>
          </cell>
          <cell r="W1329" t="str"/>
          <cell r="Y1329" t="str"/>
          <cell r="AA1329" t="str"/>
          <cell r="AK1329" t="str">
            <v>629-M8</v>
          </cell>
          <cell r="AL1329" t="str">
            <v>1-0652-章化輪胎&gt;寄&gt;附發票&gt;匯款</v>
          </cell>
          <cell r="AM1329" t="str">
            <v>1-0652</v>
          </cell>
        </row>
        <row r="1330">
          <cell r="B1330" t="str">
            <v>1-1325</v>
          </cell>
          <cell r="E1330" t="str">
            <v>有限公司</v>
          </cell>
          <cell r="R1330" t="b">
            <v>0</v>
          </cell>
          <cell r="S1330" t="str"/>
          <cell r="T1330" t="b">
            <v>0</v>
          </cell>
          <cell r="W1330" t="str"/>
          <cell r="Y1330" t="str"/>
          <cell r="AA1330" t="str"/>
          <cell r="AK1330" t="str">
            <v>573-VK</v>
          </cell>
          <cell r="AL1330" t="str">
            <v>1-0653-祐立&gt;寄&gt;附發票&gt;附回郵</v>
          </cell>
          <cell r="AM1330" t="str">
            <v>1-0653</v>
          </cell>
        </row>
        <row r="1331">
          <cell r="B1331" t="str">
            <v>1-1326</v>
          </cell>
          <cell r="E1331" t="str">
            <v>有限公司</v>
          </cell>
          <cell r="R1331" t="b">
            <v>0</v>
          </cell>
          <cell r="S1331" t="str"/>
          <cell r="T1331" t="b">
            <v>0</v>
          </cell>
          <cell r="W1331" t="str"/>
          <cell r="Y1331" t="str"/>
          <cell r="AA1331" t="str"/>
          <cell r="AK1331" t="str">
            <v>808-HY</v>
          </cell>
          <cell r="AL1331" t="str">
            <v>1-0657-統順&gt;寄&gt;附發票&gt;附回郵</v>
          </cell>
          <cell r="AM1331" t="str">
            <v>1-0657</v>
          </cell>
        </row>
        <row r="1332">
          <cell r="B1332" t="str">
            <v>1-1327</v>
          </cell>
          <cell r="E1332" t="str">
            <v>有限公司</v>
          </cell>
          <cell r="R1332" t="b">
            <v>0</v>
          </cell>
          <cell r="S1332" t="str"/>
          <cell r="T1332" t="b">
            <v>0</v>
          </cell>
          <cell r="W1332" t="str"/>
          <cell r="Y1332" t="str"/>
          <cell r="AA1332" t="str"/>
          <cell r="AK1332" t="str">
            <v>061-Q8</v>
          </cell>
          <cell r="AL1332" t="str">
            <v>1-0658-順同&gt;尚泰行.弘舜&gt;寄&gt;附發票&gt;附回郵</v>
          </cell>
          <cell r="AM1332" t="str">
            <v>1-0658</v>
          </cell>
        </row>
        <row r="1333">
          <cell r="B1333" t="str">
            <v>1-1328</v>
          </cell>
          <cell r="E1333" t="str">
            <v>有限公司</v>
          </cell>
          <cell r="R1333" t="b">
            <v>0</v>
          </cell>
          <cell r="S1333" t="str"/>
          <cell r="T1333" t="b">
            <v>0</v>
          </cell>
          <cell r="W1333" t="str"/>
          <cell r="Y1333" t="str"/>
          <cell r="AA1333" t="str"/>
          <cell r="AK1333" t="str">
            <v>143-Q8</v>
          </cell>
          <cell r="AL1333" t="str">
            <v>1-0658-順同&gt;尚泰行.弘舜&gt;寄&gt;附發票&gt;附回郵</v>
          </cell>
          <cell r="AM1333" t="str">
            <v>1-0658</v>
          </cell>
        </row>
        <row r="1334">
          <cell r="B1334" t="str">
            <v>1-1329</v>
          </cell>
          <cell r="E1334" t="str">
            <v>有限公司</v>
          </cell>
          <cell r="R1334" t="b">
            <v>0</v>
          </cell>
          <cell r="S1334" t="str"/>
          <cell r="T1334" t="b">
            <v>0</v>
          </cell>
          <cell r="W1334" t="str"/>
          <cell r="Y1334" t="str"/>
          <cell r="AA1334" t="str"/>
          <cell r="AK1334" t="str">
            <v>KLA-9263</v>
          </cell>
          <cell r="AL1334" t="str">
            <v>1-0658-順同&gt;尚泰行.弘舜&gt;寄&gt;附發票&gt;附回郵</v>
          </cell>
          <cell r="AM1334" t="str">
            <v>1-0658</v>
          </cell>
        </row>
        <row r="1335">
          <cell r="B1335" t="str">
            <v>1-1330</v>
          </cell>
          <cell r="E1335" t="str">
            <v>有限公司</v>
          </cell>
          <cell r="R1335" t="b">
            <v>0</v>
          </cell>
          <cell r="S1335" t="str"/>
          <cell r="T1335" t="b">
            <v>0</v>
          </cell>
          <cell r="W1335" t="str"/>
          <cell r="Y1335" t="str"/>
          <cell r="AA1335" t="str"/>
          <cell r="AK1335" t="str">
            <v>KED-2303</v>
          </cell>
          <cell r="AL1335" t="str">
            <v>1-0109-東禾修理廠&gt;寄&gt;附發票&gt;附回郵</v>
          </cell>
          <cell r="AM1335" t="str">
            <v>1-0109</v>
          </cell>
        </row>
        <row r="1336">
          <cell r="B1336" t="str">
            <v>1-1331</v>
          </cell>
          <cell r="E1336" t="str">
            <v>有限公司</v>
          </cell>
          <cell r="R1336" t="b">
            <v>0</v>
          </cell>
          <cell r="S1336" t="str"/>
          <cell r="T1336" t="b">
            <v>0</v>
          </cell>
          <cell r="W1336" t="str"/>
          <cell r="Y1336" t="str"/>
          <cell r="AA1336" t="str"/>
          <cell r="AK1336" t="str">
            <v>501-R9</v>
          </cell>
          <cell r="AL1336" t="str">
            <v>1-0660-竹新.頂烽&gt;寄&gt;附發票&gt;匯款</v>
          </cell>
          <cell r="AM1336" t="str">
            <v>1-0660</v>
          </cell>
        </row>
        <row r="1337">
          <cell r="B1337" t="str">
            <v>1-1332</v>
          </cell>
          <cell r="E1337" t="str">
            <v>有限公司</v>
          </cell>
          <cell r="R1337" t="b">
            <v>0</v>
          </cell>
          <cell r="S1337" t="str"/>
          <cell r="T1337" t="b">
            <v>0</v>
          </cell>
          <cell r="W1337" t="str"/>
          <cell r="Y1337" t="str"/>
          <cell r="AA1337" t="str"/>
          <cell r="AK1337" t="str">
            <v>AAG-106</v>
          </cell>
          <cell r="AL1337" t="str">
            <v>1-0660-竹新.頂烽&gt;寄&gt;附發票&gt;匯款</v>
          </cell>
          <cell r="AM1337" t="str">
            <v>1-0660</v>
          </cell>
        </row>
        <row r="1338">
          <cell r="B1338" t="str">
            <v>1-1333</v>
          </cell>
          <cell r="E1338" t="str">
            <v>有限公司</v>
          </cell>
          <cell r="R1338" t="b">
            <v>0</v>
          </cell>
          <cell r="S1338" t="str"/>
          <cell r="T1338" t="b">
            <v>0</v>
          </cell>
          <cell r="W1338" t="str"/>
          <cell r="Y1338" t="str"/>
          <cell r="AA1338" t="str"/>
          <cell r="AK1338" t="str">
            <v>KLF-0327</v>
          </cell>
          <cell r="AL1338" t="str">
            <v>1-0022-台新&gt;寄&gt;附發票&gt;兩個月25號匯款</v>
          </cell>
          <cell r="AM1338" t="str">
            <v>1-0022</v>
          </cell>
        </row>
        <row r="1339">
          <cell r="B1339" t="str">
            <v>1-1334</v>
          </cell>
          <cell r="E1339" t="str">
            <v>有限公司</v>
          </cell>
          <cell r="R1339" t="b">
            <v>0</v>
          </cell>
          <cell r="S1339" t="str"/>
          <cell r="T1339" t="b">
            <v>0</v>
          </cell>
          <cell r="W1339" t="str"/>
          <cell r="Y1339" t="str"/>
          <cell r="AA1339" t="str"/>
          <cell r="AK1339" t="str">
            <v>FQ-683</v>
          </cell>
          <cell r="AL1339" t="str">
            <v>1-0056-寬輾&gt;寄&gt;附回郵(1/3)</v>
          </cell>
          <cell r="AM1339" t="str">
            <v>1-0056</v>
          </cell>
        </row>
        <row r="1340">
          <cell r="B1340" t="str">
            <v>1-1335</v>
          </cell>
          <cell r="E1340" t="str">
            <v>有限公司</v>
          </cell>
          <cell r="R1340" t="b">
            <v>0</v>
          </cell>
          <cell r="S1340" t="str"/>
          <cell r="T1340" t="b">
            <v>0</v>
          </cell>
          <cell r="W1340" t="str"/>
          <cell r="Y1340" t="str"/>
          <cell r="AA1340" t="str"/>
          <cell r="AK1340" t="str">
            <v>ALF-1776</v>
          </cell>
          <cell r="AL1340" t="str">
            <v>1-0662-得嘉鑫&gt;明鑫&gt;光明&gt;寄&gt;附回郵</v>
          </cell>
          <cell r="AM1340" t="str">
            <v>1-0662</v>
          </cell>
        </row>
        <row r="1341">
          <cell r="B1341" t="str">
            <v>1-1336</v>
          </cell>
          <cell r="E1341" t="str">
            <v>有限公司</v>
          </cell>
          <cell r="R1341" t="b">
            <v>0</v>
          </cell>
          <cell r="S1341" t="str"/>
          <cell r="T1341" t="b">
            <v>0</v>
          </cell>
          <cell r="W1341" t="str"/>
          <cell r="Y1341" t="str"/>
          <cell r="AA1341" t="str"/>
          <cell r="AK1341" t="str">
            <v>071-JA</v>
          </cell>
          <cell r="AL1341" t="str">
            <v>1-0663-劉博塏.國鑫&gt;寄&gt;附發票&gt;匯款4392886.</v>
          </cell>
          <cell r="AM1341" t="str">
            <v>1-0663</v>
          </cell>
        </row>
        <row r="1342">
          <cell r="B1342" t="str">
            <v>1-1337</v>
          </cell>
          <cell r="E1342" t="str">
            <v>有限公司</v>
          </cell>
          <cell r="R1342" t="b">
            <v>0</v>
          </cell>
          <cell r="S1342" t="str"/>
          <cell r="T1342" t="b">
            <v>0</v>
          </cell>
          <cell r="W1342" t="str"/>
          <cell r="Y1342" t="str"/>
          <cell r="AA1342" t="str"/>
          <cell r="AK1342" t="str">
            <v>159-VB</v>
          </cell>
          <cell r="AL1342" t="str">
            <v>1-0664-福誼&gt;寄&gt;附發票&gt;附回郵</v>
          </cell>
          <cell r="AM1342" t="str">
            <v>1-0664</v>
          </cell>
        </row>
        <row r="1343">
          <cell r="B1343" t="str">
            <v>1-1338</v>
          </cell>
          <cell r="E1343" t="str">
            <v>有限公司</v>
          </cell>
          <cell r="R1343" t="b">
            <v>0</v>
          </cell>
          <cell r="S1343" t="str"/>
          <cell r="T1343" t="b">
            <v>0</v>
          </cell>
          <cell r="W1343" t="str"/>
          <cell r="Y1343" t="str"/>
          <cell r="AA1343" t="str"/>
          <cell r="AK1343" t="str">
            <v>163-Y7</v>
          </cell>
          <cell r="AL1343" t="str">
            <v>1-0666-翔運&gt;寄&gt;附發票&gt;附回郵</v>
          </cell>
          <cell r="AM1343" t="str">
            <v>1-0666</v>
          </cell>
        </row>
        <row r="1344">
          <cell r="B1344" t="str">
            <v>1-1339</v>
          </cell>
          <cell r="E1344" t="str">
            <v>有限公司</v>
          </cell>
          <cell r="R1344" t="b">
            <v>0</v>
          </cell>
          <cell r="S1344" t="str"/>
          <cell r="T1344" t="b">
            <v>0</v>
          </cell>
          <cell r="W1344" t="str"/>
          <cell r="Y1344" t="str"/>
          <cell r="AA1344" t="str"/>
          <cell r="AK1344" t="str">
            <v>QM-828</v>
          </cell>
          <cell r="AL1344" t="str">
            <v>1-0668-陳鈺蓁.福聖&gt;寄&gt;附發票&gt;一個月匯款</v>
          </cell>
          <cell r="AM1344" t="str">
            <v>1-0668</v>
          </cell>
        </row>
        <row r="1345">
          <cell r="B1345" t="str">
            <v>1-1340</v>
          </cell>
          <cell r="E1345" t="str">
            <v>有限公司</v>
          </cell>
          <cell r="R1345" t="b">
            <v>0</v>
          </cell>
          <cell r="S1345" t="str"/>
          <cell r="T1345" t="b">
            <v>0</v>
          </cell>
          <cell r="W1345" t="str"/>
          <cell r="Y1345" t="str"/>
          <cell r="AA1345" t="str"/>
          <cell r="AK1345" t="str">
            <v>ALF-0857</v>
          </cell>
          <cell r="AL1345" t="str">
            <v>1-0671-和鑫肉品&gt;電聯&gt;自結</v>
          </cell>
          <cell r="AM1345" t="str">
            <v>1-0671</v>
          </cell>
        </row>
        <row r="1346">
          <cell r="B1346" t="str">
            <v>1-1341</v>
          </cell>
          <cell r="E1346" t="str">
            <v>有限公司</v>
          </cell>
          <cell r="R1346" t="b">
            <v>0</v>
          </cell>
          <cell r="S1346" t="str"/>
          <cell r="T1346" t="b">
            <v>0</v>
          </cell>
          <cell r="W1346" t="str"/>
          <cell r="Y1346" t="str"/>
          <cell r="AA1346" t="str"/>
          <cell r="AK1346" t="str">
            <v>ANP-0857</v>
          </cell>
          <cell r="AL1346" t="str">
            <v>1-0671-和鑫肉品&gt;電聯&gt;自結</v>
          </cell>
          <cell r="AM1346" t="str">
            <v>1-0671</v>
          </cell>
        </row>
        <row r="1347">
          <cell r="B1347" t="str">
            <v>1-1342</v>
          </cell>
          <cell r="E1347" t="str">
            <v>有限公司</v>
          </cell>
          <cell r="R1347" t="b">
            <v>0</v>
          </cell>
          <cell r="S1347" t="str"/>
          <cell r="T1347" t="b">
            <v>0</v>
          </cell>
          <cell r="W1347" t="str"/>
          <cell r="Y1347" t="str"/>
          <cell r="AA1347" t="str"/>
          <cell r="AK1347" t="str">
            <v>697-Q2</v>
          </cell>
          <cell r="AL1347" t="str">
            <v>1-0672-鴻茂&gt;鴻準&gt;寄&gt;附發票&gt;匯款(兩個月月底匯款)</v>
          </cell>
          <cell r="AM1347" t="str">
            <v>1-0672</v>
          </cell>
        </row>
        <row r="1348">
          <cell r="B1348" t="str">
            <v>1-1343</v>
          </cell>
          <cell r="E1348" t="str">
            <v>有限公司</v>
          </cell>
          <cell r="R1348" t="b">
            <v>0</v>
          </cell>
          <cell r="S1348" t="str"/>
          <cell r="T1348" t="b">
            <v>0</v>
          </cell>
          <cell r="W1348" t="str"/>
          <cell r="Y1348" t="str"/>
          <cell r="AA1348" t="str"/>
          <cell r="AK1348" t="str">
            <v>768-GW</v>
          </cell>
          <cell r="AL1348" t="str">
            <v>1-0673-徐育生&gt;寄&gt;自結</v>
          </cell>
          <cell r="AM1348" t="str">
            <v>1-0673</v>
          </cell>
        </row>
        <row r="1349">
          <cell r="B1349" t="str">
            <v>1-1344</v>
          </cell>
          <cell r="E1349" t="str">
            <v>有限公司</v>
          </cell>
          <cell r="R1349" t="b">
            <v>0</v>
          </cell>
          <cell r="S1349" t="str"/>
          <cell r="T1349" t="b">
            <v>0</v>
          </cell>
          <cell r="W1349" t="str"/>
          <cell r="Y1349" t="str"/>
          <cell r="AA1349" t="str"/>
          <cell r="AK1349" t="str">
            <v>626-X8</v>
          </cell>
          <cell r="AL1349" t="str">
            <v>1-0674-翔威.翔鑫&gt;付現&gt;不能簽帳</v>
          </cell>
          <cell r="AM1349" t="str">
            <v>1-0674</v>
          </cell>
        </row>
        <row r="1350">
          <cell r="B1350" t="str">
            <v>1-1345</v>
          </cell>
          <cell r="E1350" t="str">
            <v>有限公司</v>
          </cell>
          <cell r="R1350" t="b">
            <v>0</v>
          </cell>
          <cell r="S1350" t="str"/>
          <cell r="T1350" t="b">
            <v>0</v>
          </cell>
          <cell r="W1350" t="str"/>
          <cell r="Y1350" t="str"/>
          <cell r="AA1350" t="str"/>
          <cell r="AK1350" t="str">
            <v>582-AJ</v>
          </cell>
          <cell r="AL1350" t="str">
            <v>1-0674-翔威.翔鑫&gt;付現&gt;不能簽帳</v>
          </cell>
          <cell r="AM1350" t="str">
            <v>1-0674</v>
          </cell>
        </row>
        <row r="1351">
          <cell r="B1351" t="str">
            <v>1-1346</v>
          </cell>
          <cell r="E1351" t="str">
            <v>有限公司</v>
          </cell>
          <cell r="R1351" t="b">
            <v>0</v>
          </cell>
          <cell r="S1351" t="str"/>
          <cell r="T1351" t="b">
            <v>0</v>
          </cell>
          <cell r="W1351" t="str"/>
          <cell r="Y1351" t="str"/>
          <cell r="AA1351" t="str"/>
          <cell r="AK1351" t="str">
            <v>KLB-6211</v>
          </cell>
          <cell r="AL1351" t="str">
            <v>1-0674-翔威.翔鑫&gt;付現&gt;不能簽帳</v>
          </cell>
          <cell r="AM1351" t="str">
            <v>1-0674</v>
          </cell>
        </row>
        <row r="1352">
          <cell r="B1352" t="str">
            <v>1-1347</v>
          </cell>
          <cell r="E1352" t="str">
            <v>有限公司</v>
          </cell>
          <cell r="R1352" t="b">
            <v>0</v>
          </cell>
          <cell r="S1352" t="str"/>
          <cell r="T1352" t="b">
            <v>0</v>
          </cell>
          <cell r="W1352" t="str"/>
          <cell r="Y1352" t="str"/>
          <cell r="AA1352" t="str"/>
          <cell r="AK1352" t="str">
            <v>KLB-6177</v>
          </cell>
          <cell r="AL1352" t="str">
            <v>1-0674-翔威.翔鑫&gt;付現&gt;不能簽帳</v>
          </cell>
          <cell r="AM1352" t="str">
            <v>1-0674</v>
          </cell>
        </row>
        <row r="1353">
          <cell r="B1353" t="str">
            <v>1-1348</v>
          </cell>
          <cell r="E1353" t="str">
            <v>有限公司</v>
          </cell>
          <cell r="R1353" t="b">
            <v>0</v>
          </cell>
          <cell r="S1353" t="str"/>
          <cell r="T1353" t="b">
            <v>0</v>
          </cell>
          <cell r="W1353" t="str"/>
          <cell r="Y1353" t="str"/>
          <cell r="AA1353" t="str"/>
          <cell r="AK1353" t="str">
            <v>581-Y7</v>
          </cell>
          <cell r="AL1353" t="str">
            <v>1-0675-帝豪努.哇克&gt;寄&gt;自結&gt;附發票</v>
          </cell>
          <cell r="AM1353" t="str">
            <v>1-0675</v>
          </cell>
        </row>
        <row r="1354">
          <cell r="B1354" t="str">
            <v>1-1349</v>
          </cell>
          <cell r="E1354" t="str">
            <v>有限公司</v>
          </cell>
          <cell r="R1354" t="b">
            <v>0</v>
          </cell>
          <cell r="S1354" t="str"/>
          <cell r="T1354" t="b">
            <v>0</v>
          </cell>
          <cell r="W1354" t="str"/>
          <cell r="Y1354" t="str"/>
          <cell r="AA1354" t="str"/>
          <cell r="AK1354" t="str">
            <v>LAG-873</v>
          </cell>
          <cell r="AL1354" t="str">
            <v>1-0047-(2/4)鴻安&gt;寄&gt;附發票&gt;附回郵</v>
          </cell>
          <cell r="AM1354" t="str">
            <v>1-0047</v>
          </cell>
        </row>
        <row r="1355">
          <cell r="B1355" t="str">
            <v>1-1350</v>
          </cell>
          <cell r="E1355" t="str">
            <v>有限公司</v>
          </cell>
          <cell r="R1355" t="b">
            <v>0</v>
          </cell>
          <cell r="S1355" t="str"/>
          <cell r="T1355" t="b">
            <v>0</v>
          </cell>
          <cell r="W1355" t="str"/>
          <cell r="Y1355" t="str"/>
          <cell r="AA1355" t="str"/>
          <cell r="AK1355" t="str">
            <v>625-Y7</v>
          </cell>
          <cell r="AL1355" t="str">
            <v>1-0386-唯辰行&gt;佳佳商行&gt;寄&gt;自結</v>
          </cell>
          <cell r="AM1355" t="str">
            <v>1-0386</v>
          </cell>
        </row>
        <row r="1356">
          <cell r="B1356" t="str">
            <v>1-1351</v>
          </cell>
          <cell r="E1356" t="str">
            <v>有限公司</v>
          </cell>
          <cell r="R1356" t="b">
            <v>0</v>
          </cell>
          <cell r="S1356" t="str"/>
          <cell r="T1356" t="b">
            <v>0</v>
          </cell>
          <cell r="W1356" t="str"/>
          <cell r="Y1356" t="str"/>
          <cell r="AA1356" t="str"/>
          <cell r="AK1356" t="str">
            <v>HB-280</v>
          </cell>
          <cell r="AL1356" t="str">
            <v>1-0679-彭仕豐&gt;電&gt;自結在開立附發票</v>
          </cell>
          <cell r="AM1356" t="str">
            <v>1-0679</v>
          </cell>
        </row>
        <row r="1357">
          <cell r="B1357" t="str">
            <v>1-1352</v>
          </cell>
          <cell r="E1357" t="str">
            <v>有限公司</v>
          </cell>
          <cell r="R1357" t="b">
            <v>0</v>
          </cell>
          <cell r="S1357" t="str"/>
          <cell r="T1357" t="b">
            <v>0</v>
          </cell>
          <cell r="W1357" t="str"/>
          <cell r="Y1357" t="str"/>
          <cell r="AA1357" t="str"/>
          <cell r="AK1357" t="str">
            <v>479-GF</v>
          </cell>
          <cell r="AL1357" t="str">
            <v>1-0006-(3/3)長呈&gt;寄&gt;附發票&gt;附回郵</v>
          </cell>
          <cell r="AM1357" t="str">
            <v>1-0006</v>
          </cell>
        </row>
        <row r="1358">
          <cell r="B1358" t="str">
            <v>1-1353</v>
          </cell>
          <cell r="E1358" t="str">
            <v>有限公司</v>
          </cell>
          <cell r="R1358" t="b">
            <v>0</v>
          </cell>
          <cell r="S1358" t="str"/>
          <cell r="T1358" t="b">
            <v>0</v>
          </cell>
          <cell r="W1358" t="str"/>
          <cell r="Y1358" t="str"/>
          <cell r="AA1358" t="str"/>
          <cell r="AK1358" t="str">
            <v>E2-2456</v>
          </cell>
          <cell r="AL1358" t="str">
            <v>1-0011-海銓&gt;電&gt;親收&gt;帶客戶請款聯</v>
          </cell>
          <cell r="AM1358" t="str">
            <v>1-0011</v>
          </cell>
        </row>
        <row r="1359">
          <cell r="B1359" t="str">
            <v>1-1354</v>
          </cell>
          <cell r="E1359" t="str">
            <v>有限公司</v>
          </cell>
          <cell r="R1359" t="b">
            <v>0</v>
          </cell>
          <cell r="S1359" t="str"/>
          <cell r="T1359" t="b">
            <v>0</v>
          </cell>
          <cell r="W1359" t="str"/>
          <cell r="Y1359" t="str"/>
          <cell r="AA1359" t="str"/>
          <cell r="AK1359" t="str">
            <v>X5-737</v>
          </cell>
          <cell r="AL1359" t="str">
            <v>1-0210-葉水發&gt;志松&gt;寄平信&gt;自結</v>
          </cell>
          <cell r="AM1359" t="str">
            <v>1-0210</v>
          </cell>
        </row>
        <row r="1360">
          <cell r="B1360" t="str">
            <v>1-1355</v>
          </cell>
          <cell r="E1360" t="str">
            <v>有限公司</v>
          </cell>
          <cell r="R1360" t="b">
            <v>0</v>
          </cell>
          <cell r="S1360" t="str"/>
          <cell r="T1360" t="b">
            <v>0</v>
          </cell>
          <cell r="W1360" t="str"/>
          <cell r="Y1360" t="str"/>
          <cell r="AA1360" t="str"/>
          <cell r="AK1360" t="str">
            <v>AJN-3172</v>
          </cell>
          <cell r="AL1360" t="str">
            <v>1-0223-禎祥&gt;寄&gt;附發票&gt;附回郵</v>
          </cell>
          <cell r="AM1360" t="str">
            <v>1-0223</v>
          </cell>
        </row>
        <row r="1361">
          <cell r="B1361" t="str">
            <v>1-1356</v>
          </cell>
          <cell r="E1361" t="str">
            <v>有限公司</v>
          </cell>
          <cell r="R1361" t="b">
            <v>0</v>
          </cell>
          <cell r="S1361" t="str"/>
          <cell r="T1361" t="b">
            <v>0</v>
          </cell>
          <cell r="W1361" t="str"/>
          <cell r="Y1361" t="str"/>
          <cell r="AA1361" t="str"/>
          <cell r="AK1361" t="str">
            <v>936-W5</v>
          </cell>
          <cell r="AL1361" t="str">
            <v>1-0334-廣寶&gt;環亞&gt;正大&gt;寄&gt;附回郵&gt;1個月後匯款</v>
          </cell>
          <cell r="AM1361" t="str">
            <v>1-0334</v>
          </cell>
        </row>
        <row r="1362">
          <cell r="B1362" t="str">
            <v>1-1357</v>
          </cell>
          <cell r="E1362" t="str">
            <v>有限公司</v>
          </cell>
          <cell r="R1362" t="b">
            <v>0</v>
          </cell>
          <cell r="S1362" t="str"/>
          <cell r="T1362" t="b">
            <v>0</v>
          </cell>
          <cell r="W1362" t="str"/>
          <cell r="Y1362" t="str"/>
          <cell r="AA1362" t="str"/>
          <cell r="AK1362" t="str">
            <v>AJM-8836</v>
          </cell>
          <cell r="AL1362" t="str">
            <v>1-0368-銀城&gt;寄&gt;附發票&gt;附回郵</v>
          </cell>
          <cell r="AM1362" t="str">
            <v>1-0368</v>
          </cell>
        </row>
        <row r="1363">
          <cell r="B1363" t="str">
            <v>1-1358</v>
          </cell>
          <cell r="E1363" t="str">
            <v>有限公司</v>
          </cell>
          <cell r="R1363" t="b">
            <v>0</v>
          </cell>
          <cell r="S1363" t="str"/>
          <cell r="T1363" t="b">
            <v>0</v>
          </cell>
          <cell r="W1363" t="str"/>
          <cell r="Y1363" t="str"/>
          <cell r="AA1363" t="str"/>
          <cell r="AK1363" t="str">
            <v>656-X5</v>
          </cell>
          <cell r="AL1363" t="str">
            <v>1-0422-大道輪胎&gt;寄&gt;附回郵</v>
          </cell>
          <cell r="AM1363" t="str">
            <v>1-0422</v>
          </cell>
        </row>
        <row r="1364">
          <cell r="B1364" t="str">
            <v>1-1359</v>
          </cell>
          <cell r="E1364" t="str">
            <v>有限公司</v>
          </cell>
          <cell r="R1364" t="b">
            <v>0</v>
          </cell>
          <cell r="S1364" t="str"/>
          <cell r="T1364" t="b">
            <v>0</v>
          </cell>
          <cell r="W1364" t="str"/>
          <cell r="Y1364" t="str"/>
          <cell r="AA1364" t="str"/>
          <cell r="AK1364" t="str">
            <v>803-5A</v>
          </cell>
          <cell r="AL1364" t="str">
            <v>1-0607-(2/2)瑋鎰&gt;寄&gt;附發票&gt;附回郵</v>
          </cell>
          <cell r="AM1364" t="str">
            <v>1-0607</v>
          </cell>
        </row>
        <row r="1365">
          <cell r="B1365" t="str">
            <v>1-1360</v>
          </cell>
          <cell r="E1365" t="str">
            <v>有限公司</v>
          </cell>
          <cell r="R1365" t="b">
            <v>0</v>
          </cell>
          <cell r="S1365" t="str"/>
          <cell r="T1365" t="b">
            <v>0</v>
          </cell>
          <cell r="W1365" t="str"/>
          <cell r="Y1365" t="str"/>
          <cell r="AA1365" t="str"/>
          <cell r="AK1365" t="str">
            <v>851-W9</v>
          </cell>
          <cell r="AL1365" t="str">
            <v>1-0046-(1/4)鴻阜&gt;寄&gt;附發票&gt;附回郵</v>
          </cell>
          <cell r="AM1365" t="str">
            <v>1-0046</v>
          </cell>
        </row>
        <row r="1366">
          <cell r="B1366" t="str">
            <v>1-1361</v>
          </cell>
          <cell r="E1366" t="str">
            <v>有限公司</v>
          </cell>
          <cell r="R1366" t="b">
            <v>0</v>
          </cell>
          <cell r="S1366" t="str"/>
          <cell r="T1366" t="b">
            <v>0</v>
          </cell>
          <cell r="W1366" t="str"/>
          <cell r="Y1366" t="str"/>
          <cell r="AA1366" t="str"/>
          <cell r="AK1366" t="str">
            <v>2811-QV</v>
          </cell>
          <cell r="AL1366" t="str">
            <v>1-0060-源鴻&gt;寄&gt;親收</v>
          </cell>
          <cell r="AM1366" t="str">
            <v>1-0060</v>
          </cell>
        </row>
        <row r="1367">
          <cell r="B1367" t="str">
            <v>1-1362</v>
          </cell>
          <cell r="E1367" t="str">
            <v>有限公司</v>
          </cell>
          <cell r="R1367" t="b">
            <v>0</v>
          </cell>
          <cell r="S1367" t="str"/>
          <cell r="T1367" t="b">
            <v>0</v>
          </cell>
          <cell r="W1367" t="str"/>
          <cell r="Y1367" t="str"/>
          <cell r="AA1367" t="str"/>
          <cell r="AK1367" t="str">
            <v>ALQ-6127</v>
          </cell>
          <cell r="AL1367" t="str">
            <v>1-0576-弘振&gt;寄&gt;匯款</v>
          </cell>
          <cell r="AM1367" t="str">
            <v>1-0576</v>
          </cell>
        </row>
        <row r="1368">
          <cell r="B1368" t="str">
            <v>1-1363</v>
          </cell>
          <cell r="E1368" t="str">
            <v>有限公司</v>
          </cell>
          <cell r="R1368" t="b">
            <v>0</v>
          </cell>
          <cell r="S1368" t="str"/>
          <cell r="T1368" t="b">
            <v>0</v>
          </cell>
          <cell r="W1368" t="str"/>
          <cell r="Y1368" t="str"/>
          <cell r="AA1368" t="str"/>
          <cell r="AK1368" t="str">
            <v>UT-745</v>
          </cell>
          <cell r="AL1368" t="str">
            <v>1-0019-福雄&gt;寄&gt;附發票&gt;附回郵</v>
          </cell>
          <cell r="AM1368" t="str">
            <v>1-0019</v>
          </cell>
        </row>
        <row r="1369">
          <cell r="B1369" t="str">
            <v>1-1364</v>
          </cell>
          <cell r="E1369" t="str">
            <v>有限公司</v>
          </cell>
          <cell r="R1369" t="b">
            <v>0</v>
          </cell>
          <cell r="S1369" t="str"/>
          <cell r="T1369" t="b">
            <v>0</v>
          </cell>
          <cell r="W1369" t="str"/>
          <cell r="Y1369" t="str"/>
          <cell r="AA1369" t="str"/>
          <cell r="AK1369" t="str">
            <v>KEA-8180</v>
          </cell>
          <cell r="AL1369" t="str">
            <v>1-0632-長源新竹&gt;寄＞附發票＞三個月匯款</v>
          </cell>
          <cell r="AM1369" t="str">
            <v>1-0632</v>
          </cell>
        </row>
        <row r="1370">
          <cell r="B1370" t="str">
            <v>1-1365</v>
          </cell>
          <cell r="E1370" t="str">
            <v>有限公司</v>
          </cell>
          <cell r="R1370" t="b">
            <v>0</v>
          </cell>
          <cell r="S1370" t="str"/>
          <cell r="T1370" t="b">
            <v>0</v>
          </cell>
          <cell r="W1370" t="str"/>
          <cell r="Y1370" t="str"/>
          <cell r="AA1370" t="str"/>
          <cell r="AK1370" t="str">
            <v>PS-G2</v>
          </cell>
          <cell r="AL1370" t="str">
            <v>1-0561-吳子權&gt;駱駝&gt;電&gt;款</v>
          </cell>
          <cell r="AM1370" t="str">
            <v>1-0561</v>
          </cell>
        </row>
        <row r="1371">
          <cell r="B1371" t="str">
            <v>1-1366</v>
          </cell>
          <cell r="E1371" t="str">
            <v>有限公司</v>
          </cell>
          <cell r="R1371" t="b">
            <v>0</v>
          </cell>
          <cell r="S1371" t="str"/>
          <cell r="T1371" t="b">
            <v>0</v>
          </cell>
          <cell r="W1371" t="str"/>
          <cell r="Y1371" t="str"/>
          <cell r="AA1371" t="str"/>
          <cell r="AK1371" t="str">
            <v>3987-GB</v>
          </cell>
          <cell r="AL1371" t="str">
            <v>1-0021-毅和&gt;寄&gt;附發票&gt;附回郵</v>
          </cell>
          <cell r="AM1371" t="str">
            <v>1-0021</v>
          </cell>
        </row>
        <row r="1372">
          <cell r="B1372" t="str">
            <v>1-1367</v>
          </cell>
          <cell r="E1372" t="str">
            <v>有限公司</v>
          </cell>
          <cell r="R1372" t="b">
            <v>0</v>
          </cell>
          <cell r="S1372" t="str"/>
          <cell r="T1372" t="b">
            <v>0</v>
          </cell>
          <cell r="W1372" t="str"/>
          <cell r="Y1372" t="str"/>
          <cell r="AA1372" t="str"/>
          <cell r="AK1372" t="str">
            <v>AAJ-900</v>
          </cell>
          <cell r="AL1372" t="str">
            <v>1-0521-竹南永德福SCANIA&gt;寄&gt;附發票&gt;2個月後匯款</v>
          </cell>
          <cell r="AM1372" t="str">
            <v>1-0521</v>
          </cell>
        </row>
        <row r="1373">
          <cell r="B1373" t="str">
            <v>1-1368</v>
          </cell>
          <cell r="E1373" t="str">
            <v>有限公司</v>
          </cell>
          <cell r="R1373" t="b">
            <v>0</v>
          </cell>
          <cell r="S1373" t="str"/>
          <cell r="T1373" t="b">
            <v>0</v>
          </cell>
          <cell r="W1373" t="str"/>
          <cell r="Y1373" t="str"/>
          <cell r="AA1373" t="str"/>
          <cell r="AK1373" t="str">
            <v>Q8-208</v>
          </cell>
          <cell r="AL1373" t="str">
            <v>1-0655-祥城&gt;現結</v>
          </cell>
          <cell r="AM1373" t="str">
            <v>1-0655</v>
          </cell>
        </row>
        <row r="1374">
          <cell r="B1374" t="str">
            <v>1-1369</v>
          </cell>
          <cell r="E1374" t="str">
            <v>有限公司</v>
          </cell>
          <cell r="R1374" t="b">
            <v>0</v>
          </cell>
          <cell r="S1374" t="str"/>
          <cell r="T1374" t="b">
            <v>0</v>
          </cell>
          <cell r="W1374" t="str"/>
          <cell r="Y1374" t="str"/>
          <cell r="AA1374" t="str"/>
          <cell r="AK1374" t="str">
            <v>R3-0671</v>
          </cell>
          <cell r="AL1374" t="str">
            <v>1-0354-志祥通運.普惠&gt;寄&gt;附發票&gt;附回郵</v>
          </cell>
          <cell r="AM1374" t="str">
            <v>1-0354</v>
          </cell>
        </row>
        <row r="1375">
          <cell r="B1375" t="str">
            <v>1-1370</v>
          </cell>
          <cell r="E1375" t="str">
            <v>有限公司</v>
          </cell>
          <cell r="R1375" t="b">
            <v>0</v>
          </cell>
          <cell r="S1375" t="str"/>
          <cell r="T1375" t="b">
            <v>0</v>
          </cell>
          <cell r="W1375" t="str"/>
          <cell r="Y1375" t="str"/>
          <cell r="AA1375" t="str"/>
          <cell r="AK1375" t="str">
            <v>999-X2</v>
          </cell>
          <cell r="AL1375" t="str">
            <v>1-0736-盛鋐開發&gt;旺佶&gt;寄&gt;附發票&gt;1個月匯款</v>
          </cell>
          <cell r="AM1375" t="str">
            <v>1-0736</v>
          </cell>
        </row>
        <row r="1376">
          <cell r="B1376" t="str">
            <v>1-1371</v>
          </cell>
          <cell r="E1376" t="str">
            <v>有限公司</v>
          </cell>
          <cell r="R1376" t="b">
            <v>0</v>
          </cell>
          <cell r="S1376" t="str"/>
          <cell r="T1376" t="b">
            <v>0</v>
          </cell>
          <cell r="W1376" t="str"/>
          <cell r="Y1376" t="str"/>
          <cell r="AA1376" t="str"/>
          <cell r="AK1376" t="str">
            <v>LQ-3091</v>
          </cell>
          <cell r="AL1376" t="str">
            <v>1-0060-源鴻&gt;寄&gt;親收</v>
          </cell>
          <cell r="AM1376" t="str">
            <v>1-0060</v>
          </cell>
        </row>
        <row r="1377">
          <cell r="B1377" t="str">
            <v>1-1372</v>
          </cell>
          <cell r="E1377" t="str">
            <v>有限公司</v>
          </cell>
          <cell r="R1377" t="b">
            <v>0</v>
          </cell>
          <cell r="S1377" t="str"/>
          <cell r="T1377" t="b">
            <v>0</v>
          </cell>
          <cell r="W1377" t="str"/>
          <cell r="Y1377" t="str"/>
          <cell r="AA1377" t="str"/>
          <cell r="AK1377" t="str">
            <v>板406</v>
          </cell>
          <cell r="AL1377" t="str">
            <v>1-0162-鎰利&gt;鎰金&gt;鎰加&gt;寄&gt;附發票&gt;2個月匯款</v>
          </cell>
          <cell r="AM1377" t="str">
            <v>1-0162</v>
          </cell>
        </row>
        <row r="1378">
          <cell r="B1378" t="str">
            <v>1-1373</v>
          </cell>
          <cell r="E1378" t="str">
            <v>有限公司</v>
          </cell>
          <cell r="R1378" t="b">
            <v>0</v>
          </cell>
          <cell r="S1378" t="str"/>
          <cell r="T1378" t="b">
            <v>0</v>
          </cell>
          <cell r="W1378" t="str"/>
          <cell r="Y1378" t="str"/>
          <cell r="AA1378" t="str"/>
          <cell r="AK1378" t="str">
            <v>板415</v>
          </cell>
          <cell r="AL1378" t="str">
            <v>1-0162-鎰利&gt;鎰金&gt;鎰加&gt;寄&gt;附發票&gt;2個月匯款</v>
          </cell>
          <cell r="AM1378" t="str">
            <v>1-0162</v>
          </cell>
        </row>
        <row r="1379">
          <cell r="B1379" t="str">
            <v>1-1374</v>
          </cell>
          <cell r="E1379" t="str">
            <v>有限公司</v>
          </cell>
          <cell r="R1379" t="b">
            <v>0</v>
          </cell>
          <cell r="S1379" t="str"/>
          <cell r="T1379" t="b">
            <v>0</v>
          </cell>
          <cell r="W1379" t="str"/>
          <cell r="Y1379" t="str"/>
          <cell r="AA1379" t="str"/>
          <cell r="AK1379" t="str">
            <v>板401</v>
          </cell>
          <cell r="AL1379" t="str">
            <v>1-0162-鎰利&gt;鎰金&gt;鎰加&gt;寄&gt;附發票&gt;2個月匯款</v>
          </cell>
          <cell r="AM1379" t="str">
            <v>1-0162</v>
          </cell>
        </row>
        <row r="1380">
          <cell r="B1380" t="str">
            <v>1-1375</v>
          </cell>
          <cell r="E1380" t="str">
            <v>有限公司</v>
          </cell>
          <cell r="R1380" t="b">
            <v>0</v>
          </cell>
          <cell r="S1380" t="str"/>
          <cell r="T1380" t="b">
            <v>0</v>
          </cell>
          <cell r="W1380" t="str"/>
          <cell r="Y1380" t="str"/>
          <cell r="AA1380" t="str"/>
          <cell r="AK1380" t="str">
            <v>板A6</v>
          </cell>
          <cell r="AL1380" t="str">
            <v>1-0162-鎰利&gt;鎰金&gt;鎰加&gt;寄&gt;附發票&gt;2個月匯款</v>
          </cell>
          <cell r="AM1380" t="str">
            <v>1-0162</v>
          </cell>
        </row>
        <row r="1381">
          <cell r="B1381" t="str">
            <v>1-1376</v>
          </cell>
          <cell r="E1381" t="str">
            <v>有限公司</v>
          </cell>
          <cell r="R1381" t="b">
            <v>0</v>
          </cell>
          <cell r="S1381" t="str"/>
          <cell r="T1381" t="b">
            <v>0</v>
          </cell>
          <cell r="W1381" t="str"/>
          <cell r="Y1381" t="str"/>
          <cell r="AA1381" t="str"/>
          <cell r="AK1381" t="str">
            <v>板440</v>
          </cell>
          <cell r="AL1381" t="str">
            <v>1-0162-鎰利&gt;鎰金&gt;鎰加&gt;寄&gt;附發票&gt;2個月匯款</v>
          </cell>
          <cell r="AM1381" t="str">
            <v>1-0162</v>
          </cell>
        </row>
        <row r="1382">
          <cell r="B1382" t="str">
            <v>1-1377</v>
          </cell>
          <cell r="E1382" t="str">
            <v>有限公司</v>
          </cell>
          <cell r="R1382" t="b">
            <v>0</v>
          </cell>
          <cell r="S1382" t="str"/>
          <cell r="T1382" t="b">
            <v>0</v>
          </cell>
          <cell r="W1382" t="str"/>
          <cell r="Y1382" t="str"/>
          <cell r="AA1382" t="str"/>
          <cell r="AK1382" t="str">
            <v>756-Y7</v>
          </cell>
          <cell r="AL1382" t="str">
            <v>1-0364-弘翔.東大&gt;寄&gt;附發票&gt;附回郵</v>
          </cell>
          <cell r="AM1382" t="str">
            <v>1-0364</v>
          </cell>
        </row>
        <row r="1383">
          <cell r="B1383" t="str">
            <v>1-1378</v>
          </cell>
          <cell r="E1383" t="str">
            <v>有限公司</v>
          </cell>
          <cell r="R1383" t="b">
            <v>0</v>
          </cell>
          <cell r="S1383" t="str"/>
          <cell r="T1383" t="b">
            <v>0</v>
          </cell>
          <cell r="W1383" t="str"/>
          <cell r="Y1383" t="str"/>
          <cell r="AA1383" t="str"/>
          <cell r="AK1383" t="str">
            <v>919-Y7</v>
          </cell>
          <cell r="AL1383" t="str">
            <v>1-0581-弘喬&gt;寄&gt;附發票&gt;附回郵</v>
          </cell>
          <cell r="AM1383" t="str">
            <v>1-0581</v>
          </cell>
        </row>
        <row r="1384">
          <cell r="B1384" t="str">
            <v>1-1379</v>
          </cell>
          <cell r="E1384" t="str">
            <v>有限公司</v>
          </cell>
          <cell r="R1384" t="b">
            <v>0</v>
          </cell>
          <cell r="S1384" t="str"/>
          <cell r="T1384" t="b">
            <v>0</v>
          </cell>
          <cell r="W1384" t="str"/>
          <cell r="Y1384" t="str"/>
          <cell r="AA1384" t="str"/>
          <cell r="AK1384" t="str">
            <v>1552-N5</v>
          </cell>
          <cell r="AL1384" t="str">
            <v>1-0678-大自然&gt;寄&gt;附發票&gt;附回郵</v>
          </cell>
          <cell r="AM1384" t="str">
            <v>1-0678</v>
          </cell>
        </row>
        <row r="1385">
          <cell r="B1385" t="str">
            <v>1-1380</v>
          </cell>
          <cell r="E1385" t="str">
            <v>有限公司</v>
          </cell>
          <cell r="R1385" t="b">
            <v>0</v>
          </cell>
          <cell r="S1385" t="str"/>
          <cell r="T1385" t="b">
            <v>0</v>
          </cell>
          <cell r="W1385" t="str"/>
          <cell r="Y1385" t="str"/>
          <cell r="AA1385" t="str"/>
          <cell r="AK1385" t="str">
            <v>2F-8172</v>
          </cell>
          <cell r="AL1385" t="str">
            <v>1-0444-力盛&gt;寄&gt;附發票&gt;附回郵</v>
          </cell>
          <cell r="AM1385" t="str">
            <v>1-0444</v>
          </cell>
        </row>
        <row r="1386">
          <cell r="B1386" t="str">
            <v>1-1381</v>
          </cell>
          <cell r="E1386" t="str">
            <v>有限公司</v>
          </cell>
          <cell r="R1386" t="b">
            <v>0</v>
          </cell>
          <cell r="S1386" t="str"/>
          <cell r="T1386" t="b">
            <v>0</v>
          </cell>
          <cell r="W1386" t="str"/>
          <cell r="Y1386" t="str"/>
          <cell r="AA1386" t="str"/>
          <cell r="AK1386" t="str">
            <v>161-X2</v>
          </cell>
          <cell r="AL1386" t="str">
            <v>1-0482-楊詩雅&gt;寄&gt;匯款</v>
          </cell>
          <cell r="AM1386" t="str">
            <v>1-0482</v>
          </cell>
        </row>
        <row r="1387">
          <cell r="B1387" t="str">
            <v>1-1382</v>
          </cell>
          <cell r="E1387" t="str">
            <v>有限公司</v>
          </cell>
          <cell r="R1387" t="b">
            <v>0</v>
          </cell>
          <cell r="S1387" t="str"/>
          <cell r="T1387" t="b">
            <v>0</v>
          </cell>
          <cell r="W1387" t="str"/>
          <cell r="Y1387" t="str"/>
          <cell r="AA1387" t="str"/>
          <cell r="AK1387" t="str">
            <v>KM-65</v>
          </cell>
          <cell r="AL1387" t="str">
            <v>1-0496-啟德&gt;寄&gt;附發票&gt;附回郵</v>
          </cell>
          <cell r="AM1387" t="str">
            <v>1-0496</v>
          </cell>
        </row>
        <row r="1388">
          <cell r="B1388" t="str">
            <v>1-1383</v>
          </cell>
          <cell r="E1388" t="str">
            <v>有限公司</v>
          </cell>
          <cell r="R1388" t="b">
            <v>0</v>
          </cell>
          <cell r="S1388" t="str"/>
          <cell r="T1388" t="b">
            <v>0</v>
          </cell>
          <cell r="W1388" t="str"/>
          <cell r="Y1388" t="str"/>
          <cell r="AA1388" t="str"/>
          <cell r="AK1388" t="str">
            <v>2017-N5</v>
          </cell>
          <cell r="AL1388" t="str">
            <v>1-0549-華品&gt;佳上&gt;冠仁&gt;寄&gt;附發票&gt;附回郵</v>
          </cell>
          <cell r="AM1388" t="str">
            <v>1-0549</v>
          </cell>
        </row>
        <row r="1389">
          <cell r="B1389" t="str">
            <v>1-1384</v>
          </cell>
          <cell r="E1389" t="str">
            <v>有限公司</v>
          </cell>
          <cell r="R1389" t="b">
            <v>0</v>
          </cell>
          <cell r="S1389" t="str"/>
          <cell r="T1389" t="b">
            <v>0</v>
          </cell>
          <cell r="W1389" t="str"/>
          <cell r="Y1389" t="str"/>
          <cell r="AA1389" t="str"/>
          <cell r="AK1389" t="str">
            <v>AAG-587</v>
          </cell>
          <cell r="AL1389" t="str">
            <v>1-0660-竹新.頂烽&gt;寄&gt;附發票&gt;匯款</v>
          </cell>
          <cell r="AM1389" t="str">
            <v>1-0660</v>
          </cell>
        </row>
        <row r="1390">
          <cell r="B1390" t="str">
            <v>1-1385</v>
          </cell>
          <cell r="E1390" t="str">
            <v>有限公司</v>
          </cell>
          <cell r="R1390" t="b">
            <v>0</v>
          </cell>
          <cell r="S1390" t="str"/>
          <cell r="T1390" t="b">
            <v>0</v>
          </cell>
          <cell r="W1390" t="str"/>
          <cell r="Y1390" t="str"/>
          <cell r="AA1390" t="str"/>
          <cell r="AK1390" t="str">
            <v>887-DD</v>
          </cell>
          <cell r="AL1390" t="str">
            <v>1-0525-勝興&gt;寄&gt;附發票&gt;自結</v>
          </cell>
          <cell r="AM1390" t="str">
            <v>1-0525</v>
          </cell>
        </row>
        <row r="1391">
          <cell r="B1391" t="str">
            <v>1-1386</v>
          </cell>
          <cell r="E1391" t="str">
            <v>有限公司</v>
          </cell>
          <cell r="R1391" t="b">
            <v>0</v>
          </cell>
          <cell r="S1391" t="str"/>
          <cell r="T1391" t="b">
            <v>0</v>
          </cell>
          <cell r="W1391" t="str"/>
          <cell r="Y1391" t="str"/>
          <cell r="AA1391" t="str"/>
          <cell r="AK1391" t="str">
            <v>989-EE</v>
          </cell>
          <cell r="AL1391" t="str">
            <v>1-0164-元慶&gt;寄&gt;附發票&gt;附回郵</v>
          </cell>
          <cell r="AM1391" t="str">
            <v>1-0164</v>
          </cell>
        </row>
        <row r="1392">
          <cell r="B1392" t="str">
            <v>1-1387</v>
          </cell>
          <cell r="E1392" t="str">
            <v>有限公司</v>
          </cell>
          <cell r="R1392" t="b">
            <v>0</v>
          </cell>
          <cell r="S1392" t="str"/>
          <cell r="T1392" t="b">
            <v>0</v>
          </cell>
          <cell r="W1392" t="str"/>
          <cell r="Y1392" t="str"/>
          <cell r="AA1392" t="str"/>
          <cell r="AK1392" t="str">
            <v>KAB-5661</v>
          </cell>
          <cell r="AL1392" t="str">
            <v>1-0745-華宮&gt;現結&gt;附發票</v>
          </cell>
          <cell r="AM1392" t="str">
            <v>1-0745</v>
          </cell>
        </row>
        <row r="1393">
          <cell r="B1393" t="str">
            <v>1-1388</v>
          </cell>
          <cell r="E1393" t="str">
            <v>有限公司</v>
          </cell>
          <cell r="R1393" t="b">
            <v>0</v>
          </cell>
          <cell r="S1393" t="str"/>
          <cell r="T1393" t="b">
            <v>0</v>
          </cell>
          <cell r="W1393" t="str"/>
          <cell r="Y1393" t="str"/>
          <cell r="AA1393" t="str"/>
          <cell r="AK1393" t="str">
            <v>KLA-9517</v>
          </cell>
          <cell r="AL1393" t="str">
            <v>1-0004-(1/3)長增&gt;寄&gt;附發票&gt;匯款&gt;現金價</v>
          </cell>
          <cell r="AM1393" t="str">
            <v>1-0004</v>
          </cell>
        </row>
        <row r="1394">
          <cell r="B1394" t="str">
            <v>1-1389</v>
          </cell>
          <cell r="E1394" t="str">
            <v>有限公司</v>
          </cell>
          <cell r="R1394" t="b">
            <v>0</v>
          </cell>
          <cell r="S1394" t="str"/>
          <cell r="T1394" t="b">
            <v>0</v>
          </cell>
          <cell r="W1394" t="str"/>
          <cell r="Y1394" t="str"/>
          <cell r="AA1394" t="str"/>
          <cell r="AK1394" t="str">
            <v>856-TU</v>
          </cell>
          <cell r="AL1394" t="str">
            <v>1-0021-毅和&gt;寄&gt;附發票&gt;附回郵</v>
          </cell>
          <cell r="AM1394" t="str">
            <v>1-0021</v>
          </cell>
        </row>
        <row r="1395">
          <cell r="B1395" t="str">
            <v>1-1390</v>
          </cell>
          <cell r="E1395" t="str">
            <v>有限公司</v>
          </cell>
          <cell r="R1395" t="b">
            <v>0</v>
          </cell>
          <cell r="S1395" t="str"/>
          <cell r="T1395" t="b">
            <v>0</v>
          </cell>
          <cell r="W1395" t="str"/>
          <cell r="Y1395" t="str"/>
          <cell r="AA1395" t="str"/>
          <cell r="AK1395" t="str">
            <v>197-T2</v>
          </cell>
          <cell r="AL1395" t="str">
            <v>1-0046-(1/4)鴻阜&gt;寄&gt;附發票&gt;附回郵</v>
          </cell>
          <cell r="AM1395" t="str">
            <v>1-0046</v>
          </cell>
        </row>
        <row r="1396">
          <cell r="B1396" t="str">
            <v>1-1391</v>
          </cell>
          <cell r="E1396" t="str">
            <v>有限公司</v>
          </cell>
          <cell r="R1396" t="b">
            <v>0</v>
          </cell>
          <cell r="S1396" t="str"/>
          <cell r="T1396" t="b">
            <v>0</v>
          </cell>
          <cell r="W1396" t="str"/>
          <cell r="Y1396" t="str"/>
          <cell r="AA1396" t="str"/>
          <cell r="AK1396" t="str">
            <v>板19</v>
          </cell>
          <cell r="AL1396" t="str">
            <v>1-0162-鎰利&gt;鎰金&gt;鎰加&gt;寄&gt;附發票&gt;2個月匯款</v>
          </cell>
          <cell r="AM1396" t="str">
            <v>1-0162</v>
          </cell>
        </row>
        <row r="1397">
          <cell r="B1397" t="str">
            <v>1-1392</v>
          </cell>
          <cell r="E1397" t="str">
            <v>有限公司</v>
          </cell>
          <cell r="R1397" t="b">
            <v>0</v>
          </cell>
          <cell r="S1397" t="str"/>
          <cell r="T1397" t="b">
            <v>0</v>
          </cell>
          <cell r="W1397" t="str"/>
          <cell r="Y1397" t="str"/>
          <cell r="AA1397" t="str"/>
          <cell r="AK1397" t="str">
            <v>7533-WX</v>
          </cell>
          <cell r="AL1397" t="str">
            <v>1-0521-竹南永德福SCANIA&gt;寄&gt;附發票&gt;2個月後匯款</v>
          </cell>
          <cell r="AM1397" t="str">
            <v>1-0521</v>
          </cell>
        </row>
        <row r="1398">
          <cell r="B1398" t="str">
            <v>1-1393</v>
          </cell>
          <cell r="E1398" t="str">
            <v>有限公司</v>
          </cell>
          <cell r="R1398" t="b">
            <v>0</v>
          </cell>
          <cell r="S1398" t="str"/>
          <cell r="T1398" t="b">
            <v>0</v>
          </cell>
          <cell r="W1398" t="str"/>
          <cell r="Y1398" t="str"/>
          <cell r="AA1398" t="str"/>
          <cell r="AK1398" t="str">
            <v>板3Q-90</v>
          </cell>
          <cell r="AL1398" t="str">
            <v>1-0607-(2/2)瑋鎰&gt;寄&gt;附發票&gt;附回郵</v>
          </cell>
          <cell r="AM1398" t="str">
            <v>1-0607</v>
          </cell>
        </row>
        <row r="1399">
          <cell r="B1399" t="str">
            <v>1-1394</v>
          </cell>
          <cell r="E1399" t="str">
            <v>有限公司</v>
          </cell>
          <cell r="R1399" t="b">
            <v>0</v>
          </cell>
          <cell r="S1399" t="str"/>
          <cell r="T1399" t="b">
            <v>0</v>
          </cell>
          <cell r="W1399" t="str"/>
          <cell r="Y1399" t="str"/>
          <cell r="AA1399" t="str"/>
          <cell r="AK1399" t="str">
            <v>3808-YV</v>
          </cell>
          <cell r="AL1399" t="str">
            <v>1-0146-佳億塑膠&gt;寄&gt;附發票&gt;附回郵</v>
          </cell>
          <cell r="AM1399" t="str">
            <v>1-0146</v>
          </cell>
        </row>
        <row r="1400">
          <cell r="B1400" t="str">
            <v>1-1395</v>
          </cell>
          <cell r="E1400" t="str">
            <v>有限公司</v>
          </cell>
          <cell r="R1400" t="b">
            <v>0</v>
          </cell>
          <cell r="S1400" t="str"/>
          <cell r="T1400" t="b">
            <v>0</v>
          </cell>
          <cell r="W1400" t="str"/>
          <cell r="Y1400" t="str"/>
          <cell r="AA1400" t="str"/>
          <cell r="AK1400" t="str">
            <v>009-VB</v>
          </cell>
          <cell r="AL1400" t="str">
            <v>1-0676-寰揚&gt;寄&gt;附發票&gt;附回郵</v>
          </cell>
          <cell r="AM1400" t="str">
            <v>1-0676</v>
          </cell>
        </row>
        <row r="1401">
          <cell r="B1401" t="str">
            <v>1-1396</v>
          </cell>
          <cell r="E1401" t="str">
            <v>有限公司</v>
          </cell>
          <cell r="R1401" t="b">
            <v>0</v>
          </cell>
          <cell r="S1401" t="str"/>
          <cell r="T1401" t="b">
            <v>0</v>
          </cell>
          <cell r="W1401" t="str"/>
          <cell r="Y1401" t="str"/>
          <cell r="AA1401" t="str"/>
          <cell r="AK1401" t="str">
            <v>455-GF</v>
          </cell>
          <cell r="AL1401" t="str">
            <v>1-0677-朱文展&gt;寄&gt;自結</v>
          </cell>
          <cell r="AM1401" t="str">
            <v>1-0677</v>
          </cell>
        </row>
        <row r="1402">
          <cell r="B1402" t="str">
            <v>1-1397</v>
          </cell>
          <cell r="E1402" t="str">
            <v>有限公司</v>
          </cell>
          <cell r="R1402" t="b">
            <v>0</v>
          </cell>
          <cell r="S1402" t="str"/>
          <cell r="T1402" t="b">
            <v>0</v>
          </cell>
          <cell r="W1402" t="str"/>
          <cell r="Y1402" t="str"/>
          <cell r="AA1402" t="str"/>
          <cell r="AK1402" t="str">
            <v>ALQ-8193</v>
          </cell>
          <cell r="AL1402" t="str">
            <v>1-0021-毅和&gt;寄&gt;附發票&gt;附回郵</v>
          </cell>
          <cell r="AM1402" t="str">
            <v>1-0021</v>
          </cell>
        </row>
        <row r="1403">
          <cell r="B1403" t="str">
            <v>1-1398</v>
          </cell>
          <cell r="E1403" t="str">
            <v>有限公司</v>
          </cell>
          <cell r="R1403" t="b">
            <v>0</v>
          </cell>
          <cell r="S1403" t="str"/>
          <cell r="T1403" t="b">
            <v>0</v>
          </cell>
          <cell r="W1403" t="str"/>
          <cell r="Y1403" t="str"/>
          <cell r="AA1403" t="str"/>
          <cell r="AK1403" t="str">
            <v>397-JE</v>
          </cell>
          <cell r="AL1403" t="str">
            <v>1-0455-順偉輪胎&gt;寄&gt;附發票&gt;兩個月匯款</v>
          </cell>
          <cell r="AM1403" t="str">
            <v>1-0455</v>
          </cell>
        </row>
        <row r="1404">
          <cell r="B1404" t="str">
            <v>1-1399</v>
          </cell>
          <cell r="E1404" t="str">
            <v>有限公司</v>
          </cell>
          <cell r="R1404" t="b">
            <v>0</v>
          </cell>
          <cell r="S1404" t="str"/>
          <cell r="T1404" t="b">
            <v>0</v>
          </cell>
          <cell r="W1404" t="str"/>
          <cell r="Y1404" t="str"/>
          <cell r="AA1404" t="str"/>
          <cell r="AK1404" t="str">
            <v>AAG-698</v>
          </cell>
          <cell r="AL1404" t="str">
            <v>1-0660-竹新.頂烽&gt;寄&gt;附發票&gt;匯款</v>
          </cell>
          <cell r="AM1404" t="str">
            <v>1-0660</v>
          </cell>
        </row>
        <row r="1405">
          <cell r="B1405" t="str">
            <v>1-1400</v>
          </cell>
          <cell r="E1405" t="str">
            <v>有限公司</v>
          </cell>
          <cell r="R1405" t="b">
            <v>0</v>
          </cell>
          <cell r="S1405" t="str"/>
          <cell r="T1405" t="b">
            <v>0</v>
          </cell>
          <cell r="W1405" t="str"/>
          <cell r="Y1405" t="str"/>
          <cell r="AA1405" t="str"/>
          <cell r="AK1405" t="str">
            <v>296-QZ</v>
          </cell>
          <cell r="AL1405" t="str">
            <v>1-0660-竹新.頂烽&gt;寄&gt;附發票&gt;匯款</v>
          </cell>
          <cell r="AM1405" t="str">
            <v>1-0660</v>
          </cell>
        </row>
        <row r="1406">
          <cell r="B1406" t="str">
            <v>1-1401</v>
          </cell>
          <cell r="E1406" t="str">
            <v>有限公司</v>
          </cell>
          <cell r="R1406" t="b">
            <v>0</v>
          </cell>
          <cell r="S1406" t="str"/>
          <cell r="T1406" t="b">
            <v>0</v>
          </cell>
          <cell r="W1406" t="str"/>
          <cell r="Y1406" t="str"/>
          <cell r="AA1406" t="str"/>
          <cell r="AK1406" t="str">
            <v>LAE-230</v>
          </cell>
          <cell r="AL1406" t="str">
            <v>1-0046-(1/4)鴻阜&gt;寄&gt;附發票&gt;附回郵</v>
          </cell>
          <cell r="AM1406" t="str">
            <v>1-0046</v>
          </cell>
        </row>
        <row r="1407">
          <cell r="B1407" t="str">
            <v>1-1402</v>
          </cell>
          <cell r="E1407" t="str">
            <v>有限公司</v>
          </cell>
          <cell r="R1407" t="b">
            <v>0</v>
          </cell>
          <cell r="S1407" t="str"/>
          <cell r="T1407" t="b">
            <v>0</v>
          </cell>
          <cell r="W1407" t="str"/>
          <cell r="Y1407" t="str"/>
          <cell r="AA1407" t="str"/>
          <cell r="AK1407" t="str">
            <v>AHZ-2259</v>
          </cell>
          <cell r="AL1407" t="str">
            <v>1-0060-源鴻&gt;寄&gt;親收</v>
          </cell>
          <cell r="AM1407" t="str">
            <v>1-0060</v>
          </cell>
        </row>
        <row r="1408">
          <cell r="B1408" t="str">
            <v>1-1403</v>
          </cell>
          <cell r="E1408" t="str">
            <v>有限公司</v>
          </cell>
          <cell r="R1408" t="b">
            <v>0</v>
          </cell>
          <cell r="S1408" t="str"/>
          <cell r="T1408" t="b">
            <v>0</v>
          </cell>
          <cell r="W1408" t="str"/>
          <cell r="Y1408" t="str"/>
          <cell r="AA1408" t="str"/>
          <cell r="AK1408" t="str">
            <v>157-M5</v>
          </cell>
          <cell r="AL1408" t="str">
            <v>1-0695-邱佑七&gt;寄&gt;自結</v>
          </cell>
          <cell r="AM1408" t="str">
            <v>1-0695</v>
          </cell>
        </row>
        <row r="1409">
          <cell r="B1409" t="str">
            <v>1-1404</v>
          </cell>
          <cell r="E1409" t="str">
            <v>有限公司</v>
          </cell>
          <cell r="R1409" t="b">
            <v>0</v>
          </cell>
          <cell r="S1409" t="str"/>
          <cell r="T1409" t="b">
            <v>0</v>
          </cell>
          <cell r="W1409" t="str"/>
          <cell r="Y1409" t="str"/>
          <cell r="AA1409" t="str"/>
          <cell r="AK1409" t="str">
            <v>877-Y7</v>
          </cell>
          <cell r="AL1409" t="str">
            <v>1-0011-海銓&gt;電&gt;親收&gt;帶客戶請款聯</v>
          </cell>
          <cell r="AM1409" t="str">
            <v>1-0011</v>
          </cell>
        </row>
        <row r="1410">
          <cell r="B1410" t="str">
            <v>1-1405</v>
          </cell>
          <cell r="E1410" t="str">
            <v>有限公司</v>
          </cell>
          <cell r="R1410" t="b">
            <v>0</v>
          </cell>
          <cell r="S1410" t="str"/>
          <cell r="T1410" t="b">
            <v>0</v>
          </cell>
          <cell r="W1410" t="str"/>
          <cell r="Y1410" t="str"/>
          <cell r="AA1410" t="str"/>
          <cell r="AK1410" t="str">
            <v>117-SM</v>
          </cell>
          <cell r="AL1410" t="str">
            <v>1-0021-毅和&gt;寄&gt;附發票&gt;附回郵</v>
          </cell>
          <cell r="AM1410" t="str">
            <v>1-0021</v>
          </cell>
        </row>
        <row r="1411">
          <cell r="B1411" t="str">
            <v>1-1406</v>
          </cell>
          <cell r="E1411" t="str">
            <v>有限公司</v>
          </cell>
          <cell r="R1411" t="b">
            <v>0</v>
          </cell>
          <cell r="S1411" t="str"/>
          <cell r="T1411" t="b">
            <v>0</v>
          </cell>
          <cell r="W1411" t="str"/>
          <cell r="Y1411" t="str"/>
          <cell r="AA1411" t="str"/>
          <cell r="AK1411" t="str">
            <v>板11</v>
          </cell>
          <cell r="AL1411" t="str">
            <v>1-0162-鎰利&gt;鎰金&gt;鎰加&gt;寄&gt;附發票&gt;2個月匯款</v>
          </cell>
          <cell r="AM1411" t="str">
            <v>1-0162</v>
          </cell>
        </row>
        <row r="1412">
          <cell r="B1412" t="str">
            <v>1-1407</v>
          </cell>
          <cell r="E1412" t="str">
            <v>有限公司</v>
          </cell>
          <cell r="R1412" t="b">
            <v>0</v>
          </cell>
          <cell r="S1412" t="str"/>
          <cell r="T1412" t="b">
            <v>0</v>
          </cell>
          <cell r="W1412" t="str"/>
          <cell r="Y1412" t="str"/>
          <cell r="AA1412" t="str"/>
          <cell r="AK1412" t="str">
            <v>AHD-1727</v>
          </cell>
          <cell r="AL1412" t="str">
            <v>1-0368-銀城&gt;寄&gt;附發票&gt;附回郵</v>
          </cell>
          <cell r="AM1412" t="str">
            <v>1-0368</v>
          </cell>
        </row>
        <row r="1413">
          <cell r="B1413" t="str">
            <v>1-1408</v>
          </cell>
          <cell r="E1413" t="str">
            <v>有限公司</v>
          </cell>
          <cell r="R1413" t="b">
            <v>0</v>
          </cell>
          <cell r="S1413" t="str"/>
          <cell r="T1413" t="b">
            <v>0</v>
          </cell>
          <cell r="W1413" t="str"/>
          <cell r="Y1413" t="str"/>
          <cell r="AA1413" t="str"/>
          <cell r="AK1413" t="str">
            <v>631-Y7</v>
          </cell>
          <cell r="AL1413" t="str">
            <v>1-0678-大自然&gt;寄&gt;附發票&gt;附回郵</v>
          </cell>
          <cell r="AM1413" t="str">
            <v>1-0678</v>
          </cell>
        </row>
        <row r="1414">
          <cell r="B1414" t="str">
            <v>1-1409</v>
          </cell>
          <cell r="E1414" t="str">
            <v>有限公司</v>
          </cell>
          <cell r="R1414" t="b">
            <v>0</v>
          </cell>
          <cell r="S1414" t="str"/>
          <cell r="T1414" t="b">
            <v>0</v>
          </cell>
          <cell r="W1414" t="str"/>
          <cell r="Y1414" t="str"/>
          <cell r="AA1414" t="str"/>
          <cell r="AK1414" t="str">
            <v>板03-JV</v>
          </cell>
          <cell r="AL1414" t="str">
            <v>1-0162-鎰利&gt;鎰金&gt;鎰加&gt;寄&gt;附發票&gt;2個月匯款</v>
          </cell>
          <cell r="AM1414" t="str">
            <v>1-0162</v>
          </cell>
        </row>
        <row r="1415">
          <cell r="B1415" t="str">
            <v>1-1410</v>
          </cell>
          <cell r="E1415" t="str">
            <v>有限公司</v>
          </cell>
          <cell r="R1415" t="b">
            <v>0</v>
          </cell>
          <cell r="S1415" t="str"/>
          <cell r="T1415" t="b">
            <v>0</v>
          </cell>
          <cell r="W1415" t="str"/>
          <cell r="Y1415" t="str"/>
          <cell r="AA1415" t="str"/>
          <cell r="AK1415" t="str">
            <v>068-VN</v>
          </cell>
          <cell r="AL1415" t="str">
            <v>1-0620-敏銓&gt;寄&gt;親收</v>
          </cell>
          <cell r="AM1415" t="str">
            <v>1-0620</v>
          </cell>
        </row>
        <row r="1416">
          <cell r="B1416" t="str">
            <v>1-1411</v>
          </cell>
          <cell r="E1416" t="str">
            <v>有限公司</v>
          </cell>
          <cell r="R1416" t="b">
            <v>0</v>
          </cell>
          <cell r="S1416" t="str"/>
          <cell r="T1416" t="b">
            <v>0</v>
          </cell>
          <cell r="W1416" t="str"/>
          <cell r="Y1416" t="str"/>
          <cell r="AA1416" t="str"/>
          <cell r="AK1416" t="str">
            <v>553-5A</v>
          </cell>
          <cell r="AL1416" t="str">
            <v>1-0486-安欣&gt;東裕&gt;寄&gt;附發票&gt;附回郵</v>
          </cell>
          <cell r="AM1416" t="str">
            <v>1-0486</v>
          </cell>
        </row>
        <row r="1417">
          <cell r="B1417" t="str">
            <v>1-1412</v>
          </cell>
          <cell r="E1417" t="str">
            <v>有限公司</v>
          </cell>
          <cell r="R1417" t="b">
            <v>0</v>
          </cell>
          <cell r="S1417" t="str"/>
          <cell r="T1417" t="b">
            <v>0</v>
          </cell>
          <cell r="W1417" t="str"/>
          <cell r="Y1417" t="str"/>
          <cell r="AA1417" t="str"/>
          <cell r="AK1417" t="str">
            <v>LAE-265</v>
          </cell>
          <cell r="AL1417" t="str">
            <v>1-0046-(1/4)鴻阜&gt;寄&gt;附發票&gt;附回郵</v>
          </cell>
          <cell r="AM1417" t="str">
            <v>1-0046</v>
          </cell>
        </row>
        <row r="1418">
          <cell r="B1418" t="str">
            <v>1-1413</v>
          </cell>
          <cell r="E1418" t="str">
            <v>有限公司</v>
          </cell>
          <cell r="R1418" t="b">
            <v>0</v>
          </cell>
          <cell r="S1418" t="str"/>
          <cell r="T1418" t="b">
            <v>0</v>
          </cell>
          <cell r="W1418" t="str"/>
          <cell r="Y1418" t="str"/>
          <cell r="AA1418" t="str"/>
          <cell r="AK1418" t="str">
            <v>KLA-9106</v>
          </cell>
          <cell r="AL1418" t="str">
            <v>1-0056-寬輾&gt;寄&gt;附回郵(1/3)</v>
          </cell>
          <cell r="AM1418" t="str">
            <v>1-0056</v>
          </cell>
        </row>
        <row r="1419">
          <cell r="B1419" t="str">
            <v>1-1414</v>
          </cell>
          <cell r="E1419" t="str">
            <v>有限公司</v>
          </cell>
          <cell r="R1419" t="b">
            <v>0</v>
          </cell>
          <cell r="S1419" t="str"/>
          <cell r="T1419" t="b">
            <v>0</v>
          </cell>
          <cell r="W1419" t="str"/>
          <cell r="Y1419" t="str"/>
          <cell r="AA1419" t="str"/>
          <cell r="AK1419" t="str">
            <v>721-Q9</v>
          </cell>
          <cell r="AL1419" t="str">
            <v>1-0706-(2/3)福民&gt;寄&gt;附發票&gt;附回郵</v>
          </cell>
          <cell r="AM1419" t="str">
            <v>1-0706</v>
          </cell>
        </row>
        <row r="1420">
          <cell r="B1420" t="str">
            <v>1-1415</v>
          </cell>
          <cell r="E1420" t="str">
            <v>有限公司</v>
          </cell>
          <cell r="R1420" t="b">
            <v>0</v>
          </cell>
          <cell r="S1420" t="str"/>
          <cell r="T1420" t="b">
            <v>0</v>
          </cell>
          <cell r="W1420" t="str"/>
          <cell r="Y1420" t="str"/>
          <cell r="AA1420" t="str"/>
          <cell r="AK1420" t="str">
            <v>板85-JH</v>
          </cell>
          <cell r="AL1420" t="str">
            <v>1-0162-鎰利&gt;鎰金&gt;鎰加&gt;寄&gt;附發票&gt;2個月匯款</v>
          </cell>
          <cell r="AM1420" t="str">
            <v>1-0162</v>
          </cell>
        </row>
        <row r="1421">
          <cell r="B1421" t="str">
            <v>1-1416</v>
          </cell>
          <cell r="E1421" t="str">
            <v>有限公司</v>
          </cell>
          <cell r="R1421" t="b">
            <v>0</v>
          </cell>
          <cell r="S1421" t="str"/>
          <cell r="T1421" t="b">
            <v>0</v>
          </cell>
          <cell r="W1421" t="str"/>
          <cell r="Y1421" t="str"/>
          <cell r="AA1421" t="str"/>
          <cell r="AK1421" t="str">
            <v>L16-0.4-2</v>
          </cell>
          <cell r="AL1421" t="str">
            <v>1-0162-鎰利&gt;鎰金&gt;鎰加&gt;寄&gt;附發票&gt;2個月匯款</v>
          </cell>
          <cell r="AM1421" t="str">
            <v>1-0162</v>
          </cell>
        </row>
        <row r="1422">
          <cell r="B1422" t="str">
            <v>1-1417</v>
          </cell>
          <cell r="E1422" t="str">
            <v>有限公司</v>
          </cell>
          <cell r="R1422" t="b">
            <v>0</v>
          </cell>
          <cell r="S1422" t="str"/>
          <cell r="T1422" t="b">
            <v>0</v>
          </cell>
          <cell r="W1422" t="str"/>
          <cell r="Y1422" t="str"/>
          <cell r="AA1422" t="str"/>
          <cell r="AK1422" t="str">
            <v>板222</v>
          </cell>
          <cell r="AL1422" t="str">
            <v>1-0162-鎰利&gt;鎰金&gt;鎰加&gt;寄&gt;附發票&gt;2個月匯款</v>
          </cell>
          <cell r="AM1422" t="str">
            <v>1-0162</v>
          </cell>
        </row>
        <row r="1423">
          <cell r="B1423" t="str">
            <v>1-1418</v>
          </cell>
          <cell r="E1423" t="str">
            <v>有限公司</v>
          </cell>
          <cell r="R1423" t="b">
            <v>0</v>
          </cell>
          <cell r="S1423" t="str"/>
          <cell r="T1423" t="b">
            <v>0</v>
          </cell>
          <cell r="W1423" t="str"/>
          <cell r="Y1423" t="str"/>
          <cell r="AA1423" t="str"/>
          <cell r="AK1423" t="str">
            <v>AMZ-3320</v>
          </cell>
          <cell r="AL1423" t="str">
            <v>1-0576-弘振&gt;寄&gt;匯款</v>
          </cell>
          <cell r="AM1423" t="str">
            <v>1-0576</v>
          </cell>
        </row>
        <row r="1424">
          <cell r="B1424" t="str">
            <v>1-1419</v>
          </cell>
          <cell r="E1424" t="str">
            <v>有限公司</v>
          </cell>
          <cell r="R1424" t="b">
            <v>0</v>
          </cell>
          <cell r="S1424" t="str"/>
          <cell r="T1424" t="b">
            <v>0</v>
          </cell>
          <cell r="W1424" t="str"/>
          <cell r="Y1424" t="str"/>
          <cell r="AA1424" t="str"/>
          <cell r="AK1424" t="str">
            <v>231-GY</v>
          </cell>
          <cell r="AL1424" t="str">
            <v>1-0608-聯倉&gt;寄&gt;附發票&gt;附回郵</v>
          </cell>
          <cell r="AM1424" t="str">
            <v>1-0608</v>
          </cell>
        </row>
        <row r="1425">
          <cell r="B1425" t="str">
            <v>1-1420</v>
          </cell>
          <cell r="E1425" t="str">
            <v>有限公司</v>
          </cell>
          <cell r="R1425" t="b">
            <v>0</v>
          </cell>
          <cell r="S1425" t="str"/>
          <cell r="T1425" t="b">
            <v>0</v>
          </cell>
          <cell r="W1425" t="str"/>
          <cell r="Y1425" t="str"/>
          <cell r="AA1425" t="str"/>
          <cell r="AK1425" t="str">
            <v>板A10</v>
          </cell>
          <cell r="AL1425" t="str">
            <v>1-0162-鎰利&gt;鎰金&gt;鎰加&gt;寄&gt;附發票&gt;2個月匯款</v>
          </cell>
          <cell r="AM1425" t="str">
            <v>1-0162</v>
          </cell>
        </row>
        <row r="1426">
          <cell r="B1426" t="str">
            <v>1-1421</v>
          </cell>
          <cell r="E1426" t="str">
            <v>有限公司</v>
          </cell>
          <cell r="R1426" t="b">
            <v>0</v>
          </cell>
          <cell r="S1426" t="str"/>
          <cell r="T1426" t="b">
            <v>0</v>
          </cell>
          <cell r="W1426" t="str"/>
          <cell r="Y1426" t="str"/>
          <cell r="AA1426" t="str"/>
          <cell r="AK1426" t="str">
            <v>板431</v>
          </cell>
          <cell r="AL1426" t="str">
            <v>1-0162-鎰利&gt;鎰金&gt;鎰加&gt;寄&gt;附發票&gt;2個月匯款</v>
          </cell>
          <cell r="AM1426" t="str">
            <v>1-0162</v>
          </cell>
        </row>
        <row r="1427">
          <cell r="B1427" t="str">
            <v>1-1422</v>
          </cell>
          <cell r="E1427" t="str">
            <v>有限公司</v>
          </cell>
          <cell r="R1427" t="b">
            <v>0</v>
          </cell>
          <cell r="S1427" t="str"/>
          <cell r="T1427" t="b">
            <v>0</v>
          </cell>
          <cell r="W1427" t="str"/>
          <cell r="Y1427" t="str"/>
          <cell r="AA1427" t="str"/>
          <cell r="AK1427" t="str">
            <v>KLD-3771</v>
          </cell>
          <cell r="AL1427" t="str">
            <v>1-0022-台新&gt;寄&gt;附發票&gt;兩個月25號匯款</v>
          </cell>
          <cell r="AM1427" t="str">
            <v>1-0022</v>
          </cell>
        </row>
        <row r="1428">
          <cell r="B1428" t="str">
            <v>1-1423</v>
          </cell>
          <cell r="E1428" t="str">
            <v>有限公司</v>
          </cell>
          <cell r="R1428" t="b">
            <v>0</v>
          </cell>
          <cell r="S1428" t="str"/>
          <cell r="T1428" t="b">
            <v>0</v>
          </cell>
          <cell r="W1428" t="str"/>
          <cell r="Y1428" t="str"/>
          <cell r="AA1428" t="str"/>
          <cell r="AK1428" t="str">
            <v>153-Y7</v>
          </cell>
          <cell r="AL1428" t="str">
            <v>1-0459-弘勝達&gt;寄&gt;附發票&gt;附回郵</v>
          </cell>
          <cell r="AM1428" t="str">
            <v>1-0459</v>
          </cell>
        </row>
        <row r="1429">
          <cell r="B1429" t="str">
            <v>1-1424</v>
          </cell>
          <cell r="E1429" t="str">
            <v>有限公司</v>
          </cell>
          <cell r="R1429" t="b">
            <v>0</v>
          </cell>
          <cell r="S1429" t="str"/>
          <cell r="T1429" t="b">
            <v>0</v>
          </cell>
          <cell r="W1429" t="str"/>
          <cell r="Y1429" t="str"/>
          <cell r="AA1429" t="str"/>
          <cell r="AK1429" t="str">
            <v>918-Y7</v>
          </cell>
          <cell r="AL1429" t="str">
            <v>1-0581-弘喬&gt;寄&gt;附發票&gt;附回郵</v>
          </cell>
          <cell r="AM1429" t="str">
            <v>1-0581</v>
          </cell>
        </row>
        <row r="1430">
          <cell r="B1430" t="str">
            <v>1-1425</v>
          </cell>
          <cell r="E1430" t="str">
            <v>有限公司</v>
          </cell>
          <cell r="R1430" t="b">
            <v>0</v>
          </cell>
          <cell r="S1430" t="str"/>
          <cell r="T1430" t="b">
            <v>0</v>
          </cell>
          <cell r="W1430" t="str"/>
          <cell r="Y1430" t="str"/>
          <cell r="AA1430" t="str"/>
          <cell r="AK1430" t="str">
            <v>RAE-9500</v>
          </cell>
          <cell r="AL1430" t="str">
            <v>1-0118-金昌&gt;寄&gt;附發票&gt;附回郵</v>
          </cell>
          <cell r="AM1430" t="str">
            <v>1-0118</v>
          </cell>
        </row>
        <row r="1431">
          <cell r="B1431" t="str">
            <v>1-1426</v>
          </cell>
          <cell r="E1431" t="str">
            <v>有限公司</v>
          </cell>
          <cell r="R1431" t="b">
            <v>0</v>
          </cell>
          <cell r="S1431" t="str"/>
          <cell r="T1431" t="b">
            <v>0</v>
          </cell>
          <cell r="W1431" t="str"/>
          <cell r="Y1431" t="str"/>
          <cell r="AA1431" t="str"/>
          <cell r="AK1431" t="str">
            <v>AJM-7558</v>
          </cell>
          <cell r="AL1431" t="str">
            <v>1-0524-馬董&gt;親送收</v>
          </cell>
          <cell r="AM1431" t="str">
            <v>1-0524</v>
          </cell>
        </row>
        <row r="1432">
          <cell r="B1432" t="str">
            <v>1-1427</v>
          </cell>
          <cell r="E1432" t="str">
            <v>有限公司</v>
          </cell>
          <cell r="R1432" t="b">
            <v>0</v>
          </cell>
          <cell r="S1432" t="str"/>
          <cell r="T1432" t="b">
            <v>0</v>
          </cell>
          <cell r="W1432" t="str"/>
          <cell r="Y1432" t="str"/>
          <cell r="AA1432" t="str"/>
          <cell r="AK1432" t="str">
            <v>AMZ-6215</v>
          </cell>
          <cell r="AL1432" t="str">
            <v>1-0524-馬董&gt;親送收</v>
          </cell>
          <cell r="AM1432" t="str">
            <v>1-0524</v>
          </cell>
        </row>
        <row r="1433">
          <cell r="B1433" t="str">
            <v>1-1428</v>
          </cell>
          <cell r="E1433" t="str">
            <v>有限公司</v>
          </cell>
          <cell r="R1433" t="b">
            <v>0</v>
          </cell>
          <cell r="S1433" t="str"/>
          <cell r="T1433" t="b">
            <v>0</v>
          </cell>
          <cell r="W1433" t="str"/>
          <cell r="Y1433" t="str"/>
          <cell r="AA1433" t="str"/>
          <cell r="AK1433" t="str">
            <v>AFR-0038</v>
          </cell>
          <cell r="AL1433" t="str">
            <v>1-0019-福雄&gt;寄&gt;附發票&gt;附回郵</v>
          </cell>
          <cell r="AM1433" t="str">
            <v>1-0019</v>
          </cell>
        </row>
        <row r="1434">
          <cell r="B1434" t="str">
            <v>1-1429</v>
          </cell>
          <cell r="E1434" t="str">
            <v>有限公司</v>
          </cell>
          <cell r="R1434" t="b">
            <v>0</v>
          </cell>
          <cell r="S1434" t="str"/>
          <cell r="T1434" t="b">
            <v>0</v>
          </cell>
          <cell r="W1434" t="str"/>
          <cell r="Y1434" t="str"/>
          <cell r="AA1434" t="str"/>
          <cell r="AK1434" t="str">
            <v>571-YZ</v>
          </cell>
          <cell r="AL1434" t="str">
            <v>1-0062-至懋&gt;寄&gt;附發票&gt;附回郵</v>
          </cell>
          <cell r="AM1434" t="str">
            <v>1-0062</v>
          </cell>
        </row>
        <row r="1435">
          <cell r="B1435" t="str">
            <v>1-1430</v>
          </cell>
          <cell r="E1435" t="str">
            <v>有限公司</v>
          </cell>
          <cell r="R1435" t="b">
            <v>0</v>
          </cell>
          <cell r="S1435" t="str"/>
          <cell r="T1435" t="b">
            <v>0</v>
          </cell>
          <cell r="W1435" t="str"/>
          <cell r="Y1435" t="str"/>
          <cell r="AA1435" t="str"/>
          <cell r="AK1435" t="str">
            <v>板433</v>
          </cell>
          <cell r="AL1435" t="str">
            <v>1-0162-鎰利&gt;鎰金&gt;鎰加&gt;寄&gt;附發票&gt;2個月匯款</v>
          </cell>
          <cell r="AM1435" t="str">
            <v>1-0162</v>
          </cell>
        </row>
        <row r="1436">
          <cell r="B1436" t="str">
            <v>1-1431</v>
          </cell>
          <cell r="E1436" t="str">
            <v>有限公司</v>
          </cell>
          <cell r="R1436" t="b">
            <v>0</v>
          </cell>
          <cell r="S1436" t="str"/>
          <cell r="T1436" t="b">
            <v>0</v>
          </cell>
          <cell r="W1436" t="str"/>
          <cell r="Y1436" t="str"/>
          <cell r="AA1436" t="str"/>
          <cell r="AK1436" t="str">
            <v>809-A5</v>
          </cell>
          <cell r="AL1436" t="str">
            <v>1-0162-鎰利&gt;鎰金&gt;鎰加&gt;寄&gt;附發票&gt;2個月匯款</v>
          </cell>
          <cell r="AM1436" t="str">
            <v>1-0162</v>
          </cell>
        </row>
        <row r="1437">
          <cell r="B1437" t="str">
            <v>1-1432</v>
          </cell>
          <cell r="E1437" t="str">
            <v>有限公司</v>
          </cell>
          <cell r="R1437" t="b">
            <v>0</v>
          </cell>
          <cell r="S1437" t="str"/>
          <cell r="T1437" t="b">
            <v>0</v>
          </cell>
          <cell r="W1437" t="str"/>
          <cell r="Y1437" t="str"/>
          <cell r="AA1437" t="str"/>
          <cell r="AK1437" t="str">
            <v>板429</v>
          </cell>
          <cell r="AL1437" t="str">
            <v>1-0162-鎰利&gt;鎰金&gt;鎰加&gt;寄&gt;附發票&gt;2個月匯款</v>
          </cell>
          <cell r="AM1437" t="str">
            <v>1-0162</v>
          </cell>
        </row>
        <row r="1438">
          <cell r="B1438" t="str">
            <v>1-1433</v>
          </cell>
          <cell r="E1438" t="str">
            <v>有限公司</v>
          </cell>
          <cell r="R1438" t="b">
            <v>0</v>
          </cell>
          <cell r="S1438" t="str"/>
          <cell r="T1438" t="b">
            <v>0</v>
          </cell>
          <cell r="W1438" t="str"/>
          <cell r="Y1438" t="str"/>
          <cell r="AA1438" t="str"/>
          <cell r="AK1438" t="str">
            <v>L16-04-1</v>
          </cell>
          <cell r="AL1438" t="str">
            <v>1-0162-鎰利&gt;鎰金&gt;鎰加&gt;寄&gt;附發票&gt;2個月匯款</v>
          </cell>
          <cell r="AM1438" t="str">
            <v>1-0162</v>
          </cell>
        </row>
        <row r="1439">
          <cell r="B1439" t="str">
            <v>1-1434</v>
          </cell>
          <cell r="E1439" t="str">
            <v>有限公司</v>
          </cell>
          <cell r="R1439" t="b">
            <v>0</v>
          </cell>
          <cell r="S1439" t="str"/>
          <cell r="T1439" t="b">
            <v>0</v>
          </cell>
          <cell r="W1439" t="str"/>
          <cell r="Y1439" t="str"/>
          <cell r="AA1439" t="str"/>
          <cell r="AK1439" t="str">
            <v>622-GC</v>
          </cell>
          <cell r="AL1439" t="str">
            <v>1-0194-傅文芳&gt;大砲&gt;一路發拖吊&gt;電&gt;自結</v>
          </cell>
          <cell r="AM1439" t="str">
            <v>1-0194</v>
          </cell>
        </row>
        <row r="1440">
          <cell r="B1440" t="str">
            <v>1-1435</v>
          </cell>
          <cell r="E1440" t="str">
            <v>有限公司</v>
          </cell>
          <cell r="R1440" t="b">
            <v>0</v>
          </cell>
          <cell r="S1440" t="str"/>
          <cell r="T1440" t="b">
            <v>0</v>
          </cell>
          <cell r="W1440" t="str"/>
          <cell r="Y1440" t="str"/>
          <cell r="AA1440" t="str"/>
          <cell r="AK1440" t="str">
            <v>773-M8</v>
          </cell>
          <cell r="AL1440" t="str">
            <v>1-0381-越穩(越大)輪胎&gt;寄&gt;匯款</v>
          </cell>
          <cell r="AM1440" t="str">
            <v>1-0381</v>
          </cell>
        </row>
        <row r="1441">
          <cell r="B1441" t="str">
            <v>1-1436</v>
          </cell>
          <cell r="E1441" t="str">
            <v>有限公司</v>
          </cell>
          <cell r="R1441" t="b">
            <v>0</v>
          </cell>
          <cell r="S1441" t="str"/>
          <cell r="T1441" t="b">
            <v>0</v>
          </cell>
          <cell r="W1441" t="str"/>
          <cell r="Y1441" t="str"/>
          <cell r="AA1441" t="str"/>
          <cell r="AK1441" t="str">
            <v>AJN-6965</v>
          </cell>
          <cell r="AL1441" t="str">
            <v>1-0549-華品&gt;佳上&gt;冠仁&gt;寄&gt;附發票&gt;附回郵</v>
          </cell>
          <cell r="AM1441" t="str">
            <v>1-0549</v>
          </cell>
        </row>
        <row r="1442">
          <cell r="B1442" t="str">
            <v>1-1437</v>
          </cell>
          <cell r="E1442" t="str">
            <v>有限公司</v>
          </cell>
          <cell r="R1442" t="b">
            <v>0</v>
          </cell>
          <cell r="S1442" t="str"/>
          <cell r="T1442" t="b">
            <v>0</v>
          </cell>
          <cell r="W1442" t="str"/>
          <cell r="Y1442" t="str"/>
          <cell r="AA1442" t="str"/>
          <cell r="AK1442" t="str">
            <v>ABL-6709</v>
          </cell>
          <cell r="AL1442" t="str">
            <v>1-0060-源鴻&gt;寄&gt;親收</v>
          </cell>
          <cell r="AM1442" t="str">
            <v>1-0060</v>
          </cell>
        </row>
        <row r="1443">
          <cell r="B1443" t="str">
            <v>1-1438</v>
          </cell>
          <cell r="E1443" t="str">
            <v>有限公司</v>
          </cell>
          <cell r="R1443" t="b">
            <v>0</v>
          </cell>
          <cell r="S1443" t="str"/>
          <cell r="T1443" t="b">
            <v>0</v>
          </cell>
          <cell r="W1443" t="str"/>
          <cell r="Y1443" t="str"/>
          <cell r="AA1443" t="str"/>
          <cell r="AK1443" t="str">
            <v>板430</v>
          </cell>
          <cell r="AL1443" t="str">
            <v>1-0162-鎰利&gt;鎰金&gt;鎰加&gt;寄&gt;附發票&gt;2個月匯款</v>
          </cell>
          <cell r="AM1443" t="str">
            <v>1-0162</v>
          </cell>
        </row>
        <row r="1444">
          <cell r="B1444" t="str">
            <v>1-1439</v>
          </cell>
          <cell r="E1444" t="str">
            <v>有限公司</v>
          </cell>
          <cell r="R1444" t="b">
            <v>0</v>
          </cell>
          <cell r="S1444" t="str"/>
          <cell r="T1444" t="b">
            <v>0</v>
          </cell>
          <cell r="W1444" t="str"/>
          <cell r="Y1444" t="str"/>
          <cell r="AA1444" t="str"/>
          <cell r="AK1444" t="str">
            <v>KEA-8181</v>
          </cell>
          <cell r="AL1444" t="str">
            <v>1-0632-長源新竹&gt;寄＞附發票＞三個月匯款</v>
          </cell>
          <cell r="AM1444" t="str">
            <v>1-0632</v>
          </cell>
        </row>
        <row r="1445">
          <cell r="B1445" t="str">
            <v>1-1440</v>
          </cell>
          <cell r="E1445" t="str">
            <v>有限公司</v>
          </cell>
          <cell r="R1445" t="b">
            <v>0</v>
          </cell>
          <cell r="S1445" t="str"/>
          <cell r="T1445" t="b">
            <v>0</v>
          </cell>
          <cell r="W1445" t="str"/>
          <cell r="Y1445" t="str"/>
          <cell r="AA1445" t="str"/>
          <cell r="AK1445" t="str">
            <v>898-HS</v>
          </cell>
          <cell r="AL1445" t="str">
            <v>1-0674-翔威.翔鑫&gt;付現&gt;不能簽帳</v>
          </cell>
          <cell r="AM1445" t="str">
            <v>1-0674</v>
          </cell>
        </row>
        <row r="1446">
          <cell r="B1446" t="str">
            <v>1-1441</v>
          </cell>
          <cell r="E1446" t="str">
            <v>有限公司</v>
          </cell>
          <cell r="R1446" t="b">
            <v>0</v>
          </cell>
          <cell r="S1446" t="str"/>
          <cell r="T1446" t="b">
            <v>0</v>
          </cell>
          <cell r="W1446" t="str"/>
          <cell r="Y1446" t="str"/>
          <cell r="AA1446" t="str"/>
          <cell r="AK1446" t="str">
            <v>352-R9</v>
          </cell>
          <cell r="AL1446" t="str">
            <v>1-0680-偉珍&gt;寄&gt;附發票&gt;附回郵</v>
          </cell>
          <cell r="AM1446" t="str">
            <v>1-0680</v>
          </cell>
        </row>
        <row r="1447">
          <cell r="B1447" t="str">
            <v>1-1442</v>
          </cell>
          <cell r="E1447" t="str">
            <v>有限公司</v>
          </cell>
          <cell r="R1447" t="b">
            <v>0</v>
          </cell>
          <cell r="S1447" t="str"/>
          <cell r="T1447" t="b">
            <v>0</v>
          </cell>
          <cell r="W1447" t="str"/>
          <cell r="Y1447" t="str"/>
          <cell r="AA1447" t="str"/>
          <cell r="AK1447">
            <v>756875</v>
          </cell>
          <cell r="AL1447" t="str">
            <v>1-0019-福雄&gt;寄&gt;附發票&gt;附回郵</v>
          </cell>
          <cell r="AM1447" t="str">
            <v>1-0019</v>
          </cell>
        </row>
        <row r="1448">
          <cell r="B1448" t="str">
            <v>1-1443</v>
          </cell>
          <cell r="E1448" t="str">
            <v>有限公司</v>
          </cell>
          <cell r="R1448" t="b">
            <v>0</v>
          </cell>
          <cell r="S1448" t="str"/>
          <cell r="T1448" t="b">
            <v>0</v>
          </cell>
          <cell r="W1448" t="str"/>
          <cell r="Y1448" t="str"/>
          <cell r="AA1448" t="str"/>
          <cell r="AK1448" t="str">
            <v>7P-1305</v>
          </cell>
          <cell r="AL1448" t="str">
            <v>1-0060-源鴻&gt;寄&gt;親收</v>
          </cell>
          <cell r="AM1448" t="str">
            <v>1-0060</v>
          </cell>
        </row>
        <row r="1449">
          <cell r="B1449" t="str">
            <v>1-1444</v>
          </cell>
          <cell r="E1449" t="str">
            <v>有限公司</v>
          </cell>
          <cell r="R1449" t="b">
            <v>0</v>
          </cell>
          <cell r="S1449" t="str"/>
          <cell r="T1449" t="b">
            <v>0</v>
          </cell>
          <cell r="W1449" t="str"/>
          <cell r="Y1449" t="str"/>
          <cell r="AA1449" t="str"/>
          <cell r="AK1449" t="str">
            <v>KEG-6208</v>
          </cell>
          <cell r="AL1449" t="str">
            <v>1-0842-合成香鋪&gt;寄</v>
          </cell>
          <cell r="AM1449" t="str">
            <v>1-0842</v>
          </cell>
        </row>
        <row r="1450">
          <cell r="B1450" t="str">
            <v>1-1445</v>
          </cell>
          <cell r="E1450" t="str">
            <v>有限公司</v>
          </cell>
          <cell r="R1450" t="b">
            <v>0</v>
          </cell>
          <cell r="S1450" t="str"/>
          <cell r="T1450" t="b">
            <v>0</v>
          </cell>
          <cell r="W1450" t="str"/>
          <cell r="Y1450" t="str"/>
          <cell r="AA1450" t="str"/>
          <cell r="AK1450" t="str">
            <v>AUP-1287</v>
          </cell>
          <cell r="AL1450" t="str">
            <v>1-0472-虹銘&gt;寄&gt;附發票&gt;附回郵</v>
          </cell>
          <cell r="AM1450" t="str">
            <v>1-0472</v>
          </cell>
        </row>
        <row r="1451">
          <cell r="B1451" t="str">
            <v>1-1446</v>
          </cell>
          <cell r="E1451" t="str">
            <v>有限公司</v>
          </cell>
          <cell r="R1451" t="b">
            <v>0</v>
          </cell>
          <cell r="S1451" t="str"/>
          <cell r="T1451" t="b">
            <v>0</v>
          </cell>
          <cell r="W1451" t="str"/>
          <cell r="Y1451" t="str"/>
          <cell r="AA1451" t="str"/>
          <cell r="AK1451" t="str">
            <v>ZV-599</v>
          </cell>
          <cell r="AL1451" t="str">
            <v>1-0019-福雄&gt;寄&gt;附發票&gt;附回郵</v>
          </cell>
          <cell r="AM1451" t="str">
            <v>1-0019</v>
          </cell>
        </row>
        <row r="1452">
          <cell r="B1452" t="str">
            <v>1-1447</v>
          </cell>
          <cell r="E1452" t="str">
            <v>有限公司</v>
          </cell>
          <cell r="R1452" t="b">
            <v>0</v>
          </cell>
          <cell r="S1452" t="str"/>
          <cell r="T1452" t="b">
            <v>0</v>
          </cell>
          <cell r="W1452" t="str"/>
          <cell r="Y1452" t="str"/>
          <cell r="AA1452" t="str"/>
          <cell r="AK1452">
            <v>1788685</v>
          </cell>
          <cell r="AL1452" t="str">
            <v>1-0065-台澄&gt;郭董&gt;寄&gt;老闆親收</v>
          </cell>
          <cell r="AM1452" t="str">
            <v>1-0065</v>
          </cell>
        </row>
        <row r="1453">
          <cell r="B1453" t="str">
            <v>1-1448</v>
          </cell>
          <cell r="E1453" t="str">
            <v>有限公司</v>
          </cell>
          <cell r="R1453" t="b">
            <v>0</v>
          </cell>
          <cell r="S1453" t="str"/>
          <cell r="T1453" t="b">
            <v>0</v>
          </cell>
          <cell r="W1453" t="str"/>
          <cell r="Y1453" t="str"/>
          <cell r="AA1453" t="str"/>
          <cell r="AK1453" t="str">
            <v>板86-DF</v>
          </cell>
          <cell r="AL1453" t="str">
            <v>1-0606-(1/2)冠德&gt;寄&gt;附發票&gt;附回郵</v>
          </cell>
          <cell r="AM1453" t="str">
            <v>1-0606</v>
          </cell>
        </row>
        <row r="1454">
          <cell r="B1454" t="str">
            <v>1-1449</v>
          </cell>
          <cell r="E1454" t="str">
            <v>有限公司</v>
          </cell>
          <cell r="R1454" t="b">
            <v>0</v>
          </cell>
          <cell r="S1454" t="str"/>
          <cell r="T1454" t="b">
            <v>0</v>
          </cell>
          <cell r="W1454" t="str"/>
          <cell r="Y1454" t="str"/>
          <cell r="AA1454" t="str"/>
          <cell r="AK1454" t="str">
            <v>KLA-9178</v>
          </cell>
          <cell r="AL1454" t="str">
            <v>1-0046-(1/4)鴻阜&gt;寄&gt;附發票&gt;附回郵</v>
          </cell>
          <cell r="AM1454" t="str">
            <v>1-0046</v>
          </cell>
        </row>
        <row r="1455">
          <cell r="B1455" t="str">
            <v>1-1450</v>
          </cell>
          <cell r="E1455" t="str">
            <v>有限公司</v>
          </cell>
          <cell r="R1455" t="b">
            <v>0</v>
          </cell>
          <cell r="S1455" t="str"/>
          <cell r="T1455" t="b">
            <v>0</v>
          </cell>
          <cell r="W1455" t="str"/>
          <cell r="Y1455" t="str"/>
          <cell r="AA1455" t="str"/>
          <cell r="AK1455" t="str">
            <v>9923-FV</v>
          </cell>
          <cell r="AL1455" t="str">
            <v>1-0060-源鴻&gt;寄&gt;親收</v>
          </cell>
          <cell r="AM1455" t="str">
            <v>1-0060</v>
          </cell>
        </row>
        <row r="1456">
          <cell r="B1456" t="str">
            <v>1-1451</v>
          </cell>
          <cell r="E1456" t="str">
            <v>有限公司</v>
          </cell>
          <cell r="R1456" t="b">
            <v>0</v>
          </cell>
          <cell r="S1456" t="str"/>
          <cell r="T1456" t="b">
            <v>0</v>
          </cell>
          <cell r="W1456" t="str"/>
          <cell r="Y1456" t="str"/>
          <cell r="AA1456" t="str"/>
          <cell r="AK1456" t="str">
            <v>KLD-3830</v>
          </cell>
          <cell r="AL1456" t="str">
            <v>1-0606-(1/2)冠德&gt;寄&gt;附發票&gt;附回郵</v>
          </cell>
          <cell r="AM1456" t="str">
            <v>1-0606</v>
          </cell>
        </row>
        <row r="1457">
          <cell r="B1457" t="str">
            <v>1-1452</v>
          </cell>
          <cell r="E1457" t="str">
            <v>有限公司</v>
          </cell>
          <cell r="R1457" t="b">
            <v>0</v>
          </cell>
          <cell r="S1457" t="str"/>
          <cell r="T1457" t="b">
            <v>0</v>
          </cell>
          <cell r="W1457" t="str"/>
          <cell r="Y1457" t="str"/>
          <cell r="AA1457" t="str"/>
          <cell r="AK1457" t="str">
            <v>5675-DK</v>
          </cell>
          <cell r="AL1457" t="str">
            <v>1-0276-民景&gt;寄&gt;附發票&gt;附回郵</v>
          </cell>
          <cell r="AM1457" t="str">
            <v>1-0276</v>
          </cell>
        </row>
        <row r="1458">
          <cell r="B1458" t="str">
            <v>1-1453</v>
          </cell>
          <cell r="E1458" t="str">
            <v>有限公司</v>
          </cell>
          <cell r="R1458" t="b">
            <v>0</v>
          </cell>
          <cell r="S1458" t="str"/>
          <cell r="T1458" t="b">
            <v>0</v>
          </cell>
          <cell r="W1458" t="str"/>
          <cell r="Y1458" t="str"/>
          <cell r="AA1458" t="str"/>
          <cell r="AK1458" t="str">
            <v>785-X6</v>
          </cell>
          <cell r="AL1458" t="str">
            <v>1-0540-聯興&gt;葉秀禮&gt;寄平信&gt;自結</v>
          </cell>
          <cell r="AM1458" t="str">
            <v>1-0540</v>
          </cell>
        </row>
        <row r="1459">
          <cell r="B1459" t="str">
            <v>1-1454</v>
          </cell>
          <cell r="E1459" t="str">
            <v>有限公司</v>
          </cell>
          <cell r="R1459" t="b">
            <v>0</v>
          </cell>
          <cell r="S1459" t="str"/>
          <cell r="T1459" t="b">
            <v>0</v>
          </cell>
          <cell r="W1459" t="str"/>
          <cell r="Y1459" t="str"/>
          <cell r="AA1459" t="str"/>
          <cell r="AK1459" t="str">
            <v>ASL-3007</v>
          </cell>
          <cell r="AL1459" t="str">
            <v>1-0662-得嘉鑫&gt;明鑫&gt;光明&gt;寄&gt;附回郵</v>
          </cell>
          <cell r="AM1459" t="str">
            <v>1-0662</v>
          </cell>
        </row>
        <row r="1460">
          <cell r="B1460" t="str">
            <v>1-1455</v>
          </cell>
          <cell r="E1460" t="str">
            <v>有限公司</v>
          </cell>
          <cell r="R1460" t="b">
            <v>0</v>
          </cell>
          <cell r="S1460" t="str"/>
          <cell r="T1460" t="b">
            <v>0</v>
          </cell>
          <cell r="W1460" t="str"/>
          <cell r="Y1460" t="str"/>
          <cell r="AA1460" t="str"/>
          <cell r="AK1460" t="str">
            <v>APR-0076</v>
          </cell>
          <cell r="AL1460" t="str">
            <v>1-0021-毅和&gt;寄&gt;附發票&gt;附回郵</v>
          </cell>
          <cell r="AM1460" t="str">
            <v>1-0021</v>
          </cell>
        </row>
        <row r="1461">
          <cell r="B1461" t="str">
            <v>1-1456</v>
          </cell>
          <cell r="E1461" t="str">
            <v>有限公司</v>
          </cell>
          <cell r="R1461" t="b">
            <v>0</v>
          </cell>
          <cell r="S1461" t="str"/>
          <cell r="T1461" t="b">
            <v>0</v>
          </cell>
          <cell r="W1461" t="str"/>
          <cell r="Y1461" t="str"/>
          <cell r="AA1461" t="str"/>
          <cell r="AK1461" t="str">
            <v>HM-6070</v>
          </cell>
          <cell r="AL1461" t="str">
            <v>1-0144-陳舜堂&gt;寄&gt;自結</v>
          </cell>
          <cell r="AM1461" t="str">
            <v>1-0144</v>
          </cell>
        </row>
        <row r="1462">
          <cell r="B1462" t="str">
            <v>1-1457</v>
          </cell>
          <cell r="E1462" t="str">
            <v>有限公司</v>
          </cell>
          <cell r="R1462" t="b">
            <v>0</v>
          </cell>
          <cell r="S1462" t="str"/>
          <cell r="T1462" t="b">
            <v>0</v>
          </cell>
          <cell r="W1462" t="str"/>
          <cell r="Y1462" t="str"/>
          <cell r="AA1462" t="str"/>
          <cell r="AK1462" t="str">
            <v>L7-10-2</v>
          </cell>
          <cell r="AL1462" t="str">
            <v>1-0162-鎰利&gt;鎰金&gt;鎰加&gt;寄&gt;附發票&gt;2個月匯款</v>
          </cell>
          <cell r="AM1462" t="str">
            <v>1-0162</v>
          </cell>
        </row>
        <row r="1463">
          <cell r="B1463" t="str">
            <v>1-1458</v>
          </cell>
          <cell r="E1463" t="str">
            <v>有限公司</v>
          </cell>
          <cell r="R1463" t="b">
            <v>0</v>
          </cell>
          <cell r="S1463" t="str"/>
          <cell r="T1463" t="b">
            <v>0</v>
          </cell>
          <cell r="W1463" t="str"/>
          <cell r="Y1463" t="str"/>
          <cell r="AA1463" t="str"/>
          <cell r="AK1463" t="str">
            <v>305-T2</v>
          </cell>
          <cell r="AL1463" t="str">
            <v>1-0344-全力&gt;寄&gt;附發票&gt;附回郵</v>
          </cell>
          <cell r="AM1463" t="str">
            <v>1-0344</v>
          </cell>
        </row>
        <row r="1464">
          <cell r="B1464" t="str">
            <v>1-1459</v>
          </cell>
          <cell r="E1464" t="str">
            <v>有限公司</v>
          </cell>
          <cell r="R1464" t="b">
            <v>0</v>
          </cell>
          <cell r="S1464" t="str"/>
          <cell r="T1464" t="b">
            <v>0</v>
          </cell>
          <cell r="W1464" t="str"/>
          <cell r="Y1464" t="str"/>
          <cell r="AA1464" t="str"/>
          <cell r="AK1464" t="str">
            <v>5357-KX</v>
          </cell>
          <cell r="AL1464" t="str">
            <v>1-0576-弘振&gt;寄&gt;匯款</v>
          </cell>
          <cell r="AM1464" t="str">
            <v>1-0576</v>
          </cell>
        </row>
        <row r="1465">
          <cell r="B1465" t="str">
            <v>1-1460</v>
          </cell>
          <cell r="E1465" t="str">
            <v>有限公司</v>
          </cell>
          <cell r="R1465" t="b">
            <v>0</v>
          </cell>
          <cell r="S1465" t="str"/>
          <cell r="T1465" t="b">
            <v>0</v>
          </cell>
          <cell r="W1465" t="str"/>
          <cell r="Y1465" t="str"/>
          <cell r="AA1465" t="str"/>
          <cell r="AK1465" t="str">
            <v>5199-F7</v>
          </cell>
          <cell r="AL1465" t="str">
            <v>1-0672-鴻茂&gt;鴻準&gt;寄&gt;附發票&gt;匯款(兩個月月底匯款)</v>
          </cell>
          <cell r="AM1465" t="str">
            <v>1-0672</v>
          </cell>
        </row>
        <row r="1466">
          <cell r="B1466" t="str">
            <v>1-1461</v>
          </cell>
          <cell r="E1466" t="str">
            <v>有限公司</v>
          </cell>
          <cell r="R1466" t="b">
            <v>0</v>
          </cell>
          <cell r="S1466" t="str"/>
          <cell r="T1466" t="b">
            <v>0</v>
          </cell>
          <cell r="W1466" t="str"/>
          <cell r="Y1466" t="str"/>
          <cell r="AA1466" t="str"/>
          <cell r="AK1466" t="str">
            <v>583-X5</v>
          </cell>
          <cell r="AL1466" t="str">
            <v>1-0707-(3/3)福麗&gt;寄&gt;附發票&gt;附回郵</v>
          </cell>
          <cell r="AM1466" t="str">
            <v>1-0707</v>
          </cell>
        </row>
        <row r="1467">
          <cell r="B1467" t="str">
            <v>1-1462</v>
          </cell>
          <cell r="E1467" t="str">
            <v>有限公司</v>
          </cell>
          <cell r="R1467" t="b">
            <v>0</v>
          </cell>
          <cell r="S1467" t="str"/>
          <cell r="T1467" t="b">
            <v>0</v>
          </cell>
          <cell r="W1467" t="str"/>
          <cell r="Y1467" t="str"/>
          <cell r="AA1467" t="str"/>
          <cell r="AK1467" t="str">
            <v>6862-SA</v>
          </cell>
          <cell r="AL1467" t="str">
            <v>1-0074-順安&gt;寄&gt;附發票&gt;附回郵</v>
          </cell>
          <cell r="AM1467" t="str">
            <v>1-0074</v>
          </cell>
        </row>
        <row r="1468">
          <cell r="B1468" t="str">
            <v>1-1463</v>
          </cell>
          <cell r="E1468" t="str">
            <v>有限公司</v>
          </cell>
          <cell r="R1468" t="b">
            <v>0</v>
          </cell>
          <cell r="S1468" t="str"/>
          <cell r="T1468" t="b">
            <v>0</v>
          </cell>
          <cell r="W1468" t="str"/>
          <cell r="Y1468" t="str"/>
          <cell r="AA1468" t="str"/>
          <cell r="AK1468" t="str">
            <v>720-Y7</v>
          </cell>
          <cell r="AL1468" t="str">
            <v>1-0465-原新金屬&gt;寄&gt;附發票&gt;附回郵</v>
          </cell>
          <cell r="AM1468" t="str">
            <v>1-0465</v>
          </cell>
        </row>
        <row r="1469">
          <cell r="B1469" t="str">
            <v>1-1464</v>
          </cell>
          <cell r="E1469" t="str">
            <v>有限公司</v>
          </cell>
          <cell r="R1469" t="b">
            <v>0</v>
          </cell>
          <cell r="S1469" t="str"/>
          <cell r="T1469" t="b">
            <v>0</v>
          </cell>
          <cell r="W1469" t="str"/>
          <cell r="Y1469" t="str"/>
          <cell r="AA1469" t="str"/>
          <cell r="AK1469" t="str">
            <v>473-G6</v>
          </cell>
          <cell r="AL1469" t="str">
            <v>1-0658-順同&gt;尚泰行.弘舜&gt;寄&gt;附發票&gt;附回郵</v>
          </cell>
          <cell r="AM1469" t="str">
            <v>1-0658</v>
          </cell>
        </row>
        <row r="1470">
          <cell r="B1470" t="str">
            <v>1-1465</v>
          </cell>
          <cell r="E1470" t="str">
            <v>有限公司</v>
          </cell>
          <cell r="R1470" t="b">
            <v>0</v>
          </cell>
          <cell r="S1470" t="str"/>
          <cell r="T1470" t="b">
            <v>0</v>
          </cell>
          <cell r="W1470" t="str"/>
          <cell r="Y1470" t="str"/>
          <cell r="AA1470" t="str"/>
          <cell r="AK1470" t="str">
            <v>791-Y7</v>
          </cell>
          <cell r="AL1470" t="str">
            <v>1-0019-福雄&gt;寄&gt;附發票&gt;附回郵</v>
          </cell>
          <cell r="AM1470" t="str">
            <v>1-0019</v>
          </cell>
        </row>
        <row r="1471">
          <cell r="B1471" t="str">
            <v>1-1466</v>
          </cell>
          <cell r="E1471" t="str">
            <v>有限公司</v>
          </cell>
          <cell r="R1471" t="b">
            <v>0</v>
          </cell>
          <cell r="S1471" t="str"/>
          <cell r="T1471" t="b">
            <v>0</v>
          </cell>
          <cell r="W1471" t="str"/>
          <cell r="Y1471" t="str"/>
          <cell r="AA1471" t="str"/>
          <cell r="AK1471" t="str">
            <v>板426</v>
          </cell>
          <cell r="AL1471" t="str">
            <v>1-0162-鎰利&gt;鎰金&gt;鎰加&gt;寄&gt;附發票&gt;2個月匯款</v>
          </cell>
          <cell r="AM1471" t="str">
            <v>1-0162</v>
          </cell>
        </row>
        <row r="1472">
          <cell r="B1472" t="str">
            <v>1-1467</v>
          </cell>
          <cell r="E1472" t="str">
            <v>有限公司</v>
          </cell>
          <cell r="R1472" t="b">
            <v>0</v>
          </cell>
          <cell r="S1472" t="str"/>
          <cell r="T1472" t="b">
            <v>0</v>
          </cell>
          <cell r="W1472" t="str"/>
          <cell r="Y1472" t="str"/>
          <cell r="AA1472" t="str"/>
          <cell r="AK1472" t="str">
            <v>板438</v>
          </cell>
          <cell r="AL1472" t="str">
            <v>1-0162-鎰利&gt;鎰金&gt;鎰加&gt;寄&gt;附發票&gt;2個月匯款</v>
          </cell>
          <cell r="AM1472" t="str">
            <v>1-0162</v>
          </cell>
        </row>
        <row r="1473">
          <cell r="B1473" t="str">
            <v>1-1468</v>
          </cell>
          <cell r="E1473" t="str">
            <v>有限公司</v>
          </cell>
          <cell r="R1473" t="b">
            <v>0</v>
          </cell>
          <cell r="S1473" t="str"/>
          <cell r="T1473" t="b">
            <v>0</v>
          </cell>
          <cell r="W1473" t="str"/>
          <cell r="Y1473" t="str"/>
          <cell r="AA1473" t="str"/>
          <cell r="AK1473" t="str">
            <v>2F-5385</v>
          </cell>
          <cell r="AL1473" t="str">
            <v>1-0234-小龍女&gt;楊鎮銨&gt;電&gt;自結</v>
          </cell>
          <cell r="AM1473" t="str">
            <v>1-0234</v>
          </cell>
        </row>
        <row r="1474">
          <cell r="B1474" t="str">
            <v>1-1469</v>
          </cell>
          <cell r="E1474" t="str">
            <v>有限公司</v>
          </cell>
          <cell r="R1474" t="b">
            <v>0</v>
          </cell>
          <cell r="S1474" t="str"/>
          <cell r="T1474" t="b">
            <v>0</v>
          </cell>
          <cell r="W1474" t="str"/>
          <cell r="Y1474" t="str"/>
          <cell r="AA1474" t="str"/>
          <cell r="AK1474" t="str">
            <v>AGJ-2518</v>
          </cell>
          <cell r="AL1474" t="str">
            <v>1-0276-民景&gt;寄&gt;附發票&gt;附回郵</v>
          </cell>
          <cell r="AM1474" t="str">
            <v>1-0276</v>
          </cell>
        </row>
        <row r="1475">
          <cell r="B1475" t="str">
            <v>1-1470</v>
          </cell>
          <cell r="E1475" t="str">
            <v>有限公司</v>
          </cell>
          <cell r="R1475" t="b">
            <v>0</v>
          </cell>
          <cell r="S1475" t="str"/>
          <cell r="T1475" t="b">
            <v>0</v>
          </cell>
          <cell r="W1475" t="str"/>
          <cell r="Y1475" t="str"/>
          <cell r="AA1475" t="str"/>
          <cell r="AK1475" t="str">
            <v>RAY-8718</v>
          </cell>
          <cell r="AL1475" t="str">
            <v>1-0276-民景&gt;寄&gt;附發票&gt;附回郵</v>
          </cell>
          <cell r="AM1475" t="str">
            <v>1-0276</v>
          </cell>
        </row>
        <row r="1476">
          <cell r="B1476" t="str">
            <v>1-1471</v>
          </cell>
          <cell r="E1476" t="str">
            <v>有限公司</v>
          </cell>
          <cell r="R1476" t="b">
            <v>0</v>
          </cell>
          <cell r="S1476" t="str"/>
          <cell r="T1476" t="b">
            <v>0</v>
          </cell>
          <cell r="W1476" t="str"/>
          <cell r="Y1476" t="str"/>
          <cell r="AA1476" t="str"/>
          <cell r="AK1476" t="str">
            <v>129-6A</v>
          </cell>
          <cell r="AL1476" t="str">
            <v>1-0398-天文.坤成&gt;寄&gt;附發票&gt;附回郵</v>
          </cell>
          <cell r="AM1476" t="str">
            <v>1-0398</v>
          </cell>
        </row>
        <row r="1477">
          <cell r="B1477" t="str">
            <v>1-1472</v>
          </cell>
          <cell r="E1477" t="str">
            <v>有限公司</v>
          </cell>
          <cell r="R1477" t="b">
            <v>0</v>
          </cell>
          <cell r="S1477" t="str"/>
          <cell r="T1477" t="b">
            <v>0</v>
          </cell>
          <cell r="W1477" t="str"/>
          <cell r="Y1477" t="str"/>
          <cell r="AA1477" t="str"/>
          <cell r="AK1477" t="str">
            <v>5935-B7</v>
          </cell>
          <cell r="AL1477" t="str">
            <v>1-0503-阮錦堂&gt;嘉盛&gt;寄&gt;附發票&gt;附回郵</v>
          </cell>
          <cell r="AM1477" t="str">
            <v>1-0503</v>
          </cell>
        </row>
        <row r="1478">
          <cell r="B1478" t="str">
            <v>1-1473</v>
          </cell>
          <cell r="E1478" t="str">
            <v>有限公司</v>
          </cell>
          <cell r="R1478" t="b">
            <v>0</v>
          </cell>
          <cell r="S1478" t="str"/>
          <cell r="T1478" t="b">
            <v>0</v>
          </cell>
          <cell r="W1478" t="str"/>
          <cell r="Y1478" t="str"/>
          <cell r="AA1478" t="str"/>
          <cell r="AK1478" t="str">
            <v>AGZ-6191</v>
          </cell>
          <cell r="AL1478" t="str">
            <v>1-0571-賴鼎龍&gt;菱揚&gt;酒空&gt;寄&gt;自結</v>
          </cell>
          <cell r="AM1478" t="str">
            <v>1-0571</v>
          </cell>
        </row>
        <row r="1479">
          <cell r="B1479" t="str">
            <v>1-1474</v>
          </cell>
          <cell r="E1479" t="str">
            <v>有限公司</v>
          </cell>
          <cell r="R1479" t="b">
            <v>0</v>
          </cell>
          <cell r="S1479" t="str"/>
          <cell r="T1479" t="b">
            <v>0</v>
          </cell>
          <cell r="W1479" t="str"/>
          <cell r="Y1479" t="str"/>
          <cell r="AA1479" t="str"/>
          <cell r="AK1479" t="str">
            <v>977-X3</v>
          </cell>
          <cell r="AL1479" t="str">
            <v>1-0844-日中&gt;自結&gt;</v>
          </cell>
          <cell r="AM1479" t="str">
            <v>1-0844</v>
          </cell>
        </row>
        <row r="1480">
          <cell r="B1480" t="str">
            <v>1-1475</v>
          </cell>
          <cell r="E1480" t="str">
            <v>有限公司</v>
          </cell>
          <cell r="R1480" t="b">
            <v>0</v>
          </cell>
          <cell r="S1480" t="str"/>
          <cell r="T1480" t="b">
            <v>0</v>
          </cell>
          <cell r="W1480" t="str"/>
          <cell r="Y1480" t="str"/>
          <cell r="AA1480" t="str"/>
          <cell r="AK1480" t="str">
            <v>AAJ-608</v>
          </cell>
          <cell r="AL1480" t="str">
            <v>1-0021-毅和&gt;寄&gt;附發票&gt;附回郵</v>
          </cell>
          <cell r="AM1480" t="str">
            <v>1-0021</v>
          </cell>
        </row>
        <row r="1481">
          <cell r="B1481" t="str">
            <v>1-1476</v>
          </cell>
          <cell r="E1481" t="str">
            <v>有限公司</v>
          </cell>
          <cell r="R1481" t="b">
            <v>0</v>
          </cell>
          <cell r="S1481" t="str"/>
          <cell r="T1481" t="b">
            <v>0</v>
          </cell>
          <cell r="W1481" t="str"/>
          <cell r="Y1481" t="str"/>
          <cell r="AA1481" t="str"/>
          <cell r="AK1481" t="str">
            <v>APS-6282</v>
          </cell>
          <cell r="AL1481" t="str">
            <v>1-0060-源鴻&gt;寄&gt;親收</v>
          </cell>
          <cell r="AM1481" t="str">
            <v>1-0060</v>
          </cell>
        </row>
        <row r="1482">
          <cell r="B1482" t="str">
            <v>1-1477</v>
          </cell>
          <cell r="E1482" t="str">
            <v>有限公司</v>
          </cell>
          <cell r="R1482" t="b">
            <v>0</v>
          </cell>
          <cell r="S1482" t="str"/>
          <cell r="T1482" t="b">
            <v>0</v>
          </cell>
          <cell r="W1482" t="str"/>
          <cell r="Y1482" t="str"/>
          <cell r="AA1482" t="str"/>
          <cell r="AK1482" t="str">
            <v>1918-C2</v>
          </cell>
          <cell r="AL1482" t="str">
            <v>1-0199-鐸昇&gt;寄&gt;附發票&gt;附回郵</v>
          </cell>
          <cell r="AM1482" t="str">
            <v>1-0199</v>
          </cell>
        </row>
        <row r="1483">
          <cell r="B1483" t="str">
            <v>1-1478</v>
          </cell>
          <cell r="E1483" t="str">
            <v>有限公司</v>
          </cell>
          <cell r="R1483" t="b">
            <v>0</v>
          </cell>
          <cell r="S1483" t="str"/>
          <cell r="T1483" t="b">
            <v>0</v>
          </cell>
          <cell r="W1483" t="str"/>
          <cell r="Y1483" t="str"/>
          <cell r="AA1483" t="str"/>
          <cell r="AK1483" t="str">
            <v>558-BT</v>
          </cell>
          <cell r="AL1483" t="str">
            <v>1-0415-聯有.統一東京&gt;寄&gt;附發票&gt;附回郵</v>
          </cell>
          <cell r="AM1483" t="str">
            <v>1-0415</v>
          </cell>
        </row>
        <row r="1484">
          <cell r="B1484" t="str">
            <v>1-1479</v>
          </cell>
          <cell r="E1484" t="str">
            <v>有限公司</v>
          </cell>
          <cell r="R1484" t="b">
            <v>0</v>
          </cell>
          <cell r="S1484" t="str"/>
          <cell r="T1484" t="b">
            <v>0</v>
          </cell>
          <cell r="W1484" t="str"/>
          <cell r="Y1484" t="str"/>
          <cell r="AA1484" t="str"/>
          <cell r="AK1484" t="str">
            <v>B3-7698</v>
          </cell>
          <cell r="AL1484" t="str">
            <v>1-0561-吳子權&gt;駱駝&gt;電&gt;款</v>
          </cell>
          <cell r="AM1484" t="str">
            <v>1-0561</v>
          </cell>
        </row>
        <row r="1485">
          <cell r="B1485" t="str">
            <v>1-1480</v>
          </cell>
          <cell r="E1485" t="str">
            <v>有限公司</v>
          </cell>
          <cell r="R1485" t="b">
            <v>0</v>
          </cell>
          <cell r="S1485" t="str"/>
          <cell r="T1485" t="b">
            <v>0</v>
          </cell>
          <cell r="W1485" t="str"/>
          <cell r="Y1485" t="str"/>
          <cell r="AA1485" t="str"/>
          <cell r="AK1485" t="str">
            <v>755-VN</v>
          </cell>
          <cell r="AL1485" t="str">
            <v>1-0605-大信玻璃&gt;寄&gt;附回郵</v>
          </cell>
          <cell r="AM1485" t="str">
            <v>1-0605</v>
          </cell>
        </row>
        <row r="1486">
          <cell r="B1486" t="str">
            <v>1-1481</v>
          </cell>
          <cell r="E1486" t="str">
            <v>有限公司</v>
          </cell>
          <cell r="R1486" t="b">
            <v>0</v>
          </cell>
          <cell r="S1486" t="str"/>
          <cell r="T1486" t="b">
            <v>0</v>
          </cell>
          <cell r="W1486" t="str"/>
          <cell r="Y1486" t="str"/>
          <cell r="AA1486" t="str"/>
          <cell r="AK1486" t="str">
            <v>KEG-5226</v>
          </cell>
          <cell r="AL1486" t="str">
            <v>1-0023-楊育茹&gt;拓隆&gt;廣丞&gt;寄&gt;附發票&gt;附回郵</v>
          </cell>
          <cell r="AM1486" t="str">
            <v>1-0023</v>
          </cell>
        </row>
        <row r="1487">
          <cell r="B1487" t="str">
            <v>1-1482</v>
          </cell>
          <cell r="E1487" t="str">
            <v>有限公司</v>
          </cell>
          <cell r="R1487" t="b">
            <v>0</v>
          </cell>
          <cell r="S1487" t="str"/>
          <cell r="T1487" t="b">
            <v>0</v>
          </cell>
          <cell r="W1487" t="str"/>
          <cell r="Y1487" t="str"/>
          <cell r="AA1487" t="str"/>
          <cell r="AK1487" t="str">
            <v>9D-8039</v>
          </cell>
          <cell r="AL1487" t="str">
            <v>1-0615-弘陞&gt;寄&gt;自結</v>
          </cell>
          <cell r="AM1487" t="str">
            <v>1-0615</v>
          </cell>
        </row>
        <row r="1488">
          <cell r="B1488" t="str">
            <v>1-1483</v>
          </cell>
          <cell r="E1488" t="str">
            <v>有限公司</v>
          </cell>
          <cell r="R1488" t="b">
            <v>0</v>
          </cell>
          <cell r="S1488" t="str"/>
          <cell r="T1488" t="b">
            <v>0</v>
          </cell>
          <cell r="W1488" t="str"/>
          <cell r="Y1488" t="str"/>
          <cell r="AA1488" t="str"/>
          <cell r="AK1488" t="str">
            <v>KEG-5151</v>
          </cell>
          <cell r="AL1488" t="str">
            <v>1-0625-(2/3)永矩(卡車)&gt;寄&gt;附發票&gt;附回郵</v>
          </cell>
          <cell r="AM1488" t="str">
            <v>1-0625</v>
          </cell>
        </row>
        <row r="1489">
          <cell r="B1489" t="str">
            <v>1-1484</v>
          </cell>
          <cell r="E1489" t="str">
            <v>有限公司</v>
          </cell>
          <cell r="R1489" t="b">
            <v>0</v>
          </cell>
          <cell r="S1489" t="str"/>
          <cell r="T1489" t="b">
            <v>0</v>
          </cell>
          <cell r="W1489" t="str"/>
          <cell r="Y1489" t="str"/>
          <cell r="AA1489" t="str"/>
          <cell r="AK1489" t="str">
            <v>078-Q8</v>
          </cell>
          <cell r="AL1489" t="str">
            <v>1-0658-順同&gt;尚泰行.弘舜&gt;寄&gt;附發票&gt;附回郵</v>
          </cell>
          <cell r="AM1489" t="str">
            <v>1-0658</v>
          </cell>
        </row>
        <row r="1490">
          <cell r="B1490" t="str">
            <v>1-1485</v>
          </cell>
          <cell r="E1490" t="str">
            <v>有限公司</v>
          </cell>
          <cell r="R1490" t="b">
            <v>0</v>
          </cell>
          <cell r="S1490" t="str"/>
          <cell r="T1490" t="b">
            <v>0</v>
          </cell>
          <cell r="W1490" t="str"/>
          <cell r="Y1490" t="str"/>
          <cell r="AA1490" t="str"/>
          <cell r="AK1490" t="str">
            <v>035-Q8</v>
          </cell>
          <cell r="AL1490" t="str">
            <v>1-0658-順同&gt;尚泰行.弘舜&gt;寄&gt;附發票&gt;附回郵</v>
          </cell>
          <cell r="AM1490" t="str">
            <v>1-0658</v>
          </cell>
        </row>
        <row r="1491">
          <cell r="B1491" t="str">
            <v>1-1486</v>
          </cell>
          <cell r="E1491" t="str">
            <v>有限公司</v>
          </cell>
          <cell r="R1491" t="b">
            <v>0</v>
          </cell>
          <cell r="S1491" t="str"/>
          <cell r="T1491" t="b">
            <v>0</v>
          </cell>
          <cell r="W1491" t="str"/>
          <cell r="Y1491" t="str"/>
          <cell r="AA1491" t="str"/>
          <cell r="AK1491" t="str">
            <v>521-HF</v>
          </cell>
          <cell r="AL1491" t="str">
            <v>1-0136-順華&gt;寄&gt;附發票&gt;三個月匯款</v>
          </cell>
          <cell r="AM1491" t="str">
            <v>1-0136</v>
          </cell>
        </row>
        <row r="1492">
          <cell r="B1492" t="str">
            <v>1-1487</v>
          </cell>
          <cell r="E1492" t="str">
            <v>有限公司</v>
          </cell>
          <cell r="R1492" t="b">
            <v>0</v>
          </cell>
          <cell r="S1492" t="str"/>
          <cell r="T1492" t="b">
            <v>0</v>
          </cell>
          <cell r="W1492" t="str"/>
          <cell r="Y1492" t="str"/>
          <cell r="AA1492" t="str"/>
          <cell r="AK1492" t="str">
            <v>AKK-3672</v>
          </cell>
          <cell r="AL1492" t="str">
            <v>1-0531-鋒魁.笠格科技&gt;寄&gt;附發票&gt;匯款(兩個月10號匯)</v>
          </cell>
          <cell r="AM1492" t="str">
            <v>1-0531</v>
          </cell>
        </row>
        <row r="1493">
          <cell r="B1493" t="str">
            <v>1-1488</v>
          </cell>
          <cell r="E1493" t="str">
            <v>有限公司</v>
          </cell>
          <cell r="R1493" t="b">
            <v>0</v>
          </cell>
          <cell r="S1493" t="str"/>
          <cell r="T1493" t="b">
            <v>0</v>
          </cell>
          <cell r="W1493" t="str"/>
          <cell r="Y1493" t="str"/>
          <cell r="AA1493" t="str"/>
          <cell r="AK1493" t="str">
            <v>5578-N5</v>
          </cell>
          <cell r="AL1493" t="str">
            <v>1-0576-弘振&gt;寄&gt;匯款</v>
          </cell>
          <cell r="AM1493" t="str">
            <v>1-0576</v>
          </cell>
        </row>
        <row r="1494">
          <cell r="B1494" t="str">
            <v>1-1489</v>
          </cell>
          <cell r="E1494" t="str">
            <v>有限公司</v>
          </cell>
          <cell r="R1494" t="b">
            <v>0</v>
          </cell>
          <cell r="S1494" t="str"/>
          <cell r="T1494" t="b">
            <v>0</v>
          </cell>
          <cell r="W1494" t="str"/>
          <cell r="Y1494" t="str"/>
          <cell r="AA1494" t="str"/>
          <cell r="AK1494" t="str">
            <v>0868-RU</v>
          </cell>
          <cell r="AL1494" t="str">
            <v>1-0019-福雄&gt;寄&gt;附發票&gt;附回郵</v>
          </cell>
          <cell r="AM1494" t="str">
            <v>1-0019</v>
          </cell>
        </row>
        <row r="1495">
          <cell r="B1495" t="str">
            <v>1-1490</v>
          </cell>
          <cell r="E1495" t="str">
            <v>有限公司</v>
          </cell>
          <cell r="R1495" t="b">
            <v>0</v>
          </cell>
          <cell r="S1495" t="str"/>
          <cell r="T1495" t="b">
            <v>0</v>
          </cell>
          <cell r="W1495" t="str"/>
          <cell r="Y1495" t="str"/>
          <cell r="AA1495" t="str"/>
          <cell r="AK1495" t="str">
            <v>5661-KP</v>
          </cell>
          <cell r="AL1495" t="str">
            <v>1-0060-源鴻&gt;寄&gt;親收</v>
          </cell>
          <cell r="AM1495" t="str">
            <v>1-0060</v>
          </cell>
        </row>
        <row r="1496">
          <cell r="B1496" t="str">
            <v>1-1491</v>
          </cell>
          <cell r="E1496" t="str">
            <v>有限公司</v>
          </cell>
          <cell r="R1496" t="b">
            <v>0</v>
          </cell>
          <cell r="S1496" t="str"/>
          <cell r="T1496" t="b">
            <v>0</v>
          </cell>
          <cell r="W1496" t="str"/>
          <cell r="Y1496" t="str"/>
          <cell r="AA1496" t="str"/>
          <cell r="AK1496" t="str">
            <v>782-VN</v>
          </cell>
          <cell r="AL1496" t="str">
            <v>1-0231-建龍&gt;寄&gt;附發票&gt;附回郵</v>
          </cell>
          <cell r="AM1496" t="str">
            <v>1-0231</v>
          </cell>
        </row>
        <row r="1497">
          <cell r="B1497" t="str">
            <v>1-1492</v>
          </cell>
          <cell r="E1497" t="str">
            <v>有限公司</v>
          </cell>
          <cell r="R1497" t="b">
            <v>0</v>
          </cell>
          <cell r="S1497" t="str"/>
          <cell r="T1497" t="b">
            <v>0</v>
          </cell>
          <cell r="W1497" t="str"/>
          <cell r="Y1497" t="str"/>
          <cell r="AA1497" t="str"/>
          <cell r="AK1497" t="str">
            <v>180-X2</v>
          </cell>
          <cell r="AL1497" t="str">
            <v>1-0482-楊詩雅&gt;寄&gt;匯款</v>
          </cell>
          <cell r="AM1497" t="str">
            <v>1-0482</v>
          </cell>
        </row>
        <row r="1498">
          <cell r="B1498" t="str">
            <v>1-1493</v>
          </cell>
          <cell r="E1498" t="str">
            <v>有限公司</v>
          </cell>
          <cell r="R1498" t="b">
            <v>0</v>
          </cell>
          <cell r="S1498" t="str"/>
          <cell r="T1498" t="b">
            <v>0</v>
          </cell>
          <cell r="W1498" t="str"/>
          <cell r="Y1498" t="str"/>
          <cell r="AA1498" t="str"/>
          <cell r="AK1498" t="str">
            <v>337-S2</v>
          </cell>
          <cell r="AL1498" t="str">
            <v>1-0589-汯宸&gt;寄&gt;附發票&gt;一個月匯款</v>
          </cell>
          <cell r="AM1498" t="str">
            <v>1-0589</v>
          </cell>
        </row>
        <row r="1499">
          <cell r="B1499" t="str">
            <v>1-1494</v>
          </cell>
          <cell r="E1499" t="str">
            <v>有限公司</v>
          </cell>
          <cell r="R1499" t="b">
            <v>0</v>
          </cell>
          <cell r="S1499" t="str"/>
          <cell r="T1499" t="b">
            <v>0</v>
          </cell>
          <cell r="W1499" t="str"/>
          <cell r="Y1499" t="str"/>
          <cell r="AA1499" t="str"/>
          <cell r="AK1499" t="str">
            <v>959-TU</v>
          </cell>
          <cell r="AL1499" t="str">
            <v>1-0683-竹南鎮公所.公園路燈管理所&gt;寄&gt;附回郵</v>
          </cell>
          <cell r="AM1499" t="str">
            <v>1-0683</v>
          </cell>
        </row>
        <row r="1500">
          <cell r="B1500" t="str">
            <v>1-1495</v>
          </cell>
          <cell r="E1500" t="str">
            <v>有限公司</v>
          </cell>
          <cell r="R1500" t="b">
            <v>0</v>
          </cell>
          <cell r="S1500" t="str"/>
          <cell r="T1500" t="b">
            <v>0</v>
          </cell>
          <cell r="W1500" t="str"/>
          <cell r="Y1500" t="str"/>
          <cell r="AA1500" t="str"/>
          <cell r="AK1500" t="str">
            <v>4802-U2</v>
          </cell>
          <cell r="AL1500" t="str">
            <v>1-0683-竹南鎮公所.公園路燈管理所&gt;寄&gt;附回郵</v>
          </cell>
          <cell r="AM1500" t="str">
            <v>1-0683</v>
          </cell>
        </row>
        <row r="1501">
          <cell r="B1501" t="str">
            <v>1-1496</v>
          </cell>
          <cell r="E1501" t="str">
            <v>有限公司</v>
          </cell>
          <cell r="R1501" t="b">
            <v>0</v>
          </cell>
          <cell r="S1501" t="str"/>
          <cell r="T1501" t="b">
            <v>0</v>
          </cell>
          <cell r="W1501" t="str"/>
          <cell r="Y1501" t="str"/>
          <cell r="AA1501" t="str"/>
          <cell r="AK1501" t="str">
            <v>908-Q2</v>
          </cell>
          <cell r="AL1501" t="str">
            <v>1-0683-竹南鎮公所.公園路燈管理所&gt;寄&gt;附回郵</v>
          </cell>
          <cell r="AM1501" t="str">
            <v>1-0683</v>
          </cell>
        </row>
        <row r="1502">
          <cell r="B1502" t="str">
            <v>1-1497</v>
          </cell>
          <cell r="E1502" t="str">
            <v>有限公司</v>
          </cell>
          <cell r="R1502" t="b">
            <v>0</v>
          </cell>
          <cell r="S1502" t="str"/>
          <cell r="T1502" t="b">
            <v>0</v>
          </cell>
          <cell r="W1502" t="str"/>
          <cell r="Y1502" t="str"/>
          <cell r="AA1502" t="str"/>
          <cell r="AK1502" t="str">
            <v>572-RB</v>
          </cell>
          <cell r="AL1502" t="str">
            <v>1-0683-竹南鎮公所.公園路燈管理所&gt;寄&gt;附回郵</v>
          </cell>
          <cell r="AM1502" t="str">
            <v>1-0683</v>
          </cell>
        </row>
        <row r="1503">
          <cell r="B1503" t="str">
            <v>1-1498</v>
          </cell>
          <cell r="E1503" t="str">
            <v>有限公司</v>
          </cell>
          <cell r="R1503" t="b">
            <v>0</v>
          </cell>
          <cell r="S1503" t="str"/>
          <cell r="T1503" t="b">
            <v>0</v>
          </cell>
          <cell r="W1503" t="str"/>
          <cell r="Y1503" t="str"/>
          <cell r="AA1503" t="str"/>
          <cell r="AK1503" t="str">
            <v>523-Y7</v>
          </cell>
          <cell r="AL1503" t="str">
            <v>1-0683-竹南鎮公所.公園路燈管理所&gt;寄&gt;附回郵</v>
          </cell>
          <cell r="AM1503" t="str">
            <v>1-0683</v>
          </cell>
        </row>
        <row r="1504">
          <cell r="B1504" t="str">
            <v>1-1499</v>
          </cell>
          <cell r="E1504" t="str">
            <v>有限公司</v>
          </cell>
          <cell r="R1504" t="b">
            <v>0</v>
          </cell>
          <cell r="S1504" t="str"/>
          <cell r="T1504" t="b">
            <v>0</v>
          </cell>
          <cell r="W1504" t="str"/>
          <cell r="Y1504" t="str"/>
          <cell r="AA1504" t="str"/>
          <cell r="AK1504" t="str">
            <v>Q7-815</v>
          </cell>
          <cell r="AL1504" t="str">
            <v>1-0683-竹南鎮公所.公園路燈管理所&gt;寄&gt;附回郵</v>
          </cell>
          <cell r="AM1504" t="str">
            <v>1-0683</v>
          </cell>
        </row>
        <row r="1505">
          <cell r="B1505" t="str">
            <v>1-1500</v>
          </cell>
          <cell r="E1505" t="str">
            <v>有限公司</v>
          </cell>
          <cell r="R1505" t="b">
            <v>0</v>
          </cell>
          <cell r="S1505" t="str"/>
          <cell r="T1505" t="b">
            <v>0</v>
          </cell>
          <cell r="W1505" t="str"/>
          <cell r="Y1505" t="str"/>
          <cell r="AA1505" t="str"/>
          <cell r="AK1505" t="str">
            <v>4453-B6</v>
          </cell>
          <cell r="AL1505" t="str">
            <v>1-0683-竹南鎮公所.公園路燈管理所&gt;寄&gt;附回郵</v>
          </cell>
          <cell r="AM1505" t="str">
            <v>1-0683</v>
          </cell>
        </row>
        <row r="1506">
          <cell r="B1506" t="str">
            <v>1-1501</v>
          </cell>
          <cell r="E1506" t="str">
            <v>有限公司</v>
          </cell>
          <cell r="R1506" t="b">
            <v>0</v>
          </cell>
          <cell r="S1506" t="str"/>
          <cell r="T1506" t="b">
            <v>0</v>
          </cell>
          <cell r="W1506" t="str"/>
          <cell r="Y1506" t="str"/>
          <cell r="AA1506" t="str"/>
          <cell r="AK1506" t="str">
            <v>516-W9</v>
          </cell>
          <cell r="AL1506" t="str">
            <v>1-0580-(1/2)捷盛&gt;寄&gt;附發票&gt;3個月匯款</v>
          </cell>
          <cell r="AM1506" t="str">
            <v>1-0580</v>
          </cell>
        </row>
        <row r="1507">
          <cell r="B1507" t="str">
            <v>1-1502</v>
          </cell>
          <cell r="E1507" t="str">
            <v>有限公司</v>
          </cell>
          <cell r="R1507" t="b">
            <v>0</v>
          </cell>
          <cell r="S1507" t="str"/>
          <cell r="T1507" t="b">
            <v>0</v>
          </cell>
          <cell r="W1507" t="str"/>
          <cell r="Y1507" t="str"/>
          <cell r="AA1507" t="str"/>
          <cell r="AK1507" t="str">
            <v>202-KS</v>
          </cell>
          <cell r="AL1507" t="str">
            <v>1-0152-藝豐&gt;寄&gt;附發票</v>
          </cell>
          <cell r="AM1507" t="str">
            <v>1-0152</v>
          </cell>
        </row>
        <row r="1508">
          <cell r="B1508" t="str">
            <v>1-1503</v>
          </cell>
          <cell r="E1508" t="str">
            <v>有限公司</v>
          </cell>
          <cell r="R1508" t="b">
            <v>0</v>
          </cell>
          <cell r="S1508" t="str"/>
          <cell r="T1508" t="b">
            <v>0</v>
          </cell>
          <cell r="W1508" t="str"/>
          <cell r="Y1508" t="str"/>
          <cell r="AA1508" t="str"/>
          <cell r="AK1508" t="str">
            <v>AHE-0979</v>
          </cell>
          <cell r="AL1508" t="str">
            <v>1-0187-啟成&gt;寄&gt;附發票&gt;附回郵</v>
          </cell>
          <cell r="AM1508" t="str">
            <v>1-0187</v>
          </cell>
        </row>
        <row r="1509">
          <cell r="B1509" t="str">
            <v>1-1504</v>
          </cell>
          <cell r="E1509" t="str">
            <v>有限公司</v>
          </cell>
          <cell r="R1509" t="b">
            <v>0</v>
          </cell>
          <cell r="S1509" t="str"/>
          <cell r="T1509" t="b">
            <v>0</v>
          </cell>
          <cell r="W1509" t="str"/>
          <cell r="Y1509" t="str"/>
          <cell r="AA1509" t="str"/>
          <cell r="AK1509" t="str">
            <v>7167-A9</v>
          </cell>
          <cell r="AL1509" t="str">
            <v>1-0643-永倡興.億豐.棺&gt;寄&gt;自結</v>
          </cell>
          <cell r="AM1509" t="str">
            <v>1-0643</v>
          </cell>
        </row>
        <row r="1510">
          <cell r="B1510" t="str">
            <v>1-1505</v>
          </cell>
          <cell r="E1510" t="str">
            <v>有限公司</v>
          </cell>
          <cell r="R1510" t="b">
            <v>0</v>
          </cell>
          <cell r="S1510" t="str"/>
          <cell r="T1510" t="b">
            <v>0</v>
          </cell>
          <cell r="W1510" t="str"/>
          <cell r="Y1510" t="str"/>
          <cell r="AA1510" t="str"/>
          <cell r="AK1510" t="str">
            <v>963-W8</v>
          </cell>
          <cell r="AL1510" t="str">
            <v>1-0533-元智&gt;余文盛&gt;菜瓜布&gt;電&gt;自結</v>
          </cell>
          <cell r="AM1510" t="str">
            <v>1-0533</v>
          </cell>
        </row>
        <row r="1511">
          <cell r="B1511" t="str">
            <v>1-1506</v>
          </cell>
          <cell r="E1511" t="str">
            <v>有限公司</v>
          </cell>
          <cell r="R1511" t="b">
            <v>0</v>
          </cell>
          <cell r="S1511" t="str"/>
          <cell r="T1511" t="b">
            <v>0</v>
          </cell>
          <cell r="W1511" t="str"/>
          <cell r="Y1511" t="str"/>
          <cell r="AA1511" t="str"/>
          <cell r="AK1511">
            <v>2164519</v>
          </cell>
          <cell r="AL1511" t="str">
            <v>1-0079-旭中&gt;寄&gt;附發票&gt;附回郵</v>
          </cell>
          <cell r="AM1511" t="str">
            <v>1-0079</v>
          </cell>
        </row>
        <row r="1512">
          <cell r="B1512" t="str">
            <v>1-1507</v>
          </cell>
          <cell r="E1512" t="str">
            <v>有限公司</v>
          </cell>
          <cell r="R1512" t="b">
            <v>0</v>
          </cell>
          <cell r="S1512" t="str"/>
          <cell r="T1512" t="b">
            <v>0</v>
          </cell>
          <cell r="W1512" t="str"/>
          <cell r="Y1512" t="str"/>
          <cell r="AA1512" t="str"/>
          <cell r="AK1512" t="str">
            <v>982-KL</v>
          </cell>
          <cell r="AL1512" t="str">
            <v>1-0056-寬輾&gt;寄&gt;附回郵(1/3)</v>
          </cell>
          <cell r="AM1512" t="str">
            <v>1-0056</v>
          </cell>
        </row>
        <row r="1513">
          <cell r="B1513" t="str">
            <v>1-1508</v>
          </cell>
          <cell r="E1513" t="str">
            <v>有限公司</v>
          </cell>
          <cell r="R1513" t="b">
            <v>0</v>
          </cell>
          <cell r="S1513" t="str"/>
          <cell r="T1513" t="b">
            <v>0</v>
          </cell>
          <cell r="W1513" t="str"/>
          <cell r="Y1513" t="str"/>
          <cell r="AA1513" t="str"/>
          <cell r="AK1513" t="str">
            <v>AAJ-676</v>
          </cell>
          <cell r="AL1513" t="str">
            <v>1-0368-銀城&gt;寄&gt;附發票&gt;附回郵</v>
          </cell>
          <cell r="AM1513" t="str">
            <v>1-0368</v>
          </cell>
        </row>
        <row r="1514">
          <cell r="B1514" t="str">
            <v>1-1509</v>
          </cell>
          <cell r="E1514" t="str">
            <v>有限公司</v>
          </cell>
          <cell r="R1514" t="b">
            <v>0</v>
          </cell>
          <cell r="S1514" t="str"/>
          <cell r="T1514" t="b">
            <v>0</v>
          </cell>
          <cell r="W1514" t="str"/>
          <cell r="Y1514" t="str"/>
          <cell r="AA1514" t="str"/>
          <cell r="AK1514" t="str">
            <v>861-V6</v>
          </cell>
          <cell r="AL1514" t="str">
            <v>1-0118-金昌&gt;寄&gt;附發票&gt;附回郵</v>
          </cell>
          <cell r="AM1514" t="str">
            <v>1-0118</v>
          </cell>
        </row>
        <row r="1515">
          <cell r="B1515" t="str">
            <v>1-1510</v>
          </cell>
          <cell r="E1515" t="str">
            <v>有限公司</v>
          </cell>
          <cell r="R1515" t="b">
            <v>0</v>
          </cell>
          <cell r="S1515" t="str"/>
          <cell r="T1515" t="b">
            <v>0</v>
          </cell>
          <cell r="W1515" t="str"/>
          <cell r="Y1515" t="str"/>
          <cell r="AA1515" t="str"/>
          <cell r="AK1515" t="str">
            <v>052-Q8</v>
          </cell>
          <cell r="AL1515" t="str">
            <v>1-0818-(2/2)捷順&gt;寄&gt;附發票&gt;三個月匯款</v>
          </cell>
          <cell r="AM1515" t="str">
            <v>1-0818</v>
          </cell>
        </row>
        <row r="1516">
          <cell r="B1516" t="str">
            <v>1-1511</v>
          </cell>
          <cell r="E1516" t="str">
            <v>有限公司</v>
          </cell>
          <cell r="R1516" t="b">
            <v>0</v>
          </cell>
          <cell r="S1516" t="str"/>
          <cell r="T1516" t="b">
            <v>0</v>
          </cell>
          <cell r="W1516" t="str"/>
          <cell r="Y1516" t="str"/>
          <cell r="AA1516" t="str"/>
          <cell r="AK1516" t="str">
            <v>板439</v>
          </cell>
          <cell r="AL1516" t="str">
            <v>1-0162-鎰利&gt;鎰金&gt;鎰加&gt;寄&gt;附發票&gt;2個月匯款</v>
          </cell>
          <cell r="AM1516" t="str">
            <v>1-0162</v>
          </cell>
        </row>
        <row r="1517">
          <cell r="B1517" t="str">
            <v>1-1512</v>
          </cell>
          <cell r="E1517" t="str">
            <v>有限公司</v>
          </cell>
          <cell r="R1517" t="b">
            <v>0</v>
          </cell>
          <cell r="S1517" t="str"/>
          <cell r="T1517" t="b">
            <v>0</v>
          </cell>
          <cell r="W1517" t="str"/>
          <cell r="Y1517" t="str"/>
          <cell r="AA1517" t="str"/>
          <cell r="AK1517" t="str">
            <v>081-NN</v>
          </cell>
          <cell r="AL1517" t="str">
            <v>1-0446-全家福&gt;寄&gt;附發票&gt;二個月匯款</v>
          </cell>
          <cell r="AM1517" t="str">
            <v>1-0446</v>
          </cell>
        </row>
        <row r="1518">
          <cell r="B1518" t="str">
            <v>1-1513</v>
          </cell>
          <cell r="E1518" t="str">
            <v>有限公司</v>
          </cell>
          <cell r="R1518" t="b">
            <v>0</v>
          </cell>
          <cell r="S1518" t="str"/>
          <cell r="T1518" t="b">
            <v>0</v>
          </cell>
          <cell r="W1518" t="str"/>
          <cell r="Y1518" t="str"/>
          <cell r="AA1518" t="str"/>
          <cell r="AK1518" t="str">
            <v>ANV-1157</v>
          </cell>
          <cell r="AL1518" t="str">
            <v>1-0019-福雄&gt;寄&gt;附發票&gt;附回郵</v>
          </cell>
          <cell r="AM1518" t="str">
            <v>1-0019</v>
          </cell>
        </row>
        <row r="1519">
          <cell r="B1519" t="str">
            <v>1-1514</v>
          </cell>
          <cell r="E1519" t="str">
            <v>有限公司</v>
          </cell>
          <cell r="R1519" t="b">
            <v>0</v>
          </cell>
          <cell r="S1519" t="str"/>
          <cell r="T1519" t="b">
            <v>0</v>
          </cell>
          <cell r="W1519" t="str"/>
          <cell r="Y1519" t="str"/>
          <cell r="AA1519" t="str"/>
          <cell r="AK1519" t="str">
            <v>JR-2960</v>
          </cell>
          <cell r="AL1519" t="str">
            <v>1-0576-弘振&gt;寄&gt;匯款</v>
          </cell>
          <cell r="AM1519" t="str">
            <v>1-0576</v>
          </cell>
        </row>
        <row r="1520">
          <cell r="B1520" t="str">
            <v>1-1515</v>
          </cell>
          <cell r="E1520" t="str">
            <v>有限公司</v>
          </cell>
          <cell r="R1520" t="b">
            <v>0</v>
          </cell>
          <cell r="S1520" t="str"/>
          <cell r="T1520" t="b">
            <v>0</v>
          </cell>
          <cell r="W1520" t="str"/>
          <cell r="Y1520" t="str"/>
          <cell r="AA1520" t="str"/>
          <cell r="AK1520" t="str">
            <v>8099-YV</v>
          </cell>
          <cell r="AL1520" t="str">
            <v>1-0679-彭仕豐&gt;電&gt;自結在開立附發票</v>
          </cell>
          <cell r="AM1520" t="str">
            <v>1-0679</v>
          </cell>
        </row>
        <row r="1521">
          <cell r="B1521" t="str">
            <v>1-1516</v>
          </cell>
          <cell r="E1521" t="str">
            <v>有限公司</v>
          </cell>
          <cell r="R1521" t="b">
            <v>0</v>
          </cell>
          <cell r="S1521" t="str"/>
          <cell r="T1521" t="b">
            <v>0</v>
          </cell>
          <cell r="W1521" t="str"/>
          <cell r="Y1521" t="str"/>
          <cell r="AA1521" t="str"/>
          <cell r="AK1521" t="str">
            <v>RBE-7687</v>
          </cell>
          <cell r="AL1521" t="str">
            <v>1-0429-協成輪胎&gt;寄&gt;附發票&gt;附回郵</v>
          </cell>
          <cell r="AM1521" t="str">
            <v>1-0429</v>
          </cell>
        </row>
        <row r="1522">
          <cell r="B1522" t="str">
            <v>1-1517</v>
          </cell>
          <cell r="E1522" t="str">
            <v>有限公司</v>
          </cell>
          <cell r="R1522" t="b">
            <v>0</v>
          </cell>
          <cell r="S1522" t="str"/>
          <cell r="T1522" t="b">
            <v>0</v>
          </cell>
          <cell r="W1522" t="str"/>
          <cell r="Y1522" t="str"/>
          <cell r="AA1522" t="str"/>
          <cell r="AK1522" t="str">
            <v>MR-69</v>
          </cell>
          <cell r="AL1522" t="str">
            <v>1-0341-唐福&gt;寄&gt;附發票&gt;附回郵</v>
          </cell>
          <cell r="AM1522" t="str">
            <v>1-0341</v>
          </cell>
        </row>
        <row r="1523">
          <cell r="B1523" t="str">
            <v>1-1518</v>
          </cell>
          <cell r="E1523" t="str">
            <v>有限公司</v>
          </cell>
          <cell r="R1523" t="b">
            <v>0</v>
          </cell>
          <cell r="S1523" t="str"/>
          <cell r="T1523" t="b">
            <v>0</v>
          </cell>
          <cell r="W1523" t="str"/>
          <cell r="Y1523" t="str"/>
          <cell r="AA1523" t="str"/>
          <cell r="AK1523" t="str">
            <v>2Y-062</v>
          </cell>
          <cell r="AL1523" t="str">
            <v>1-0019-福雄&gt;寄&gt;附發票&gt;附回郵</v>
          </cell>
          <cell r="AM1523" t="str">
            <v>1-0019</v>
          </cell>
        </row>
        <row r="1524">
          <cell r="B1524" t="str">
            <v>1-1519</v>
          </cell>
          <cell r="E1524" t="str">
            <v>有限公司</v>
          </cell>
          <cell r="R1524" t="b">
            <v>0</v>
          </cell>
          <cell r="S1524" t="str"/>
          <cell r="T1524" t="b">
            <v>0</v>
          </cell>
          <cell r="W1524" t="str"/>
          <cell r="Y1524" t="str"/>
          <cell r="AA1524" t="str"/>
          <cell r="AK1524" t="str">
            <v>7922-YV</v>
          </cell>
          <cell r="AL1524" t="str">
            <v>1-0060-源鴻&gt;寄&gt;親收</v>
          </cell>
          <cell r="AM1524" t="str">
            <v>1-0060</v>
          </cell>
        </row>
        <row r="1525">
          <cell r="B1525" t="str">
            <v>1-1520</v>
          </cell>
          <cell r="E1525" t="str">
            <v>有限公司</v>
          </cell>
          <cell r="R1525" t="b">
            <v>0</v>
          </cell>
          <cell r="S1525" t="str"/>
          <cell r="T1525" t="b">
            <v>0</v>
          </cell>
          <cell r="W1525" t="str"/>
          <cell r="Y1525" t="str"/>
          <cell r="AA1525" t="str"/>
          <cell r="AK1525" t="str">
            <v>ADF-5838</v>
          </cell>
          <cell r="AL1525" t="str">
            <v>1-0546-慈揚&gt;賴進烈&gt;寄&gt;1個月15號匯款</v>
          </cell>
          <cell r="AM1525" t="str">
            <v>1-0546</v>
          </cell>
        </row>
        <row r="1526">
          <cell r="B1526" t="str">
            <v>1-1521</v>
          </cell>
          <cell r="E1526" t="str">
            <v>有限公司</v>
          </cell>
          <cell r="R1526" t="b">
            <v>0</v>
          </cell>
          <cell r="S1526" t="str"/>
          <cell r="T1526" t="b">
            <v>0</v>
          </cell>
          <cell r="W1526" t="str"/>
          <cell r="Y1526" t="str"/>
          <cell r="AA1526" t="str"/>
          <cell r="AK1526" t="str">
            <v>692-W9</v>
          </cell>
          <cell r="AL1526" t="str">
            <v>1-0059-金輪&gt;精輪&gt;寄&gt;自結</v>
          </cell>
          <cell r="AM1526" t="str">
            <v>1-0059</v>
          </cell>
        </row>
        <row r="1527">
          <cell r="B1527" t="str">
            <v>1-1522</v>
          </cell>
          <cell r="E1527" t="str">
            <v>有限公司</v>
          </cell>
          <cell r="R1527" t="b">
            <v>0</v>
          </cell>
          <cell r="S1527" t="str"/>
          <cell r="T1527" t="b">
            <v>0</v>
          </cell>
          <cell r="W1527" t="str"/>
          <cell r="Y1527" t="str"/>
          <cell r="AA1527" t="str"/>
          <cell r="AK1527" t="str">
            <v>1113-YB</v>
          </cell>
          <cell r="AL1527" t="str">
            <v>1-0060-源鴻&gt;寄&gt;親收</v>
          </cell>
          <cell r="AM1527" t="str">
            <v>1-0060</v>
          </cell>
        </row>
        <row r="1528">
          <cell r="B1528" t="str">
            <v>1-1523</v>
          </cell>
          <cell r="E1528" t="str">
            <v>有限公司</v>
          </cell>
          <cell r="R1528" t="b">
            <v>0</v>
          </cell>
          <cell r="S1528" t="str"/>
          <cell r="T1528" t="b">
            <v>0</v>
          </cell>
          <cell r="W1528" t="str"/>
          <cell r="Y1528" t="str"/>
          <cell r="AA1528" t="str"/>
          <cell r="AK1528" t="str">
            <v>063-V6</v>
          </cell>
          <cell r="AL1528" t="str">
            <v>1-0118-金昌&gt;寄&gt;附發票&gt;附回郵</v>
          </cell>
          <cell r="AM1528" t="str">
            <v>1-0118</v>
          </cell>
        </row>
        <row r="1529">
          <cell r="B1529" t="str">
            <v>1-1524</v>
          </cell>
          <cell r="E1529" t="str">
            <v>有限公司</v>
          </cell>
          <cell r="R1529" t="b">
            <v>0</v>
          </cell>
          <cell r="S1529" t="str"/>
          <cell r="T1529" t="b">
            <v>0</v>
          </cell>
          <cell r="W1529" t="str"/>
          <cell r="Y1529" t="str"/>
          <cell r="AA1529" t="str"/>
          <cell r="AK1529" t="str">
            <v>LAD-373</v>
          </cell>
          <cell r="AL1529" t="str">
            <v>1-0844-日中&gt;自結&gt;</v>
          </cell>
          <cell r="AM1529" t="str">
            <v>1-0844</v>
          </cell>
        </row>
        <row r="1530">
          <cell r="B1530" t="str">
            <v>1-1525</v>
          </cell>
          <cell r="E1530" t="str">
            <v>有限公司</v>
          </cell>
          <cell r="R1530" t="b">
            <v>0</v>
          </cell>
          <cell r="S1530" t="str"/>
          <cell r="T1530" t="b">
            <v>0</v>
          </cell>
          <cell r="W1530" t="str"/>
          <cell r="Y1530" t="str"/>
          <cell r="AA1530" t="str"/>
          <cell r="AK1530" t="str">
            <v>板20</v>
          </cell>
          <cell r="AL1530" t="str">
            <v>1-0162-鎰利&gt;鎰金&gt;鎰加&gt;寄&gt;附發票&gt;2個月匯款</v>
          </cell>
          <cell r="AM1530" t="str">
            <v>1-0162</v>
          </cell>
        </row>
        <row r="1531">
          <cell r="B1531" t="str">
            <v>1-1526</v>
          </cell>
          <cell r="E1531" t="str">
            <v>有限公司</v>
          </cell>
          <cell r="R1531" t="b">
            <v>0</v>
          </cell>
          <cell r="S1531" t="str"/>
          <cell r="T1531" t="b">
            <v>0</v>
          </cell>
          <cell r="W1531" t="str"/>
          <cell r="Y1531" t="str"/>
          <cell r="AA1531" t="str"/>
          <cell r="AK1531" t="str">
            <v>305-HE</v>
          </cell>
          <cell r="AL1531" t="str">
            <v>1-0608-聯倉&gt;寄&gt;附發票&gt;附回郵</v>
          </cell>
          <cell r="AM1531" t="str">
            <v>1-0608</v>
          </cell>
        </row>
        <row r="1532">
          <cell r="B1532" t="str">
            <v>1-1527</v>
          </cell>
          <cell r="E1532" t="str">
            <v>有限公司</v>
          </cell>
          <cell r="R1532" t="b">
            <v>0</v>
          </cell>
          <cell r="S1532" t="str"/>
          <cell r="T1532" t="b">
            <v>0</v>
          </cell>
          <cell r="W1532" t="str"/>
          <cell r="Y1532" t="str"/>
          <cell r="AA1532" t="str"/>
          <cell r="AK1532" t="str">
            <v>31-Z7</v>
          </cell>
          <cell r="AL1532" t="str">
            <v>1-0023-楊育茹&gt;拓隆&gt;廣丞&gt;寄&gt;附發票&gt;附回郵</v>
          </cell>
          <cell r="AM1532" t="str">
            <v>1-0023</v>
          </cell>
        </row>
        <row r="1533">
          <cell r="B1533" t="str">
            <v>1-1528</v>
          </cell>
          <cell r="E1533" t="str">
            <v>有限公司</v>
          </cell>
          <cell r="R1533" t="b">
            <v>0</v>
          </cell>
          <cell r="S1533" t="str"/>
          <cell r="T1533" t="b">
            <v>0</v>
          </cell>
          <cell r="W1533" t="str"/>
          <cell r="Y1533" t="str"/>
          <cell r="AA1533" t="str"/>
          <cell r="AK1533" t="str">
            <v>板411</v>
          </cell>
          <cell r="AL1533" t="str">
            <v>1-0162-鎰利&gt;鎰金&gt;鎰加&gt;寄&gt;附發票&gt;2個月匯款</v>
          </cell>
          <cell r="AM1533" t="str">
            <v>1-0162</v>
          </cell>
        </row>
        <row r="1534">
          <cell r="B1534" t="str">
            <v>1-1529</v>
          </cell>
          <cell r="E1534" t="str">
            <v>有限公司</v>
          </cell>
          <cell r="R1534" t="b">
            <v>0</v>
          </cell>
          <cell r="S1534" t="str"/>
          <cell r="T1534" t="b">
            <v>0</v>
          </cell>
          <cell r="W1534" t="str"/>
          <cell r="Y1534" t="str"/>
          <cell r="AA1534" t="str"/>
          <cell r="AK1534" t="str">
            <v>480-X8</v>
          </cell>
          <cell r="AL1534" t="str">
            <v>1-0381-越穩(越大)輪胎&gt;寄&gt;匯款</v>
          </cell>
          <cell r="AM1534" t="str">
            <v>1-0381</v>
          </cell>
        </row>
        <row r="1535">
          <cell r="B1535" t="str">
            <v>1-1530</v>
          </cell>
          <cell r="E1535" t="str">
            <v>有限公司</v>
          </cell>
          <cell r="R1535" t="b">
            <v>0</v>
          </cell>
          <cell r="S1535" t="str"/>
          <cell r="T1535" t="b">
            <v>0</v>
          </cell>
          <cell r="W1535" t="str"/>
          <cell r="Y1535" t="str"/>
          <cell r="AA1535" t="str"/>
          <cell r="AK1535" t="str">
            <v>150-AA</v>
          </cell>
          <cell r="AL1535" t="str">
            <v>1-0470-裕珉&gt;寄&gt;匯款633429.</v>
          </cell>
          <cell r="AM1535" t="str">
            <v>1-0470</v>
          </cell>
        </row>
        <row r="1536">
          <cell r="B1536" t="str">
            <v>1-1531</v>
          </cell>
          <cell r="E1536" t="str">
            <v>有限公司</v>
          </cell>
          <cell r="R1536" t="b">
            <v>0</v>
          </cell>
          <cell r="S1536" t="str"/>
          <cell r="T1536" t="b">
            <v>0</v>
          </cell>
          <cell r="W1536" t="str"/>
          <cell r="Y1536" t="str"/>
          <cell r="AA1536" t="str"/>
          <cell r="AK1536" t="str">
            <v>278-S2</v>
          </cell>
          <cell r="AL1536" t="str">
            <v>1-0632-長源新竹&gt;寄＞附發票＞三個月匯款</v>
          </cell>
          <cell r="AM1536" t="str">
            <v>1-0632</v>
          </cell>
        </row>
        <row r="1537">
          <cell r="B1537" t="str">
            <v>1-1532</v>
          </cell>
          <cell r="E1537" t="str">
            <v>有限公司</v>
          </cell>
          <cell r="R1537" t="b">
            <v>0</v>
          </cell>
          <cell r="S1537" t="str"/>
          <cell r="T1537" t="b">
            <v>0</v>
          </cell>
          <cell r="W1537" t="str"/>
          <cell r="Y1537" t="str"/>
          <cell r="AA1537" t="str"/>
          <cell r="AK1537" t="str">
            <v>3H-2223</v>
          </cell>
          <cell r="AL1537" t="str">
            <v>1-0060-源鴻&gt;寄&gt;親收</v>
          </cell>
          <cell r="AM1537" t="str">
            <v>1-0060</v>
          </cell>
        </row>
        <row r="1538">
          <cell r="B1538" t="str">
            <v>1-1533</v>
          </cell>
          <cell r="E1538" t="str">
            <v>有限公司</v>
          </cell>
          <cell r="R1538" t="b">
            <v>0</v>
          </cell>
          <cell r="S1538" t="str"/>
          <cell r="T1538" t="b">
            <v>0</v>
          </cell>
          <cell r="W1538" t="str"/>
          <cell r="Y1538" t="str"/>
          <cell r="AA1538" t="str"/>
          <cell r="AK1538" t="str">
            <v>板281</v>
          </cell>
          <cell r="AL1538" t="str">
            <v>1-0162-鎰利&gt;鎰金&gt;鎰加&gt;寄&gt;附發票&gt;2個月匯款</v>
          </cell>
          <cell r="AM1538" t="str">
            <v>1-0162</v>
          </cell>
        </row>
        <row r="1539">
          <cell r="B1539" t="str">
            <v>1-1534</v>
          </cell>
          <cell r="E1539" t="str">
            <v>有限公司</v>
          </cell>
          <cell r="R1539" t="b">
            <v>0</v>
          </cell>
          <cell r="S1539" t="str"/>
          <cell r="T1539" t="b">
            <v>0</v>
          </cell>
          <cell r="W1539" t="str"/>
          <cell r="Y1539" t="str"/>
          <cell r="AA1539" t="str"/>
          <cell r="AK1539" t="str">
            <v>5296-DR</v>
          </cell>
          <cell r="AL1539" t="str">
            <v>1-0215-慶豐金紙&gt;盈順&gt;寄&gt;附回郵</v>
          </cell>
          <cell r="AM1539" t="str">
            <v>1-0215</v>
          </cell>
        </row>
        <row r="1540">
          <cell r="B1540" t="str">
            <v>1-1535</v>
          </cell>
          <cell r="E1540" t="str">
            <v>有限公司</v>
          </cell>
          <cell r="R1540" t="b">
            <v>0</v>
          </cell>
          <cell r="S1540" t="str"/>
          <cell r="T1540" t="b">
            <v>0</v>
          </cell>
          <cell r="W1540" t="str"/>
          <cell r="Y1540" t="str"/>
          <cell r="AA1540" t="str"/>
          <cell r="AK1540" t="str">
            <v>921-JD</v>
          </cell>
          <cell r="AL1540" t="str">
            <v>1-0354-志祥通運.普惠&gt;寄&gt;附發票&gt;附回郵</v>
          </cell>
          <cell r="AM1540" t="str">
            <v>1-0354</v>
          </cell>
        </row>
        <row r="1541">
          <cell r="B1541" t="str">
            <v>1-1536</v>
          </cell>
          <cell r="E1541" t="str">
            <v>有限公司</v>
          </cell>
          <cell r="R1541" t="b">
            <v>0</v>
          </cell>
          <cell r="S1541" t="str"/>
          <cell r="T1541" t="b">
            <v>0</v>
          </cell>
          <cell r="W1541" t="str"/>
          <cell r="Y1541" t="str"/>
          <cell r="AA1541" t="str"/>
          <cell r="AK1541" t="str">
            <v>158-SW</v>
          </cell>
          <cell r="AL1541" t="str">
            <v>1-0021-毅和&gt;寄&gt;附發票&gt;附回郵</v>
          </cell>
          <cell r="AM1541" t="str">
            <v>1-0021</v>
          </cell>
        </row>
        <row r="1542">
          <cell r="B1542" t="str">
            <v>1-1537</v>
          </cell>
          <cell r="E1542" t="str">
            <v>有限公司</v>
          </cell>
          <cell r="R1542" t="b">
            <v>0</v>
          </cell>
          <cell r="S1542" t="str"/>
          <cell r="T1542" t="b">
            <v>0</v>
          </cell>
          <cell r="W1542" t="str"/>
          <cell r="Y1542" t="str"/>
          <cell r="AA1542" t="str"/>
          <cell r="AK1542" t="str">
            <v>508-Y7</v>
          </cell>
          <cell r="AL1542" t="str">
            <v>1-0019-福雄&gt;寄&gt;附發票&gt;附回郵</v>
          </cell>
          <cell r="AM1542" t="str">
            <v>1-0019</v>
          </cell>
        </row>
        <row r="1543">
          <cell r="B1543" t="str">
            <v>1-1538</v>
          </cell>
          <cell r="E1543" t="str">
            <v>有限公司</v>
          </cell>
          <cell r="R1543" t="b">
            <v>0</v>
          </cell>
          <cell r="S1543" t="str"/>
          <cell r="T1543" t="b">
            <v>0</v>
          </cell>
          <cell r="W1543" t="str"/>
          <cell r="Y1543" t="str"/>
          <cell r="AA1543" t="str"/>
          <cell r="AK1543" t="str">
            <v>L7-04-2</v>
          </cell>
          <cell r="AL1543" t="str">
            <v>1-0162-鎰利&gt;鎰金&gt;鎰加&gt;寄&gt;附發票&gt;2個月匯款</v>
          </cell>
          <cell r="AM1543" t="str">
            <v>1-0162</v>
          </cell>
        </row>
        <row r="1544">
          <cell r="B1544" t="str">
            <v>1-1539</v>
          </cell>
          <cell r="E1544" t="str">
            <v>有限公司</v>
          </cell>
          <cell r="R1544" t="b">
            <v>0</v>
          </cell>
          <cell r="S1544" t="str"/>
          <cell r="T1544" t="b">
            <v>0</v>
          </cell>
          <cell r="W1544" t="str"/>
          <cell r="Y1544" t="str"/>
          <cell r="AA1544" t="str"/>
          <cell r="AK1544" t="str">
            <v>L7-10-3</v>
          </cell>
          <cell r="AL1544" t="str">
            <v>1-0162-鎰利&gt;鎰金&gt;鎰加&gt;寄&gt;附發票&gt;2個月匯款</v>
          </cell>
          <cell r="AM1544" t="str">
            <v>1-0162</v>
          </cell>
        </row>
        <row r="1545">
          <cell r="B1545" t="str">
            <v>1-1540</v>
          </cell>
          <cell r="E1545" t="str">
            <v>有限公司</v>
          </cell>
          <cell r="R1545" t="b">
            <v>0</v>
          </cell>
          <cell r="S1545" t="str"/>
          <cell r="T1545" t="b">
            <v>0</v>
          </cell>
          <cell r="W1545" t="str"/>
          <cell r="Y1545" t="str"/>
          <cell r="AA1545" t="str"/>
          <cell r="AK1545" t="str">
            <v>HAB-532</v>
          </cell>
          <cell r="AL1545" t="str">
            <v>1-0381-越穩(越大)輪胎&gt;寄&gt;匯款</v>
          </cell>
          <cell r="AM1545" t="str">
            <v>1-0381</v>
          </cell>
        </row>
        <row r="1546">
          <cell r="B1546" t="str">
            <v>1-1541</v>
          </cell>
          <cell r="E1546" t="str">
            <v>有限公司</v>
          </cell>
          <cell r="R1546" t="b">
            <v>0</v>
          </cell>
          <cell r="S1546" t="str"/>
          <cell r="T1546" t="b">
            <v>0</v>
          </cell>
          <cell r="W1546" t="str"/>
          <cell r="Y1546" t="str"/>
          <cell r="AA1546" t="str"/>
          <cell r="AK1546" t="str">
            <v>036-Q8</v>
          </cell>
          <cell r="AL1546" t="str">
            <v>1-0658-順同&gt;尚泰行.弘舜&gt;寄&gt;附發票&gt;附回郵</v>
          </cell>
          <cell r="AM1546" t="str">
            <v>1-0658</v>
          </cell>
        </row>
        <row r="1547">
          <cell r="B1547" t="str">
            <v>1-1542</v>
          </cell>
          <cell r="E1547" t="str">
            <v>有限公司</v>
          </cell>
          <cell r="R1547" t="b">
            <v>0</v>
          </cell>
          <cell r="S1547" t="str"/>
          <cell r="T1547" t="b">
            <v>0</v>
          </cell>
          <cell r="W1547" t="str"/>
          <cell r="Y1547" t="str"/>
          <cell r="AA1547" t="str"/>
          <cell r="AK1547" t="str">
            <v>ABJ-9200</v>
          </cell>
          <cell r="AL1547" t="str">
            <v>1-0111-泳壯&gt;寄&gt;附發票&gt;附回郵</v>
          </cell>
          <cell r="AM1547" t="str">
            <v>1-0111</v>
          </cell>
        </row>
        <row r="1548">
          <cell r="B1548" t="str">
            <v>1-1543</v>
          </cell>
          <cell r="E1548" t="str">
            <v>有限公司</v>
          </cell>
          <cell r="R1548" t="b">
            <v>0</v>
          </cell>
          <cell r="S1548" t="str"/>
          <cell r="T1548" t="b">
            <v>0</v>
          </cell>
          <cell r="W1548" t="str"/>
          <cell r="Y1548" t="str"/>
          <cell r="AA1548" t="str"/>
          <cell r="AK1548" t="str">
            <v>板352</v>
          </cell>
          <cell r="AL1548" t="str">
            <v>1-0162-鎰利&gt;鎰金&gt;鎰加&gt;寄&gt;附發票&gt;2個月匯款</v>
          </cell>
          <cell r="AM1548" t="str">
            <v>1-0162</v>
          </cell>
        </row>
        <row r="1549">
          <cell r="B1549" t="str">
            <v>1-1544</v>
          </cell>
          <cell r="E1549" t="str">
            <v>有限公司</v>
          </cell>
          <cell r="R1549" t="b">
            <v>0</v>
          </cell>
          <cell r="S1549" t="str"/>
          <cell r="T1549" t="b">
            <v>0</v>
          </cell>
          <cell r="W1549" t="str"/>
          <cell r="Y1549" t="str"/>
          <cell r="AA1549" t="str"/>
          <cell r="AK1549" t="str">
            <v>245-M8</v>
          </cell>
          <cell r="AL1549" t="str">
            <v>1-0056-寬輾&gt;寄&gt;附回郵(1/3)</v>
          </cell>
          <cell r="AM1549" t="str">
            <v>1-0056</v>
          </cell>
        </row>
        <row r="1550">
          <cell r="B1550" t="str">
            <v>1-1545</v>
          </cell>
          <cell r="E1550" t="str">
            <v>有限公司</v>
          </cell>
          <cell r="R1550" t="b">
            <v>0</v>
          </cell>
          <cell r="S1550" t="str"/>
          <cell r="T1550" t="b">
            <v>0</v>
          </cell>
          <cell r="W1550" t="str"/>
          <cell r="Y1550" t="str"/>
          <cell r="AA1550" t="str"/>
          <cell r="AK1550" t="str">
            <v>082-ZS</v>
          </cell>
          <cell r="AL1550" t="str">
            <v>1-0109-東禾修理廠&gt;寄&gt;附發票&gt;附回郵</v>
          </cell>
          <cell r="AM1550" t="str">
            <v>1-0109</v>
          </cell>
        </row>
        <row r="1551">
          <cell r="B1551" t="str">
            <v>1-1546</v>
          </cell>
          <cell r="E1551" t="str">
            <v>有限公司</v>
          </cell>
          <cell r="R1551" t="b">
            <v>0</v>
          </cell>
          <cell r="S1551" t="str"/>
          <cell r="T1551" t="b">
            <v>0</v>
          </cell>
          <cell r="W1551" t="str"/>
          <cell r="Y1551" t="str"/>
          <cell r="AA1551" t="str"/>
          <cell r="AK1551" t="str">
            <v>080-Q8</v>
          </cell>
          <cell r="AL1551" t="str">
            <v>1-0658-順同&gt;尚泰行.弘舜&gt;寄&gt;附發票&gt;附回郵</v>
          </cell>
          <cell r="AM1551" t="str">
            <v>1-0658</v>
          </cell>
        </row>
        <row r="1552">
          <cell r="B1552" t="str">
            <v>1-1547</v>
          </cell>
          <cell r="E1552" t="str">
            <v>有限公司</v>
          </cell>
          <cell r="R1552" t="b">
            <v>0</v>
          </cell>
          <cell r="S1552" t="str"/>
          <cell r="T1552" t="b">
            <v>0</v>
          </cell>
          <cell r="W1552" t="str"/>
          <cell r="Y1552" t="str"/>
          <cell r="AA1552" t="str"/>
          <cell r="AK1552" t="str">
            <v>AAJ-679</v>
          </cell>
          <cell r="AL1552" t="str">
            <v>1-0023-楊育茹&gt;拓隆&gt;廣丞&gt;寄&gt;附發票&gt;附回郵</v>
          </cell>
          <cell r="AM1552" t="str">
            <v>1-0023</v>
          </cell>
        </row>
        <row r="1553">
          <cell r="B1553" t="str">
            <v>1-1548</v>
          </cell>
          <cell r="E1553" t="str">
            <v>有限公司</v>
          </cell>
          <cell r="R1553" t="b">
            <v>0</v>
          </cell>
          <cell r="S1553" t="str"/>
          <cell r="T1553" t="b">
            <v>0</v>
          </cell>
          <cell r="W1553" t="str"/>
          <cell r="Y1553" t="str"/>
          <cell r="AA1553" t="str"/>
          <cell r="AK1553" t="str">
            <v>板L5-04-1</v>
          </cell>
          <cell r="AL1553" t="str">
            <v>1-0162-鎰利&gt;鎰金&gt;鎰加&gt;寄&gt;附發票&gt;2個月匯款</v>
          </cell>
          <cell r="AM1553" t="str">
            <v>1-0162</v>
          </cell>
        </row>
        <row r="1554">
          <cell r="B1554" t="str">
            <v>1-1549</v>
          </cell>
          <cell r="E1554" t="str">
            <v>有限公司</v>
          </cell>
          <cell r="R1554" t="b">
            <v>0</v>
          </cell>
          <cell r="S1554" t="str"/>
          <cell r="T1554" t="b">
            <v>0</v>
          </cell>
          <cell r="W1554" t="str"/>
          <cell r="Y1554" t="str"/>
          <cell r="AA1554" t="str"/>
          <cell r="AK1554" t="str">
            <v>板B3</v>
          </cell>
          <cell r="AL1554" t="str">
            <v>1-0162-鎰利&gt;鎰金&gt;鎰加&gt;寄&gt;附發票&gt;2個月匯款</v>
          </cell>
          <cell r="AM1554" t="str">
            <v>1-0162</v>
          </cell>
        </row>
        <row r="1555">
          <cell r="B1555" t="str">
            <v>1-1550</v>
          </cell>
          <cell r="E1555" t="str">
            <v>有限公司</v>
          </cell>
          <cell r="R1555" t="b">
            <v>0</v>
          </cell>
          <cell r="S1555" t="str"/>
          <cell r="T1555" t="b">
            <v>0</v>
          </cell>
          <cell r="W1555" t="str"/>
          <cell r="Y1555" t="str"/>
          <cell r="AA1555" t="str"/>
          <cell r="AK1555" t="str">
            <v>CD-31</v>
          </cell>
          <cell r="AL1555" t="str">
            <v>1-0496-啟德&gt;寄&gt;附發票&gt;附回郵</v>
          </cell>
          <cell r="AM1555" t="str">
            <v>1-0496</v>
          </cell>
        </row>
        <row r="1556">
          <cell r="B1556" t="str">
            <v>1-1551</v>
          </cell>
          <cell r="E1556" t="str">
            <v>有限公司</v>
          </cell>
          <cell r="R1556" t="b">
            <v>0</v>
          </cell>
          <cell r="S1556" t="str"/>
          <cell r="T1556" t="b">
            <v>0</v>
          </cell>
          <cell r="W1556" t="str"/>
          <cell r="Y1556" t="str"/>
          <cell r="AA1556" t="str"/>
          <cell r="AK1556" t="str">
            <v>LAF-257</v>
          </cell>
          <cell r="AL1556" t="str">
            <v>1-0819-(2/2)捷順&gt;寄&gt;附發票&gt;三個月匯款</v>
          </cell>
          <cell r="AM1556" t="str">
            <v>1-0819</v>
          </cell>
        </row>
        <row r="1557">
          <cell r="B1557" t="str">
            <v>1-1552</v>
          </cell>
          <cell r="E1557" t="str">
            <v>有限公司</v>
          </cell>
          <cell r="R1557" t="b">
            <v>0</v>
          </cell>
          <cell r="S1557" t="str"/>
          <cell r="T1557" t="b">
            <v>0</v>
          </cell>
          <cell r="W1557" t="str"/>
          <cell r="Y1557" t="str"/>
          <cell r="AA1557" t="str"/>
          <cell r="AK1557" t="str">
            <v>836-JC</v>
          </cell>
          <cell r="AL1557" t="str">
            <v>1-0022-台新&gt;寄&gt;附發票&gt;兩個月25號匯款</v>
          </cell>
          <cell r="AM1557" t="str">
            <v>1-0022</v>
          </cell>
        </row>
        <row r="1558">
          <cell r="B1558" t="str">
            <v>1-1553</v>
          </cell>
          <cell r="E1558" t="str">
            <v>有限公司</v>
          </cell>
          <cell r="R1558" t="b">
            <v>0</v>
          </cell>
          <cell r="S1558" t="str"/>
          <cell r="T1558" t="b">
            <v>0</v>
          </cell>
          <cell r="W1558" t="str"/>
          <cell r="Y1558" t="str"/>
          <cell r="AA1558" t="str"/>
          <cell r="AK1558" t="str">
            <v>6E-8921</v>
          </cell>
          <cell r="AL1558" t="str">
            <v>1-0553-旭峰&gt;寄&gt;附發票&gt;附回郵</v>
          </cell>
          <cell r="AM1558" t="str">
            <v>1-0553</v>
          </cell>
        </row>
        <row r="1559">
          <cell r="B1559" t="str">
            <v>1-1554</v>
          </cell>
          <cell r="E1559" t="str">
            <v>有限公司</v>
          </cell>
          <cell r="R1559" t="b">
            <v>0</v>
          </cell>
          <cell r="S1559" t="str"/>
          <cell r="T1559" t="b">
            <v>0</v>
          </cell>
          <cell r="W1559" t="str"/>
          <cell r="Y1559" t="str"/>
          <cell r="AA1559" t="str"/>
          <cell r="AK1559" t="str">
            <v>KLD-3986</v>
          </cell>
          <cell r="AL1559" t="str">
            <v>1-0521-竹南永德福SCANIA&gt;寄&gt;附發票&gt;2個月後匯款</v>
          </cell>
          <cell r="AM1559" t="str">
            <v>1-0521</v>
          </cell>
        </row>
        <row r="1560">
          <cell r="B1560" t="str">
            <v>1-1555</v>
          </cell>
          <cell r="E1560" t="str">
            <v>有限公司</v>
          </cell>
          <cell r="R1560" t="b">
            <v>0</v>
          </cell>
          <cell r="S1560" t="str"/>
          <cell r="T1560" t="b">
            <v>0</v>
          </cell>
          <cell r="W1560" t="str"/>
          <cell r="Y1560" t="str"/>
          <cell r="AA1560" t="str"/>
          <cell r="AK1560" t="str">
            <v>AAB-519</v>
          </cell>
          <cell r="AL1560" t="str">
            <v>1-0194-傅文芳&gt;大砲&gt;一路發拖吊&gt;電&gt;自結</v>
          </cell>
          <cell r="AM1560" t="str">
            <v>1-0194</v>
          </cell>
        </row>
        <row r="1561">
          <cell r="B1561" t="str">
            <v>1-1556</v>
          </cell>
          <cell r="E1561" t="str">
            <v>有限公司</v>
          </cell>
          <cell r="R1561" t="b">
            <v>0</v>
          </cell>
          <cell r="S1561" t="str"/>
          <cell r="T1561" t="b">
            <v>0</v>
          </cell>
          <cell r="W1561" t="str"/>
          <cell r="Y1561" t="str"/>
          <cell r="AA1561" t="str"/>
          <cell r="AK1561" t="str">
            <v>Q6-090</v>
          </cell>
          <cell r="AL1561" t="str">
            <v>1-0194-傅文芳&gt;大砲&gt;一路發拖吊&gt;電&gt;自結</v>
          </cell>
          <cell r="AM1561" t="str">
            <v>1-0194</v>
          </cell>
        </row>
        <row r="1562">
          <cell r="B1562" t="str">
            <v>1-1557</v>
          </cell>
          <cell r="E1562" t="str">
            <v>有限公司</v>
          </cell>
          <cell r="R1562" t="b">
            <v>0</v>
          </cell>
          <cell r="S1562" t="str"/>
          <cell r="T1562" t="b">
            <v>0</v>
          </cell>
          <cell r="W1562" t="str"/>
          <cell r="Y1562" t="str"/>
          <cell r="AA1562" t="str"/>
          <cell r="AK1562" t="str">
            <v>30-VB</v>
          </cell>
          <cell r="AL1562" t="str">
            <v>1-0309-龍聖&gt;嘉盛&gt;寄&gt;自結</v>
          </cell>
          <cell r="AM1562" t="str">
            <v>1-0309</v>
          </cell>
        </row>
        <row r="1563">
          <cell r="B1563" t="str">
            <v>1-1558</v>
          </cell>
          <cell r="E1563" t="str">
            <v>有限公司</v>
          </cell>
          <cell r="R1563" t="b">
            <v>0</v>
          </cell>
          <cell r="S1563" t="str"/>
          <cell r="T1563" t="b">
            <v>0</v>
          </cell>
          <cell r="W1563" t="str"/>
          <cell r="Y1563" t="str"/>
          <cell r="AA1563" t="str"/>
          <cell r="AK1563" t="str">
            <v>671-HK</v>
          </cell>
          <cell r="AL1563" t="str">
            <v>1-0641-(2/2)紀志易.私人帳&gt;寄&gt;自結</v>
          </cell>
          <cell r="AM1563" t="str">
            <v>1-0641</v>
          </cell>
        </row>
        <row r="1564">
          <cell r="B1564" t="str">
            <v>1-1559</v>
          </cell>
          <cell r="E1564" t="str">
            <v>有限公司</v>
          </cell>
          <cell r="R1564" t="b">
            <v>0</v>
          </cell>
          <cell r="S1564" t="str"/>
          <cell r="T1564" t="b">
            <v>0</v>
          </cell>
          <cell r="W1564" t="str"/>
          <cell r="Y1564" t="str"/>
          <cell r="AA1564" t="str"/>
          <cell r="AK1564" t="str">
            <v>5717-T6</v>
          </cell>
          <cell r="AL1564" t="str">
            <v>1-0060-源鴻&gt;寄&gt;親收</v>
          </cell>
          <cell r="AM1564" t="str">
            <v>1-0060</v>
          </cell>
        </row>
        <row r="1565">
          <cell r="B1565" t="str">
            <v>1-1560</v>
          </cell>
          <cell r="E1565" t="str">
            <v>有限公司</v>
          </cell>
          <cell r="R1565" t="b">
            <v>0</v>
          </cell>
          <cell r="S1565" t="str"/>
          <cell r="T1565" t="b">
            <v>0</v>
          </cell>
          <cell r="W1565" t="str"/>
          <cell r="Y1565" t="str"/>
          <cell r="AA1565" t="str"/>
          <cell r="AK1565" t="str">
            <v>245-Q2</v>
          </cell>
          <cell r="AL1565" t="str">
            <v>1-0137-華鎮環保科技有限公司&gt;寄&gt;匯款</v>
          </cell>
          <cell r="AM1565" t="str">
            <v>1-0137</v>
          </cell>
        </row>
        <row r="1566">
          <cell r="B1566" t="str">
            <v>1-1561</v>
          </cell>
          <cell r="E1566" t="str">
            <v>有限公司</v>
          </cell>
          <cell r="R1566" t="b">
            <v>0</v>
          </cell>
          <cell r="S1566" t="str"/>
          <cell r="T1566" t="b">
            <v>0</v>
          </cell>
          <cell r="W1566" t="str"/>
          <cell r="Y1566" t="str"/>
          <cell r="AA1566" t="str"/>
          <cell r="AK1566" t="str">
            <v>ALQ-8311</v>
          </cell>
          <cell r="AL1566" t="str">
            <v>1-0430-沅冠&gt;寄&gt;自結</v>
          </cell>
          <cell r="AM1566" t="str">
            <v>1-0430</v>
          </cell>
        </row>
        <row r="1567">
          <cell r="B1567" t="str">
            <v>1-1562</v>
          </cell>
          <cell r="E1567" t="str">
            <v>有限公司</v>
          </cell>
          <cell r="R1567" t="b">
            <v>0</v>
          </cell>
          <cell r="S1567" t="str"/>
          <cell r="T1567" t="b">
            <v>0</v>
          </cell>
          <cell r="W1567" t="str"/>
          <cell r="Y1567" t="str"/>
          <cell r="AA1567" t="str"/>
          <cell r="AK1567" t="str">
            <v>876-V6</v>
          </cell>
          <cell r="AL1567" t="str">
            <v>1-0525-勝興&gt;寄&gt;附發票&gt;自結</v>
          </cell>
          <cell r="AM1567" t="str">
            <v>1-0525</v>
          </cell>
        </row>
        <row r="1568">
          <cell r="B1568" t="str">
            <v>1-1563</v>
          </cell>
          <cell r="E1568" t="str">
            <v>有限公司</v>
          </cell>
          <cell r="R1568" t="b">
            <v>0</v>
          </cell>
          <cell r="S1568" t="str"/>
          <cell r="T1568" t="b">
            <v>0</v>
          </cell>
          <cell r="W1568" t="str"/>
          <cell r="Y1568" t="str"/>
          <cell r="AA1568" t="str"/>
          <cell r="AK1568" t="str">
            <v>2L-21</v>
          </cell>
          <cell r="AL1568" t="str">
            <v>1-0496-啟德&gt;寄&gt;附發票&gt;附回郵</v>
          </cell>
          <cell r="AM1568" t="str">
            <v>1-0496</v>
          </cell>
        </row>
        <row r="1569">
          <cell r="B1569" t="str">
            <v>1-1564</v>
          </cell>
          <cell r="E1569" t="str">
            <v>有限公司</v>
          </cell>
          <cell r="R1569" t="b">
            <v>0</v>
          </cell>
          <cell r="S1569" t="str"/>
          <cell r="T1569" t="b">
            <v>0</v>
          </cell>
          <cell r="W1569" t="str"/>
          <cell r="Y1569" t="str"/>
          <cell r="AA1569" t="str"/>
          <cell r="AK1569" t="str">
            <v>KT-59</v>
          </cell>
          <cell r="AL1569" t="str">
            <v>1-0687-佳泰&gt;寄&gt;附發票&gt;附回郵</v>
          </cell>
          <cell r="AM1569" t="str">
            <v>1-0687</v>
          </cell>
        </row>
        <row r="1570">
          <cell r="B1570" t="str">
            <v>1-1565</v>
          </cell>
          <cell r="E1570" t="str">
            <v>有限公司</v>
          </cell>
          <cell r="R1570" t="b">
            <v>0</v>
          </cell>
          <cell r="S1570" t="str"/>
          <cell r="T1570" t="b">
            <v>0</v>
          </cell>
          <cell r="W1570" t="str"/>
          <cell r="Y1570" t="str"/>
          <cell r="AA1570" t="str"/>
          <cell r="AK1570" t="str">
            <v>370-ZV</v>
          </cell>
          <cell r="AL1570" t="str">
            <v>1-0043-(2/2)和泰&gt;寄&gt;附發票&gt;附回郵</v>
          </cell>
          <cell r="AM1570" t="str">
            <v>1-0043</v>
          </cell>
        </row>
        <row r="1571">
          <cell r="B1571" t="str">
            <v>1-1566</v>
          </cell>
          <cell r="E1571" t="str">
            <v>有限公司</v>
          </cell>
          <cell r="R1571" t="b">
            <v>0</v>
          </cell>
          <cell r="S1571" t="str"/>
          <cell r="T1571" t="b">
            <v>0</v>
          </cell>
          <cell r="W1571" t="str"/>
          <cell r="Y1571" t="str"/>
          <cell r="AA1571" t="str"/>
          <cell r="AK1571" t="str">
            <v>MW-992</v>
          </cell>
          <cell r="AL1571" t="str">
            <v>1-0354-志祥通運.普惠&gt;寄&gt;附發票&gt;附回郵</v>
          </cell>
          <cell r="AM1571" t="str">
            <v>1-0354</v>
          </cell>
        </row>
        <row r="1572">
          <cell r="B1572" t="str">
            <v>1-1567</v>
          </cell>
          <cell r="E1572" t="str">
            <v>有限公司</v>
          </cell>
          <cell r="R1572" t="b">
            <v>0</v>
          </cell>
          <cell r="S1572" t="str"/>
          <cell r="T1572" t="b">
            <v>0</v>
          </cell>
          <cell r="W1572" t="str"/>
          <cell r="Y1572" t="str"/>
          <cell r="AA1572" t="str"/>
          <cell r="AK1572" t="str">
            <v>792-W8</v>
          </cell>
          <cell r="AL1572" t="str">
            <v>1-0354-志祥通運.普惠&gt;寄&gt;附發票&gt;附回郵</v>
          </cell>
          <cell r="AM1572" t="str">
            <v>1-0354</v>
          </cell>
        </row>
        <row r="1573">
          <cell r="B1573" t="str">
            <v>1-1568</v>
          </cell>
          <cell r="E1573" t="str">
            <v>有限公司</v>
          </cell>
          <cell r="R1573" t="b">
            <v>0</v>
          </cell>
          <cell r="S1573" t="str"/>
          <cell r="T1573" t="b">
            <v>0</v>
          </cell>
          <cell r="W1573" t="str"/>
          <cell r="Y1573" t="str"/>
          <cell r="AA1573" t="str"/>
          <cell r="AK1573" t="str">
            <v>L6-05-1</v>
          </cell>
          <cell r="AL1573" t="str">
            <v>1-0162-鎰利&gt;鎰金&gt;鎰加&gt;寄&gt;附發票&gt;2個月匯款</v>
          </cell>
          <cell r="AM1573" t="str">
            <v>1-0162</v>
          </cell>
        </row>
        <row r="1574">
          <cell r="B1574" t="str">
            <v>1-1569</v>
          </cell>
          <cell r="E1574" t="str">
            <v>有限公司</v>
          </cell>
          <cell r="R1574" t="b">
            <v>0</v>
          </cell>
          <cell r="S1574" t="str"/>
          <cell r="T1574" t="b">
            <v>0</v>
          </cell>
          <cell r="W1574" t="str"/>
          <cell r="Y1574" t="str"/>
          <cell r="AA1574" t="str"/>
          <cell r="AK1574" t="str">
            <v>板427</v>
          </cell>
          <cell r="AL1574" t="str">
            <v>1-0162-鎰利&gt;鎰金&gt;鎰加&gt;寄&gt;附發票&gt;2個月匯款</v>
          </cell>
          <cell r="AM1574" t="str">
            <v>1-0162</v>
          </cell>
        </row>
        <row r="1575">
          <cell r="B1575" t="str">
            <v>1-1570</v>
          </cell>
          <cell r="E1575" t="str">
            <v>有限公司</v>
          </cell>
          <cell r="R1575" t="b">
            <v>0</v>
          </cell>
          <cell r="S1575" t="str"/>
          <cell r="T1575" t="b">
            <v>0</v>
          </cell>
          <cell r="W1575" t="str"/>
          <cell r="Y1575" t="str"/>
          <cell r="AA1575" t="str"/>
          <cell r="AK1575" t="str">
            <v>板408</v>
          </cell>
          <cell r="AL1575" t="str">
            <v>1-0162-鎰利&gt;鎰金&gt;鎰加&gt;寄&gt;附發票&gt;2個月匯款</v>
          </cell>
          <cell r="AM1575" t="str">
            <v>1-0162</v>
          </cell>
        </row>
        <row r="1576">
          <cell r="B1576" t="str">
            <v>1-1571</v>
          </cell>
          <cell r="E1576" t="str">
            <v>有限公司</v>
          </cell>
          <cell r="R1576" t="b">
            <v>0</v>
          </cell>
          <cell r="S1576" t="str"/>
          <cell r="T1576" t="b">
            <v>0</v>
          </cell>
          <cell r="W1576" t="str"/>
          <cell r="Y1576" t="str"/>
          <cell r="AA1576" t="str"/>
          <cell r="AK1576" t="str">
            <v>板421</v>
          </cell>
          <cell r="AL1576" t="str">
            <v>1-0162-鎰利&gt;鎰金&gt;鎰加&gt;寄&gt;附發票&gt;2個月匯款</v>
          </cell>
          <cell r="AM1576" t="str">
            <v>1-0162</v>
          </cell>
        </row>
        <row r="1577">
          <cell r="B1577" t="str">
            <v>1-1572</v>
          </cell>
          <cell r="E1577" t="str">
            <v>有限公司</v>
          </cell>
          <cell r="R1577" t="b">
            <v>0</v>
          </cell>
          <cell r="S1577" t="str"/>
          <cell r="T1577" t="b">
            <v>0</v>
          </cell>
          <cell r="W1577" t="str"/>
          <cell r="Y1577" t="str"/>
          <cell r="AA1577" t="str"/>
          <cell r="AK1577" t="str">
            <v>板18</v>
          </cell>
          <cell r="AL1577" t="str">
            <v>1-0162-鎰利&gt;鎰金&gt;鎰加&gt;寄&gt;附發票&gt;2個月匯款</v>
          </cell>
          <cell r="AM1577" t="str">
            <v>1-0162</v>
          </cell>
        </row>
        <row r="1578">
          <cell r="B1578" t="str">
            <v>1-1573</v>
          </cell>
          <cell r="E1578" t="str">
            <v>有限公司</v>
          </cell>
          <cell r="R1578" t="b">
            <v>0</v>
          </cell>
          <cell r="S1578" t="str"/>
          <cell r="T1578" t="b">
            <v>0</v>
          </cell>
          <cell r="W1578" t="str"/>
          <cell r="Y1578" t="str"/>
          <cell r="AA1578" t="str"/>
          <cell r="AK1578" t="str">
            <v>LAJ-680</v>
          </cell>
          <cell r="AL1578" t="str">
            <v>1-0844-日中&gt;自結&gt;</v>
          </cell>
          <cell r="AM1578" t="str">
            <v>1-0844</v>
          </cell>
        </row>
        <row r="1579">
          <cell r="B1579" t="str">
            <v>1-1574</v>
          </cell>
          <cell r="E1579" t="str">
            <v>有限公司</v>
          </cell>
          <cell r="R1579" t="b">
            <v>0</v>
          </cell>
          <cell r="S1579" t="str"/>
          <cell r="T1579" t="b">
            <v>0</v>
          </cell>
          <cell r="W1579" t="str"/>
          <cell r="Y1579" t="str"/>
          <cell r="AA1579" t="str"/>
          <cell r="AK1579" t="str">
            <v>9879-VL</v>
          </cell>
          <cell r="AL1579" t="str">
            <v>1-0534-輝煌.金仕&gt;新棋興&gt;小額不寄&gt;自結</v>
          </cell>
          <cell r="AM1579" t="str">
            <v>1-0534</v>
          </cell>
        </row>
        <row r="1580">
          <cell r="B1580" t="str">
            <v>1-1575</v>
          </cell>
          <cell r="E1580" t="str">
            <v>有限公司</v>
          </cell>
          <cell r="R1580" t="b">
            <v>0</v>
          </cell>
          <cell r="S1580" t="str"/>
          <cell r="T1580" t="b">
            <v>0</v>
          </cell>
          <cell r="W1580" t="str"/>
          <cell r="Y1580" t="str"/>
          <cell r="AA1580" t="str"/>
          <cell r="AK1580" t="str">
            <v>0287-NE</v>
          </cell>
          <cell r="AL1580" t="str">
            <v>1-0026-太原氣體&gt;寄&gt;附發票&gt;附回郵</v>
          </cell>
          <cell r="AM1580" t="str">
            <v>1-0026</v>
          </cell>
        </row>
        <row r="1581">
          <cell r="B1581" t="str">
            <v>1-1576</v>
          </cell>
          <cell r="E1581" t="str">
            <v>有限公司</v>
          </cell>
          <cell r="R1581" t="b">
            <v>0</v>
          </cell>
          <cell r="S1581" t="str"/>
          <cell r="T1581" t="b">
            <v>0</v>
          </cell>
          <cell r="W1581" t="str"/>
          <cell r="Y1581" t="str"/>
          <cell r="AA1581" t="str"/>
          <cell r="AK1581" t="str">
            <v>KLD-0573</v>
          </cell>
          <cell r="AL1581" t="str">
            <v>1-0844-日中&gt;自結&gt;</v>
          </cell>
          <cell r="AM1581" t="str">
            <v>1-0844</v>
          </cell>
        </row>
        <row r="1582">
          <cell r="B1582" t="str">
            <v>1-1577</v>
          </cell>
          <cell r="E1582" t="str">
            <v>有限公司</v>
          </cell>
          <cell r="R1582" t="b">
            <v>0</v>
          </cell>
          <cell r="S1582" t="str"/>
          <cell r="T1582" t="b">
            <v>0</v>
          </cell>
          <cell r="W1582" t="str"/>
          <cell r="Y1582" t="str"/>
          <cell r="AA1582" t="str"/>
          <cell r="AK1582" t="str">
            <v>L9-10-1</v>
          </cell>
          <cell r="AL1582" t="str">
            <v>1-0162-鎰利&gt;鎰金&gt;鎰加&gt;寄&gt;附發票&gt;2個月匯款</v>
          </cell>
          <cell r="AM1582" t="str">
            <v>1-0162</v>
          </cell>
        </row>
        <row r="1583">
          <cell r="B1583" t="str">
            <v>1-1578</v>
          </cell>
          <cell r="E1583" t="str">
            <v>有限公司</v>
          </cell>
          <cell r="R1583" t="b">
            <v>0</v>
          </cell>
          <cell r="S1583" t="str"/>
          <cell r="T1583" t="b">
            <v>0</v>
          </cell>
          <cell r="W1583" t="str"/>
          <cell r="Y1583" t="str"/>
          <cell r="AA1583" t="str"/>
          <cell r="AK1583" t="str">
            <v>823-Y7</v>
          </cell>
          <cell r="AL1583" t="str">
            <v>1-0368-銀城&gt;寄&gt;附發票&gt;附回郵</v>
          </cell>
          <cell r="AM1583" t="str">
            <v>1-0368</v>
          </cell>
        </row>
        <row r="1584">
          <cell r="B1584" t="str">
            <v>1-1579</v>
          </cell>
          <cell r="E1584" t="str">
            <v>有限公司</v>
          </cell>
          <cell r="R1584" t="b">
            <v>0</v>
          </cell>
          <cell r="S1584" t="str"/>
          <cell r="T1584" t="b">
            <v>0</v>
          </cell>
          <cell r="W1584" t="str"/>
          <cell r="Y1584" t="str"/>
          <cell r="AA1584" t="str"/>
          <cell r="AK1584" t="str">
            <v>板97-ZG</v>
          </cell>
          <cell r="AL1584" t="str">
            <v>1-0589-汯宸&gt;寄&gt;附發票&gt;一個月匯款</v>
          </cell>
          <cell r="AM1584" t="str">
            <v>1-0589</v>
          </cell>
        </row>
        <row r="1585">
          <cell r="B1585" t="str">
            <v>1-1580</v>
          </cell>
          <cell r="E1585" t="str">
            <v>有限公司</v>
          </cell>
          <cell r="R1585" t="b">
            <v>0</v>
          </cell>
          <cell r="S1585" t="str"/>
          <cell r="T1585" t="b">
            <v>0</v>
          </cell>
          <cell r="W1585" t="str"/>
          <cell r="Y1585" t="str"/>
          <cell r="AA1585" t="str"/>
          <cell r="AK1585" t="str">
            <v>KAE-250</v>
          </cell>
          <cell r="AL1585" t="str">
            <v>1-0046-(1/4)鴻阜&gt;寄&gt;附發票&gt;附回郵</v>
          </cell>
          <cell r="AM1585" t="str">
            <v>1-0046</v>
          </cell>
        </row>
        <row r="1586">
          <cell r="B1586" t="str">
            <v>1-1581</v>
          </cell>
          <cell r="E1586" t="str">
            <v>有限公司</v>
          </cell>
          <cell r="R1586" t="b">
            <v>0</v>
          </cell>
          <cell r="S1586" t="str"/>
          <cell r="T1586" t="b">
            <v>0</v>
          </cell>
          <cell r="W1586" t="str"/>
          <cell r="Y1586" t="str"/>
          <cell r="AA1586" t="str"/>
          <cell r="AK1586" t="str">
            <v>KLA-9350</v>
          </cell>
          <cell r="AL1586" t="str">
            <v>1-0046-(1/4)鴻阜&gt;寄&gt;附發票&gt;附回郵</v>
          </cell>
          <cell r="AM1586" t="str">
            <v>1-0046</v>
          </cell>
        </row>
        <row r="1587">
          <cell r="B1587" t="str">
            <v>1-1582</v>
          </cell>
          <cell r="E1587" t="str">
            <v>有限公司</v>
          </cell>
          <cell r="R1587" t="b">
            <v>0</v>
          </cell>
          <cell r="S1587" t="str"/>
          <cell r="T1587" t="b">
            <v>0</v>
          </cell>
          <cell r="W1587" t="str"/>
          <cell r="Y1587" t="str"/>
          <cell r="AA1587" t="str"/>
          <cell r="AK1587" t="str">
            <v>AAG-152</v>
          </cell>
          <cell r="AL1587" t="str">
            <v>1-0484-世鑫營造&gt;寄&gt;附發票&gt;2個月匯款</v>
          </cell>
          <cell r="AM1587" t="str">
            <v>1-0484</v>
          </cell>
        </row>
        <row r="1588">
          <cell r="B1588" t="str">
            <v>1-1583</v>
          </cell>
          <cell r="E1588" t="str">
            <v>有限公司</v>
          </cell>
          <cell r="R1588" t="b">
            <v>0</v>
          </cell>
          <cell r="S1588" t="str"/>
          <cell r="T1588" t="b">
            <v>0</v>
          </cell>
          <cell r="W1588" t="str"/>
          <cell r="Y1588" t="str"/>
          <cell r="AA1588" t="str"/>
          <cell r="AK1588" t="str">
            <v>813-VK</v>
          </cell>
          <cell r="AL1588" t="str">
            <v>1-0575-力麟&gt;寄&gt;附發票&gt;附回郵</v>
          </cell>
          <cell r="AM1588" t="str">
            <v>1-0575</v>
          </cell>
        </row>
        <row r="1589">
          <cell r="B1589" t="str">
            <v>1-1584</v>
          </cell>
          <cell r="E1589" t="str">
            <v>有限公司</v>
          </cell>
          <cell r="R1589" t="b">
            <v>0</v>
          </cell>
          <cell r="S1589" t="str"/>
          <cell r="T1589" t="b">
            <v>0</v>
          </cell>
          <cell r="W1589" t="str"/>
          <cell r="Y1589" t="str"/>
          <cell r="AA1589" t="str"/>
          <cell r="AK1589" t="str">
            <v>421-G7</v>
          </cell>
          <cell r="AL1589" t="str">
            <v>1-0674-翔威.翔鑫&gt;付現&gt;不能簽帳</v>
          </cell>
          <cell r="AM1589" t="str">
            <v>1-0674</v>
          </cell>
        </row>
        <row r="1590">
          <cell r="B1590" t="str">
            <v>1-1585</v>
          </cell>
          <cell r="E1590" t="str">
            <v>有限公司</v>
          </cell>
          <cell r="R1590" t="b">
            <v>0</v>
          </cell>
          <cell r="S1590" t="str"/>
          <cell r="T1590" t="b">
            <v>0</v>
          </cell>
          <cell r="W1590" t="str"/>
          <cell r="Y1590" t="str"/>
          <cell r="AA1590" t="str"/>
          <cell r="AK1590" t="str">
            <v>6487-KY</v>
          </cell>
          <cell r="AL1590" t="str">
            <v>1-0004-(1/3)長增&gt;寄&gt;附發票&gt;匯款&gt;現金價</v>
          </cell>
          <cell r="AM1590" t="str">
            <v>1-0004</v>
          </cell>
        </row>
        <row r="1591">
          <cell r="B1591" t="str">
            <v>1-1586</v>
          </cell>
          <cell r="E1591" t="str">
            <v>有限公司</v>
          </cell>
          <cell r="R1591" t="b">
            <v>0</v>
          </cell>
          <cell r="S1591" t="str"/>
          <cell r="T1591" t="b">
            <v>0</v>
          </cell>
          <cell r="W1591" t="str"/>
          <cell r="Y1591" t="str"/>
          <cell r="AA1591" t="str"/>
          <cell r="AK1591" t="str">
            <v>421-VB</v>
          </cell>
          <cell r="AL1591" t="str">
            <v>1-0015-志祥&gt;寄&gt;附回郵&gt;勿催帳</v>
          </cell>
          <cell r="AM1591" t="str">
            <v>1-0015</v>
          </cell>
        </row>
        <row r="1592">
          <cell r="B1592" t="str">
            <v>1-1587</v>
          </cell>
          <cell r="E1592" t="str">
            <v>有限公司</v>
          </cell>
          <cell r="R1592" t="b">
            <v>0</v>
          </cell>
          <cell r="S1592" t="str"/>
          <cell r="T1592" t="b">
            <v>0</v>
          </cell>
          <cell r="W1592" t="str"/>
          <cell r="Y1592" t="str"/>
          <cell r="AA1592" t="str"/>
          <cell r="AK1592" t="str">
            <v>1421-P5</v>
          </cell>
          <cell r="AL1592" t="str">
            <v>1-0015-志祥&gt;寄&gt;附回郵&gt;勿催帳</v>
          </cell>
          <cell r="AM1592" t="str">
            <v>1-0015</v>
          </cell>
        </row>
        <row r="1593">
          <cell r="B1593" t="str">
            <v>1-1588</v>
          </cell>
          <cell r="E1593" t="str">
            <v>有限公司</v>
          </cell>
          <cell r="R1593" t="b">
            <v>0</v>
          </cell>
          <cell r="S1593" t="str"/>
          <cell r="T1593" t="b">
            <v>0</v>
          </cell>
          <cell r="W1593" t="str"/>
          <cell r="Y1593" t="str"/>
          <cell r="AA1593" t="str"/>
          <cell r="AK1593" t="str">
            <v>美聖大山猫</v>
          </cell>
          <cell r="AL1593" t="str">
            <v>1-0054-(1/2)美聖&gt;寄&gt;附發票&gt;附回郵</v>
          </cell>
          <cell r="AM1593" t="str">
            <v>1-0054</v>
          </cell>
        </row>
        <row r="1594">
          <cell r="B1594" t="str">
            <v>1-1589</v>
          </cell>
          <cell r="E1594" t="str">
            <v>有限公司</v>
          </cell>
          <cell r="R1594" t="b">
            <v>0</v>
          </cell>
          <cell r="S1594" t="str"/>
          <cell r="T1594" t="b">
            <v>0</v>
          </cell>
          <cell r="W1594" t="str"/>
          <cell r="Y1594" t="str"/>
          <cell r="AA1594" t="str"/>
          <cell r="AK1594" t="str">
            <v>L7-04-1</v>
          </cell>
          <cell r="AL1594" t="str">
            <v>1-0162-鎰利&gt;鎰金&gt;鎰加&gt;寄&gt;附發票&gt;2個月匯款</v>
          </cell>
          <cell r="AM1594" t="str">
            <v>1-0162</v>
          </cell>
        </row>
        <row r="1595">
          <cell r="B1595" t="str">
            <v>1-1590</v>
          </cell>
          <cell r="E1595" t="str">
            <v>有限公司</v>
          </cell>
          <cell r="R1595" t="b">
            <v>0</v>
          </cell>
          <cell r="S1595" t="str"/>
          <cell r="T1595" t="b">
            <v>0</v>
          </cell>
          <cell r="W1595" t="str"/>
          <cell r="Y1595" t="str"/>
          <cell r="AA1595" t="str"/>
          <cell r="AK1595" t="str">
            <v>板351</v>
          </cell>
          <cell r="AL1595" t="str">
            <v>1-0162-鎰利&gt;鎰金&gt;鎰加&gt;寄&gt;附發票&gt;2個月匯款</v>
          </cell>
          <cell r="AM1595" t="str">
            <v>1-0162</v>
          </cell>
        </row>
        <row r="1596">
          <cell r="B1596" t="str">
            <v>1-1591</v>
          </cell>
          <cell r="E1596" t="str">
            <v>有限公司</v>
          </cell>
          <cell r="R1596" t="b">
            <v>0</v>
          </cell>
          <cell r="S1596" t="str"/>
          <cell r="T1596" t="b">
            <v>0</v>
          </cell>
          <cell r="W1596" t="str"/>
          <cell r="Y1596" t="str"/>
          <cell r="AA1596" t="str"/>
          <cell r="AK1596">
            <v>2859211</v>
          </cell>
          <cell r="AL1596" t="str">
            <v>1-0364-弘翔.東大&gt;寄&gt;附發票&gt;附回郵</v>
          </cell>
          <cell r="AM1596" t="str">
            <v>1-0364</v>
          </cell>
        </row>
        <row r="1597">
          <cell r="B1597" t="str">
            <v>1-1592</v>
          </cell>
          <cell r="E1597" t="str">
            <v>有限公司</v>
          </cell>
          <cell r="R1597" t="b">
            <v>0</v>
          </cell>
          <cell r="S1597" t="str"/>
          <cell r="T1597" t="b">
            <v>0</v>
          </cell>
          <cell r="W1597" t="str"/>
          <cell r="Y1597" t="str"/>
          <cell r="AA1597" t="str"/>
          <cell r="AK1597" t="str">
            <v>AHD-5752</v>
          </cell>
          <cell r="AL1597" t="str">
            <v>1-0505-吉和&gt;三義消防隊&gt;寄&gt;附發票&gt;匯款</v>
          </cell>
          <cell r="AM1597" t="str">
            <v>1-0505</v>
          </cell>
        </row>
        <row r="1598">
          <cell r="B1598" t="str">
            <v>1-1593</v>
          </cell>
          <cell r="E1598" t="str">
            <v>有限公司</v>
          </cell>
          <cell r="R1598" t="b">
            <v>0</v>
          </cell>
          <cell r="S1598" t="str"/>
          <cell r="T1598" t="b">
            <v>0</v>
          </cell>
          <cell r="W1598" t="str"/>
          <cell r="Y1598" t="str"/>
          <cell r="AA1598" t="str"/>
          <cell r="AK1598" t="str">
            <v>56-M6</v>
          </cell>
          <cell r="AL1598" t="str">
            <v>1-0607-(2/2)瑋鎰&gt;寄&gt;附發票&gt;附回郵</v>
          </cell>
          <cell r="AM1598" t="str">
            <v>1-0607</v>
          </cell>
        </row>
        <row r="1599">
          <cell r="B1599" t="str">
            <v>1-1594</v>
          </cell>
          <cell r="E1599" t="str">
            <v>有限公司</v>
          </cell>
          <cell r="R1599" t="b">
            <v>0</v>
          </cell>
          <cell r="S1599" t="str"/>
          <cell r="T1599" t="b">
            <v>0</v>
          </cell>
          <cell r="W1599" t="str"/>
          <cell r="Y1599" t="str"/>
          <cell r="AA1599" t="str"/>
          <cell r="AK1599" t="str">
            <v>900-VK</v>
          </cell>
          <cell r="AL1599" t="str">
            <v>1-0660-竹新.頂烽&gt;寄&gt;附發票&gt;匯款</v>
          </cell>
          <cell r="AM1599" t="str">
            <v>1-0660</v>
          </cell>
        </row>
        <row r="1600">
          <cell r="B1600" t="str">
            <v>1-1595</v>
          </cell>
          <cell r="E1600" t="str">
            <v>有限公司</v>
          </cell>
          <cell r="R1600" t="b">
            <v>0</v>
          </cell>
          <cell r="S1600" t="str"/>
          <cell r="T1600" t="b">
            <v>0</v>
          </cell>
          <cell r="W1600" t="str"/>
          <cell r="Y1600" t="str"/>
          <cell r="AA1600" t="str"/>
          <cell r="AK1600" t="str">
            <v>888-V6</v>
          </cell>
          <cell r="AL1600" t="str">
            <v>1-0525-勝興&gt;寄&gt;附發票&gt;自結</v>
          </cell>
          <cell r="AM1600" t="str">
            <v>1-0525</v>
          </cell>
        </row>
        <row r="1601">
          <cell r="B1601" t="str">
            <v>1-1596</v>
          </cell>
          <cell r="E1601" t="str">
            <v>有限公司</v>
          </cell>
          <cell r="R1601" t="b">
            <v>0</v>
          </cell>
          <cell r="S1601" t="str"/>
          <cell r="T1601" t="b">
            <v>0</v>
          </cell>
          <cell r="W1601" t="str"/>
          <cell r="Y1601" t="str"/>
          <cell r="AA1601" t="str"/>
          <cell r="AK1601" t="str">
            <v>KLA-9731</v>
          </cell>
          <cell r="AL1601" t="str">
            <v>1-0008-路人</v>
          </cell>
          <cell r="AM1601" t="str">
            <v>1-0008</v>
          </cell>
        </row>
        <row r="1602">
          <cell r="B1602" t="str">
            <v>1-1597</v>
          </cell>
          <cell r="E1602" t="str">
            <v>有限公司</v>
          </cell>
          <cell r="R1602" t="b">
            <v>0</v>
          </cell>
          <cell r="S1602" t="str"/>
          <cell r="T1602" t="b">
            <v>0</v>
          </cell>
          <cell r="W1602" t="str"/>
          <cell r="Y1602" t="str"/>
          <cell r="AA1602" t="str"/>
          <cell r="AK1602" t="str">
            <v>7918-N2</v>
          </cell>
          <cell r="AL1602" t="str">
            <v>1-0694-永發&gt;寄&gt;附發票&gt;附回郵</v>
          </cell>
          <cell r="AM1602" t="str">
            <v>1-0694</v>
          </cell>
        </row>
        <row r="1603">
          <cell r="B1603" t="str">
            <v>1-1598</v>
          </cell>
          <cell r="E1603" t="str">
            <v>有限公司</v>
          </cell>
          <cell r="R1603" t="b">
            <v>0</v>
          </cell>
          <cell r="S1603" t="str"/>
          <cell r="T1603" t="b">
            <v>0</v>
          </cell>
          <cell r="W1603" t="str"/>
          <cell r="Y1603" t="str"/>
          <cell r="AA1603" t="str"/>
          <cell r="AK1603" t="str">
            <v>SV-466</v>
          </cell>
          <cell r="AL1603" t="str">
            <v>1-0006-(3/3)長呈&gt;寄&gt;附發票&gt;附回郵</v>
          </cell>
          <cell r="AM1603" t="str">
            <v>1-0006</v>
          </cell>
        </row>
        <row r="1604">
          <cell r="B1604" t="str">
            <v>1-1599</v>
          </cell>
          <cell r="E1604" t="str">
            <v>有限公司</v>
          </cell>
          <cell r="R1604" t="b">
            <v>0</v>
          </cell>
          <cell r="S1604" t="str"/>
          <cell r="T1604" t="b">
            <v>0</v>
          </cell>
          <cell r="W1604" t="str"/>
          <cell r="Y1604" t="str"/>
          <cell r="AA1604" t="str"/>
          <cell r="AK1604" t="str">
            <v>KLA-6003</v>
          </cell>
          <cell r="AL1604" t="str">
            <v>1-0046-(1/4)鴻阜&gt;寄&gt;附發票&gt;附回郵</v>
          </cell>
          <cell r="AM1604" t="str">
            <v>1-0046</v>
          </cell>
        </row>
        <row r="1605">
          <cell r="B1605" t="str">
            <v>1-1600</v>
          </cell>
          <cell r="E1605" t="str">
            <v>有限公司</v>
          </cell>
          <cell r="R1605" t="b">
            <v>0</v>
          </cell>
          <cell r="S1605" t="str"/>
          <cell r="T1605" t="b">
            <v>0</v>
          </cell>
          <cell r="W1605" t="str"/>
          <cell r="Y1605" t="str"/>
          <cell r="AA1605" t="str"/>
          <cell r="AK1605" t="str">
            <v>L8-07-1</v>
          </cell>
          <cell r="AL1605" t="str">
            <v>1-0162-鎰利&gt;鎰金&gt;鎰加&gt;寄&gt;附發票&gt;2個月匯款</v>
          </cell>
          <cell r="AM1605" t="str">
            <v>1-0162</v>
          </cell>
        </row>
        <row r="1606">
          <cell r="B1606" t="str">
            <v>1-1601</v>
          </cell>
          <cell r="E1606" t="str">
            <v>有限公司</v>
          </cell>
          <cell r="R1606" t="b">
            <v>0</v>
          </cell>
          <cell r="S1606" t="str"/>
          <cell r="T1606" t="b">
            <v>0</v>
          </cell>
          <cell r="W1606" t="str"/>
          <cell r="Y1606" t="str"/>
          <cell r="AA1606" t="str"/>
          <cell r="AK1606" t="str">
            <v>板223</v>
          </cell>
          <cell r="AL1606" t="str">
            <v>1-0162-鎰利&gt;鎰金&gt;鎰加&gt;寄&gt;附發票&gt;2個月匯款</v>
          </cell>
          <cell r="AM1606" t="str">
            <v>1-0162</v>
          </cell>
        </row>
        <row r="1607">
          <cell r="B1607" t="str">
            <v>1-1602</v>
          </cell>
          <cell r="E1607" t="str">
            <v>有限公司</v>
          </cell>
          <cell r="R1607" t="b">
            <v>0</v>
          </cell>
          <cell r="S1607" t="str"/>
          <cell r="T1607" t="b">
            <v>0</v>
          </cell>
          <cell r="W1607" t="str"/>
          <cell r="Y1607" t="str"/>
          <cell r="AA1607" t="str"/>
          <cell r="AK1607" t="str">
            <v>250-TY</v>
          </cell>
          <cell r="AL1607" t="str">
            <v>1-0689-新竹縣寶山鄉公所&gt;寄&gt;附發票&gt;附回郵</v>
          </cell>
          <cell r="AM1607" t="str">
            <v>1-0689</v>
          </cell>
        </row>
        <row r="1608">
          <cell r="B1608" t="str">
            <v>1-1603</v>
          </cell>
          <cell r="E1608" t="str">
            <v>有限公司</v>
          </cell>
          <cell r="R1608" t="b">
            <v>0</v>
          </cell>
          <cell r="S1608" t="str"/>
          <cell r="T1608" t="b">
            <v>0</v>
          </cell>
          <cell r="W1608" t="str"/>
          <cell r="Y1608" t="str"/>
          <cell r="AA1608" t="str"/>
          <cell r="AK1608" t="str">
            <v>7053-VN</v>
          </cell>
          <cell r="AL1608" t="str">
            <v>1-0001-全佑</v>
          </cell>
          <cell r="AM1608" t="str">
            <v>1-0001</v>
          </cell>
        </row>
        <row r="1609">
          <cell r="B1609" t="str">
            <v>1-1604</v>
          </cell>
          <cell r="E1609" t="str">
            <v>有限公司</v>
          </cell>
          <cell r="R1609" t="b">
            <v>0</v>
          </cell>
          <cell r="S1609" t="str"/>
          <cell r="T1609" t="b">
            <v>0</v>
          </cell>
          <cell r="W1609" t="str"/>
          <cell r="Y1609" t="str"/>
          <cell r="AA1609" t="str"/>
          <cell r="AK1609" t="str">
            <v>AHD-7315</v>
          </cell>
          <cell r="AL1609" t="str">
            <v>1-0538-正龍&gt;寄&gt;現結</v>
          </cell>
          <cell r="AM1609" t="str">
            <v>1-0538</v>
          </cell>
        </row>
        <row r="1610">
          <cell r="B1610" t="str">
            <v>1-1605</v>
          </cell>
          <cell r="E1610" t="str">
            <v>有限公司</v>
          </cell>
          <cell r="R1610" t="b">
            <v>0</v>
          </cell>
          <cell r="S1610" t="str"/>
          <cell r="T1610" t="b">
            <v>0</v>
          </cell>
          <cell r="W1610" t="str"/>
          <cell r="Y1610" t="str"/>
          <cell r="AA1610" t="str"/>
          <cell r="AK1610" t="str">
            <v>ER-8622</v>
          </cell>
          <cell r="AL1610" t="str">
            <v>1-0060-源鴻&gt;寄&gt;親收</v>
          </cell>
          <cell r="AM1610" t="str">
            <v>1-0060</v>
          </cell>
        </row>
        <row r="1611">
          <cell r="B1611" t="str">
            <v>1-1606</v>
          </cell>
          <cell r="E1611" t="str">
            <v>有限公司</v>
          </cell>
          <cell r="R1611" t="b">
            <v>0</v>
          </cell>
          <cell r="S1611" t="str"/>
          <cell r="T1611" t="b">
            <v>0</v>
          </cell>
          <cell r="W1611" t="str"/>
          <cell r="Y1611" t="str"/>
          <cell r="AA1611" t="str"/>
          <cell r="AK1611" t="str">
            <v>062-NN</v>
          </cell>
          <cell r="AL1611" t="str">
            <v>1-0122-嘉偉&gt;元美&gt;寄&gt;附發票&gt;附回郵</v>
          </cell>
          <cell r="AM1611" t="str">
            <v>1-0122</v>
          </cell>
        </row>
        <row r="1612">
          <cell r="B1612" t="str">
            <v>1-1607</v>
          </cell>
          <cell r="E1612" t="str">
            <v>有限公司</v>
          </cell>
          <cell r="R1612" t="b">
            <v>0</v>
          </cell>
          <cell r="S1612" t="str"/>
          <cell r="T1612" t="b">
            <v>0</v>
          </cell>
          <cell r="W1612" t="str"/>
          <cell r="Y1612" t="str"/>
          <cell r="AA1612" t="str"/>
          <cell r="AK1612" t="str">
            <v>L6-07-1</v>
          </cell>
          <cell r="AL1612" t="str">
            <v>1-0162-鎰利&gt;鎰金&gt;鎰加&gt;寄&gt;附發票&gt;2個月匯款</v>
          </cell>
          <cell r="AM1612" t="str">
            <v>1-0162</v>
          </cell>
        </row>
        <row r="1613">
          <cell r="B1613" t="str">
            <v>1-1608</v>
          </cell>
          <cell r="E1613" t="str">
            <v>有限公司</v>
          </cell>
          <cell r="R1613" t="b">
            <v>0</v>
          </cell>
          <cell r="S1613" t="str"/>
          <cell r="T1613" t="b">
            <v>0</v>
          </cell>
          <cell r="W1613" t="str"/>
          <cell r="Y1613" t="str"/>
          <cell r="AA1613" t="str"/>
          <cell r="AK1613" t="str">
            <v>LX-4277</v>
          </cell>
          <cell r="AL1613" t="str">
            <v>1-0590-電機葆&gt;張正葆&gt;寄&gt;自結</v>
          </cell>
          <cell r="AM1613" t="str">
            <v>1-0590</v>
          </cell>
        </row>
        <row r="1614">
          <cell r="B1614" t="str">
            <v>1-1609</v>
          </cell>
          <cell r="E1614" t="str">
            <v>有限公司</v>
          </cell>
          <cell r="R1614" t="b">
            <v>0</v>
          </cell>
          <cell r="S1614" t="str"/>
          <cell r="T1614" t="b">
            <v>0</v>
          </cell>
          <cell r="W1614" t="str"/>
          <cell r="Y1614" t="str"/>
          <cell r="AA1614" t="str"/>
          <cell r="AK1614" t="str">
            <v>ABQ-8255</v>
          </cell>
          <cell r="AL1614" t="str">
            <v>1-0021-毅和&gt;寄&gt;附發票&gt;附回郵</v>
          </cell>
          <cell r="AM1614" t="str">
            <v>1-0021</v>
          </cell>
        </row>
        <row r="1615">
          <cell r="B1615" t="str">
            <v>1-1610</v>
          </cell>
          <cell r="E1615" t="str">
            <v>有限公司</v>
          </cell>
          <cell r="R1615" t="b">
            <v>0</v>
          </cell>
          <cell r="S1615" t="str"/>
          <cell r="T1615" t="b">
            <v>0</v>
          </cell>
          <cell r="W1615" t="str"/>
          <cell r="Y1615" t="str"/>
          <cell r="AA1615" t="str"/>
          <cell r="AK1615" t="str">
            <v>5476-GG</v>
          </cell>
          <cell r="AL1615" t="str">
            <v>1-0446-全家福&gt;寄&gt;附發票&gt;二個月匯款</v>
          </cell>
          <cell r="AM1615" t="str">
            <v>1-0446</v>
          </cell>
        </row>
        <row r="1616">
          <cell r="B1616" t="str">
            <v>1-1611</v>
          </cell>
          <cell r="E1616" t="str">
            <v>有限公司</v>
          </cell>
          <cell r="R1616" t="b">
            <v>0</v>
          </cell>
          <cell r="S1616" t="str"/>
          <cell r="T1616" t="b">
            <v>0</v>
          </cell>
          <cell r="W1616" t="str"/>
          <cell r="Y1616" t="str"/>
          <cell r="AA1616" t="str"/>
          <cell r="AK1616" t="str">
            <v>KLA-9735</v>
          </cell>
          <cell r="AL1616" t="str">
            <v>1-0162-鎰利&gt;鎰金&gt;鎰加&gt;寄&gt;附發票&gt;2個月匯款</v>
          </cell>
          <cell r="AM1616" t="str">
            <v>1-0162</v>
          </cell>
        </row>
        <row r="1617">
          <cell r="B1617" t="str">
            <v>1-1612</v>
          </cell>
          <cell r="E1617" t="str">
            <v>有限公司</v>
          </cell>
          <cell r="R1617" t="b">
            <v>0</v>
          </cell>
          <cell r="S1617" t="str"/>
          <cell r="T1617" t="b">
            <v>0</v>
          </cell>
          <cell r="W1617" t="str"/>
          <cell r="Y1617" t="str"/>
          <cell r="AA1617" t="str"/>
          <cell r="AK1617" t="str">
            <v>HAA-3068</v>
          </cell>
          <cell r="AL1617" t="str">
            <v>1-0660-竹新.頂烽&gt;寄&gt;附發票&gt;匯款</v>
          </cell>
          <cell r="AM1617" t="str">
            <v>1-0660</v>
          </cell>
        </row>
        <row r="1618">
          <cell r="B1618" t="str">
            <v>1-1613</v>
          </cell>
          <cell r="E1618" t="str">
            <v>有限公司</v>
          </cell>
          <cell r="R1618" t="b">
            <v>0</v>
          </cell>
          <cell r="S1618" t="str"/>
          <cell r="T1618" t="b">
            <v>0</v>
          </cell>
          <cell r="W1618" t="str"/>
          <cell r="Y1618" t="str"/>
          <cell r="AA1618" t="str"/>
          <cell r="AK1618" t="str">
            <v>HAA-3023</v>
          </cell>
          <cell r="AL1618" t="str">
            <v>1-0660-竹新.頂烽&gt;寄&gt;附發票&gt;匯款</v>
          </cell>
          <cell r="AM1618" t="str">
            <v>1-0660</v>
          </cell>
        </row>
        <row r="1619">
          <cell r="B1619" t="str">
            <v>1-1614</v>
          </cell>
          <cell r="E1619" t="str">
            <v>有限公司</v>
          </cell>
          <cell r="R1619" t="b">
            <v>0</v>
          </cell>
          <cell r="S1619" t="str"/>
          <cell r="T1619" t="b">
            <v>0</v>
          </cell>
          <cell r="W1619" t="str"/>
          <cell r="Y1619" t="str"/>
          <cell r="AA1619" t="str"/>
          <cell r="AK1619" t="str">
            <v>ALQ-8196</v>
          </cell>
          <cell r="AL1619" t="str">
            <v>1-0021-毅和&gt;寄&gt;附發票&gt;附回郵</v>
          </cell>
          <cell r="AM1619" t="str">
            <v>1-0021</v>
          </cell>
        </row>
        <row r="1620">
          <cell r="B1620" t="str">
            <v>1-1615</v>
          </cell>
          <cell r="E1620" t="str">
            <v>有限公司</v>
          </cell>
          <cell r="R1620" t="b">
            <v>0</v>
          </cell>
          <cell r="S1620" t="str"/>
          <cell r="T1620" t="b">
            <v>0</v>
          </cell>
          <cell r="W1620" t="str"/>
          <cell r="Y1620" t="str"/>
          <cell r="AA1620" t="str"/>
          <cell r="AK1620" t="str">
            <v>L6-06-1</v>
          </cell>
          <cell r="AL1620" t="str">
            <v>1-0162-鎰利&gt;鎰金&gt;鎰加&gt;寄&gt;附發票&gt;2個月匯款</v>
          </cell>
          <cell r="AM1620" t="str">
            <v>1-0162</v>
          </cell>
        </row>
        <row r="1621">
          <cell r="B1621" t="str">
            <v>1-1616</v>
          </cell>
          <cell r="E1621" t="str">
            <v>有限公司</v>
          </cell>
          <cell r="R1621" t="b">
            <v>0</v>
          </cell>
          <cell r="S1621" t="str"/>
          <cell r="T1621" t="b">
            <v>0</v>
          </cell>
          <cell r="W1621" t="str"/>
          <cell r="Y1621" t="str"/>
          <cell r="AA1621" t="str"/>
          <cell r="AK1621" t="str">
            <v>ALK-3318</v>
          </cell>
          <cell r="AL1621" t="str">
            <v>1-0469-黃明良&gt;旭東&gt;寄&gt;附發票&gt;附回郵</v>
          </cell>
          <cell r="AM1621" t="str">
            <v>1-0469</v>
          </cell>
        </row>
        <row r="1622">
          <cell r="B1622" t="str">
            <v>1-1617</v>
          </cell>
          <cell r="E1622" t="str">
            <v>有限公司</v>
          </cell>
          <cell r="R1622" t="b">
            <v>0</v>
          </cell>
          <cell r="S1622" t="str"/>
          <cell r="T1622" t="b">
            <v>0</v>
          </cell>
          <cell r="W1622" t="str"/>
          <cell r="Y1622" t="str"/>
          <cell r="AA1622" t="str"/>
          <cell r="AK1622" t="str">
            <v>板82-HB</v>
          </cell>
          <cell r="AL1622" t="str">
            <v>1-0546-慈揚&gt;賴進烈&gt;寄&gt;1個月15號匯款</v>
          </cell>
          <cell r="AM1622" t="str">
            <v>1-0546</v>
          </cell>
        </row>
        <row r="1623">
          <cell r="B1623" t="str">
            <v>1-1618</v>
          </cell>
          <cell r="E1623" t="str">
            <v>有限公司</v>
          </cell>
          <cell r="R1623" t="b">
            <v>0</v>
          </cell>
          <cell r="S1623" t="str"/>
          <cell r="T1623" t="b">
            <v>0</v>
          </cell>
          <cell r="W1623" t="str"/>
          <cell r="Y1623" t="str"/>
          <cell r="AA1623" t="str"/>
          <cell r="AK1623" t="str">
            <v>板51-M6</v>
          </cell>
          <cell r="AL1623" t="str">
            <v>1-0607-(2/2)瑋鎰&gt;寄&gt;附發票&gt;附回郵</v>
          </cell>
          <cell r="AM1623" t="str">
            <v>1-0607</v>
          </cell>
        </row>
        <row r="1624">
          <cell r="B1624" t="str">
            <v>1-1619</v>
          </cell>
          <cell r="E1624" t="str">
            <v>有限公司</v>
          </cell>
          <cell r="R1624" t="b">
            <v>0</v>
          </cell>
          <cell r="S1624" t="str"/>
          <cell r="T1624" t="b">
            <v>0</v>
          </cell>
          <cell r="W1624" t="str"/>
          <cell r="Y1624" t="str"/>
          <cell r="AA1624" t="str"/>
          <cell r="AK1624" t="str">
            <v>069-Q8</v>
          </cell>
          <cell r="AL1624" t="str">
            <v>1-0658-順同&gt;尚泰行.弘舜&gt;寄&gt;附發票&gt;附回郵</v>
          </cell>
          <cell r="AM1624" t="str">
            <v>1-0658</v>
          </cell>
        </row>
        <row r="1625">
          <cell r="B1625" t="str">
            <v>1-1620</v>
          </cell>
          <cell r="E1625" t="str">
            <v>有限公司</v>
          </cell>
          <cell r="R1625" t="b">
            <v>0</v>
          </cell>
          <cell r="S1625" t="str"/>
          <cell r="T1625" t="b">
            <v>0</v>
          </cell>
          <cell r="W1625" t="str"/>
          <cell r="Y1625" t="str"/>
          <cell r="AA1625" t="str"/>
          <cell r="AK1625" t="str">
            <v>MG-8452</v>
          </cell>
          <cell r="AL1625" t="str">
            <v>1-0004-(1/3)長增&gt;寄&gt;附發票&gt;匯款&gt;現金價</v>
          </cell>
          <cell r="AM1625" t="str">
            <v>1-0004</v>
          </cell>
        </row>
        <row r="1626">
          <cell r="B1626" t="str">
            <v>1-1621</v>
          </cell>
          <cell r="E1626" t="str">
            <v>有限公司</v>
          </cell>
          <cell r="R1626" t="b">
            <v>0</v>
          </cell>
          <cell r="S1626" t="str"/>
          <cell r="T1626" t="b">
            <v>0</v>
          </cell>
          <cell r="W1626" t="str"/>
          <cell r="Y1626" t="str"/>
          <cell r="AA1626" t="str"/>
          <cell r="AK1626" t="str">
            <v>LAG-021</v>
          </cell>
          <cell r="AL1626" t="str">
            <v>1-0059-金輪&gt;精輪&gt;寄&gt;自結</v>
          </cell>
          <cell r="AM1626" t="str">
            <v>1-0059</v>
          </cell>
        </row>
        <row r="1627">
          <cell r="B1627" t="str">
            <v>1-1622</v>
          </cell>
          <cell r="E1627" t="str">
            <v>有限公司</v>
          </cell>
          <cell r="R1627" t="b">
            <v>0</v>
          </cell>
          <cell r="S1627" t="str"/>
          <cell r="T1627" t="b">
            <v>0</v>
          </cell>
          <cell r="W1627" t="str"/>
          <cell r="Y1627" t="str"/>
          <cell r="AA1627" t="str"/>
          <cell r="AK1627" t="str">
            <v>2306-HN</v>
          </cell>
          <cell r="AL1627" t="str">
            <v>1-0060-源鴻&gt;寄&gt;親收</v>
          </cell>
          <cell r="AM1627" t="str">
            <v>1-0060</v>
          </cell>
        </row>
        <row r="1628">
          <cell r="B1628" t="str">
            <v>1-1623</v>
          </cell>
          <cell r="E1628" t="str">
            <v>有限公司</v>
          </cell>
          <cell r="R1628" t="b">
            <v>0</v>
          </cell>
          <cell r="S1628" t="str"/>
          <cell r="T1628" t="b">
            <v>0</v>
          </cell>
          <cell r="W1628" t="str"/>
          <cell r="Y1628" t="str"/>
          <cell r="AA1628" t="str"/>
          <cell r="AK1628" t="str">
            <v>361-M3</v>
          </cell>
          <cell r="AL1628" t="str">
            <v>1-0062-至懋&gt;寄&gt;附發票&gt;附回郵</v>
          </cell>
          <cell r="AM1628" t="str">
            <v>1-0062</v>
          </cell>
        </row>
        <row r="1629">
          <cell r="B1629" t="str">
            <v>1-1624</v>
          </cell>
          <cell r="E1629" t="str">
            <v>有限公司</v>
          </cell>
          <cell r="R1629" t="b">
            <v>0</v>
          </cell>
          <cell r="S1629" t="str"/>
          <cell r="T1629" t="b">
            <v>0</v>
          </cell>
          <cell r="W1629" t="str"/>
          <cell r="Y1629" t="str"/>
          <cell r="AA1629" t="str"/>
          <cell r="AK1629" t="str">
            <v>板412</v>
          </cell>
          <cell r="AL1629" t="str">
            <v>1-0162-鎰利&gt;鎰金&gt;鎰加&gt;寄&gt;附發票&gt;2個月匯款</v>
          </cell>
          <cell r="AM1629" t="str">
            <v>1-0162</v>
          </cell>
        </row>
        <row r="1630">
          <cell r="B1630" t="str">
            <v>1-1625</v>
          </cell>
          <cell r="E1630" t="str">
            <v>有限公司</v>
          </cell>
          <cell r="R1630" t="b">
            <v>0</v>
          </cell>
          <cell r="S1630" t="str"/>
          <cell r="T1630" t="b">
            <v>0</v>
          </cell>
          <cell r="W1630" t="str"/>
          <cell r="Y1630" t="str"/>
          <cell r="AA1630" t="str"/>
          <cell r="AK1630" t="str">
            <v>RAL-7358</v>
          </cell>
          <cell r="AL1630" t="str">
            <v>1-0457-合正&gt;寄平信&gt;自結</v>
          </cell>
          <cell r="AM1630" t="str">
            <v>1-0457</v>
          </cell>
        </row>
        <row r="1631">
          <cell r="B1631" t="str">
            <v>1-1626</v>
          </cell>
          <cell r="E1631" t="str">
            <v>有限公司</v>
          </cell>
          <cell r="R1631" t="b">
            <v>0</v>
          </cell>
          <cell r="S1631" t="str"/>
          <cell r="T1631" t="b">
            <v>0</v>
          </cell>
          <cell r="W1631" t="str"/>
          <cell r="Y1631" t="str"/>
          <cell r="AA1631" t="str"/>
          <cell r="AK1631" t="str">
            <v>1972-S6</v>
          </cell>
          <cell r="AL1631" t="str">
            <v>1-0576-弘振&gt;寄&gt;匯款</v>
          </cell>
          <cell r="AM1631" t="str">
            <v>1-0576</v>
          </cell>
        </row>
        <row r="1632">
          <cell r="B1632" t="str">
            <v>1-1627</v>
          </cell>
          <cell r="E1632" t="str">
            <v>有限公司</v>
          </cell>
          <cell r="R1632" t="b">
            <v>0</v>
          </cell>
          <cell r="S1632" t="str"/>
          <cell r="T1632" t="b">
            <v>0</v>
          </cell>
          <cell r="W1632" t="str"/>
          <cell r="Y1632" t="str"/>
          <cell r="AA1632" t="str"/>
          <cell r="AK1632" t="str">
            <v>1717-YS</v>
          </cell>
          <cell r="AL1632" t="str">
            <v>1-0012-益順&gt;寄&gt;附發票&gt;親收</v>
          </cell>
          <cell r="AM1632" t="str">
            <v>1-0012</v>
          </cell>
        </row>
        <row r="1633">
          <cell r="B1633" t="str">
            <v>1-1628</v>
          </cell>
          <cell r="E1633" t="str">
            <v>有限公司</v>
          </cell>
          <cell r="R1633" t="b">
            <v>0</v>
          </cell>
          <cell r="S1633" t="str"/>
          <cell r="T1633" t="b">
            <v>0</v>
          </cell>
          <cell r="W1633" t="str"/>
          <cell r="Y1633" t="str"/>
          <cell r="AA1633" t="str"/>
          <cell r="AK1633" t="str">
            <v>4635-C7</v>
          </cell>
          <cell r="AL1633" t="str">
            <v>1-0176-眾信&gt;寄&gt;附發票&gt;附回郵</v>
          </cell>
          <cell r="AM1633" t="str">
            <v>1-0176</v>
          </cell>
        </row>
        <row r="1634">
          <cell r="B1634" t="str">
            <v>1-1629</v>
          </cell>
          <cell r="E1634" t="str">
            <v>有限公司</v>
          </cell>
          <cell r="R1634" t="b">
            <v>0</v>
          </cell>
          <cell r="S1634" t="str"/>
          <cell r="T1634" t="b">
            <v>0</v>
          </cell>
          <cell r="W1634" t="str"/>
          <cell r="Y1634" t="str"/>
          <cell r="AA1634" t="str"/>
          <cell r="AK1634" t="str">
            <v>916-X7</v>
          </cell>
          <cell r="AL1634" t="str">
            <v>1-0354-志祥通運.普惠&gt;寄&gt;附發票&gt;附回郵</v>
          </cell>
          <cell r="AM1634" t="str">
            <v>1-0354</v>
          </cell>
        </row>
        <row r="1635">
          <cell r="B1635" t="str">
            <v>1-1630</v>
          </cell>
          <cell r="E1635" t="str">
            <v>有限公司</v>
          </cell>
          <cell r="R1635" t="b">
            <v>0</v>
          </cell>
          <cell r="S1635" t="str"/>
          <cell r="T1635" t="b">
            <v>0</v>
          </cell>
          <cell r="W1635" t="str"/>
          <cell r="Y1635" t="str"/>
          <cell r="AA1635" t="str"/>
          <cell r="AK1635" t="str">
            <v>LAJ-713</v>
          </cell>
          <cell r="AL1635" t="str">
            <v>1-0482-楊詩雅&gt;寄&gt;匯款</v>
          </cell>
          <cell r="AM1635" t="str">
            <v>1-0482</v>
          </cell>
        </row>
        <row r="1636">
          <cell r="B1636" t="str">
            <v>1-1631</v>
          </cell>
          <cell r="E1636" t="str">
            <v>有限公司</v>
          </cell>
          <cell r="R1636" t="b">
            <v>0</v>
          </cell>
          <cell r="S1636" t="str"/>
          <cell r="T1636" t="b">
            <v>0</v>
          </cell>
          <cell r="W1636" t="str"/>
          <cell r="Y1636" t="str"/>
          <cell r="AA1636" t="str"/>
          <cell r="AK1636" t="str">
            <v>5157-VW</v>
          </cell>
          <cell r="AL1636" t="str">
            <v>1-0571-賴鼎龍&gt;菱揚&gt;酒空&gt;寄&gt;自結</v>
          </cell>
          <cell r="AM1636" t="str">
            <v>1-0571</v>
          </cell>
        </row>
        <row r="1637">
          <cell r="B1637" t="str">
            <v>1-1632</v>
          </cell>
          <cell r="E1637" t="str">
            <v>有限公司</v>
          </cell>
          <cell r="R1637" t="b">
            <v>0</v>
          </cell>
          <cell r="S1637" t="str"/>
          <cell r="T1637" t="b">
            <v>0</v>
          </cell>
          <cell r="W1637" t="str"/>
          <cell r="Y1637" t="str"/>
          <cell r="AA1637" t="str"/>
          <cell r="AK1637" t="str">
            <v>917-Y7</v>
          </cell>
          <cell r="AL1637" t="str">
            <v>1-0581-弘喬&gt;寄&gt;附發票&gt;附回郵</v>
          </cell>
          <cell r="AM1637" t="str">
            <v>1-0581</v>
          </cell>
        </row>
        <row r="1638">
          <cell r="B1638" t="str">
            <v>1-1633</v>
          </cell>
          <cell r="E1638" t="str">
            <v>有限公司</v>
          </cell>
          <cell r="R1638" t="b">
            <v>0</v>
          </cell>
          <cell r="S1638" t="str"/>
          <cell r="T1638" t="b">
            <v>0</v>
          </cell>
          <cell r="W1638" t="str"/>
          <cell r="Y1638" t="str"/>
          <cell r="AA1638" t="str"/>
          <cell r="AK1638" t="str">
            <v>289-V6</v>
          </cell>
          <cell r="AL1638" t="str">
            <v>1-0122-嘉偉&gt;元美&gt;寄&gt;附發票&gt;附回郵</v>
          </cell>
          <cell r="AM1638" t="str">
            <v>1-0122</v>
          </cell>
        </row>
        <row r="1639">
          <cell r="B1639" t="str">
            <v>1-1634</v>
          </cell>
          <cell r="E1639" t="str">
            <v>有限公司</v>
          </cell>
          <cell r="R1639" t="b">
            <v>0</v>
          </cell>
          <cell r="S1639" t="str"/>
          <cell r="T1639" t="b">
            <v>0</v>
          </cell>
          <cell r="W1639" t="str"/>
          <cell r="Y1639" t="str"/>
          <cell r="AA1639" t="str"/>
          <cell r="AK1639" t="str">
            <v>L7-06-1</v>
          </cell>
          <cell r="AL1639" t="str">
            <v>1-0162-鎰利&gt;鎰金&gt;鎰加&gt;寄&gt;附發票&gt;2個月匯款</v>
          </cell>
          <cell r="AM1639" t="str">
            <v>1-0162</v>
          </cell>
        </row>
        <row r="1640">
          <cell r="B1640" t="str">
            <v>1-1635</v>
          </cell>
          <cell r="E1640" t="str">
            <v>有限公司</v>
          </cell>
          <cell r="R1640" t="b">
            <v>0</v>
          </cell>
          <cell r="S1640" t="str"/>
          <cell r="T1640" t="b">
            <v>0</v>
          </cell>
          <cell r="W1640" t="str"/>
          <cell r="Y1640" t="str"/>
          <cell r="AA1640" t="str"/>
          <cell r="AK1640" t="str">
            <v>530-UH</v>
          </cell>
          <cell r="AL1640" t="str">
            <v>1-0217-劉見利&gt;昌盛&gt;寄平信&gt;自結</v>
          </cell>
          <cell r="AM1640" t="str">
            <v>1-0217</v>
          </cell>
        </row>
        <row r="1641">
          <cell r="B1641" t="str">
            <v>1-1636</v>
          </cell>
          <cell r="E1641" t="str">
            <v>有限公司</v>
          </cell>
          <cell r="R1641" t="b">
            <v>0</v>
          </cell>
          <cell r="S1641" t="str"/>
          <cell r="T1641" t="b">
            <v>0</v>
          </cell>
          <cell r="W1641" t="str"/>
          <cell r="Y1641" t="str"/>
          <cell r="AA1641" t="str"/>
          <cell r="AK1641" t="str">
            <v>5127-F3</v>
          </cell>
          <cell r="AL1641" t="str">
            <v>1-0354-志祥通運.普惠&gt;寄&gt;附發票&gt;附回郵</v>
          </cell>
          <cell r="AM1641" t="str">
            <v>1-0354</v>
          </cell>
        </row>
        <row r="1642">
          <cell r="B1642" t="str">
            <v>1-1637</v>
          </cell>
          <cell r="E1642" t="str">
            <v>有限公司</v>
          </cell>
          <cell r="R1642" t="b">
            <v>0</v>
          </cell>
          <cell r="S1642" t="str"/>
          <cell r="T1642" t="b">
            <v>0</v>
          </cell>
          <cell r="W1642" t="str"/>
          <cell r="Y1642" t="str"/>
          <cell r="AA1642" t="str"/>
          <cell r="AK1642" t="str">
            <v>931-W8</v>
          </cell>
          <cell r="AL1642" t="str">
            <v>1-0354-志祥通運.普惠&gt;寄&gt;附發票&gt;附回郵</v>
          </cell>
          <cell r="AM1642" t="str">
            <v>1-0354</v>
          </cell>
        </row>
        <row r="1643">
          <cell r="B1643" t="str">
            <v>1-1638</v>
          </cell>
          <cell r="E1643" t="str">
            <v>有限公司</v>
          </cell>
          <cell r="R1643" t="b">
            <v>0</v>
          </cell>
          <cell r="S1643" t="str"/>
          <cell r="T1643" t="b">
            <v>0</v>
          </cell>
          <cell r="W1643" t="str"/>
          <cell r="Y1643" t="str"/>
          <cell r="AA1643" t="str"/>
          <cell r="AK1643" t="str">
            <v>ALF-7086</v>
          </cell>
          <cell r="AL1643" t="str">
            <v>1-0391-邱政義&gt;寄&gt;自結</v>
          </cell>
          <cell r="AM1643" t="str">
            <v>1-0391</v>
          </cell>
        </row>
        <row r="1644">
          <cell r="B1644" t="str">
            <v>1-1639</v>
          </cell>
          <cell r="E1644" t="str">
            <v>有限公司</v>
          </cell>
          <cell r="R1644" t="b">
            <v>0</v>
          </cell>
          <cell r="S1644" t="str"/>
          <cell r="T1644" t="b">
            <v>0</v>
          </cell>
          <cell r="W1644" t="str"/>
          <cell r="Y1644" t="str"/>
          <cell r="AA1644" t="str"/>
          <cell r="AK1644" t="str">
            <v>弘振小山猫</v>
          </cell>
          <cell r="AL1644" t="str">
            <v>1-0576-弘振&gt;寄&gt;匯款</v>
          </cell>
          <cell r="AM1644" t="str">
            <v>1-0576</v>
          </cell>
        </row>
        <row r="1645">
          <cell r="B1645" t="str">
            <v>1-1640</v>
          </cell>
          <cell r="E1645" t="str">
            <v>有限公司</v>
          </cell>
          <cell r="R1645" t="b">
            <v>0</v>
          </cell>
          <cell r="S1645" t="str"/>
          <cell r="T1645" t="b">
            <v>0</v>
          </cell>
          <cell r="W1645" t="str"/>
          <cell r="Y1645" t="str"/>
          <cell r="AA1645" t="str"/>
          <cell r="AK1645" t="str">
            <v>251-TY</v>
          </cell>
          <cell r="AL1645" t="str">
            <v>1-0689-新竹縣寶山鄉公所&gt;寄&gt;附發票&gt;附回郵</v>
          </cell>
          <cell r="AM1645" t="str">
            <v>1-0689</v>
          </cell>
        </row>
        <row r="1646">
          <cell r="B1646" t="str">
            <v>1-1641</v>
          </cell>
          <cell r="E1646" t="str">
            <v>有限公司</v>
          </cell>
          <cell r="R1646" t="b">
            <v>0</v>
          </cell>
          <cell r="S1646" t="str"/>
          <cell r="T1646" t="b">
            <v>0</v>
          </cell>
          <cell r="W1646" t="str"/>
          <cell r="Y1646" t="str"/>
          <cell r="AA1646" t="str"/>
          <cell r="AK1646" t="str">
            <v>BBW-6062</v>
          </cell>
          <cell r="AL1646" t="str">
            <v>1-0215-慶豐金紙&gt;盈順&gt;寄&gt;附回郵</v>
          </cell>
          <cell r="AM1646" t="str">
            <v>1-0215</v>
          </cell>
        </row>
        <row r="1647">
          <cell r="B1647" t="str">
            <v>1-1642</v>
          </cell>
          <cell r="E1647" t="str">
            <v>有限公司</v>
          </cell>
          <cell r="R1647" t="b">
            <v>0</v>
          </cell>
          <cell r="S1647" t="str"/>
          <cell r="T1647" t="b">
            <v>0</v>
          </cell>
          <cell r="W1647" t="str"/>
          <cell r="Y1647" t="str"/>
          <cell r="AA1647" t="str"/>
          <cell r="AK1647" t="str">
            <v>717-JD</v>
          </cell>
          <cell r="AL1647" t="str">
            <v>1-0354-志祥通運.普惠&gt;寄&gt;附發票&gt;附回郵</v>
          </cell>
          <cell r="AM1647" t="str">
            <v>1-0354</v>
          </cell>
        </row>
        <row r="1648">
          <cell r="B1648" t="str">
            <v>1-1643</v>
          </cell>
          <cell r="E1648" t="str">
            <v>有限公司</v>
          </cell>
          <cell r="R1648" t="b">
            <v>0</v>
          </cell>
          <cell r="S1648" t="str"/>
          <cell r="T1648" t="b">
            <v>0</v>
          </cell>
          <cell r="W1648" t="str"/>
          <cell r="Y1648" t="str"/>
          <cell r="AA1648" t="str"/>
          <cell r="AK1648" t="str">
            <v>RAZ-6718</v>
          </cell>
          <cell r="AL1648" t="str">
            <v>1-0276-民景&gt;寄&gt;附發票&gt;附回郵</v>
          </cell>
          <cell r="AM1648" t="str">
            <v>1-0276</v>
          </cell>
        </row>
        <row r="1649">
          <cell r="B1649" t="str">
            <v>1-1644</v>
          </cell>
          <cell r="E1649" t="str">
            <v>有限公司</v>
          </cell>
          <cell r="R1649" t="b">
            <v>0</v>
          </cell>
          <cell r="S1649" t="str"/>
          <cell r="T1649" t="b">
            <v>0</v>
          </cell>
          <cell r="W1649" t="str"/>
          <cell r="Y1649" t="str"/>
          <cell r="AA1649" t="str"/>
          <cell r="AK1649" t="str">
            <v>8425-XR</v>
          </cell>
          <cell r="AL1649" t="str">
            <v>1-0004-(1/3)長增&gt;寄&gt;附發票&gt;匯款&gt;現金價</v>
          </cell>
          <cell r="AM1649" t="str">
            <v>1-0004</v>
          </cell>
        </row>
        <row r="1650">
          <cell r="B1650" t="str">
            <v>1-1645</v>
          </cell>
          <cell r="E1650" t="str">
            <v>有限公司</v>
          </cell>
          <cell r="R1650" t="b">
            <v>0</v>
          </cell>
          <cell r="S1650" t="str"/>
          <cell r="T1650" t="b">
            <v>0</v>
          </cell>
          <cell r="W1650" t="str"/>
          <cell r="Y1650" t="str"/>
          <cell r="AA1650" t="str"/>
          <cell r="AK1650" t="str">
            <v>LAE-267</v>
          </cell>
          <cell r="AL1650" t="str">
            <v>1-0046-(1/4)鴻阜&gt;寄&gt;附發票&gt;附回郵</v>
          </cell>
          <cell r="AM1650" t="str">
            <v>1-0046</v>
          </cell>
        </row>
        <row r="1651">
          <cell r="B1651" t="str">
            <v>1-1646</v>
          </cell>
          <cell r="E1651" t="str">
            <v>有限公司</v>
          </cell>
          <cell r="R1651" t="b">
            <v>0</v>
          </cell>
          <cell r="S1651" t="str"/>
          <cell r="T1651" t="b">
            <v>0</v>
          </cell>
          <cell r="W1651" t="str"/>
          <cell r="Y1651" t="str"/>
          <cell r="AA1651" t="str"/>
          <cell r="AK1651" t="str">
            <v>91-W3</v>
          </cell>
          <cell r="AL1651" t="str">
            <v>1-0152-藝豐&gt;寄&gt;附發票</v>
          </cell>
          <cell r="AM1651" t="str">
            <v>1-0152</v>
          </cell>
        </row>
        <row r="1652">
          <cell r="B1652" t="str">
            <v>1-1647</v>
          </cell>
          <cell r="E1652" t="str">
            <v>有限公司</v>
          </cell>
          <cell r="R1652" t="b">
            <v>0</v>
          </cell>
          <cell r="S1652" t="str"/>
          <cell r="T1652" t="b">
            <v>0</v>
          </cell>
          <cell r="W1652" t="str"/>
          <cell r="Y1652" t="str"/>
          <cell r="AA1652" t="str"/>
          <cell r="AK1652" t="str">
            <v>RBT-1891</v>
          </cell>
          <cell r="AL1652" t="str">
            <v>1-0276-民景&gt;寄&gt;附發票&gt;附回郵</v>
          </cell>
          <cell r="AM1652" t="str">
            <v>1-0276</v>
          </cell>
        </row>
        <row r="1653">
          <cell r="B1653" t="str">
            <v>1-1648</v>
          </cell>
          <cell r="E1653" t="str">
            <v>有限公司</v>
          </cell>
          <cell r="R1653" t="b">
            <v>0</v>
          </cell>
          <cell r="S1653" t="str"/>
          <cell r="T1653" t="b">
            <v>0</v>
          </cell>
          <cell r="W1653" t="str"/>
          <cell r="Y1653" t="str"/>
          <cell r="AA1653" t="str"/>
          <cell r="AK1653" t="str">
            <v>217-W8</v>
          </cell>
          <cell r="AL1653" t="str">
            <v>1-0334-廣寶&gt;環亞&gt;正大&gt;寄&gt;附回郵&gt;1個月後匯款</v>
          </cell>
          <cell r="AM1653" t="str">
            <v>1-0334</v>
          </cell>
        </row>
        <row r="1654">
          <cell r="B1654" t="str">
            <v>1-1649</v>
          </cell>
          <cell r="E1654" t="str">
            <v>有限公司</v>
          </cell>
          <cell r="R1654" t="b">
            <v>0</v>
          </cell>
          <cell r="S1654" t="str"/>
          <cell r="T1654" t="b">
            <v>0</v>
          </cell>
          <cell r="W1654" t="str"/>
          <cell r="Y1654" t="str"/>
          <cell r="AA1654" t="str"/>
          <cell r="AK1654" t="str">
            <v>ARQ-5999</v>
          </cell>
          <cell r="AL1654" t="str">
            <v>1-0364-弘翔.東大&gt;寄&gt;附發票&gt;附回郵</v>
          </cell>
          <cell r="AM1654" t="str">
            <v>1-0364</v>
          </cell>
        </row>
        <row r="1655">
          <cell r="B1655" t="str">
            <v>1-1650</v>
          </cell>
          <cell r="E1655" t="str">
            <v>有限公司</v>
          </cell>
          <cell r="R1655" t="b">
            <v>0</v>
          </cell>
          <cell r="S1655" t="str"/>
          <cell r="T1655" t="b">
            <v>0</v>
          </cell>
          <cell r="W1655" t="str"/>
          <cell r="Y1655" t="str"/>
          <cell r="AA1655" t="str"/>
          <cell r="AK1655" t="str">
            <v>KLB-1313</v>
          </cell>
          <cell r="AL1655" t="str">
            <v>1-0620-敏銓&gt;寄&gt;親收</v>
          </cell>
          <cell r="AM1655" t="str">
            <v>1-0620</v>
          </cell>
        </row>
        <row r="1656">
          <cell r="B1656" t="str">
            <v>1-1651</v>
          </cell>
          <cell r="E1656" t="str">
            <v>有限公司</v>
          </cell>
          <cell r="R1656" t="b">
            <v>0</v>
          </cell>
          <cell r="S1656" t="str"/>
          <cell r="T1656" t="b">
            <v>0</v>
          </cell>
          <cell r="W1656" t="str"/>
          <cell r="Y1656" t="str"/>
          <cell r="AA1656" t="str"/>
          <cell r="AK1656" t="str">
            <v>ALF-0251</v>
          </cell>
          <cell r="AL1656" t="str">
            <v>1-0146-佳億塑膠&gt;寄&gt;附發票&gt;附回郵</v>
          </cell>
          <cell r="AM1656" t="str">
            <v>1-0146</v>
          </cell>
        </row>
        <row r="1657">
          <cell r="B1657" t="str">
            <v>1-1652</v>
          </cell>
          <cell r="E1657" t="str">
            <v>有限公司</v>
          </cell>
          <cell r="R1657" t="b">
            <v>0</v>
          </cell>
          <cell r="S1657" t="str"/>
          <cell r="T1657" t="b">
            <v>0</v>
          </cell>
          <cell r="W1657" t="str"/>
          <cell r="Y1657" t="str"/>
          <cell r="AA1657" t="str"/>
          <cell r="AK1657" t="str">
            <v>127-SW</v>
          </cell>
          <cell r="AL1657" t="str">
            <v>1-0693-意鑫&gt;寄&gt;附發票&gt;匯款</v>
          </cell>
          <cell r="AM1657" t="str">
            <v>1-0693</v>
          </cell>
        </row>
        <row r="1658">
          <cell r="B1658" t="str">
            <v>1-1653</v>
          </cell>
          <cell r="E1658" t="str">
            <v>有限公司</v>
          </cell>
          <cell r="R1658" t="b">
            <v>0</v>
          </cell>
          <cell r="S1658" t="str"/>
          <cell r="T1658" t="b">
            <v>0</v>
          </cell>
          <cell r="W1658" t="str"/>
          <cell r="Y1658" t="str"/>
          <cell r="AA1658" t="str"/>
          <cell r="AK1658" t="str">
            <v>1756-HK</v>
          </cell>
          <cell r="AL1658" t="str">
            <v>1-0060-源鴻&gt;寄&gt;親收</v>
          </cell>
          <cell r="AM1658" t="str">
            <v>1-0060</v>
          </cell>
        </row>
        <row r="1659">
          <cell r="B1659" t="str">
            <v>1-1654</v>
          </cell>
          <cell r="E1659" t="str">
            <v>有限公司</v>
          </cell>
          <cell r="R1659" t="b">
            <v>0</v>
          </cell>
          <cell r="S1659" t="str"/>
          <cell r="T1659" t="b">
            <v>0</v>
          </cell>
          <cell r="W1659" t="str"/>
          <cell r="Y1659" t="str"/>
          <cell r="AA1659" t="str"/>
          <cell r="AK1659" t="str">
            <v>9718-VW</v>
          </cell>
          <cell r="AL1659" t="str">
            <v>1-0484-世鑫營造&gt;寄&gt;附發票&gt;2個月匯款</v>
          </cell>
          <cell r="AM1659" t="str">
            <v>1-0484</v>
          </cell>
        </row>
        <row r="1660">
          <cell r="B1660" t="str">
            <v>1-1655</v>
          </cell>
          <cell r="E1660" t="str">
            <v>有限公司</v>
          </cell>
          <cell r="R1660" t="b">
            <v>0</v>
          </cell>
          <cell r="S1660" t="str"/>
          <cell r="T1660" t="b">
            <v>0</v>
          </cell>
          <cell r="W1660" t="str"/>
          <cell r="Y1660" t="str"/>
          <cell r="AA1660" t="str"/>
          <cell r="AK1660" t="str">
            <v>KED-2926</v>
          </cell>
          <cell r="AL1660" t="str">
            <v>1-0489-晉翌&gt;寄&gt;附發票&gt;附回郵</v>
          </cell>
          <cell r="AM1660" t="str">
            <v>1-0489</v>
          </cell>
        </row>
        <row r="1661">
          <cell r="B1661" t="str">
            <v>1-1656</v>
          </cell>
          <cell r="E1661" t="str">
            <v>有限公司</v>
          </cell>
          <cell r="R1661" t="b">
            <v>0</v>
          </cell>
          <cell r="S1661" t="str"/>
          <cell r="T1661" t="b">
            <v>0</v>
          </cell>
          <cell r="W1661" t="str"/>
          <cell r="Y1661" t="str"/>
          <cell r="AA1661" t="str"/>
          <cell r="AK1661" t="str">
            <v>692-G5</v>
          </cell>
          <cell r="AL1661" t="str">
            <v>1-0700-朱金森&gt;松生&gt;寄&gt;自結</v>
          </cell>
          <cell r="AM1661" t="str">
            <v>1-0700</v>
          </cell>
        </row>
        <row r="1662">
          <cell r="B1662" t="str">
            <v>1-1657</v>
          </cell>
          <cell r="E1662" t="str">
            <v>有限公司</v>
          </cell>
          <cell r="R1662" t="b">
            <v>0</v>
          </cell>
          <cell r="S1662" t="str"/>
          <cell r="T1662" t="b">
            <v>0</v>
          </cell>
          <cell r="W1662" t="str"/>
          <cell r="Y1662" t="str"/>
          <cell r="AA1662" t="str"/>
          <cell r="AK1662" t="str">
            <v>816-5A</v>
          </cell>
          <cell r="AL1662" t="str">
            <v>1-0152-藝豐&gt;寄&gt;附發票</v>
          </cell>
          <cell r="AM1662" t="str">
            <v>1-0152</v>
          </cell>
        </row>
        <row r="1663">
          <cell r="B1663" t="str">
            <v>1-1658</v>
          </cell>
          <cell r="E1663" t="str">
            <v>有限公司</v>
          </cell>
          <cell r="R1663" t="b">
            <v>0</v>
          </cell>
          <cell r="S1663" t="str"/>
          <cell r="T1663" t="b">
            <v>0</v>
          </cell>
          <cell r="W1663" t="str"/>
          <cell r="Y1663" t="str"/>
          <cell r="AA1663" t="str"/>
          <cell r="AK1663" t="str">
            <v>L12-04-2</v>
          </cell>
          <cell r="AL1663" t="str">
            <v>1-0162-鎰利&gt;鎰金&gt;鎰加&gt;寄&gt;附發票&gt;2個月匯款</v>
          </cell>
          <cell r="AM1663" t="str">
            <v>1-0162</v>
          </cell>
        </row>
        <row r="1664">
          <cell r="B1664" t="str">
            <v>1-1659</v>
          </cell>
          <cell r="E1664" t="str">
            <v>有限公司</v>
          </cell>
          <cell r="R1664" t="b">
            <v>0</v>
          </cell>
          <cell r="S1664" t="str"/>
          <cell r="T1664" t="b">
            <v>0</v>
          </cell>
          <cell r="W1664" t="str"/>
          <cell r="Y1664" t="str"/>
          <cell r="AA1664" t="str"/>
          <cell r="AK1664" t="str">
            <v>RBC-9690</v>
          </cell>
          <cell r="AL1664" t="str">
            <v>1-0021-毅和&gt;寄&gt;附發票&gt;附回郵</v>
          </cell>
          <cell r="AM1664" t="str">
            <v>1-0021</v>
          </cell>
        </row>
        <row r="1665">
          <cell r="B1665" t="str">
            <v>1-1660</v>
          </cell>
          <cell r="E1665" t="str">
            <v>有限公司</v>
          </cell>
          <cell r="R1665" t="b">
            <v>0</v>
          </cell>
          <cell r="S1665" t="str"/>
          <cell r="T1665" t="b">
            <v>0</v>
          </cell>
          <cell r="W1665" t="str"/>
          <cell r="Y1665" t="str"/>
          <cell r="AA1665" t="str"/>
          <cell r="AK1665" t="str">
            <v>板15-MH</v>
          </cell>
          <cell r="AL1665" t="str">
            <v>1-0162-鎰利&gt;鎰金&gt;鎰加&gt;寄&gt;附發票&gt;2個月匯款</v>
          </cell>
          <cell r="AM1665" t="str">
            <v>1-0162</v>
          </cell>
        </row>
        <row r="1666">
          <cell r="B1666" t="str">
            <v>1-1661</v>
          </cell>
          <cell r="E1666" t="str">
            <v>有限公司</v>
          </cell>
          <cell r="R1666" t="b">
            <v>0</v>
          </cell>
          <cell r="S1666" t="str"/>
          <cell r="T1666" t="b">
            <v>0</v>
          </cell>
          <cell r="W1666" t="str"/>
          <cell r="Y1666" t="str"/>
          <cell r="AA1666" t="str"/>
          <cell r="AK1666" t="str">
            <v>ZY-062</v>
          </cell>
          <cell r="AL1666" t="str">
            <v>1-0019-福雄&gt;寄&gt;附發票&gt;附回郵</v>
          </cell>
          <cell r="AM1666" t="str">
            <v>1-0019</v>
          </cell>
        </row>
        <row r="1667">
          <cell r="B1667" t="str">
            <v>1-1662</v>
          </cell>
          <cell r="E1667" t="str">
            <v>有限公司</v>
          </cell>
          <cell r="R1667" t="b">
            <v>0</v>
          </cell>
          <cell r="S1667" t="str"/>
          <cell r="T1667" t="b">
            <v>0</v>
          </cell>
          <cell r="W1667" t="str"/>
          <cell r="Y1667" t="str"/>
          <cell r="AA1667" t="str"/>
          <cell r="AK1667" t="str">
            <v>7452-HS</v>
          </cell>
          <cell r="AL1667" t="str">
            <v>1-0315-簡錦郎&gt;松生&gt;寄&gt;附回郵</v>
          </cell>
          <cell r="AM1667" t="str">
            <v>1-0315</v>
          </cell>
        </row>
        <row r="1668">
          <cell r="B1668" t="str">
            <v>1-1663</v>
          </cell>
          <cell r="E1668" t="str">
            <v>有限公司</v>
          </cell>
          <cell r="R1668" t="b">
            <v>0</v>
          </cell>
          <cell r="S1668" t="str"/>
          <cell r="T1668" t="b">
            <v>0</v>
          </cell>
          <cell r="W1668" t="str"/>
          <cell r="Y1668" t="str"/>
          <cell r="AA1668" t="str"/>
          <cell r="AK1668" t="str">
            <v>7072-HL</v>
          </cell>
          <cell r="AL1668" t="str">
            <v>1-0590-電機葆&gt;張正葆&gt;寄&gt;自結</v>
          </cell>
          <cell r="AM1668" t="str">
            <v>1-0590</v>
          </cell>
        </row>
        <row r="1669">
          <cell r="B1669" t="str">
            <v>1-1664</v>
          </cell>
          <cell r="E1669" t="str">
            <v>有限公司</v>
          </cell>
          <cell r="R1669" t="b">
            <v>0</v>
          </cell>
          <cell r="S1669" t="str"/>
          <cell r="T1669" t="b">
            <v>0</v>
          </cell>
          <cell r="W1669" t="str"/>
          <cell r="Y1669" t="str"/>
          <cell r="AA1669" t="str"/>
          <cell r="AK1669" t="str">
            <v>LAE-250</v>
          </cell>
          <cell r="AL1669" t="str">
            <v>1-0046-(1/4)鴻阜&gt;寄&gt;附發票&gt;附回郵</v>
          </cell>
          <cell r="AM1669" t="str">
            <v>1-0046</v>
          </cell>
        </row>
        <row r="1670">
          <cell r="B1670" t="str">
            <v>1-1665</v>
          </cell>
          <cell r="E1670" t="str">
            <v>有限公司</v>
          </cell>
          <cell r="R1670" t="b">
            <v>0</v>
          </cell>
          <cell r="S1670" t="str"/>
          <cell r="T1670" t="b">
            <v>0</v>
          </cell>
          <cell r="W1670" t="str"/>
          <cell r="Y1670" t="str"/>
          <cell r="AA1670" t="str"/>
          <cell r="AK1670" t="str">
            <v>6266-TX</v>
          </cell>
          <cell r="AL1670" t="str">
            <v>1-0176-眾信&gt;寄&gt;附發票&gt;附回郵</v>
          </cell>
          <cell r="AM1670" t="str">
            <v>1-0176</v>
          </cell>
        </row>
        <row r="1671">
          <cell r="B1671" t="str">
            <v>1-1666</v>
          </cell>
          <cell r="E1671" t="str">
            <v>有限公司</v>
          </cell>
          <cell r="R1671" t="b">
            <v>0</v>
          </cell>
          <cell r="S1671" t="str"/>
          <cell r="T1671" t="b">
            <v>0</v>
          </cell>
          <cell r="W1671" t="str"/>
          <cell r="Y1671" t="str"/>
          <cell r="AA1671" t="str"/>
          <cell r="AK1671" t="str">
            <v>671-RW</v>
          </cell>
          <cell r="AL1671" t="str">
            <v>1-0694-永發&gt;寄&gt;附發票&gt;附回郵</v>
          </cell>
          <cell r="AM1671" t="str">
            <v>1-0694</v>
          </cell>
        </row>
        <row r="1672">
          <cell r="B1672" t="str">
            <v>1-1667</v>
          </cell>
          <cell r="E1672" t="str">
            <v>有限公司</v>
          </cell>
          <cell r="R1672" t="b">
            <v>0</v>
          </cell>
          <cell r="S1672" t="str"/>
          <cell r="T1672" t="b">
            <v>0</v>
          </cell>
          <cell r="W1672" t="str"/>
          <cell r="Y1672" t="str"/>
          <cell r="AA1672" t="str"/>
          <cell r="AK1672" t="str">
            <v>KLB-0161</v>
          </cell>
          <cell r="AL1672" t="str">
            <v>1-0406-天翔&gt;寄平信&gt;自結</v>
          </cell>
          <cell r="AM1672" t="str">
            <v>1-0406</v>
          </cell>
        </row>
        <row r="1673">
          <cell r="B1673" t="str">
            <v>1-1668</v>
          </cell>
          <cell r="E1673" t="str">
            <v>有限公司</v>
          </cell>
          <cell r="R1673" t="b">
            <v>0</v>
          </cell>
          <cell r="S1673" t="str"/>
          <cell r="T1673" t="b">
            <v>0</v>
          </cell>
          <cell r="W1673" t="str"/>
          <cell r="Y1673" t="str"/>
          <cell r="AA1673" t="str"/>
          <cell r="AK1673" t="str">
            <v>113-W6</v>
          </cell>
          <cell r="AL1673" t="str">
            <v>1-0620-敏銓&gt;寄&gt;親收</v>
          </cell>
          <cell r="AM1673" t="str">
            <v>1-0620</v>
          </cell>
        </row>
        <row r="1674">
          <cell r="B1674" t="str">
            <v>1-1669</v>
          </cell>
          <cell r="E1674" t="str">
            <v>有限公司</v>
          </cell>
          <cell r="R1674" t="b">
            <v>0</v>
          </cell>
          <cell r="S1674" t="str"/>
          <cell r="T1674" t="b">
            <v>0</v>
          </cell>
          <cell r="W1674" t="str"/>
          <cell r="Y1674" t="str"/>
          <cell r="AA1674" t="str"/>
          <cell r="AK1674" t="str">
            <v>AJM-9100</v>
          </cell>
          <cell r="AL1674" t="str">
            <v>1-0111-泳壯&gt;寄&gt;附發票&gt;附回郵</v>
          </cell>
          <cell r="AM1674" t="str">
            <v>1-0111</v>
          </cell>
        </row>
        <row r="1675">
          <cell r="B1675" t="str">
            <v>1-1670</v>
          </cell>
          <cell r="E1675" t="str">
            <v>有限公司</v>
          </cell>
          <cell r="R1675" t="b">
            <v>0</v>
          </cell>
          <cell r="S1675" t="str"/>
          <cell r="T1675" t="b">
            <v>0</v>
          </cell>
          <cell r="W1675" t="str"/>
          <cell r="Y1675" t="str"/>
          <cell r="AA1675" t="str"/>
          <cell r="AK1675" t="str">
            <v>470-G6</v>
          </cell>
          <cell r="AL1675" t="str">
            <v>1-0658-順同&gt;尚泰行.弘舜&gt;寄&gt;附發票&gt;附回郵</v>
          </cell>
          <cell r="AM1675" t="str">
            <v>1-0658</v>
          </cell>
        </row>
        <row r="1676">
          <cell r="B1676" t="str">
            <v>1-1671</v>
          </cell>
          <cell r="E1676" t="str">
            <v>有限公司</v>
          </cell>
          <cell r="R1676" t="b">
            <v>0</v>
          </cell>
          <cell r="S1676" t="str"/>
          <cell r="T1676" t="b">
            <v>0</v>
          </cell>
          <cell r="W1676" t="str"/>
          <cell r="Y1676" t="str"/>
          <cell r="AA1676" t="str"/>
          <cell r="AK1676" t="str">
            <v>012-R9</v>
          </cell>
          <cell r="AL1676" t="str">
            <v>1-0689-新竹縣寶山鄉公所&gt;寄&gt;附發票&gt;附回郵</v>
          </cell>
          <cell r="AM1676" t="str">
            <v>1-0689</v>
          </cell>
        </row>
        <row r="1677">
          <cell r="B1677" t="str">
            <v>1-1672</v>
          </cell>
          <cell r="E1677" t="str">
            <v>有限公司</v>
          </cell>
          <cell r="R1677" t="b">
            <v>0</v>
          </cell>
          <cell r="S1677" t="str"/>
          <cell r="T1677" t="b">
            <v>0</v>
          </cell>
          <cell r="W1677" t="str"/>
          <cell r="Y1677" t="str"/>
          <cell r="AA1677" t="str"/>
          <cell r="AK1677" t="str">
            <v>AFK-9100</v>
          </cell>
          <cell r="AL1677" t="str">
            <v>1-0001-全佑</v>
          </cell>
          <cell r="AM1677" t="str">
            <v>1-0001</v>
          </cell>
        </row>
        <row r="1678">
          <cell r="B1678" t="str">
            <v>1-1673</v>
          </cell>
          <cell r="E1678" t="str">
            <v>有限公司</v>
          </cell>
          <cell r="R1678" t="b">
            <v>0</v>
          </cell>
          <cell r="S1678" t="str"/>
          <cell r="T1678" t="b">
            <v>0</v>
          </cell>
          <cell r="W1678" t="str"/>
          <cell r="Y1678" t="str"/>
          <cell r="AA1678" t="str"/>
          <cell r="AK1678" t="str">
            <v>862-JD</v>
          </cell>
          <cell r="AL1678" t="str">
            <v>1-0006-(3/3)長呈&gt;寄&gt;附發票&gt;附回郵</v>
          </cell>
          <cell r="AM1678" t="str">
            <v>1-0006</v>
          </cell>
        </row>
        <row r="1679">
          <cell r="B1679" t="str">
            <v>1-1674</v>
          </cell>
          <cell r="E1679" t="str">
            <v>有限公司</v>
          </cell>
          <cell r="R1679" t="b">
            <v>0</v>
          </cell>
          <cell r="S1679" t="str"/>
          <cell r="T1679" t="b">
            <v>0</v>
          </cell>
          <cell r="W1679" t="str"/>
          <cell r="Y1679" t="str"/>
          <cell r="AA1679" t="str"/>
          <cell r="AK1679" t="str">
            <v>0161-FT</v>
          </cell>
          <cell r="AL1679" t="str">
            <v>1-0060-源鴻&gt;寄&gt;親收</v>
          </cell>
          <cell r="AM1679" t="str">
            <v>1-0060</v>
          </cell>
        </row>
        <row r="1680">
          <cell r="B1680" t="str">
            <v>1-1675</v>
          </cell>
          <cell r="E1680" t="str">
            <v>有限公司</v>
          </cell>
          <cell r="R1680" t="b">
            <v>0</v>
          </cell>
          <cell r="S1680" t="str"/>
          <cell r="T1680" t="b">
            <v>0</v>
          </cell>
          <cell r="W1680" t="str"/>
          <cell r="Y1680" t="str"/>
          <cell r="AA1680" t="str"/>
          <cell r="AK1680" t="str">
            <v>1491-U2</v>
          </cell>
          <cell r="AL1680" t="str">
            <v>1-0060-源鴻&gt;寄&gt;親收</v>
          </cell>
          <cell r="AM1680" t="str">
            <v>1-0060</v>
          </cell>
        </row>
        <row r="1681">
          <cell r="B1681" t="str">
            <v>1-1676</v>
          </cell>
          <cell r="E1681" t="str">
            <v>有限公司</v>
          </cell>
          <cell r="R1681" t="b">
            <v>0</v>
          </cell>
          <cell r="S1681" t="str"/>
          <cell r="T1681" t="b">
            <v>0</v>
          </cell>
          <cell r="W1681" t="str"/>
          <cell r="Y1681" t="str"/>
          <cell r="AA1681" t="str"/>
          <cell r="AK1681" t="str">
            <v>LS-92</v>
          </cell>
          <cell r="AL1681" t="str">
            <v>1-0226-昶宏&gt;寄&gt;附回郵</v>
          </cell>
          <cell r="AM1681" t="str">
            <v>1-0226</v>
          </cell>
        </row>
        <row r="1682">
          <cell r="B1682" t="str">
            <v>1-1677</v>
          </cell>
          <cell r="E1682" t="str">
            <v>有限公司</v>
          </cell>
          <cell r="R1682" t="b">
            <v>0</v>
          </cell>
          <cell r="S1682" t="str"/>
          <cell r="T1682" t="b">
            <v>0</v>
          </cell>
          <cell r="W1682" t="str"/>
          <cell r="Y1682" t="str"/>
          <cell r="AA1682" t="str"/>
          <cell r="AK1682" t="str">
            <v>AKQ-6558</v>
          </cell>
          <cell r="AL1682" t="str">
            <v>1-0610-恆陽&gt;聯鋮&gt;寄&gt;附發票&gt;附回郵</v>
          </cell>
          <cell r="AM1682" t="str">
            <v>1-0610</v>
          </cell>
        </row>
        <row r="1683">
          <cell r="B1683" t="str">
            <v>1-1678</v>
          </cell>
          <cell r="E1683" t="str">
            <v>有限公司</v>
          </cell>
          <cell r="R1683" t="b">
            <v>0</v>
          </cell>
          <cell r="S1683" t="str"/>
          <cell r="T1683" t="b">
            <v>0</v>
          </cell>
          <cell r="W1683" t="str"/>
          <cell r="Y1683" t="str"/>
          <cell r="AA1683" t="str"/>
          <cell r="AK1683" t="str">
            <v>770-Y3</v>
          </cell>
          <cell r="AL1683" t="str">
            <v>1-0210-葉水發&gt;志松&gt;寄平信&gt;自結</v>
          </cell>
          <cell r="AM1683" t="str">
            <v>1-0210</v>
          </cell>
        </row>
        <row r="1684">
          <cell r="B1684" t="str">
            <v>1-1679</v>
          </cell>
          <cell r="E1684" t="str">
            <v>有限公司</v>
          </cell>
          <cell r="R1684" t="b">
            <v>0</v>
          </cell>
          <cell r="S1684" t="str"/>
          <cell r="T1684" t="b">
            <v>0</v>
          </cell>
          <cell r="W1684" t="str"/>
          <cell r="Y1684" t="str"/>
          <cell r="AA1684" t="str"/>
          <cell r="AK1684" t="str">
            <v>LU-1689</v>
          </cell>
          <cell r="AL1684" t="str">
            <v>1-0513-百飛.最安逸.天朝&gt;寄&gt;附發票&gt;自結</v>
          </cell>
          <cell r="AM1684" t="str">
            <v>1-0513</v>
          </cell>
        </row>
        <row r="1685">
          <cell r="B1685" t="str">
            <v>1-1680</v>
          </cell>
          <cell r="E1685" t="str">
            <v>有限公司</v>
          </cell>
          <cell r="R1685" t="b">
            <v>0</v>
          </cell>
          <cell r="S1685" t="str"/>
          <cell r="T1685" t="b">
            <v>0</v>
          </cell>
          <cell r="W1685" t="str"/>
          <cell r="Y1685" t="str"/>
          <cell r="AA1685" t="str"/>
          <cell r="AK1685" t="str">
            <v>66-WP</v>
          </cell>
          <cell r="AL1685" t="str">
            <v>1-0540-聯興&gt;葉秀禮&gt;寄平信&gt;自結</v>
          </cell>
          <cell r="AM1685" t="str">
            <v>1-0540</v>
          </cell>
        </row>
        <row r="1686">
          <cell r="B1686" t="str">
            <v>1-1681</v>
          </cell>
          <cell r="E1686" t="str">
            <v>有限公司</v>
          </cell>
          <cell r="R1686" t="b">
            <v>0</v>
          </cell>
          <cell r="S1686" t="str"/>
          <cell r="T1686" t="b">
            <v>0</v>
          </cell>
          <cell r="W1686" t="str"/>
          <cell r="Y1686" t="str"/>
          <cell r="AA1686" t="str"/>
          <cell r="AK1686" t="str">
            <v>481-Q2</v>
          </cell>
          <cell r="AL1686" t="str">
            <v>1-0690-洽隆&gt;寄&gt;附發票&gt;匯款</v>
          </cell>
          <cell r="AM1686" t="str">
            <v>1-0690</v>
          </cell>
        </row>
        <row r="1687">
          <cell r="B1687" t="str">
            <v>1-1682</v>
          </cell>
          <cell r="E1687" t="str">
            <v>有限公司</v>
          </cell>
          <cell r="R1687" t="b">
            <v>0</v>
          </cell>
          <cell r="S1687" t="str"/>
          <cell r="T1687" t="b">
            <v>0</v>
          </cell>
          <cell r="W1687" t="str"/>
          <cell r="Y1687" t="str"/>
          <cell r="AA1687" t="str"/>
          <cell r="AK1687" t="str">
            <v>RS-650</v>
          </cell>
          <cell r="AL1687" t="str">
            <v>1-0694-永發&gt;寄&gt;附發票&gt;附回郵</v>
          </cell>
          <cell r="AM1687" t="str">
            <v>1-0694</v>
          </cell>
        </row>
        <row r="1688">
          <cell r="B1688" t="str">
            <v>1-1683</v>
          </cell>
          <cell r="E1688" t="str">
            <v>有限公司</v>
          </cell>
          <cell r="R1688" t="b">
            <v>0</v>
          </cell>
          <cell r="S1688" t="str"/>
          <cell r="T1688" t="b">
            <v>0</v>
          </cell>
          <cell r="W1688" t="str"/>
          <cell r="Y1688" t="str"/>
          <cell r="AA1688" t="str"/>
          <cell r="AK1688" t="str">
            <v>297-RN</v>
          </cell>
          <cell r="AL1688" t="str">
            <v>1-0660-竹新.頂烽&gt;寄&gt;附發票&gt;匯款</v>
          </cell>
          <cell r="AM1688" t="str">
            <v>1-0660</v>
          </cell>
        </row>
        <row r="1689">
          <cell r="B1689" t="str">
            <v>1-1684</v>
          </cell>
          <cell r="E1689" t="str">
            <v>有限公司</v>
          </cell>
          <cell r="R1689" t="b">
            <v>0</v>
          </cell>
          <cell r="S1689" t="str"/>
          <cell r="T1689" t="b">
            <v>0</v>
          </cell>
          <cell r="W1689" t="str"/>
          <cell r="Y1689" t="str"/>
          <cell r="AA1689" t="str"/>
          <cell r="AK1689" t="str">
            <v>157- M5</v>
          </cell>
          <cell r="AL1689" t="str">
            <v>1-0695-邱佑七&gt;寄&gt;自結</v>
          </cell>
          <cell r="AM1689" t="str">
            <v>1-0695</v>
          </cell>
        </row>
        <row r="1690">
          <cell r="B1690" t="str">
            <v>1-1685</v>
          </cell>
          <cell r="E1690" t="str">
            <v>有限公司</v>
          </cell>
          <cell r="R1690" t="b">
            <v>0</v>
          </cell>
          <cell r="S1690" t="str"/>
          <cell r="T1690" t="b">
            <v>0</v>
          </cell>
          <cell r="W1690" t="str"/>
          <cell r="Y1690" t="str"/>
          <cell r="AA1690" t="str"/>
          <cell r="AK1690" t="str">
            <v>683-Q8</v>
          </cell>
          <cell r="AL1690" t="str">
            <v>1-0334-廣寶&gt;環亞&gt;正大&gt;寄&gt;附回郵&gt;1個月後匯款</v>
          </cell>
          <cell r="AM1690" t="str">
            <v>1-0334</v>
          </cell>
        </row>
        <row r="1691">
          <cell r="B1691" t="str">
            <v>1-1686</v>
          </cell>
          <cell r="E1691" t="str">
            <v>有限公司</v>
          </cell>
          <cell r="R1691" t="b">
            <v>0</v>
          </cell>
          <cell r="S1691" t="str"/>
          <cell r="T1691" t="b">
            <v>0</v>
          </cell>
          <cell r="W1691" t="str"/>
          <cell r="Y1691" t="str"/>
          <cell r="AA1691" t="str"/>
          <cell r="AK1691" t="str">
            <v>LT-2455</v>
          </cell>
          <cell r="AL1691" t="str">
            <v>1-0146-佳億塑膠&gt;寄&gt;附發票&gt;附回郵</v>
          </cell>
          <cell r="AM1691" t="str">
            <v>1-0146</v>
          </cell>
        </row>
        <row r="1692">
          <cell r="B1692" t="str">
            <v>1-1687</v>
          </cell>
          <cell r="E1692" t="str">
            <v>有限公司</v>
          </cell>
          <cell r="R1692" t="b">
            <v>0</v>
          </cell>
          <cell r="S1692" t="str"/>
          <cell r="T1692" t="b">
            <v>0</v>
          </cell>
          <cell r="W1692" t="str"/>
          <cell r="Y1692" t="str"/>
          <cell r="AA1692" t="str"/>
          <cell r="AK1692" t="str">
            <v>KLD-3892</v>
          </cell>
          <cell r="AL1692" t="str">
            <v>1-0162-鎰利&gt;鎰金&gt;鎰加&gt;寄&gt;附發票&gt;2個月匯款</v>
          </cell>
          <cell r="AM1692" t="str">
            <v>1-0162</v>
          </cell>
        </row>
        <row r="1693">
          <cell r="B1693" t="str">
            <v>1-1688</v>
          </cell>
          <cell r="E1693" t="str">
            <v>有限公司</v>
          </cell>
          <cell r="R1693" t="b">
            <v>0</v>
          </cell>
          <cell r="S1693" t="str"/>
          <cell r="T1693" t="b">
            <v>0</v>
          </cell>
          <cell r="W1693" t="str"/>
          <cell r="Y1693" t="str"/>
          <cell r="AA1693" t="str"/>
          <cell r="AK1693" t="str">
            <v>板403</v>
          </cell>
          <cell r="AL1693" t="str">
            <v>1-0162-鎰利&gt;鎰金&gt;鎰加&gt;寄&gt;附發票&gt;2個月匯款</v>
          </cell>
          <cell r="AM1693" t="str">
            <v>1-0162</v>
          </cell>
        </row>
        <row r="1694">
          <cell r="B1694" t="str">
            <v>1-1689</v>
          </cell>
          <cell r="E1694" t="str">
            <v>有限公司</v>
          </cell>
          <cell r="R1694" t="b">
            <v>0</v>
          </cell>
          <cell r="S1694" t="str"/>
          <cell r="T1694" t="b">
            <v>0</v>
          </cell>
          <cell r="W1694" t="str"/>
          <cell r="Y1694" t="str"/>
          <cell r="AA1694" t="str"/>
          <cell r="AK1694" t="str">
            <v>板413</v>
          </cell>
          <cell r="AL1694" t="str">
            <v>1-0162-鎰利&gt;鎰金&gt;鎰加&gt;寄&gt;附發票&gt;2個月匯款</v>
          </cell>
          <cell r="AM1694" t="str">
            <v>1-0162</v>
          </cell>
        </row>
        <row r="1695">
          <cell r="B1695" t="str">
            <v>1-1690</v>
          </cell>
          <cell r="E1695" t="str">
            <v>有限公司</v>
          </cell>
          <cell r="R1695" t="b">
            <v>0</v>
          </cell>
          <cell r="S1695" t="str"/>
          <cell r="T1695" t="b">
            <v>0</v>
          </cell>
          <cell r="W1695" t="str"/>
          <cell r="Y1695" t="str"/>
          <cell r="AA1695" t="str"/>
          <cell r="AK1695" t="str">
            <v>QAE-952</v>
          </cell>
          <cell r="AL1695" t="str">
            <v>1-0608-聯倉&gt;寄&gt;附發票&gt;附回郵</v>
          </cell>
          <cell r="AM1695" t="str">
            <v>1-0608</v>
          </cell>
        </row>
        <row r="1696">
          <cell r="B1696" t="str">
            <v>1-1691</v>
          </cell>
          <cell r="E1696" t="str">
            <v>有限公司</v>
          </cell>
          <cell r="R1696" t="b">
            <v>0</v>
          </cell>
          <cell r="S1696" t="str"/>
          <cell r="T1696" t="b">
            <v>0</v>
          </cell>
          <cell r="W1696" t="str"/>
          <cell r="Y1696" t="str"/>
          <cell r="AA1696" t="str"/>
          <cell r="AK1696" t="str">
            <v>4189-HE</v>
          </cell>
          <cell r="AL1696" t="str">
            <v>1-0590-電機葆&gt;張正葆&gt;寄&gt;自結</v>
          </cell>
          <cell r="AM1696" t="str">
            <v>1-0590</v>
          </cell>
        </row>
        <row r="1697">
          <cell r="B1697" t="str">
            <v>1-1692</v>
          </cell>
          <cell r="E1697" t="str">
            <v>有限公司</v>
          </cell>
          <cell r="R1697" t="b">
            <v>0</v>
          </cell>
          <cell r="S1697" t="str"/>
          <cell r="T1697" t="b">
            <v>0</v>
          </cell>
          <cell r="W1697" t="str"/>
          <cell r="Y1697" t="str"/>
          <cell r="AA1697" t="str"/>
          <cell r="AK1697" t="str">
            <v>KLA-9211</v>
          </cell>
          <cell r="AL1697" t="str">
            <v>1-0578-(1/2)捷盛&gt;寄&gt;附發票&gt;3個月匯款</v>
          </cell>
          <cell r="AM1697" t="str">
            <v>1-0578</v>
          </cell>
        </row>
        <row r="1698">
          <cell r="B1698" t="str">
            <v>1-1693</v>
          </cell>
          <cell r="E1698" t="str">
            <v>有限公司</v>
          </cell>
          <cell r="R1698" t="b">
            <v>0</v>
          </cell>
          <cell r="S1698" t="str"/>
          <cell r="T1698" t="b">
            <v>0</v>
          </cell>
          <cell r="W1698" t="str"/>
          <cell r="Y1698" t="str"/>
          <cell r="AA1698" t="str"/>
          <cell r="AK1698" t="str">
            <v>5167-N5</v>
          </cell>
          <cell r="AL1698" t="str">
            <v>1-0672-鴻茂&gt;鴻準&gt;寄&gt;附發票&gt;匯款(兩個月月底匯款)</v>
          </cell>
          <cell r="AM1698" t="str">
            <v>1-0672</v>
          </cell>
        </row>
        <row r="1699">
          <cell r="B1699" t="str">
            <v>1-1694</v>
          </cell>
          <cell r="E1699" t="str">
            <v>有限公司</v>
          </cell>
          <cell r="R1699" t="b">
            <v>0</v>
          </cell>
          <cell r="S1699" t="str"/>
          <cell r="T1699" t="b">
            <v>0</v>
          </cell>
          <cell r="W1699" t="str"/>
          <cell r="Y1699" t="str"/>
          <cell r="AA1699" t="str"/>
          <cell r="AK1699" t="str">
            <v>ACM-3616</v>
          </cell>
          <cell r="AL1699" t="str">
            <v>1-0199-鐸昇&gt;寄&gt;附發票&gt;附回郵</v>
          </cell>
          <cell r="AM1699" t="str">
            <v>1-0199</v>
          </cell>
        </row>
        <row r="1700">
          <cell r="B1700" t="str">
            <v>1-1695</v>
          </cell>
          <cell r="E1700" t="str">
            <v>有限公司</v>
          </cell>
          <cell r="R1700" t="b">
            <v>0</v>
          </cell>
          <cell r="S1700" t="str"/>
          <cell r="T1700" t="b">
            <v>0</v>
          </cell>
          <cell r="W1700" t="str"/>
          <cell r="Y1700" t="str"/>
          <cell r="AA1700" t="str"/>
          <cell r="AK1700" t="str">
            <v>909-TD</v>
          </cell>
          <cell r="AL1700" t="str">
            <v>1-0590-電機葆&gt;張正葆&gt;寄&gt;自結</v>
          </cell>
          <cell r="AM1700" t="str">
            <v>1-0590</v>
          </cell>
        </row>
        <row r="1701">
          <cell r="B1701" t="str">
            <v>1-1696</v>
          </cell>
          <cell r="E1701" t="str">
            <v>有限公司</v>
          </cell>
          <cell r="R1701" t="b">
            <v>0</v>
          </cell>
          <cell r="S1701" t="str"/>
          <cell r="T1701" t="b">
            <v>0</v>
          </cell>
          <cell r="W1701" t="str"/>
          <cell r="Y1701" t="str"/>
          <cell r="AA1701" t="str"/>
          <cell r="AK1701" t="str">
            <v>852-TO</v>
          </cell>
          <cell r="AL1701" t="str">
            <v>1-0031-上和&gt;寄&gt;附發票&gt;附回郵</v>
          </cell>
          <cell r="AM1701" t="str">
            <v>1-0031</v>
          </cell>
        </row>
        <row r="1702">
          <cell r="B1702" t="str">
            <v>1-1697</v>
          </cell>
          <cell r="E1702" t="str">
            <v>有限公司</v>
          </cell>
          <cell r="R1702" t="b">
            <v>0</v>
          </cell>
          <cell r="S1702" t="str"/>
          <cell r="T1702" t="b">
            <v>0</v>
          </cell>
          <cell r="W1702" t="str"/>
          <cell r="Y1702" t="str"/>
          <cell r="AA1702" t="str"/>
          <cell r="AK1702" t="str">
            <v>KLB-3053</v>
          </cell>
          <cell r="AL1702" t="str">
            <v>1-0073-李志文&gt;龍秀&gt;裕嘉&gt;寄平信&gt;自結</v>
          </cell>
          <cell r="AM1702" t="str">
            <v>1-0073</v>
          </cell>
        </row>
        <row r="1703">
          <cell r="B1703" t="str">
            <v>1-1698</v>
          </cell>
          <cell r="E1703" t="str">
            <v>有限公司</v>
          </cell>
          <cell r="R1703" t="b">
            <v>0</v>
          </cell>
          <cell r="S1703" t="str"/>
          <cell r="T1703" t="b">
            <v>0</v>
          </cell>
          <cell r="W1703" t="str"/>
          <cell r="Y1703" t="str"/>
          <cell r="AA1703" t="str"/>
          <cell r="AK1703" t="str">
            <v>070-V6</v>
          </cell>
          <cell r="AL1703" t="str">
            <v>1-0118-金昌&gt;寄&gt;附發票&gt;附回郵</v>
          </cell>
          <cell r="AM1703" t="str">
            <v>1-0118</v>
          </cell>
        </row>
        <row r="1704">
          <cell r="B1704" t="str">
            <v>1-1699</v>
          </cell>
          <cell r="E1704" t="str">
            <v>有限公司</v>
          </cell>
          <cell r="R1704" t="b">
            <v>0</v>
          </cell>
          <cell r="S1704" t="str"/>
          <cell r="T1704" t="b">
            <v>0</v>
          </cell>
          <cell r="W1704" t="str"/>
          <cell r="Y1704" t="str"/>
          <cell r="AA1704" t="str"/>
          <cell r="AK1704" t="str">
            <v>板481</v>
          </cell>
          <cell r="AL1704" t="str">
            <v>1-0162-鎰利&gt;鎰金&gt;鎰加&gt;寄&gt;附發票&gt;2個月匯款</v>
          </cell>
          <cell r="AM1704" t="str">
            <v>1-0162</v>
          </cell>
        </row>
        <row r="1705">
          <cell r="B1705" t="str">
            <v>1-1700</v>
          </cell>
          <cell r="E1705" t="str">
            <v>有限公司</v>
          </cell>
          <cell r="R1705" t="b">
            <v>0</v>
          </cell>
          <cell r="S1705" t="str"/>
          <cell r="T1705" t="b">
            <v>0</v>
          </cell>
          <cell r="W1705" t="str"/>
          <cell r="Y1705" t="str"/>
          <cell r="AA1705" t="str"/>
          <cell r="AK1705" t="str">
            <v>板252</v>
          </cell>
          <cell r="AL1705" t="str">
            <v>1-0162-鎰利&gt;鎰金&gt;鎰加&gt;寄&gt;附發票&gt;2個月匯款</v>
          </cell>
          <cell r="AM1705" t="str">
            <v>1-0162</v>
          </cell>
        </row>
        <row r="1706">
          <cell r="B1706" t="str">
            <v>1-1701</v>
          </cell>
          <cell r="E1706" t="str">
            <v>有限公司</v>
          </cell>
          <cell r="R1706" t="b">
            <v>0</v>
          </cell>
          <cell r="S1706" t="str"/>
          <cell r="T1706" t="b">
            <v>0</v>
          </cell>
          <cell r="W1706" t="str"/>
          <cell r="Y1706" t="str"/>
          <cell r="AA1706" t="str"/>
          <cell r="AK1706" t="str">
            <v>板423</v>
          </cell>
          <cell r="AL1706" t="str">
            <v>1-0162-鎰利&gt;鎰金&gt;鎰加&gt;寄&gt;附發票&gt;2個月匯款</v>
          </cell>
          <cell r="AM1706" t="str">
            <v>1-0162</v>
          </cell>
        </row>
        <row r="1707">
          <cell r="B1707" t="str">
            <v>1-1702</v>
          </cell>
          <cell r="E1707" t="str">
            <v>有限公司</v>
          </cell>
          <cell r="R1707" t="b">
            <v>0</v>
          </cell>
          <cell r="S1707" t="str"/>
          <cell r="T1707" t="b">
            <v>0</v>
          </cell>
          <cell r="W1707" t="str"/>
          <cell r="Y1707" t="str"/>
          <cell r="AA1707" t="str"/>
          <cell r="AK1707" t="str">
            <v>281-W2</v>
          </cell>
          <cell r="AL1707" t="str">
            <v>1-0164-元慶&gt;寄&gt;附發票&gt;附回郵</v>
          </cell>
          <cell r="AM1707" t="str">
            <v>1-0164</v>
          </cell>
        </row>
        <row r="1708">
          <cell r="B1708" t="str">
            <v>1-1703</v>
          </cell>
          <cell r="E1708" t="str">
            <v>有限公司</v>
          </cell>
          <cell r="R1708" t="b">
            <v>0</v>
          </cell>
          <cell r="S1708" t="str"/>
          <cell r="T1708" t="b">
            <v>0</v>
          </cell>
          <cell r="W1708" t="str"/>
          <cell r="Y1708" t="str"/>
          <cell r="AA1708" t="str"/>
          <cell r="AK1708" t="str">
            <v>859-R9</v>
          </cell>
          <cell r="AL1708" t="str">
            <v>1-0620-敏銓&gt;寄&gt;親收</v>
          </cell>
          <cell r="AM1708" t="str">
            <v>1-0620</v>
          </cell>
        </row>
        <row r="1709">
          <cell r="B1709" t="str">
            <v>1-1704</v>
          </cell>
          <cell r="E1709" t="str">
            <v>有限公司</v>
          </cell>
          <cell r="R1709" t="b">
            <v>0</v>
          </cell>
          <cell r="S1709" t="str"/>
          <cell r="T1709" t="b">
            <v>0</v>
          </cell>
          <cell r="W1709" t="str"/>
          <cell r="Y1709" t="str"/>
          <cell r="AA1709" t="str"/>
          <cell r="AK1709" t="str">
            <v>AUC-3838</v>
          </cell>
          <cell r="AL1709" t="str">
            <v>1-0019-福雄&gt;寄&gt;附發票&gt;附回郵</v>
          </cell>
          <cell r="AM1709" t="str">
            <v>1-0019</v>
          </cell>
        </row>
        <row r="1710">
          <cell r="B1710" t="str">
            <v>1-1705</v>
          </cell>
          <cell r="E1710" t="str">
            <v>有限公司</v>
          </cell>
          <cell r="R1710" t="b">
            <v>0</v>
          </cell>
          <cell r="S1710" t="str"/>
          <cell r="T1710" t="b">
            <v>0</v>
          </cell>
          <cell r="W1710" t="str"/>
          <cell r="Y1710" t="str"/>
          <cell r="AA1710" t="str"/>
          <cell r="AK1710" t="str">
            <v>186-HR</v>
          </cell>
          <cell r="AL1710" t="str">
            <v>1-0674-翔威.翔鑫&gt;付現&gt;不能簽帳</v>
          </cell>
          <cell r="AM1710" t="str">
            <v>1-0674</v>
          </cell>
        </row>
        <row r="1711">
          <cell r="B1711" t="str">
            <v>1-1706</v>
          </cell>
          <cell r="E1711" t="str">
            <v>有限公司</v>
          </cell>
          <cell r="R1711" t="b">
            <v>0</v>
          </cell>
          <cell r="S1711" t="str"/>
          <cell r="T1711" t="b">
            <v>0</v>
          </cell>
          <cell r="W1711" t="str"/>
          <cell r="Y1711" t="str"/>
          <cell r="AA1711" t="str"/>
          <cell r="AK1711" t="str">
            <v>0891-FZ</v>
          </cell>
          <cell r="AL1711" t="str">
            <v>1-0015-志祥&gt;寄&gt;附回郵&gt;勿催帳</v>
          </cell>
          <cell r="AM1711" t="str">
            <v>1-0015</v>
          </cell>
        </row>
        <row r="1712">
          <cell r="B1712" t="str">
            <v>1-1707</v>
          </cell>
          <cell r="E1712" t="str">
            <v>有限公司</v>
          </cell>
          <cell r="R1712" t="b">
            <v>0</v>
          </cell>
          <cell r="S1712" t="str"/>
          <cell r="T1712" t="b">
            <v>0</v>
          </cell>
          <cell r="W1712" t="str"/>
          <cell r="Y1712" t="str"/>
          <cell r="AA1712" t="str"/>
          <cell r="AK1712" t="str">
            <v>209-BP</v>
          </cell>
          <cell r="AL1712" t="str">
            <v>1-0382-味王&gt;寄&gt;附發票&gt;匯款</v>
          </cell>
          <cell r="AM1712" t="str">
            <v>1-0382</v>
          </cell>
        </row>
        <row r="1713">
          <cell r="B1713" t="str">
            <v>1-1708</v>
          </cell>
          <cell r="E1713" t="str">
            <v>有限公司</v>
          </cell>
          <cell r="R1713" t="b">
            <v>0</v>
          </cell>
          <cell r="S1713" t="str"/>
          <cell r="T1713" t="b">
            <v>0</v>
          </cell>
          <cell r="W1713" t="str"/>
          <cell r="Y1713" t="str"/>
          <cell r="AA1713" t="str"/>
          <cell r="AK1713" t="str">
            <v>AJV-1893</v>
          </cell>
          <cell r="AL1713" t="str">
            <v>1-0444-力盛&gt;寄&gt;附發票&gt;附回郵</v>
          </cell>
          <cell r="AM1713" t="str">
            <v>1-0444</v>
          </cell>
        </row>
        <row r="1714">
          <cell r="B1714" t="str">
            <v>1-1709</v>
          </cell>
          <cell r="E1714" t="str">
            <v>有限公司</v>
          </cell>
          <cell r="R1714" t="b">
            <v>0</v>
          </cell>
          <cell r="S1714" t="str"/>
          <cell r="T1714" t="b">
            <v>0</v>
          </cell>
          <cell r="W1714" t="str"/>
          <cell r="Y1714" t="str"/>
          <cell r="AA1714" t="str"/>
          <cell r="AK1714" t="str">
            <v>1718-YV</v>
          </cell>
          <cell r="AL1714" t="str">
            <v>1-0214-嘉德技術&gt;寄&gt;附發票&gt;附回郵</v>
          </cell>
          <cell r="AM1714" t="str">
            <v>1-0214</v>
          </cell>
        </row>
        <row r="1715">
          <cell r="B1715" t="str">
            <v>1-1710</v>
          </cell>
          <cell r="E1715" t="str">
            <v>有限公司</v>
          </cell>
          <cell r="R1715" t="b">
            <v>0</v>
          </cell>
          <cell r="S1715" t="str"/>
          <cell r="T1715" t="b">
            <v>0</v>
          </cell>
          <cell r="W1715" t="str"/>
          <cell r="Y1715" t="str"/>
          <cell r="AA1715" t="str"/>
          <cell r="AK1715" t="str">
            <v>軍E-60307</v>
          </cell>
          <cell r="AL1715" t="str">
            <v>1-0056-寬輾&gt;寄&gt;附回郵(1/3)</v>
          </cell>
          <cell r="AM1715" t="str">
            <v>1-0056</v>
          </cell>
        </row>
        <row r="1716">
          <cell r="B1716" t="str">
            <v>1-1711</v>
          </cell>
          <cell r="E1716" t="str">
            <v>有限公司</v>
          </cell>
          <cell r="R1716" t="b">
            <v>0</v>
          </cell>
          <cell r="S1716" t="str"/>
          <cell r="T1716" t="b">
            <v>0</v>
          </cell>
          <cell r="W1716" t="str"/>
          <cell r="Y1716" t="str"/>
          <cell r="AA1716" t="str"/>
          <cell r="AK1716" t="str">
            <v>6957-YK</v>
          </cell>
          <cell r="AL1716" t="str">
            <v>1-0060-源鴻&gt;寄&gt;親收</v>
          </cell>
          <cell r="AM1716" t="str">
            <v>1-0060</v>
          </cell>
        </row>
        <row r="1717">
          <cell r="B1717" t="str">
            <v>1-1712</v>
          </cell>
          <cell r="E1717" t="str">
            <v>有限公司</v>
          </cell>
          <cell r="R1717" t="b">
            <v>0</v>
          </cell>
          <cell r="S1717" t="str"/>
          <cell r="T1717" t="b">
            <v>0</v>
          </cell>
          <cell r="W1717" t="str"/>
          <cell r="Y1717" t="str"/>
          <cell r="AA1717" t="str"/>
          <cell r="AK1717" t="str">
            <v>809-5A</v>
          </cell>
          <cell r="AL1717" t="str">
            <v>1-0162-鎰利&gt;鎰金&gt;鎰加&gt;寄&gt;附發票&gt;2個月匯款</v>
          </cell>
          <cell r="AM1717" t="str">
            <v>1-0162</v>
          </cell>
        </row>
        <row r="1718">
          <cell r="B1718" t="str">
            <v>1-1713</v>
          </cell>
          <cell r="E1718" t="str">
            <v>有限公司</v>
          </cell>
          <cell r="R1718" t="b">
            <v>0</v>
          </cell>
          <cell r="S1718" t="str"/>
          <cell r="T1718" t="b">
            <v>0</v>
          </cell>
          <cell r="W1718" t="str"/>
          <cell r="Y1718" t="str"/>
          <cell r="AA1718" t="str"/>
          <cell r="AK1718" t="str">
            <v>082-BT</v>
          </cell>
          <cell r="AL1718" t="str">
            <v>1-0382-味王&gt;寄&gt;附發票&gt;匯款</v>
          </cell>
          <cell r="AM1718" t="str">
            <v>1-0382</v>
          </cell>
        </row>
        <row r="1719">
          <cell r="B1719" t="str">
            <v>1-1714</v>
          </cell>
          <cell r="E1719" t="str">
            <v>有限公司</v>
          </cell>
          <cell r="R1719" t="b">
            <v>0</v>
          </cell>
          <cell r="S1719" t="str"/>
          <cell r="T1719" t="b">
            <v>0</v>
          </cell>
          <cell r="W1719" t="str"/>
          <cell r="Y1719" t="str"/>
          <cell r="AA1719" t="str"/>
          <cell r="AK1719" t="str">
            <v>268-KN</v>
          </cell>
          <cell r="AL1719" t="str">
            <v>1-0608-聯倉&gt;寄&gt;附發票&gt;附回郵</v>
          </cell>
          <cell r="AM1719" t="str">
            <v>1-0608</v>
          </cell>
        </row>
        <row r="1720">
          <cell r="B1720" t="str">
            <v>1-1715</v>
          </cell>
          <cell r="E1720" t="str">
            <v>有限公司</v>
          </cell>
          <cell r="R1720" t="b">
            <v>0</v>
          </cell>
          <cell r="S1720" t="str"/>
          <cell r="T1720" t="b">
            <v>0</v>
          </cell>
          <cell r="W1720" t="str"/>
          <cell r="Y1720" t="str"/>
          <cell r="AA1720" t="str"/>
          <cell r="AK1720" t="str">
            <v>800-HS</v>
          </cell>
          <cell r="AL1720" t="str">
            <v>1-0603-邱志銘&gt;寄平信&gt;自結</v>
          </cell>
          <cell r="AM1720" t="str">
            <v>1-0603</v>
          </cell>
        </row>
        <row r="1721">
          <cell r="B1721" t="str">
            <v>1-1716</v>
          </cell>
          <cell r="E1721" t="str">
            <v>有限公司</v>
          </cell>
          <cell r="R1721" t="b">
            <v>0</v>
          </cell>
          <cell r="S1721" t="str"/>
          <cell r="T1721" t="b">
            <v>0</v>
          </cell>
          <cell r="W1721" t="str"/>
          <cell r="Y1721" t="str"/>
          <cell r="AA1721" t="str"/>
          <cell r="AK1721" t="str">
            <v>291-8A</v>
          </cell>
          <cell r="AL1721" t="str">
            <v>1-0398-天文.坤成&gt;寄&gt;附發票&gt;附回郵</v>
          </cell>
          <cell r="AM1721" t="str">
            <v>1-0398</v>
          </cell>
        </row>
        <row r="1722">
          <cell r="B1722" t="str">
            <v>1-1717</v>
          </cell>
          <cell r="E1722" t="str">
            <v>有限公司</v>
          </cell>
          <cell r="R1722" t="b">
            <v>0</v>
          </cell>
          <cell r="S1722" t="str"/>
          <cell r="T1722" t="b">
            <v>0</v>
          </cell>
          <cell r="W1722" t="str"/>
          <cell r="Y1722" t="str"/>
          <cell r="AA1722" t="str"/>
          <cell r="AK1722" t="str">
            <v>5160-HM</v>
          </cell>
          <cell r="AL1722" t="str">
            <v>1-0019-福雄&gt;寄&gt;附發票&gt;附回郵</v>
          </cell>
          <cell r="AM1722" t="str">
            <v>1-0019</v>
          </cell>
        </row>
        <row r="1723">
          <cell r="B1723" t="str">
            <v>1-1718</v>
          </cell>
          <cell r="E1723" t="str">
            <v>有限公司</v>
          </cell>
          <cell r="R1723" t="b">
            <v>0</v>
          </cell>
          <cell r="S1723" t="str"/>
          <cell r="T1723" t="b">
            <v>0</v>
          </cell>
          <cell r="W1723" t="str"/>
          <cell r="Y1723" t="str"/>
          <cell r="AA1723" t="str"/>
          <cell r="AK1723" t="str">
            <v>AHE-7098</v>
          </cell>
          <cell r="AL1723" t="str">
            <v>1-0011-海銓&gt;電&gt;親收&gt;帶客戶請款聯</v>
          </cell>
          <cell r="AM1723" t="str">
            <v>1-0011</v>
          </cell>
        </row>
        <row r="1724">
          <cell r="B1724" t="str">
            <v>1-1719</v>
          </cell>
          <cell r="E1724" t="str">
            <v>有限公司</v>
          </cell>
          <cell r="R1724" t="b">
            <v>0</v>
          </cell>
          <cell r="S1724" t="str"/>
          <cell r="T1724" t="b">
            <v>0</v>
          </cell>
          <cell r="W1724" t="str"/>
          <cell r="Y1724" t="str"/>
          <cell r="AA1724" t="str"/>
          <cell r="AK1724" t="str">
            <v>DN-1518</v>
          </cell>
          <cell r="AL1724" t="str">
            <v>1-0060-源鴻&gt;寄&gt;親收</v>
          </cell>
          <cell r="AM1724" t="str">
            <v>1-0060</v>
          </cell>
        </row>
        <row r="1725">
          <cell r="B1725" t="str">
            <v>1-1720</v>
          </cell>
          <cell r="E1725" t="str">
            <v>有限公司</v>
          </cell>
          <cell r="R1725" t="b">
            <v>0</v>
          </cell>
          <cell r="S1725" t="str"/>
          <cell r="T1725" t="b">
            <v>0</v>
          </cell>
          <cell r="W1725" t="str"/>
          <cell r="Y1725" t="str"/>
          <cell r="AA1725" t="str"/>
          <cell r="AK1725" t="str">
            <v>0920-F5</v>
          </cell>
          <cell r="AL1725" t="str">
            <v>1-0060-源鴻&gt;寄&gt;親收</v>
          </cell>
          <cell r="AM1725" t="str">
            <v>1-0060</v>
          </cell>
        </row>
        <row r="1726">
          <cell r="B1726" t="str">
            <v>1-1721</v>
          </cell>
          <cell r="E1726" t="str">
            <v>有限公司</v>
          </cell>
          <cell r="R1726" t="b">
            <v>0</v>
          </cell>
          <cell r="S1726" t="str"/>
          <cell r="T1726" t="b">
            <v>0</v>
          </cell>
          <cell r="W1726" t="str"/>
          <cell r="Y1726" t="str"/>
          <cell r="AA1726" t="str"/>
          <cell r="AK1726" t="str">
            <v>ABM-9817</v>
          </cell>
          <cell r="AL1726" t="str">
            <v>1-0122-嘉偉&gt;元美&gt;寄&gt;附發票&gt;附回郵</v>
          </cell>
          <cell r="AM1726" t="str">
            <v>1-0122</v>
          </cell>
        </row>
        <row r="1727">
          <cell r="B1727" t="str">
            <v>1-1722</v>
          </cell>
          <cell r="E1727" t="str">
            <v>有限公司</v>
          </cell>
          <cell r="R1727" t="b">
            <v>0</v>
          </cell>
          <cell r="S1727" t="str"/>
          <cell r="T1727" t="b">
            <v>0</v>
          </cell>
          <cell r="W1727" t="str"/>
          <cell r="Y1727" t="str"/>
          <cell r="AA1727" t="str"/>
          <cell r="AK1727" t="str">
            <v>ALQ-3783</v>
          </cell>
          <cell r="AL1727" t="str">
            <v>1-0465-原新金屬&gt;寄&gt;附發票&gt;附回郵</v>
          </cell>
          <cell r="AM1727" t="str">
            <v>1-0465</v>
          </cell>
        </row>
        <row r="1728">
          <cell r="B1728" t="str">
            <v>1-1723</v>
          </cell>
          <cell r="E1728" t="str">
            <v>有限公司</v>
          </cell>
          <cell r="R1728" t="b">
            <v>0</v>
          </cell>
          <cell r="S1728" t="str"/>
          <cell r="T1728" t="b">
            <v>0</v>
          </cell>
          <cell r="W1728" t="str"/>
          <cell r="Y1728" t="str"/>
          <cell r="AA1728" t="str"/>
          <cell r="AK1728" t="str">
            <v>KLA-9761</v>
          </cell>
          <cell r="AL1728" t="str">
            <v>1-0047-(2/4)鴻安&gt;寄&gt;附發票&gt;附回郵</v>
          </cell>
          <cell r="AM1728" t="str">
            <v>1-0047</v>
          </cell>
        </row>
        <row r="1729">
          <cell r="B1729" t="str">
            <v>1-1724</v>
          </cell>
          <cell r="E1729" t="str">
            <v>有限公司</v>
          </cell>
          <cell r="R1729" t="b">
            <v>0</v>
          </cell>
          <cell r="S1729" t="str"/>
          <cell r="T1729" t="b">
            <v>0</v>
          </cell>
          <cell r="W1729" t="str"/>
          <cell r="Y1729" t="str"/>
          <cell r="AA1729" t="str"/>
          <cell r="AK1729" t="str">
            <v>ML-1538</v>
          </cell>
          <cell r="AL1729" t="str">
            <v>1-0031-上和&gt;寄&gt;附發票&gt;附回郵</v>
          </cell>
          <cell r="AM1729" t="str">
            <v>1-0031</v>
          </cell>
        </row>
        <row r="1730">
          <cell r="B1730" t="str">
            <v>1-1725</v>
          </cell>
          <cell r="E1730" t="str">
            <v>有限公司</v>
          </cell>
          <cell r="R1730" t="b">
            <v>0</v>
          </cell>
          <cell r="S1730" t="str"/>
          <cell r="T1730" t="b">
            <v>0</v>
          </cell>
          <cell r="W1730" t="str"/>
          <cell r="Y1730" t="str"/>
          <cell r="AA1730" t="str"/>
          <cell r="AK1730" t="str">
            <v>965-V6</v>
          </cell>
          <cell r="AL1730" t="str">
            <v>1-0118-金昌&gt;寄&gt;附發票&gt;附回郵</v>
          </cell>
          <cell r="AM1730" t="str">
            <v>1-0118</v>
          </cell>
        </row>
        <row r="1731">
          <cell r="B1731" t="str">
            <v>1-1726</v>
          </cell>
          <cell r="E1731" t="str">
            <v>有限公司</v>
          </cell>
          <cell r="R1731" t="b">
            <v>0</v>
          </cell>
          <cell r="S1731" t="str"/>
          <cell r="T1731" t="b">
            <v>0</v>
          </cell>
          <cell r="W1731" t="str"/>
          <cell r="Y1731" t="str"/>
          <cell r="AA1731" t="str"/>
          <cell r="AK1731" t="str">
            <v>882-RR</v>
          </cell>
          <cell r="AL1731" t="str">
            <v>1-0164-元慶&gt;寄&gt;附發票&gt;附回郵</v>
          </cell>
          <cell r="AM1731" t="str">
            <v>1-0164</v>
          </cell>
        </row>
        <row r="1732">
          <cell r="B1732" t="str">
            <v>1-1727</v>
          </cell>
          <cell r="E1732" t="str">
            <v>有限公司</v>
          </cell>
          <cell r="R1732" t="b">
            <v>0</v>
          </cell>
          <cell r="S1732" t="str"/>
          <cell r="T1732" t="b">
            <v>0</v>
          </cell>
          <cell r="W1732" t="str"/>
          <cell r="Y1732" t="str"/>
          <cell r="AA1732" t="str"/>
          <cell r="AK1732" t="str">
            <v>AHD-2375</v>
          </cell>
          <cell r="AL1732" t="str">
            <v>1-0368-銀城&gt;寄&gt;附發票&gt;附回郵</v>
          </cell>
          <cell r="AM1732" t="str">
            <v>1-0368</v>
          </cell>
        </row>
        <row r="1733">
          <cell r="B1733" t="str">
            <v>1-1728</v>
          </cell>
          <cell r="E1733" t="str">
            <v>有限公司</v>
          </cell>
          <cell r="R1733" t="b">
            <v>0</v>
          </cell>
          <cell r="S1733" t="str"/>
          <cell r="T1733" t="b">
            <v>0</v>
          </cell>
          <cell r="W1733" t="str"/>
          <cell r="Y1733" t="str"/>
          <cell r="AA1733" t="str"/>
          <cell r="AK1733" t="str">
            <v>Q2-656</v>
          </cell>
          <cell r="AL1733" t="str">
            <v>1-0521-竹南永德福SCANIA&gt;寄&gt;附發票&gt;2個月後匯款</v>
          </cell>
          <cell r="AM1733" t="str">
            <v>1-0521</v>
          </cell>
        </row>
        <row r="1734">
          <cell r="B1734" t="str">
            <v>1-1729</v>
          </cell>
          <cell r="E1734" t="str">
            <v>有限公司</v>
          </cell>
          <cell r="R1734" t="b">
            <v>0</v>
          </cell>
          <cell r="S1734" t="str"/>
          <cell r="T1734" t="b">
            <v>0</v>
          </cell>
          <cell r="W1734" t="str"/>
          <cell r="Y1734" t="str"/>
          <cell r="AA1734" t="str"/>
          <cell r="AK1734" t="str">
            <v>9271-HK</v>
          </cell>
          <cell r="AL1734" t="str">
            <v>1-0590-電機葆&gt;張正葆&gt;寄&gt;自結</v>
          </cell>
          <cell r="AM1734" t="str">
            <v>1-0590</v>
          </cell>
        </row>
        <row r="1735">
          <cell r="B1735" t="str">
            <v>1-1730</v>
          </cell>
          <cell r="E1735" t="str">
            <v>有限公司</v>
          </cell>
          <cell r="R1735" t="b">
            <v>0</v>
          </cell>
          <cell r="S1735" t="str"/>
          <cell r="T1735" t="b">
            <v>0</v>
          </cell>
          <cell r="W1735" t="str"/>
          <cell r="Y1735" t="str"/>
          <cell r="AA1735" t="str"/>
          <cell r="AK1735" t="str">
            <v>KLA-9767</v>
          </cell>
          <cell r="AL1735" t="str">
            <v>1-0606-(1/2)冠德&gt;寄&gt;附發票&gt;附回郵</v>
          </cell>
          <cell r="AM1735" t="str">
            <v>1-0606</v>
          </cell>
        </row>
        <row r="1736">
          <cell r="B1736" t="str">
            <v>1-1731</v>
          </cell>
          <cell r="E1736" t="str">
            <v>有限公司</v>
          </cell>
          <cell r="R1736" t="b">
            <v>0</v>
          </cell>
          <cell r="S1736" t="str"/>
          <cell r="T1736" t="b">
            <v>0</v>
          </cell>
          <cell r="W1736" t="str"/>
          <cell r="Y1736" t="str"/>
          <cell r="AA1736" t="str"/>
          <cell r="AK1736" t="str">
            <v>135-W6</v>
          </cell>
          <cell r="AL1736" t="str">
            <v>1-0688-上福輪胎&gt;寄&gt;附發票&gt;附回郵</v>
          </cell>
          <cell r="AM1736" t="str">
            <v>1-0688</v>
          </cell>
        </row>
        <row r="1737">
          <cell r="B1737" t="str">
            <v>1-1732</v>
          </cell>
          <cell r="E1737" t="str">
            <v>有限公司</v>
          </cell>
          <cell r="R1737" t="b">
            <v>0</v>
          </cell>
          <cell r="S1737" t="str"/>
          <cell r="T1737" t="b">
            <v>0</v>
          </cell>
          <cell r="W1737" t="str"/>
          <cell r="Y1737" t="str"/>
          <cell r="AA1737" t="str"/>
          <cell r="AK1737" t="str">
            <v>757-RW</v>
          </cell>
          <cell r="AL1737" t="str">
            <v>1-0694-永發&gt;寄&gt;附發票&gt;附回郵</v>
          </cell>
          <cell r="AM1737" t="str">
            <v>1-0694</v>
          </cell>
        </row>
        <row r="1738">
          <cell r="B1738" t="str">
            <v>1-1733</v>
          </cell>
          <cell r="E1738" t="str">
            <v>有限公司</v>
          </cell>
          <cell r="R1738" t="b">
            <v>0</v>
          </cell>
          <cell r="S1738" t="str"/>
          <cell r="T1738" t="b">
            <v>0</v>
          </cell>
          <cell r="W1738" t="str"/>
          <cell r="Y1738" t="str"/>
          <cell r="AA1738" t="str"/>
          <cell r="AK1738" t="str">
            <v>AAJ-818</v>
          </cell>
          <cell r="AL1738" t="str">
            <v>1-0725-葉志生&gt;一天&gt;寄&gt;附發票&gt;匯款</v>
          </cell>
          <cell r="AM1738" t="str">
            <v>1-0725</v>
          </cell>
        </row>
        <row r="1739">
          <cell r="B1739" t="str">
            <v>1-1734</v>
          </cell>
          <cell r="E1739" t="str">
            <v>有限公司</v>
          </cell>
          <cell r="R1739" t="b">
            <v>0</v>
          </cell>
          <cell r="S1739" t="str"/>
          <cell r="T1739" t="b">
            <v>0</v>
          </cell>
          <cell r="W1739" t="str"/>
          <cell r="Y1739" t="str"/>
          <cell r="AA1739" t="str"/>
          <cell r="AK1739" t="str">
            <v>AHD-2393</v>
          </cell>
          <cell r="AL1739" t="str">
            <v>1-0368-銀城&gt;寄&gt;附發票&gt;附回郵</v>
          </cell>
          <cell r="AM1739" t="str">
            <v>1-0368</v>
          </cell>
        </row>
        <row r="1740">
          <cell r="B1740" t="str">
            <v>1-1735</v>
          </cell>
          <cell r="E1740" t="str">
            <v>有限公司</v>
          </cell>
          <cell r="R1740" t="b">
            <v>0</v>
          </cell>
          <cell r="S1740" t="str"/>
          <cell r="T1740" t="b">
            <v>0</v>
          </cell>
          <cell r="W1740" t="str"/>
          <cell r="Y1740" t="str"/>
          <cell r="AA1740" t="str"/>
          <cell r="AK1740" t="str">
            <v>808-W6</v>
          </cell>
          <cell r="AL1740" t="str">
            <v>1-0606-(1/2)冠德&gt;寄&gt;附發票&gt;附回郵</v>
          </cell>
          <cell r="AM1740" t="str">
            <v>1-0606</v>
          </cell>
        </row>
        <row r="1741">
          <cell r="B1741" t="str">
            <v>1-1736</v>
          </cell>
          <cell r="E1741" t="str">
            <v>有限公司</v>
          </cell>
          <cell r="R1741" t="b">
            <v>0</v>
          </cell>
          <cell r="S1741" t="str"/>
          <cell r="T1741" t="b">
            <v>0</v>
          </cell>
          <cell r="W1741" t="str"/>
          <cell r="Y1741" t="str"/>
          <cell r="AA1741" t="str"/>
          <cell r="AK1741" t="str">
            <v>RAL-5666</v>
          </cell>
          <cell r="AL1741" t="str">
            <v>1-0644-和新.育達&gt;寄&gt;附發票&gt;匯款(和新小客)</v>
          </cell>
          <cell r="AM1741" t="str">
            <v>1-0644</v>
          </cell>
        </row>
        <row r="1742">
          <cell r="B1742" t="str">
            <v>1-1737</v>
          </cell>
          <cell r="E1742" t="str">
            <v>有限公司</v>
          </cell>
          <cell r="R1742" t="b">
            <v>0</v>
          </cell>
          <cell r="S1742" t="str"/>
          <cell r="T1742" t="b">
            <v>0</v>
          </cell>
          <cell r="W1742" t="str"/>
          <cell r="Y1742" t="str"/>
          <cell r="AA1742" t="str"/>
          <cell r="AK1742" t="str">
            <v>KLA-9210</v>
          </cell>
          <cell r="AL1742" t="str">
            <v>1-0046-(1/4)鴻阜&gt;寄&gt;附發票&gt;附回郵</v>
          </cell>
          <cell r="AM1742" t="str">
            <v>1-0046</v>
          </cell>
        </row>
        <row r="1743">
          <cell r="B1743" t="str">
            <v>1-1738</v>
          </cell>
          <cell r="E1743" t="str">
            <v>有限公司</v>
          </cell>
          <cell r="R1743" t="b">
            <v>0</v>
          </cell>
          <cell r="S1743" t="str"/>
          <cell r="T1743" t="b">
            <v>0</v>
          </cell>
          <cell r="W1743" t="str"/>
          <cell r="Y1743" t="str"/>
          <cell r="AA1743" t="str"/>
          <cell r="AK1743" t="str">
            <v>AHD-1736</v>
          </cell>
          <cell r="AL1743" t="str">
            <v>1-0368-銀城&gt;寄&gt;附發票&gt;附回郵</v>
          </cell>
          <cell r="AM1743" t="str">
            <v>1-0368</v>
          </cell>
        </row>
        <row r="1744">
          <cell r="B1744" t="str">
            <v>1-1739</v>
          </cell>
          <cell r="E1744" t="str">
            <v>有限公司</v>
          </cell>
          <cell r="R1744" t="b">
            <v>0</v>
          </cell>
          <cell r="S1744" t="str"/>
          <cell r="T1744" t="b">
            <v>0</v>
          </cell>
          <cell r="W1744" t="str"/>
          <cell r="Y1744" t="str"/>
          <cell r="AA1744" t="str"/>
          <cell r="AK1744" t="str">
            <v>272-S2</v>
          </cell>
          <cell r="AL1744" t="str">
            <v>1-0589-汯宸&gt;寄&gt;附發票&gt;一個月匯款</v>
          </cell>
          <cell r="AM1744" t="str">
            <v>1-0589</v>
          </cell>
        </row>
        <row r="1745">
          <cell r="B1745" t="str">
            <v>1-1740</v>
          </cell>
          <cell r="E1745" t="str">
            <v>有限公司</v>
          </cell>
          <cell r="R1745" t="b">
            <v>0</v>
          </cell>
          <cell r="S1745" t="str"/>
          <cell r="T1745" t="b">
            <v>0</v>
          </cell>
          <cell r="W1745" t="str"/>
          <cell r="Y1745" t="str"/>
          <cell r="AA1745" t="str"/>
          <cell r="AK1745" t="str">
            <v>011-HR</v>
          </cell>
          <cell r="AL1745" t="str">
            <v>1-0504-安泰起重&gt;寄&gt;附發票&gt;附回郵</v>
          </cell>
          <cell r="AM1745" t="str">
            <v>1-0504</v>
          </cell>
        </row>
        <row r="1746">
          <cell r="B1746" t="str">
            <v>1-1741</v>
          </cell>
          <cell r="E1746" t="str">
            <v>有限公司</v>
          </cell>
          <cell r="R1746" t="b">
            <v>0</v>
          </cell>
          <cell r="S1746" t="str"/>
          <cell r="T1746" t="b">
            <v>0</v>
          </cell>
          <cell r="W1746" t="str"/>
          <cell r="Y1746" t="str"/>
          <cell r="AA1746" t="str"/>
          <cell r="AK1746" t="str">
            <v>568-Y6</v>
          </cell>
          <cell r="AL1746" t="str">
            <v>1-0019-福雄&gt;寄&gt;附發票&gt;附回郵</v>
          </cell>
          <cell r="AM1746" t="str">
            <v>1-0019</v>
          </cell>
        </row>
        <row r="1747">
          <cell r="B1747" t="str">
            <v>1-1742</v>
          </cell>
          <cell r="E1747" t="str">
            <v>有限公司</v>
          </cell>
          <cell r="R1747" t="b">
            <v>0</v>
          </cell>
          <cell r="S1747" t="str"/>
          <cell r="T1747" t="b">
            <v>0</v>
          </cell>
          <cell r="W1747" t="str"/>
          <cell r="Y1747" t="str"/>
          <cell r="AA1747" t="str"/>
          <cell r="AK1747" t="str">
            <v>AAG-732</v>
          </cell>
          <cell r="AL1747" t="str">
            <v>1-0660-竹新.頂烽&gt;寄&gt;附發票&gt;匯款</v>
          </cell>
          <cell r="AM1747" t="str">
            <v>1-0660</v>
          </cell>
        </row>
        <row r="1748">
          <cell r="B1748" t="str">
            <v>1-1743</v>
          </cell>
          <cell r="E1748" t="str">
            <v>有限公司</v>
          </cell>
          <cell r="R1748" t="b">
            <v>0</v>
          </cell>
          <cell r="S1748" t="str"/>
          <cell r="T1748" t="b">
            <v>0</v>
          </cell>
          <cell r="W1748" t="str"/>
          <cell r="Y1748" t="str"/>
          <cell r="AA1748" t="str"/>
          <cell r="AK1748" t="str">
            <v>LU-3061</v>
          </cell>
          <cell r="AL1748" t="str">
            <v>1-0339-龍俐&gt;寄&gt;附發票&gt;附回郵</v>
          </cell>
          <cell r="AM1748" t="str">
            <v>1-0339</v>
          </cell>
        </row>
        <row r="1749">
          <cell r="B1749" t="str">
            <v>1-1744</v>
          </cell>
          <cell r="E1749" t="str">
            <v>有限公司</v>
          </cell>
          <cell r="R1749" t="b">
            <v>0</v>
          </cell>
          <cell r="S1749" t="str"/>
          <cell r="T1749" t="b">
            <v>0</v>
          </cell>
          <cell r="W1749" t="str"/>
          <cell r="Y1749" t="str"/>
          <cell r="AA1749" t="str"/>
          <cell r="AK1749" t="str">
            <v>9609-KLA</v>
          </cell>
          <cell r="AL1749" t="str">
            <v>1-0430-沅冠&gt;寄&gt;自結</v>
          </cell>
          <cell r="AM1749" t="str">
            <v>1-0430</v>
          </cell>
        </row>
        <row r="1750">
          <cell r="B1750" t="str">
            <v>1-1745</v>
          </cell>
          <cell r="E1750" t="str">
            <v>有限公司</v>
          </cell>
          <cell r="R1750" t="b">
            <v>0</v>
          </cell>
          <cell r="S1750" t="str"/>
          <cell r="T1750" t="b">
            <v>0</v>
          </cell>
          <cell r="W1750" t="str"/>
          <cell r="Y1750" t="str"/>
          <cell r="AA1750" t="str"/>
          <cell r="AK1750" t="str">
            <v>1457-B6</v>
          </cell>
          <cell r="AL1750" t="str">
            <v>1-0694-永發&gt;寄&gt;附發票&gt;附回郵</v>
          </cell>
          <cell r="AM1750" t="str">
            <v>1-0694</v>
          </cell>
        </row>
        <row r="1751">
          <cell r="B1751" t="str">
            <v>1-1746</v>
          </cell>
          <cell r="E1751" t="str">
            <v>有限公司</v>
          </cell>
          <cell r="R1751" t="b">
            <v>0</v>
          </cell>
          <cell r="S1751" t="str"/>
          <cell r="T1751" t="b">
            <v>0</v>
          </cell>
          <cell r="W1751" t="str"/>
          <cell r="Y1751" t="str"/>
          <cell r="AA1751" t="str"/>
          <cell r="AK1751" t="str">
            <v>935-GY</v>
          </cell>
          <cell r="AL1751" t="str">
            <v>1-0010-永業&gt;寄&gt;附回郵</v>
          </cell>
          <cell r="AM1751" t="str">
            <v>1-0010</v>
          </cell>
        </row>
        <row r="1752">
          <cell r="B1752" t="str">
            <v>1-1747</v>
          </cell>
          <cell r="E1752" t="str">
            <v>有限公司</v>
          </cell>
          <cell r="R1752" t="b">
            <v>0</v>
          </cell>
          <cell r="S1752" t="str"/>
          <cell r="T1752" t="b">
            <v>0</v>
          </cell>
          <cell r="W1752" t="str"/>
          <cell r="Y1752" t="str"/>
          <cell r="AA1752" t="str"/>
          <cell r="AK1752" t="str">
            <v>5670-APR</v>
          </cell>
          <cell r="AL1752" t="str">
            <v>1-0306-力龍&gt;寄&gt;自結</v>
          </cell>
          <cell r="AM1752" t="str">
            <v>1-0306</v>
          </cell>
        </row>
        <row r="1753">
          <cell r="B1753" t="str">
            <v>1-1748</v>
          </cell>
          <cell r="E1753" t="str">
            <v>有限公司</v>
          </cell>
          <cell r="R1753" t="b">
            <v>0</v>
          </cell>
          <cell r="S1753" t="str"/>
          <cell r="T1753" t="b">
            <v>0</v>
          </cell>
          <cell r="W1753" t="str"/>
          <cell r="Y1753" t="str"/>
          <cell r="AA1753" t="str"/>
          <cell r="AK1753" t="str">
            <v>297-TK</v>
          </cell>
          <cell r="AL1753" t="str">
            <v>1-0689-新竹縣寶山鄉公所&gt;寄&gt;附發票&gt;附回郵</v>
          </cell>
          <cell r="AM1753" t="str">
            <v>1-0689</v>
          </cell>
        </row>
        <row r="1754">
          <cell r="B1754" t="str">
            <v>1-1749</v>
          </cell>
          <cell r="E1754" t="str">
            <v>有限公司</v>
          </cell>
          <cell r="R1754" t="b">
            <v>0</v>
          </cell>
          <cell r="S1754" t="str"/>
          <cell r="T1754" t="b">
            <v>0</v>
          </cell>
          <cell r="W1754" t="str"/>
          <cell r="Y1754" t="str"/>
          <cell r="AA1754" t="str"/>
          <cell r="AK1754" t="str">
            <v>765-KW</v>
          </cell>
          <cell r="AL1754" t="str">
            <v>1-0021-毅和&gt;寄&gt;附發票&gt;附回郵</v>
          </cell>
          <cell r="AM1754" t="str">
            <v>1-0021</v>
          </cell>
        </row>
        <row r="1755">
          <cell r="B1755" t="str">
            <v>1-1750</v>
          </cell>
          <cell r="E1755" t="str">
            <v>有限公司</v>
          </cell>
          <cell r="R1755" t="b">
            <v>0</v>
          </cell>
          <cell r="S1755" t="str"/>
          <cell r="T1755" t="b">
            <v>0</v>
          </cell>
          <cell r="W1755" t="str"/>
          <cell r="Y1755" t="str"/>
          <cell r="AA1755" t="str"/>
          <cell r="AK1755" t="str">
            <v>下巴</v>
          </cell>
          <cell r="AL1755" t="str">
            <v>1-0058-鑫能&gt;寄&gt;匯款</v>
          </cell>
          <cell r="AM1755" t="str">
            <v>1-0058</v>
          </cell>
        </row>
        <row r="1756">
          <cell r="B1756" t="str">
            <v>1-1751</v>
          </cell>
          <cell r="E1756" t="str">
            <v>有限公司</v>
          </cell>
          <cell r="R1756" t="b">
            <v>0</v>
          </cell>
          <cell r="S1756" t="str"/>
          <cell r="T1756" t="b">
            <v>0</v>
          </cell>
          <cell r="W1756" t="str"/>
          <cell r="Y1756" t="str"/>
          <cell r="AA1756" t="str"/>
          <cell r="AK1756" t="str">
            <v>6408-VA</v>
          </cell>
          <cell r="AL1756" t="str">
            <v>1-0109-東禾修理廠&gt;寄&gt;附發票&gt;附回郵</v>
          </cell>
          <cell r="AM1756" t="str">
            <v>1-0109</v>
          </cell>
        </row>
        <row r="1757">
          <cell r="B1757" t="str">
            <v>1-1752</v>
          </cell>
          <cell r="E1757" t="str">
            <v>有限公司</v>
          </cell>
          <cell r="R1757" t="b">
            <v>0</v>
          </cell>
          <cell r="S1757" t="str"/>
          <cell r="T1757" t="b">
            <v>0</v>
          </cell>
          <cell r="W1757" t="str"/>
          <cell r="Y1757" t="str"/>
          <cell r="AA1757" t="str"/>
          <cell r="AK1757" t="str">
            <v>板420</v>
          </cell>
          <cell r="AL1757" t="str">
            <v>1-0162-鎰利&gt;鎰金&gt;鎰加&gt;寄&gt;附發票&gt;2個月匯款</v>
          </cell>
          <cell r="AM1757" t="str">
            <v>1-0162</v>
          </cell>
        </row>
        <row r="1758">
          <cell r="B1758" t="str">
            <v>1-1753</v>
          </cell>
          <cell r="E1758" t="str">
            <v>有限公司</v>
          </cell>
          <cell r="R1758" t="b">
            <v>0</v>
          </cell>
          <cell r="S1758" t="str"/>
          <cell r="T1758" t="b">
            <v>0</v>
          </cell>
          <cell r="W1758" t="str"/>
          <cell r="Y1758" t="str"/>
          <cell r="AA1758" t="str"/>
          <cell r="AK1758" t="str">
            <v>板07</v>
          </cell>
          <cell r="AL1758" t="str">
            <v>1-0162-鎰利&gt;鎰金&gt;鎰加&gt;寄&gt;附發票&gt;2個月匯款</v>
          </cell>
          <cell r="AM1758" t="str">
            <v>1-0162</v>
          </cell>
        </row>
        <row r="1759">
          <cell r="B1759" t="str">
            <v>1-1754</v>
          </cell>
          <cell r="E1759" t="str">
            <v>有限公司</v>
          </cell>
          <cell r="R1759" t="b">
            <v>0</v>
          </cell>
          <cell r="S1759" t="str"/>
          <cell r="T1759" t="b">
            <v>0</v>
          </cell>
          <cell r="W1759" t="str"/>
          <cell r="Y1759" t="str"/>
          <cell r="AA1759" t="str"/>
          <cell r="AK1759" t="str">
            <v>150-VB</v>
          </cell>
          <cell r="AL1759" t="str">
            <v>1-0125-源順&gt;寄&gt;附發票&gt;附回郵</v>
          </cell>
          <cell r="AM1759" t="str">
            <v>1-0125</v>
          </cell>
        </row>
        <row r="1760">
          <cell r="B1760" t="str">
            <v>1-1755</v>
          </cell>
          <cell r="E1760" t="str">
            <v>有限公司</v>
          </cell>
          <cell r="R1760" t="b">
            <v>0</v>
          </cell>
          <cell r="S1760" t="str"/>
          <cell r="T1760" t="b">
            <v>0</v>
          </cell>
          <cell r="W1760" t="str"/>
          <cell r="Y1760" t="str"/>
          <cell r="AA1760" t="str"/>
          <cell r="AK1760" t="str">
            <v>0896-T8</v>
          </cell>
          <cell r="AL1760" t="str">
            <v>1-0004-(1/3)長增&gt;寄&gt;附發票&gt;匯款&gt;現金價</v>
          </cell>
          <cell r="AM1760" t="str">
            <v>1-0004</v>
          </cell>
        </row>
        <row r="1761">
          <cell r="B1761" t="str">
            <v>1-1756</v>
          </cell>
          <cell r="E1761" t="str">
            <v>有限公司</v>
          </cell>
          <cell r="R1761" t="b">
            <v>0</v>
          </cell>
          <cell r="S1761" t="str"/>
          <cell r="T1761" t="b">
            <v>0</v>
          </cell>
          <cell r="W1761" t="str"/>
          <cell r="Y1761" t="str"/>
          <cell r="AA1761" t="str"/>
          <cell r="AK1761" t="str">
            <v>957-KN</v>
          </cell>
          <cell r="AL1761" t="str">
            <v>1-0632-長源新竹&gt;寄＞附發票＞三個月匯款</v>
          </cell>
          <cell r="AM1761" t="str">
            <v>1-0632</v>
          </cell>
        </row>
        <row r="1762">
          <cell r="B1762" t="str">
            <v>1-1757</v>
          </cell>
          <cell r="E1762" t="str">
            <v>有限公司</v>
          </cell>
          <cell r="R1762" t="b">
            <v>0</v>
          </cell>
          <cell r="S1762" t="str"/>
          <cell r="T1762" t="b">
            <v>0</v>
          </cell>
          <cell r="W1762" t="str"/>
          <cell r="Y1762" t="str"/>
          <cell r="AA1762" t="str"/>
          <cell r="AK1762" t="str">
            <v>ANU-1157</v>
          </cell>
          <cell r="AL1762" t="str">
            <v>1-0019-福雄&gt;寄&gt;附發票&gt;附回郵</v>
          </cell>
          <cell r="AM1762" t="str">
            <v>1-0019</v>
          </cell>
        </row>
        <row r="1763">
          <cell r="B1763" t="str">
            <v>1-1758</v>
          </cell>
          <cell r="E1763" t="str">
            <v>有限公司</v>
          </cell>
          <cell r="R1763" t="b">
            <v>0</v>
          </cell>
          <cell r="S1763" t="str"/>
          <cell r="T1763" t="b">
            <v>0</v>
          </cell>
          <cell r="W1763" t="str"/>
          <cell r="Y1763" t="str"/>
          <cell r="AA1763" t="str"/>
          <cell r="AK1763" t="str">
            <v>KLB-5185</v>
          </cell>
          <cell r="AL1763" t="str">
            <v>1-0674-翔威.翔鑫&gt;付現&gt;不能簽帳</v>
          </cell>
          <cell r="AM1763" t="str">
            <v>1-0674</v>
          </cell>
        </row>
        <row r="1764">
          <cell r="B1764" t="str">
            <v>1-1759</v>
          </cell>
          <cell r="E1764" t="str">
            <v>有限公司</v>
          </cell>
          <cell r="R1764" t="b">
            <v>0</v>
          </cell>
          <cell r="S1764" t="str"/>
          <cell r="T1764" t="b">
            <v>0</v>
          </cell>
          <cell r="W1764" t="str"/>
          <cell r="Y1764" t="str"/>
          <cell r="AA1764" t="str"/>
          <cell r="AK1764" t="str">
            <v>KLA-9753</v>
          </cell>
          <cell r="AL1764" t="str">
            <v>1-0047-(2/4)鴻安&gt;寄&gt;附發票&gt;附回郵</v>
          </cell>
          <cell r="AM1764" t="str">
            <v>1-0047</v>
          </cell>
        </row>
        <row r="1765">
          <cell r="B1765" t="str">
            <v>1-1760</v>
          </cell>
          <cell r="E1765" t="str">
            <v>有限公司</v>
          </cell>
          <cell r="R1765" t="b">
            <v>0</v>
          </cell>
          <cell r="S1765" t="str"/>
          <cell r="T1765" t="b">
            <v>0</v>
          </cell>
          <cell r="W1765" t="str"/>
          <cell r="Y1765" t="str"/>
          <cell r="AA1765" t="str"/>
          <cell r="AK1765" t="str">
            <v>556-T2</v>
          </cell>
          <cell r="AL1765" t="str">
            <v>1-0021-毅和&gt;寄&gt;附發票&gt;附回郵</v>
          </cell>
          <cell r="AM1765" t="str">
            <v>1-0021</v>
          </cell>
        </row>
        <row r="1766">
          <cell r="B1766" t="str">
            <v>1-1761</v>
          </cell>
          <cell r="E1766" t="str">
            <v>有限公司</v>
          </cell>
          <cell r="R1766" t="b">
            <v>0</v>
          </cell>
          <cell r="S1766" t="str"/>
          <cell r="T1766" t="b">
            <v>0</v>
          </cell>
          <cell r="W1766" t="str"/>
          <cell r="Y1766" t="str"/>
          <cell r="AA1766" t="str"/>
          <cell r="AK1766" t="str">
            <v>805-5A</v>
          </cell>
          <cell r="AL1766" t="str">
            <v>1-0607-(2/2)瑋鎰&gt;寄&gt;附發票&gt;附回郵</v>
          </cell>
          <cell r="AM1766" t="str">
            <v>1-0607</v>
          </cell>
        </row>
        <row r="1767">
          <cell r="B1767" t="str">
            <v>1-1762</v>
          </cell>
          <cell r="E1767" t="str">
            <v>有限公司</v>
          </cell>
          <cell r="R1767" t="b">
            <v>0</v>
          </cell>
          <cell r="S1767" t="str"/>
          <cell r="T1767" t="b">
            <v>0</v>
          </cell>
          <cell r="W1767" t="str"/>
          <cell r="Y1767" t="str"/>
          <cell r="AA1767" t="str"/>
          <cell r="AK1767" t="str">
            <v>536-S2</v>
          </cell>
          <cell r="AL1767" t="str">
            <v>1-0632-長源新竹&gt;寄＞附發票＞三個月匯款</v>
          </cell>
          <cell r="AM1767" t="str">
            <v>1-0632</v>
          </cell>
        </row>
        <row r="1768">
          <cell r="B1768" t="str">
            <v>1-1763</v>
          </cell>
          <cell r="E1768" t="str">
            <v>有限公司</v>
          </cell>
          <cell r="R1768" t="b">
            <v>0</v>
          </cell>
          <cell r="S1768" t="str"/>
          <cell r="T1768" t="b">
            <v>0</v>
          </cell>
          <cell r="W1768" t="str"/>
          <cell r="Y1768" t="str"/>
          <cell r="AA1768" t="str"/>
          <cell r="AK1768" t="str">
            <v>696-Y7</v>
          </cell>
          <cell r="AL1768" t="str">
            <v>1-0257-古肇魁＞阿奎伯&gt;利汯&gt;電&gt;自結</v>
          </cell>
          <cell r="AM1768" t="str">
            <v>1-0257</v>
          </cell>
        </row>
        <row r="1769">
          <cell r="B1769" t="str">
            <v>1-1764</v>
          </cell>
          <cell r="E1769" t="str">
            <v>有限公司</v>
          </cell>
          <cell r="R1769" t="b">
            <v>0</v>
          </cell>
          <cell r="S1769" t="str"/>
          <cell r="T1769" t="b">
            <v>0</v>
          </cell>
          <cell r="W1769" t="str"/>
          <cell r="Y1769" t="str"/>
          <cell r="AA1769" t="str"/>
          <cell r="AK1769" t="str">
            <v>071-G6</v>
          </cell>
          <cell r="AL1769" t="str">
            <v>1-0818-(2/2)捷順&gt;寄&gt;附發票&gt;三個月匯款</v>
          </cell>
          <cell r="AM1769" t="str">
            <v>1-0818</v>
          </cell>
        </row>
        <row r="1770">
          <cell r="B1770" t="str">
            <v>1-1765</v>
          </cell>
          <cell r="E1770" t="str">
            <v>有限公司</v>
          </cell>
          <cell r="R1770" t="b">
            <v>0</v>
          </cell>
          <cell r="S1770" t="str"/>
          <cell r="T1770" t="b">
            <v>0</v>
          </cell>
          <cell r="W1770" t="str"/>
          <cell r="Y1770" t="str"/>
          <cell r="AA1770" t="str"/>
          <cell r="AK1770" t="str">
            <v>2933-XT</v>
          </cell>
          <cell r="AL1770" t="str">
            <v>1-0590-電機葆&gt;張正葆&gt;寄&gt;自結</v>
          </cell>
          <cell r="AM1770" t="str">
            <v>1-0590</v>
          </cell>
        </row>
        <row r="1771">
          <cell r="B1771" t="str">
            <v>1-1766</v>
          </cell>
          <cell r="E1771" t="str">
            <v>有限公司</v>
          </cell>
          <cell r="R1771" t="b">
            <v>0</v>
          </cell>
          <cell r="S1771" t="str"/>
          <cell r="T1771" t="b">
            <v>0</v>
          </cell>
          <cell r="W1771" t="str"/>
          <cell r="Y1771" t="str"/>
          <cell r="AA1771" t="str"/>
          <cell r="AK1771" t="str">
            <v>722-XE</v>
          </cell>
          <cell r="AL1771" t="str">
            <v>1-0590-電機葆&gt;張正葆&gt;寄&gt;自結</v>
          </cell>
          <cell r="AM1771" t="str">
            <v>1-0590</v>
          </cell>
        </row>
        <row r="1772">
          <cell r="B1772" t="str">
            <v>1-1767</v>
          </cell>
          <cell r="E1772" t="str">
            <v>有限公司</v>
          </cell>
          <cell r="R1772" t="b">
            <v>0</v>
          </cell>
          <cell r="S1772" t="str"/>
          <cell r="T1772" t="b">
            <v>0</v>
          </cell>
          <cell r="W1772" t="str"/>
          <cell r="Y1772" t="str"/>
          <cell r="AA1772" t="str"/>
          <cell r="AK1772" t="str">
            <v>ANH-2336</v>
          </cell>
          <cell r="AL1772" t="str">
            <v>1-0019-福雄&gt;寄&gt;附發票&gt;附回郵</v>
          </cell>
          <cell r="AM1772" t="str">
            <v>1-0019</v>
          </cell>
        </row>
        <row r="1773">
          <cell r="B1773" t="str">
            <v>1-1768</v>
          </cell>
          <cell r="E1773" t="str">
            <v>有限公司</v>
          </cell>
          <cell r="R1773" t="b">
            <v>0</v>
          </cell>
          <cell r="S1773" t="str"/>
          <cell r="T1773" t="b">
            <v>0</v>
          </cell>
          <cell r="W1773" t="str"/>
          <cell r="Y1773" t="str"/>
          <cell r="AA1773" t="str"/>
          <cell r="AK1773" t="str">
            <v>ABG-7315</v>
          </cell>
          <cell r="AL1773" t="str">
            <v>1-0182-福海&gt;寄&gt;附回郵</v>
          </cell>
          <cell r="AM1773" t="str">
            <v>1-0182</v>
          </cell>
        </row>
        <row r="1774">
          <cell r="B1774" t="str">
            <v>1-1769</v>
          </cell>
          <cell r="E1774" t="str">
            <v>有限公司</v>
          </cell>
          <cell r="R1774" t="b">
            <v>0</v>
          </cell>
          <cell r="S1774" t="str"/>
          <cell r="T1774" t="b">
            <v>0</v>
          </cell>
          <cell r="W1774" t="str"/>
          <cell r="Y1774" t="str"/>
          <cell r="AA1774" t="str"/>
          <cell r="AK1774" t="str">
            <v>APR-1059</v>
          </cell>
          <cell r="AL1774" t="str">
            <v>1-0368-銀城&gt;寄&gt;附發票&gt;附回郵</v>
          </cell>
          <cell r="AM1774" t="str">
            <v>1-0368</v>
          </cell>
        </row>
        <row r="1775">
          <cell r="B1775" t="str">
            <v>1-1770</v>
          </cell>
          <cell r="E1775" t="str">
            <v>有限公司</v>
          </cell>
          <cell r="R1775" t="b">
            <v>0</v>
          </cell>
          <cell r="S1775" t="str"/>
          <cell r="T1775" t="b">
            <v>0</v>
          </cell>
          <cell r="W1775" t="str"/>
          <cell r="Y1775" t="str"/>
          <cell r="AA1775" t="str"/>
          <cell r="AK1775" t="str">
            <v>761-V8</v>
          </cell>
          <cell r="AL1775" t="str">
            <v>1-0372-銅鑼陳江山&gt;寄&gt;匯款</v>
          </cell>
          <cell r="AM1775" t="str">
            <v>1-0372</v>
          </cell>
        </row>
        <row r="1776">
          <cell r="B1776" t="str">
            <v>1-1771</v>
          </cell>
          <cell r="E1776" t="str">
            <v>有限公司</v>
          </cell>
          <cell r="R1776" t="b">
            <v>0</v>
          </cell>
          <cell r="S1776" t="str"/>
          <cell r="T1776" t="b">
            <v>0</v>
          </cell>
          <cell r="W1776" t="str"/>
          <cell r="Y1776" t="str"/>
          <cell r="AA1776" t="str"/>
          <cell r="AK1776" t="str">
            <v>Y3-638</v>
          </cell>
          <cell r="AL1776" t="str">
            <v>1-0164-元慶&gt;寄&gt;附發票&gt;附回郵</v>
          </cell>
          <cell r="AM1776" t="str">
            <v>1-0164</v>
          </cell>
        </row>
        <row r="1777">
          <cell r="B1777" t="str">
            <v>1-1772</v>
          </cell>
          <cell r="E1777" t="str">
            <v>有限公司</v>
          </cell>
          <cell r="R1777" t="b">
            <v>0</v>
          </cell>
          <cell r="S1777" t="str"/>
          <cell r="T1777" t="b">
            <v>0</v>
          </cell>
          <cell r="W1777" t="str"/>
          <cell r="Y1777" t="str"/>
          <cell r="AA1777" t="str"/>
          <cell r="AK1777" t="str">
            <v>528-QQ</v>
          </cell>
          <cell r="AL1777" t="str">
            <v>1-0122-嘉偉&gt;元美&gt;寄&gt;附發票&gt;附回郵</v>
          </cell>
          <cell r="AM1777" t="str">
            <v>1-0122</v>
          </cell>
        </row>
        <row r="1778">
          <cell r="B1778" t="str">
            <v>1-1773</v>
          </cell>
          <cell r="E1778" t="str">
            <v>有限公司</v>
          </cell>
          <cell r="R1778" t="b">
            <v>0</v>
          </cell>
          <cell r="S1778" t="str"/>
          <cell r="T1778" t="b">
            <v>0</v>
          </cell>
          <cell r="W1778" t="str"/>
          <cell r="Y1778" t="str"/>
          <cell r="AA1778" t="str"/>
          <cell r="AK1778" t="str">
            <v>278-V6</v>
          </cell>
          <cell r="AL1778" t="str">
            <v>1-0164-元慶&gt;寄&gt;附發票&gt;附回郵</v>
          </cell>
          <cell r="AM1778" t="str">
            <v>1-0164</v>
          </cell>
        </row>
        <row r="1779">
          <cell r="B1779" t="str">
            <v>1-1774</v>
          </cell>
          <cell r="E1779" t="str">
            <v>有限公司</v>
          </cell>
          <cell r="R1779" t="b">
            <v>0</v>
          </cell>
          <cell r="S1779" t="str"/>
          <cell r="T1779" t="b">
            <v>0</v>
          </cell>
          <cell r="W1779" t="str"/>
          <cell r="Y1779" t="str"/>
          <cell r="AA1779" t="str"/>
          <cell r="AK1779" t="str">
            <v>AUL-3838</v>
          </cell>
          <cell r="AL1779" t="str">
            <v>1-0019-福雄&gt;寄&gt;附發票&gt;附回郵</v>
          </cell>
          <cell r="AM1779" t="str">
            <v>1-0019</v>
          </cell>
        </row>
        <row r="1780">
          <cell r="B1780" t="str">
            <v>1-1775</v>
          </cell>
          <cell r="E1780" t="str">
            <v>有限公司</v>
          </cell>
          <cell r="R1780" t="b">
            <v>0</v>
          </cell>
          <cell r="S1780" t="str"/>
          <cell r="T1780" t="b">
            <v>0</v>
          </cell>
          <cell r="W1780" t="str"/>
          <cell r="Y1780" t="str"/>
          <cell r="AA1780" t="str"/>
          <cell r="AK1780" t="str">
            <v>713-XM</v>
          </cell>
          <cell r="AL1780" t="str">
            <v>1-0608-聯倉&gt;寄&gt;附發票&gt;附回郵</v>
          </cell>
          <cell r="AM1780" t="str">
            <v>1-0608</v>
          </cell>
        </row>
        <row r="1781">
          <cell r="B1781" t="str">
            <v>1-1776</v>
          </cell>
          <cell r="E1781" t="str">
            <v>有限公司</v>
          </cell>
          <cell r="R1781" t="b">
            <v>0</v>
          </cell>
          <cell r="S1781" t="str"/>
          <cell r="T1781" t="b">
            <v>0</v>
          </cell>
          <cell r="W1781" t="str"/>
          <cell r="Y1781" t="str"/>
          <cell r="AA1781" t="str"/>
          <cell r="AK1781" t="str">
            <v>APX-1273</v>
          </cell>
          <cell r="AL1781" t="str">
            <v>1-0646-許丘銘&gt;電&gt;付現</v>
          </cell>
          <cell r="AM1781" t="str">
            <v>1-0646</v>
          </cell>
        </row>
        <row r="1782">
          <cell r="B1782" t="str">
            <v>1-1777</v>
          </cell>
          <cell r="E1782" t="str">
            <v>有限公司</v>
          </cell>
          <cell r="R1782" t="b">
            <v>0</v>
          </cell>
          <cell r="S1782" t="str"/>
          <cell r="T1782" t="b">
            <v>0</v>
          </cell>
          <cell r="W1782" t="str"/>
          <cell r="Y1782" t="str"/>
          <cell r="AA1782" t="str"/>
          <cell r="AK1782" t="str">
            <v>軍E-60308</v>
          </cell>
          <cell r="AL1782" t="str">
            <v>1-0056-寬輾&gt;寄&gt;附回郵(1/3)</v>
          </cell>
          <cell r="AM1782" t="str">
            <v>1-0056</v>
          </cell>
        </row>
        <row r="1783">
          <cell r="B1783" t="str">
            <v>1-1778</v>
          </cell>
          <cell r="E1783" t="str">
            <v>有限公司</v>
          </cell>
          <cell r="R1783" t="b">
            <v>0</v>
          </cell>
          <cell r="S1783" t="str"/>
          <cell r="T1783" t="b">
            <v>0</v>
          </cell>
          <cell r="W1783" t="str"/>
          <cell r="Y1783" t="str"/>
          <cell r="AA1783" t="str"/>
          <cell r="AK1783" t="str">
            <v>LI-7729</v>
          </cell>
          <cell r="AL1783" t="str">
            <v>1-0521-竹南永德福SCANIA&gt;寄&gt;附發票&gt;2個月後匯款</v>
          </cell>
          <cell r="AM1783" t="str">
            <v>1-0521</v>
          </cell>
        </row>
        <row r="1784">
          <cell r="B1784" t="str">
            <v>1-1779</v>
          </cell>
          <cell r="E1784" t="str">
            <v>有限公司</v>
          </cell>
          <cell r="R1784" t="b">
            <v>0</v>
          </cell>
          <cell r="S1784" t="str"/>
          <cell r="T1784" t="b">
            <v>0</v>
          </cell>
          <cell r="W1784" t="str"/>
          <cell r="Y1784" t="str"/>
          <cell r="AA1784" t="str"/>
          <cell r="AK1784" t="str">
            <v>7U-9198</v>
          </cell>
          <cell r="AL1784" t="str">
            <v>1-0004-(1/3)長增&gt;寄&gt;附發票&gt;匯款&gt;現金價</v>
          </cell>
          <cell r="AM1784" t="str">
            <v>1-0004</v>
          </cell>
        </row>
        <row r="1785">
          <cell r="B1785" t="str">
            <v>1-1780</v>
          </cell>
          <cell r="E1785" t="str">
            <v>有限公司</v>
          </cell>
          <cell r="R1785" t="b">
            <v>0</v>
          </cell>
          <cell r="S1785" t="str"/>
          <cell r="T1785" t="b">
            <v>0</v>
          </cell>
          <cell r="W1785" t="str"/>
          <cell r="Y1785" t="str"/>
          <cell r="AA1785" t="str"/>
          <cell r="AK1785" t="str">
            <v>KLB-1676</v>
          </cell>
          <cell r="AL1785" t="str">
            <v>1-0691-高金水&gt;寄&gt;匯款:林澤滄&gt;拒絕往來戶</v>
          </cell>
          <cell r="AM1785" t="str">
            <v>1-0691</v>
          </cell>
        </row>
        <row r="1786">
          <cell r="B1786" t="str">
            <v>1-1781</v>
          </cell>
          <cell r="E1786" t="str">
            <v>有限公司</v>
          </cell>
          <cell r="R1786" t="b">
            <v>0</v>
          </cell>
          <cell r="S1786" t="str"/>
          <cell r="T1786" t="b">
            <v>0</v>
          </cell>
          <cell r="W1786" t="str"/>
          <cell r="Y1786" t="str"/>
          <cell r="AA1786" t="str"/>
          <cell r="AK1786" t="str">
            <v>348-QP</v>
          </cell>
          <cell r="AL1786" t="str">
            <v>1-0694-永發&gt;寄&gt;附發票&gt;附回郵</v>
          </cell>
          <cell r="AM1786" t="str">
            <v>1-0694</v>
          </cell>
        </row>
        <row r="1787">
          <cell r="B1787" t="str">
            <v>1-1782</v>
          </cell>
          <cell r="E1787" t="str">
            <v>有限公司</v>
          </cell>
          <cell r="R1787" t="b">
            <v>0</v>
          </cell>
          <cell r="S1787" t="str"/>
          <cell r="T1787" t="b">
            <v>0</v>
          </cell>
          <cell r="W1787" t="str"/>
          <cell r="Y1787" t="str"/>
          <cell r="AA1787" t="str"/>
          <cell r="AK1787" t="str">
            <v>131-X5</v>
          </cell>
          <cell r="AL1787" t="str">
            <v>1-0705-(1/3)福瑞&gt;寄&gt;附發票&gt;附回郵</v>
          </cell>
          <cell r="AM1787" t="str">
            <v>1-0705</v>
          </cell>
        </row>
        <row r="1788">
          <cell r="B1788" t="str">
            <v>1-1783</v>
          </cell>
          <cell r="E1788" t="str">
            <v>有限公司</v>
          </cell>
          <cell r="R1788" t="b">
            <v>0</v>
          </cell>
          <cell r="S1788" t="str"/>
          <cell r="T1788" t="b">
            <v>0</v>
          </cell>
          <cell r="W1788" t="str"/>
          <cell r="Y1788" t="str"/>
          <cell r="AA1788" t="str"/>
          <cell r="AK1788" t="str">
            <v>L6-06-3</v>
          </cell>
          <cell r="AL1788" t="str">
            <v>1-0162-鎰利&gt;鎰金&gt;鎰加&gt;寄&gt;附發票&gt;2個月匯款</v>
          </cell>
          <cell r="AM1788" t="str">
            <v>1-0162</v>
          </cell>
        </row>
        <row r="1789">
          <cell r="B1789" t="str">
            <v>1-1784</v>
          </cell>
          <cell r="E1789" t="str">
            <v>有限公司</v>
          </cell>
          <cell r="R1789" t="b">
            <v>0</v>
          </cell>
          <cell r="S1789" t="str"/>
          <cell r="T1789" t="b">
            <v>0</v>
          </cell>
          <cell r="W1789" t="str"/>
          <cell r="Y1789" t="str"/>
          <cell r="AA1789" t="str"/>
          <cell r="AK1789" t="str">
            <v>883-W7</v>
          </cell>
          <cell r="AL1789" t="str">
            <v>1-0698-張芫誠&gt;志鈞&gt;寄平信&gt;匯款</v>
          </cell>
          <cell r="AM1789" t="str">
            <v>1-0698</v>
          </cell>
        </row>
        <row r="1790">
          <cell r="B1790" t="str">
            <v>1-1785</v>
          </cell>
          <cell r="E1790" t="str">
            <v>有限公司</v>
          </cell>
          <cell r="R1790" t="b">
            <v>0</v>
          </cell>
          <cell r="S1790" t="str"/>
          <cell r="T1790" t="b">
            <v>0</v>
          </cell>
          <cell r="W1790" t="str"/>
          <cell r="Y1790" t="str"/>
          <cell r="AA1790" t="str"/>
          <cell r="AK1790" t="str">
            <v>LAG-963</v>
          </cell>
          <cell r="AL1790" t="str">
            <v>1-0698-張芫誠&gt;志鈞&gt;寄平信&gt;匯款</v>
          </cell>
          <cell r="AM1790" t="str">
            <v>1-0698</v>
          </cell>
        </row>
        <row r="1791">
          <cell r="B1791" t="str">
            <v>1-1786</v>
          </cell>
          <cell r="E1791" t="str">
            <v>有限公司</v>
          </cell>
          <cell r="R1791" t="b">
            <v>0</v>
          </cell>
          <cell r="S1791" t="str"/>
          <cell r="T1791" t="b">
            <v>0</v>
          </cell>
          <cell r="W1791" t="str"/>
          <cell r="Y1791" t="str"/>
          <cell r="AA1791" t="str"/>
          <cell r="AK1791" t="str">
            <v>2575-S6</v>
          </cell>
          <cell r="AL1791" t="str">
            <v>1-0354-志祥通運.普惠&gt;寄&gt;附發票&gt;附回郵</v>
          </cell>
          <cell r="AM1791" t="str">
            <v>1-0354</v>
          </cell>
        </row>
        <row r="1792">
          <cell r="B1792" t="str">
            <v>1-1787</v>
          </cell>
          <cell r="E1792" t="str">
            <v>有限公司</v>
          </cell>
          <cell r="R1792" t="b">
            <v>0</v>
          </cell>
          <cell r="S1792" t="str"/>
          <cell r="T1792" t="b">
            <v>0</v>
          </cell>
          <cell r="W1792" t="str"/>
          <cell r="Y1792" t="str"/>
          <cell r="AA1792" t="str"/>
          <cell r="AK1792" t="str">
            <v>ALQ-9838</v>
          </cell>
          <cell r="AL1792" t="str">
            <v>1-0698-張芫誠&gt;志鈞&gt;寄平信&gt;匯款</v>
          </cell>
          <cell r="AM1792" t="str">
            <v>1-0698</v>
          </cell>
        </row>
        <row r="1793">
          <cell r="B1793" t="str">
            <v>1-1788</v>
          </cell>
          <cell r="E1793" t="str">
            <v>有限公司</v>
          </cell>
          <cell r="R1793" t="b">
            <v>0</v>
          </cell>
          <cell r="S1793" t="str"/>
          <cell r="T1793" t="b">
            <v>0</v>
          </cell>
          <cell r="W1793" t="str"/>
          <cell r="Y1793" t="str"/>
          <cell r="AA1793" t="str"/>
          <cell r="AK1793" t="str">
            <v>10-TA</v>
          </cell>
          <cell r="AL1793" t="str">
            <v>1-0607-(2/2)瑋鎰&gt;寄&gt;附發票&gt;附回郵</v>
          </cell>
          <cell r="AM1793" t="str">
            <v>1-0607</v>
          </cell>
        </row>
        <row r="1794">
          <cell r="B1794" t="str">
            <v>1-1789</v>
          </cell>
          <cell r="E1794" t="str">
            <v>有限公司</v>
          </cell>
          <cell r="R1794" t="b">
            <v>0</v>
          </cell>
          <cell r="S1794" t="str"/>
          <cell r="T1794" t="b">
            <v>0</v>
          </cell>
          <cell r="W1794" t="str"/>
          <cell r="Y1794" t="str"/>
          <cell r="AA1794" t="str"/>
          <cell r="AK1794" t="str">
            <v>212-VB</v>
          </cell>
          <cell r="AL1794" t="str">
            <v>1-0694-永發&gt;寄&gt;附發票&gt;附回郵</v>
          </cell>
          <cell r="AM1794" t="str">
            <v>1-0694</v>
          </cell>
        </row>
        <row r="1795">
          <cell r="B1795" t="str">
            <v>1-1790</v>
          </cell>
          <cell r="E1795" t="str">
            <v>有限公司</v>
          </cell>
          <cell r="R1795" t="b">
            <v>0</v>
          </cell>
          <cell r="S1795" t="str"/>
          <cell r="T1795" t="b">
            <v>0</v>
          </cell>
          <cell r="W1795" t="str"/>
          <cell r="Y1795" t="str"/>
          <cell r="AA1795" t="str"/>
          <cell r="AK1795" t="str">
            <v>565-S2</v>
          </cell>
          <cell r="AL1795" t="str">
            <v>1-0689-新竹縣寶山鄉公所&gt;寄&gt;附發票&gt;附回郵</v>
          </cell>
          <cell r="AM1795" t="str">
            <v>1-0689</v>
          </cell>
        </row>
        <row r="1796">
          <cell r="B1796" t="str">
            <v>1-1791</v>
          </cell>
          <cell r="E1796" t="str">
            <v>有限公司</v>
          </cell>
          <cell r="R1796" t="b">
            <v>0</v>
          </cell>
          <cell r="S1796" t="str"/>
          <cell r="T1796" t="b">
            <v>0</v>
          </cell>
          <cell r="W1796" t="str"/>
          <cell r="Y1796" t="str"/>
          <cell r="AA1796" t="str"/>
          <cell r="AK1796" t="str">
            <v>ALW-3188</v>
          </cell>
          <cell r="AL1796" t="str">
            <v>1-0363-廣霖配管&gt;寄&gt;附發票&gt;附回郵</v>
          </cell>
          <cell r="AM1796" t="str">
            <v>1-0363</v>
          </cell>
        </row>
        <row r="1797">
          <cell r="B1797" t="str">
            <v>1-1792</v>
          </cell>
          <cell r="E1797" t="str">
            <v>有限公司</v>
          </cell>
          <cell r="R1797" t="b">
            <v>0</v>
          </cell>
          <cell r="S1797" t="str"/>
          <cell r="T1797" t="b">
            <v>0</v>
          </cell>
          <cell r="W1797" t="str"/>
          <cell r="Y1797" t="str"/>
          <cell r="AA1797" t="str"/>
          <cell r="AK1797" t="str">
            <v>706-VK</v>
          </cell>
          <cell r="AL1797" t="str">
            <v>1-0137-華鎮環保科技有限公司&gt;寄&gt;匯款</v>
          </cell>
          <cell r="AM1797" t="str">
            <v>1-0137</v>
          </cell>
        </row>
        <row r="1798">
          <cell r="B1798" t="str">
            <v>1-1793</v>
          </cell>
          <cell r="E1798" t="str">
            <v>有限公司</v>
          </cell>
          <cell r="R1798" t="b">
            <v>0</v>
          </cell>
          <cell r="S1798" t="str"/>
          <cell r="T1798" t="b">
            <v>0</v>
          </cell>
          <cell r="W1798" t="str"/>
          <cell r="Y1798" t="str"/>
          <cell r="AA1798" t="str"/>
          <cell r="AK1798" t="str">
            <v>APX-8707</v>
          </cell>
          <cell r="AL1798" t="str">
            <v>1-0021-毅和&gt;寄&gt;附發票&gt;附回郵</v>
          </cell>
          <cell r="AM1798" t="str">
            <v>1-0021</v>
          </cell>
        </row>
        <row r="1799">
          <cell r="B1799" t="str">
            <v>1-1794</v>
          </cell>
          <cell r="E1799" t="str">
            <v>有限公司</v>
          </cell>
          <cell r="R1799" t="b">
            <v>0</v>
          </cell>
          <cell r="S1799" t="str"/>
          <cell r="T1799" t="b">
            <v>0</v>
          </cell>
          <cell r="W1799" t="str"/>
          <cell r="Y1799" t="str"/>
          <cell r="AA1799" t="str"/>
          <cell r="AK1799" t="str">
            <v>3819-EG</v>
          </cell>
          <cell r="AL1799" t="str">
            <v>1-0524-馬董&gt;親送收</v>
          </cell>
          <cell r="AM1799" t="str">
            <v>1-0524</v>
          </cell>
        </row>
        <row r="1800">
          <cell r="B1800" t="str">
            <v>1-1795</v>
          </cell>
          <cell r="E1800" t="str">
            <v>有限公司</v>
          </cell>
          <cell r="R1800" t="b">
            <v>0</v>
          </cell>
          <cell r="S1800" t="str"/>
          <cell r="T1800" t="b">
            <v>0</v>
          </cell>
          <cell r="W1800" t="str"/>
          <cell r="Y1800" t="str"/>
          <cell r="AA1800" t="str"/>
          <cell r="AK1800" t="str">
            <v>763-Q8</v>
          </cell>
          <cell r="AL1800" t="str">
            <v>1-0334-廣寶&gt;環亞&gt;正大&gt;寄&gt;附回郵&gt;1個月後匯款</v>
          </cell>
          <cell r="AM1800" t="str">
            <v>1-0334</v>
          </cell>
        </row>
        <row r="1801">
          <cell r="B1801" t="str">
            <v>1-1796</v>
          </cell>
          <cell r="E1801" t="str">
            <v>有限公司</v>
          </cell>
          <cell r="R1801" t="b">
            <v>0</v>
          </cell>
          <cell r="S1801" t="str"/>
          <cell r="T1801" t="b">
            <v>0</v>
          </cell>
          <cell r="W1801" t="str"/>
          <cell r="Y1801" t="str"/>
          <cell r="AA1801" t="str"/>
          <cell r="AK1801" t="str">
            <v>398-G6</v>
          </cell>
          <cell r="AL1801" t="str">
            <v>1-0658-順同&gt;尚泰行.弘舜&gt;寄&gt;附發票&gt;附回郵</v>
          </cell>
          <cell r="AM1801" t="str">
            <v>1-0658</v>
          </cell>
        </row>
        <row r="1802">
          <cell r="B1802" t="str">
            <v>1-1797</v>
          </cell>
          <cell r="E1802" t="str">
            <v>有限公司</v>
          </cell>
          <cell r="R1802" t="b">
            <v>0</v>
          </cell>
          <cell r="S1802" t="str"/>
          <cell r="T1802" t="b">
            <v>0</v>
          </cell>
          <cell r="W1802" t="str"/>
          <cell r="Y1802" t="str"/>
          <cell r="AA1802" t="str"/>
          <cell r="AK1802" t="str">
            <v>827-Q7</v>
          </cell>
          <cell r="AL1802" t="str">
            <v>1-0691-高金水&gt;寄&gt;匯款:林澤滄&gt;拒絕往來戶</v>
          </cell>
          <cell r="AM1802" t="str">
            <v>1-0691</v>
          </cell>
        </row>
        <row r="1803">
          <cell r="B1803" t="str">
            <v>1-1798</v>
          </cell>
          <cell r="E1803" t="str">
            <v>有限公司</v>
          </cell>
          <cell r="R1803" t="b">
            <v>0</v>
          </cell>
          <cell r="S1803" t="str"/>
          <cell r="T1803" t="b">
            <v>0</v>
          </cell>
          <cell r="W1803" t="str"/>
          <cell r="Y1803" t="str"/>
          <cell r="AA1803" t="str"/>
          <cell r="AK1803" t="str">
            <v>6413-U2</v>
          </cell>
          <cell r="AL1803" t="str">
            <v>1-0060-源鴻&gt;寄&gt;親收</v>
          </cell>
          <cell r="AM1803" t="str">
            <v>1-0060</v>
          </cell>
        </row>
        <row r="1804">
          <cell r="B1804" t="str">
            <v>1-1799</v>
          </cell>
          <cell r="E1804" t="str">
            <v>有限公司</v>
          </cell>
          <cell r="R1804" t="b">
            <v>0</v>
          </cell>
          <cell r="S1804" t="str"/>
          <cell r="T1804" t="b">
            <v>0</v>
          </cell>
          <cell r="W1804" t="str"/>
          <cell r="Y1804" t="str"/>
          <cell r="AA1804" t="str"/>
          <cell r="AK1804" t="str">
            <v>4032-VS</v>
          </cell>
          <cell r="AL1804" t="str">
            <v>1-0014-六順(順合)&gt;寄&gt;附發票&gt;附回郵</v>
          </cell>
          <cell r="AM1804" t="str">
            <v>1-0014</v>
          </cell>
        </row>
        <row r="1805">
          <cell r="B1805" t="str">
            <v>1-1800</v>
          </cell>
          <cell r="E1805" t="str">
            <v>有限公司</v>
          </cell>
          <cell r="R1805" t="b">
            <v>0</v>
          </cell>
          <cell r="S1805" t="str"/>
          <cell r="T1805" t="b">
            <v>0</v>
          </cell>
          <cell r="W1805" t="str"/>
          <cell r="Y1805" t="str"/>
          <cell r="AA1805" t="str"/>
          <cell r="AK1805" t="str">
            <v>850-G5</v>
          </cell>
          <cell r="AL1805" t="str">
            <v>1-0182-福海&gt;寄&gt;附回郵</v>
          </cell>
          <cell r="AM1805" t="str">
            <v>1-0182</v>
          </cell>
        </row>
        <row r="1806">
          <cell r="B1806" t="str">
            <v>1-1801</v>
          </cell>
          <cell r="E1806" t="str">
            <v>有限公司</v>
          </cell>
          <cell r="R1806" t="b">
            <v>0</v>
          </cell>
          <cell r="S1806" t="str"/>
          <cell r="T1806" t="b">
            <v>0</v>
          </cell>
          <cell r="W1806" t="str"/>
          <cell r="Y1806" t="str"/>
          <cell r="AA1806" t="str"/>
          <cell r="AK1806" t="str">
            <v>540-GA</v>
          </cell>
          <cell r="AL1806" t="str">
            <v>1-0303-江正榮＞阿妙-永慶&gt;寄&gt;自結</v>
          </cell>
          <cell r="AM1806" t="str">
            <v>1-0303</v>
          </cell>
        </row>
        <row r="1807">
          <cell r="B1807" t="str">
            <v>1-1802</v>
          </cell>
          <cell r="E1807" t="str">
            <v>有限公司</v>
          </cell>
          <cell r="R1807" t="b">
            <v>0</v>
          </cell>
          <cell r="S1807" t="str"/>
          <cell r="T1807" t="b">
            <v>0</v>
          </cell>
          <cell r="W1807" t="str"/>
          <cell r="Y1807" t="str"/>
          <cell r="AA1807" t="str"/>
          <cell r="AK1807" t="str">
            <v>558-ZW</v>
          </cell>
          <cell r="AL1807" t="str">
            <v>1-0805-陳政翰&gt;寄平信&gt;自結</v>
          </cell>
          <cell r="AM1807" t="str">
            <v>1-0805</v>
          </cell>
        </row>
        <row r="1808">
          <cell r="B1808" t="str">
            <v>1-1803</v>
          </cell>
          <cell r="E1808" t="str">
            <v>有限公司</v>
          </cell>
          <cell r="R1808" t="b">
            <v>0</v>
          </cell>
          <cell r="S1808" t="str"/>
          <cell r="T1808" t="b">
            <v>0</v>
          </cell>
          <cell r="W1808" t="str"/>
          <cell r="Y1808" t="str"/>
          <cell r="AA1808" t="str"/>
          <cell r="AK1808" t="str">
            <v>9F-487</v>
          </cell>
          <cell r="AL1808" t="str">
            <v>1-0187-啟成&gt;寄&gt;附發票&gt;附回郵</v>
          </cell>
          <cell r="AM1808" t="str">
            <v>1-0187</v>
          </cell>
        </row>
        <row r="1809">
          <cell r="B1809" t="str">
            <v>1-1804</v>
          </cell>
          <cell r="E1809" t="str">
            <v>有限公司</v>
          </cell>
          <cell r="R1809" t="b">
            <v>0</v>
          </cell>
          <cell r="S1809" t="str"/>
          <cell r="T1809" t="b">
            <v>0</v>
          </cell>
          <cell r="W1809" t="str"/>
          <cell r="Y1809" t="str"/>
          <cell r="AA1809" t="str"/>
          <cell r="AK1809" t="str">
            <v>KLB-3189</v>
          </cell>
          <cell r="AL1809" t="str">
            <v>1-0087-慶揚&gt;寄&gt;匯款</v>
          </cell>
          <cell r="AM1809" t="str">
            <v>1-0087</v>
          </cell>
        </row>
        <row r="1810">
          <cell r="B1810" t="str">
            <v>1-1805</v>
          </cell>
          <cell r="E1810" t="str">
            <v>有限公司</v>
          </cell>
          <cell r="R1810" t="b">
            <v>0</v>
          </cell>
          <cell r="S1810" t="str"/>
          <cell r="T1810" t="b">
            <v>0</v>
          </cell>
          <cell r="W1810" t="str"/>
          <cell r="Y1810" t="str"/>
          <cell r="AA1810" t="str"/>
          <cell r="AK1810" t="str">
            <v>6850-N5</v>
          </cell>
          <cell r="AL1810" t="str">
            <v>1-0168-永明&gt;寄&gt;親收</v>
          </cell>
          <cell r="AM1810" t="str">
            <v>1-0168</v>
          </cell>
        </row>
        <row r="1811">
          <cell r="B1811" t="str">
            <v>1-1806</v>
          </cell>
          <cell r="E1811" t="str">
            <v>有限公司</v>
          </cell>
          <cell r="R1811" t="b">
            <v>0</v>
          </cell>
          <cell r="S1811" t="str"/>
          <cell r="T1811" t="b">
            <v>0</v>
          </cell>
          <cell r="W1811" t="str"/>
          <cell r="Y1811" t="str"/>
          <cell r="AA1811" t="str"/>
          <cell r="AK1811" t="str">
            <v>HAB-037</v>
          </cell>
          <cell r="AL1811" t="str">
            <v>1-0688-上福輪胎&gt;寄&gt;附發票&gt;附回郵</v>
          </cell>
          <cell r="AM1811" t="str">
            <v>1-0688</v>
          </cell>
        </row>
        <row r="1812">
          <cell r="B1812" t="str">
            <v>1-1807</v>
          </cell>
          <cell r="E1812" t="str">
            <v>有限公司</v>
          </cell>
          <cell r="R1812" t="b">
            <v>0</v>
          </cell>
          <cell r="S1812" t="str"/>
          <cell r="T1812" t="b">
            <v>0</v>
          </cell>
          <cell r="W1812" t="str"/>
          <cell r="Y1812" t="str"/>
          <cell r="AA1812" t="str"/>
          <cell r="AK1812" t="str">
            <v>W5-6348</v>
          </cell>
          <cell r="AL1812" t="str">
            <v>1-0004-(1/3)長增&gt;寄&gt;附發票&gt;匯款&gt;現金價</v>
          </cell>
          <cell r="AM1812" t="str">
            <v>1-0004</v>
          </cell>
        </row>
        <row r="1813">
          <cell r="B1813" t="str">
            <v>1-1808</v>
          </cell>
          <cell r="E1813" t="str">
            <v>有限公司</v>
          </cell>
          <cell r="R1813" t="b">
            <v>0</v>
          </cell>
          <cell r="S1813" t="str"/>
          <cell r="T1813" t="b">
            <v>0</v>
          </cell>
          <cell r="W1813" t="str"/>
          <cell r="Y1813" t="str"/>
          <cell r="AA1813" t="str"/>
          <cell r="AK1813" t="str">
            <v>868-XW</v>
          </cell>
          <cell r="AL1813" t="str">
            <v>1-0162-鎰利&gt;鎰金&gt;鎰加&gt;寄&gt;附發票&gt;2個月匯款</v>
          </cell>
          <cell r="AM1813" t="str">
            <v>1-0162</v>
          </cell>
        </row>
        <row r="1814">
          <cell r="B1814" t="str">
            <v>1-1809</v>
          </cell>
          <cell r="E1814" t="str">
            <v>有限公司</v>
          </cell>
          <cell r="R1814" t="b">
            <v>0</v>
          </cell>
          <cell r="S1814" t="str"/>
          <cell r="T1814" t="b">
            <v>0</v>
          </cell>
          <cell r="W1814" t="str"/>
          <cell r="Y1814" t="str"/>
          <cell r="AA1814" t="str"/>
          <cell r="AK1814" t="str">
            <v>858-XW</v>
          </cell>
          <cell r="AL1814" t="str">
            <v>1-0162-鎰利&gt;鎰金&gt;鎰加&gt;寄&gt;附發票&gt;2個月匯款</v>
          </cell>
          <cell r="AM1814" t="str">
            <v>1-0162</v>
          </cell>
        </row>
        <row r="1815">
          <cell r="B1815" t="str">
            <v>1-1810</v>
          </cell>
          <cell r="E1815" t="str">
            <v>有限公司</v>
          </cell>
          <cell r="R1815" t="b">
            <v>0</v>
          </cell>
          <cell r="S1815" t="str"/>
          <cell r="T1815" t="b">
            <v>0</v>
          </cell>
          <cell r="W1815" t="str"/>
          <cell r="Y1815" t="str"/>
          <cell r="AA1815" t="str"/>
          <cell r="AK1815" t="str">
            <v>ASK-0872</v>
          </cell>
          <cell r="AL1815" t="str">
            <v>1-0646-許丘銘&gt;電&gt;付現</v>
          </cell>
          <cell r="AM1815" t="str">
            <v>1-0646</v>
          </cell>
        </row>
        <row r="1816">
          <cell r="B1816" t="str">
            <v>1-1811</v>
          </cell>
          <cell r="E1816" t="str">
            <v>有限公司</v>
          </cell>
          <cell r="R1816" t="b">
            <v>0</v>
          </cell>
          <cell r="S1816" t="str"/>
          <cell r="T1816" t="b">
            <v>0</v>
          </cell>
          <cell r="W1816" t="str"/>
          <cell r="Y1816" t="str"/>
          <cell r="AA1816" t="str"/>
          <cell r="AK1816" t="str">
            <v>5932-UU</v>
          </cell>
          <cell r="AL1816" t="str">
            <v>1-0449-園區&gt;寄&gt;附發票&gt;附回郵</v>
          </cell>
          <cell r="AM1816" t="str">
            <v>1-0449</v>
          </cell>
        </row>
        <row r="1817">
          <cell r="B1817" t="str">
            <v>1-1812</v>
          </cell>
          <cell r="E1817" t="str">
            <v>有限公司</v>
          </cell>
          <cell r="R1817" t="b">
            <v>0</v>
          </cell>
          <cell r="S1817" t="str"/>
          <cell r="T1817" t="b">
            <v>0</v>
          </cell>
          <cell r="W1817" t="str"/>
          <cell r="Y1817" t="str"/>
          <cell r="AA1817" t="str"/>
          <cell r="AK1817" t="str">
            <v>KLB-1393</v>
          </cell>
          <cell r="AL1817" t="str">
            <v>1-0705-(1/3)福瑞&gt;寄&gt;附發票&gt;附回郵</v>
          </cell>
          <cell r="AM1817" t="str">
            <v>1-0705</v>
          </cell>
        </row>
        <row r="1818">
          <cell r="B1818" t="str">
            <v>1-1813</v>
          </cell>
          <cell r="E1818" t="str">
            <v>有限公司</v>
          </cell>
          <cell r="R1818" t="b">
            <v>0</v>
          </cell>
          <cell r="S1818" t="str"/>
          <cell r="T1818" t="b">
            <v>0</v>
          </cell>
          <cell r="W1818" t="str"/>
          <cell r="Y1818" t="str"/>
          <cell r="AA1818" t="str"/>
          <cell r="AK1818" t="str">
            <v>板436</v>
          </cell>
          <cell r="AL1818" t="str">
            <v>1-0162-鎰利&gt;鎰金&gt;鎰加&gt;寄&gt;附發票&gt;2個月匯款</v>
          </cell>
          <cell r="AM1818" t="str">
            <v>1-0162</v>
          </cell>
        </row>
        <row r="1819">
          <cell r="B1819" t="str">
            <v>1-1814</v>
          </cell>
          <cell r="E1819" t="str">
            <v>有限公司</v>
          </cell>
          <cell r="R1819" t="b">
            <v>0</v>
          </cell>
          <cell r="S1819" t="str"/>
          <cell r="T1819" t="b">
            <v>0</v>
          </cell>
          <cell r="W1819" t="str"/>
          <cell r="Y1819" t="str"/>
          <cell r="AA1819" t="str"/>
          <cell r="AK1819" t="str">
            <v>628-Y7</v>
          </cell>
          <cell r="AL1819" t="str">
            <v>1-0368-銀城&gt;寄&gt;附發票&gt;附回郵</v>
          </cell>
          <cell r="AM1819" t="str">
            <v>1-0368</v>
          </cell>
        </row>
        <row r="1820">
          <cell r="B1820" t="str">
            <v>1-1815</v>
          </cell>
          <cell r="E1820" t="str">
            <v>有限公司</v>
          </cell>
          <cell r="R1820" t="b">
            <v>0</v>
          </cell>
          <cell r="S1820" t="str"/>
          <cell r="T1820" t="b">
            <v>0</v>
          </cell>
          <cell r="W1820" t="str"/>
          <cell r="Y1820" t="str"/>
          <cell r="AA1820" t="str"/>
          <cell r="AK1820" t="str">
            <v>889-DD</v>
          </cell>
          <cell r="AL1820" t="str">
            <v>1-0525-勝興&gt;寄&gt;附發票&gt;自結</v>
          </cell>
          <cell r="AM1820" t="str">
            <v>1-0525</v>
          </cell>
        </row>
        <row r="1821">
          <cell r="B1821" t="str">
            <v>1-1816</v>
          </cell>
          <cell r="E1821" t="str">
            <v>有限公司</v>
          </cell>
          <cell r="R1821" t="b">
            <v>0</v>
          </cell>
          <cell r="S1821" t="str"/>
          <cell r="T1821" t="b">
            <v>0</v>
          </cell>
          <cell r="W1821" t="str"/>
          <cell r="Y1821" t="str"/>
          <cell r="AA1821" t="str"/>
          <cell r="AK1821" t="str">
            <v>ASN-5883</v>
          </cell>
          <cell r="AL1821" t="str">
            <v>1-0074-順安&gt;寄&gt;附發票&gt;附回郵</v>
          </cell>
          <cell r="AM1821" t="str">
            <v>1-0074</v>
          </cell>
        </row>
        <row r="1822">
          <cell r="B1822" t="str">
            <v>1-1817</v>
          </cell>
          <cell r="E1822" t="str">
            <v>有限公司</v>
          </cell>
          <cell r="R1822" t="b">
            <v>0</v>
          </cell>
          <cell r="S1822" t="str"/>
          <cell r="T1822" t="b">
            <v>0</v>
          </cell>
          <cell r="W1822" t="str"/>
          <cell r="Y1822" t="str"/>
          <cell r="AA1822" t="str"/>
          <cell r="AK1822" t="str">
            <v>HQ-2827</v>
          </cell>
          <cell r="AL1822" t="str">
            <v>1-0060-源鴻&gt;寄&gt;親收</v>
          </cell>
          <cell r="AM1822" t="str">
            <v>1-0060</v>
          </cell>
        </row>
        <row r="1823">
          <cell r="B1823" t="str">
            <v>1-1818</v>
          </cell>
          <cell r="E1823" t="str">
            <v>有限公司</v>
          </cell>
          <cell r="R1823" t="b">
            <v>0</v>
          </cell>
          <cell r="S1823" t="str"/>
          <cell r="T1823" t="b">
            <v>0</v>
          </cell>
          <cell r="W1823" t="str"/>
          <cell r="Y1823" t="str"/>
          <cell r="AA1823" t="str"/>
          <cell r="AK1823" t="str">
            <v>QM-676</v>
          </cell>
          <cell r="AL1823" t="str">
            <v>1-0431-朱金發&gt;志松&gt;寄&gt;自結</v>
          </cell>
          <cell r="AM1823" t="str">
            <v>1-0431</v>
          </cell>
        </row>
        <row r="1824">
          <cell r="B1824" t="str">
            <v>1-1819</v>
          </cell>
          <cell r="E1824" t="str">
            <v>有限公司</v>
          </cell>
          <cell r="R1824" t="b">
            <v>0</v>
          </cell>
          <cell r="S1824" t="str"/>
          <cell r="T1824" t="b">
            <v>0</v>
          </cell>
          <cell r="W1824" t="str"/>
          <cell r="Y1824" t="str"/>
          <cell r="AA1824" t="str"/>
          <cell r="AK1824" t="str">
            <v>4236-NA</v>
          </cell>
          <cell r="AL1824" t="str">
            <v>1-0590-電機葆&gt;張正葆&gt;寄&gt;自結</v>
          </cell>
          <cell r="AM1824" t="str">
            <v>1-0590</v>
          </cell>
        </row>
        <row r="1825">
          <cell r="B1825" t="str">
            <v>1-1820</v>
          </cell>
          <cell r="E1825" t="str">
            <v>有限公司</v>
          </cell>
          <cell r="R1825" t="b">
            <v>0</v>
          </cell>
          <cell r="S1825" t="str"/>
          <cell r="T1825" t="b">
            <v>0</v>
          </cell>
          <cell r="W1825" t="str"/>
          <cell r="Y1825" t="str"/>
          <cell r="AA1825" t="str"/>
          <cell r="AK1825" t="str">
            <v>692-Y7</v>
          </cell>
          <cell r="AL1825" t="str">
            <v>1-0694-永發&gt;寄&gt;附發票&gt;附回郵</v>
          </cell>
          <cell r="AM1825" t="str">
            <v>1-0694</v>
          </cell>
        </row>
        <row r="1826">
          <cell r="B1826" t="str">
            <v>1-1821</v>
          </cell>
          <cell r="E1826" t="str">
            <v>有限公司</v>
          </cell>
          <cell r="R1826" t="b">
            <v>0</v>
          </cell>
          <cell r="S1826" t="str"/>
          <cell r="T1826" t="b">
            <v>0</v>
          </cell>
          <cell r="W1826" t="str"/>
          <cell r="Y1826" t="str"/>
          <cell r="AA1826" t="str"/>
          <cell r="AK1826" t="str">
            <v>LAE-195</v>
          </cell>
          <cell r="AL1826" t="str">
            <v>1-0582-周應欽&gt;電&gt;自結</v>
          </cell>
          <cell r="AM1826" t="str">
            <v>1-0582</v>
          </cell>
        </row>
        <row r="1827">
          <cell r="B1827" t="str">
            <v>1-1822</v>
          </cell>
          <cell r="E1827" t="str">
            <v>有限公司</v>
          </cell>
          <cell r="R1827" t="b">
            <v>0</v>
          </cell>
          <cell r="S1827" t="str"/>
          <cell r="T1827" t="b">
            <v>0</v>
          </cell>
          <cell r="W1827" t="str"/>
          <cell r="Y1827" t="str"/>
          <cell r="AA1827" t="str"/>
          <cell r="AK1827" t="str">
            <v>ABR-0198</v>
          </cell>
          <cell r="AL1827" t="str">
            <v>1-0077-德龍紙業&gt;寄&gt;附發票＞親收</v>
          </cell>
          <cell r="AM1827" t="str">
            <v>1-0077</v>
          </cell>
        </row>
        <row r="1828">
          <cell r="B1828" t="str">
            <v>1-1823</v>
          </cell>
          <cell r="E1828" t="str">
            <v>有限公司</v>
          </cell>
          <cell r="R1828" t="b">
            <v>0</v>
          </cell>
          <cell r="S1828" t="str"/>
          <cell r="T1828" t="b">
            <v>0</v>
          </cell>
          <cell r="W1828" t="str"/>
          <cell r="Y1828" t="str"/>
          <cell r="AA1828" t="str"/>
          <cell r="AK1828" t="str">
            <v>355-UY</v>
          </cell>
          <cell r="AL1828" t="str">
            <v>1-0463-翔瑞&gt;寄&gt;附發票&gt;附回郵</v>
          </cell>
          <cell r="AM1828" t="str">
            <v>1-0463</v>
          </cell>
        </row>
        <row r="1829">
          <cell r="B1829" t="str">
            <v>1-1824</v>
          </cell>
          <cell r="E1829" t="str">
            <v>有限公司</v>
          </cell>
          <cell r="R1829" t="b">
            <v>0</v>
          </cell>
          <cell r="S1829" t="str"/>
          <cell r="T1829" t="b">
            <v>0</v>
          </cell>
          <cell r="W1829" t="str"/>
          <cell r="Y1829" t="str"/>
          <cell r="AA1829" t="str"/>
          <cell r="AK1829" t="str">
            <v>AVE-5759</v>
          </cell>
          <cell r="AL1829" t="str">
            <v>1-0398-天文.坤成&gt;寄&gt;附發票&gt;附回郵</v>
          </cell>
          <cell r="AM1829" t="str">
            <v>1-0398</v>
          </cell>
        </row>
        <row r="1830">
          <cell r="B1830" t="str">
            <v>1-1825</v>
          </cell>
          <cell r="E1830" t="str">
            <v>有限公司</v>
          </cell>
          <cell r="R1830" t="b">
            <v>0</v>
          </cell>
          <cell r="S1830" t="str"/>
          <cell r="T1830" t="b">
            <v>0</v>
          </cell>
          <cell r="W1830" t="str"/>
          <cell r="Y1830" t="str"/>
          <cell r="AA1830" t="str"/>
          <cell r="AK1830" t="str">
            <v>861-ZC</v>
          </cell>
          <cell r="AL1830" t="str">
            <v>1-0631-長源苗栗&gt;寄＞附發票＞匯款</v>
          </cell>
          <cell r="AM1830" t="str">
            <v>1-0631</v>
          </cell>
        </row>
        <row r="1831">
          <cell r="B1831" t="str">
            <v>1-1826</v>
          </cell>
          <cell r="E1831" t="str">
            <v>有限公司</v>
          </cell>
          <cell r="R1831" t="b">
            <v>0</v>
          </cell>
          <cell r="S1831" t="str"/>
          <cell r="T1831" t="b">
            <v>0</v>
          </cell>
          <cell r="W1831" t="str"/>
          <cell r="Y1831" t="str"/>
          <cell r="AA1831" t="str"/>
          <cell r="AK1831" t="str">
            <v>LAF-226</v>
          </cell>
          <cell r="AL1831" t="str">
            <v>1-0580-(1/2)捷盛&gt;寄&gt;附發票&gt;3個月匯款</v>
          </cell>
          <cell r="AM1831" t="str">
            <v>1-0580</v>
          </cell>
        </row>
        <row r="1832">
          <cell r="B1832" t="str">
            <v>1-1827</v>
          </cell>
          <cell r="E1832" t="str">
            <v>有限公司</v>
          </cell>
          <cell r="R1832" t="b">
            <v>0</v>
          </cell>
          <cell r="S1832" t="str"/>
          <cell r="T1832" t="b">
            <v>0</v>
          </cell>
          <cell r="W1832" t="str"/>
          <cell r="Y1832" t="str"/>
          <cell r="AA1832" t="str"/>
          <cell r="AK1832" t="str">
            <v>918-JD</v>
          </cell>
          <cell r="AL1832" t="str">
            <v>1-0136-順華&gt;寄&gt;附發票&gt;三個月匯款</v>
          </cell>
          <cell r="AM1832" t="str">
            <v>1-0136</v>
          </cell>
        </row>
        <row r="1833">
          <cell r="B1833" t="str">
            <v>1-1828</v>
          </cell>
          <cell r="E1833" t="str">
            <v>有限公司</v>
          </cell>
          <cell r="R1833" t="b">
            <v>0</v>
          </cell>
          <cell r="S1833" t="str"/>
          <cell r="T1833" t="b">
            <v>0</v>
          </cell>
          <cell r="W1833" t="str"/>
          <cell r="Y1833" t="str"/>
          <cell r="AA1833" t="str"/>
          <cell r="AK1833" t="str">
            <v>8605-JV</v>
          </cell>
          <cell r="AL1833" t="str">
            <v>1-0469-黃明良&gt;旭東&gt;寄&gt;附發票&gt;附回郵</v>
          </cell>
          <cell r="AM1833" t="str">
            <v>1-0469</v>
          </cell>
        </row>
        <row r="1834">
          <cell r="B1834" t="str">
            <v>1-1829</v>
          </cell>
          <cell r="E1834" t="str">
            <v>有限公司</v>
          </cell>
          <cell r="R1834" t="b">
            <v>0</v>
          </cell>
          <cell r="S1834" t="str"/>
          <cell r="T1834" t="b">
            <v>0</v>
          </cell>
          <cell r="W1834" t="str"/>
          <cell r="Y1834" t="str"/>
          <cell r="AA1834" t="str"/>
          <cell r="AK1834" t="str">
            <v>2219-PQ</v>
          </cell>
          <cell r="AL1834" t="str">
            <v>1-0012-益順&gt;寄&gt;附發票&gt;親收</v>
          </cell>
          <cell r="AM1834" t="str">
            <v>1-0012</v>
          </cell>
        </row>
        <row r="1835">
          <cell r="B1835" t="str">
            <v>1-1830</v>
          </cell>
          <cell r="E1835" t="str">
            <v>有限公司</v>
          </cell>
          <cell r="R1835" t="b">
            <v>0</v>
          </cell>
          <cell r="S1835" t="str"/>
          <cell r="T1835" t="b">
            <v>0</v>
          </cell>
          <cell r="W1835" t="str"/>
          <cell r="Y1835" t="str"/>
          <cell r="AA1835" t="str"/>
          <cell r="AK1835" t="str">
            <v>APN-2367</v>
          </cell>
          <cell r="AL1835" t="str">
            <v>1-0610-恆陽&gt;聯鋮&gt;寄&gt;附發票&gt;附回郵</v>
          </cell>
          <cell r="AM1835" t="str">
            <v>1-0610</v>
          </cell>
        </row>
        <row r="1836">
          <cell r="B1836" t="str">
            <v>1-1831</v>
          </cell>
          <cell r="E1836" t="str">
            <v>有限公司</v>
          </cell>
          <cell r="R1836" t="b">
            <v>0</v>
          </cell>
          <cell r="S1836" t="str"/>
          <cell r="T1836" t="b">
            <v>0</v>
          </cell>
          <cell r="W1836" t="str"/>
          <cell r="Y1836" t="str"/>
          <cell r="AA1836" t="str"/>
          <cell r="AK1836" t="str">
            <v>701-Y7</v>
          </cell>
          <cell r="AL1836" t="str">
            <v>1-0368-銀城&gt;寄&gt;附發票&gt;附回郵</v>
          </cell>
          <cell r="AM1836" t="str">
            <v>1-0368</v>
          </cell>
        </row>
        <row r="1837">
          <cell r="B1837" t="str">
            <v>1-1832</v>
          </cell>
          <cell r="E1837" t="str">
            <v>有限公司</v>
          </cell>
          <cell r="R1837" t="b">
            <v>0</v>
          </cell>
          <cell r="S1837" t="str"/>
          <cell r="T1837" t="b">
            <v>0</v>
          </cell>
          <cell r="W1837" t="str"/>
          <cell r="Y1837" t="str"/>
          <cell r="AA1837" t="str"/>
          <cell r="AK1837" t="str">
            <v>ALQ-8806</v>
          </cell>
          <cell r="AL1837" t="str">
            <v>1-0031-上和&gt;寄&gt;附發票&gt;附回郵</v>
          </cell>
          <cell r="AM1837" t="str">
            <v>1-0031</v>
          </cell>
        </row>
        <row r="1838">
          <cell r="B1838" t="str">
            <v>1-1833</v>
          </cell>
          <cell r="E1838" t="str">
            <v>有限公司</v>
          </cell>
          <cell r="R1838" t="b">
            <v>0</v>
          </cell>
          <cell r="S1838" t="str"/>
          <cell r="T1838" t="b">
            <v>0</v>
          </cell>
          <cell r="W1838" t="str"/>
          <cell r="Y1838" t="str"/>
          <cell r="AA1838" t="str"/>
          <cell r="AK1838" t="str">
            <v>板441</v>
          </cell>
          <cell r="AL1838" t="str">
            <v>1-0162-鎰利&gt;鎰金&gt;鎰加&gt;寄&gt;附發票&gt;2個月匯款</v>
          </cell>
          <cell r="AM1838" t="str">
            <v>1-0162</v>
          </cell>
        </row>
        <row r="1839">
          <cell r="B1839" t="str">
            <v>1-1834</v>
          </cell>
          <cell r="E1839" t="str">
            <v>有限公司</v>
          </cell>
          <cell r="R1839" t="b">
            <v>0</v>
          </cell>
          <cell r="S1839" t="str"/>
          <cell r="T1839" t="b">
            <v>0</v>
          </cell>
          <cell r="W1839" t="str"/>
          <cell r="Y1839" t="str"/>
          <cell r="AA1839" t="str"/>
          <cell r="AK1839" t="str">
            <v>5732-UU</v>
          </cell>
          <cell r="AL1839" t="str">
            <v>1-0449-園區&gt;寄&gt;附發票&gt;附回郵</v>
          </cell>
          <cell r="AM1839" t="str">
            <v>1-0449</v>
          </cell>
        </row>
        <row r="1840">
          <cell r="B1840" t="str">
            <v>1-1835</v>
          </cell>
          <cell r="E1840" t="str">
            <v>有限公司</v>
          </cell>
          <cell r="R1840" t="b">
            <v>0</v>
          </cell>
          <cell r="S1840" t="str"/>
          <cell r="T1840" t="b">
            <v>0</v>
          </cell>
          <cell r="W1840" t="str"/>
          <cell r="Y1840" t="str"/>
          <cell r="AA1840" t="str"/>
          <cell r="AK1840" t="str">
            <v>9408-TW</v>
          </cell>
          <cell r="AL1840" t="str">
            <v>1-0346-進發&gt;寄&gt;附發票&gt;附回郵</v>
          </cell>
          <cell r="AM1840" t="str">
            <v>1-0346</v>
          </cell>
        </row>
        <row r="1841">
          <cell r="B1841" t="str">
            <v>1-1836</v>
          </cell>
          <cell r="E1841" t="str">
            <v>有限公司</v>
          </cell>
          <cell r="R1841" t="b">
            <v>0</v>
          </cell>
          <cell r="S1841" t="str"/>
          <cell r="T1841" t="b">
            <v>0</v>
          </cell>
          <cell r="W1841" t="str"/>
          <cell r="Y1841" t="str"/>
          <cell r="AA1841" t="str"/>
          <cell r="AK1841" t="str">
            <v>EAA-577</v>
          </cell>
          <cell r="AL1841" t="str">
            <v>1-0558-苗栗客運&gt;寄&gt;附發票&gt;附回郵</v>
          </cell>
          <cell r="AM1841" t="str">
            <v>1-0558</v>
          </cell>
        </row>
        <row r="1842">
          <cell r="B1842" t="str">
            <v>1-1837</v>
          </cell>
          <cell r="E1842" t="str">
            <v>有限公司</v>
          </cell>
          <cell r="R1842" t="b">
            <v>0</v>
          </cell>
          <cell r="S1842" t="str"/>
          <cell r="T1842" t="b">
            <v>0</v>
          </cell>
          <cell r="W1842" t="str"/>
          <cell r="Y1842" t="str"/>
          <cell r="AA1842" t="str"/>
          <cell r="AK1842" t="str">
            <v>AKW-3983</v>
          </cell>
          <cell r="AL1842" t="str">
            <v>1-0632-長源新竹&gt;寄＞附發票＞三個月匯款</v>
          </cell>
          <cell r="AM1842" t="str">
            <v>1-0632</v>
          </cell>
        </row>
        <row r="1843">
          <cell r="B1843" t="str">
            <v>1-1838</v>
          </cell>
          <cell r="E1843" t="str">
            <v>有限公司</v>
          </cell>
          <cell r="R1843" t="b">
            <v>0</v>
          </cell>
          <cell r="S1843" t="str"/>
          <cell r="T1843" t="b">
            <v>0</v>
          </cell>
          <cell r="W1843" t="str"/>
          <cell r="Y1843" t="str"/>
          <cell r="AA1843" t="str"/>
          <cell r="AK1843" t="str">
            <v>0930-VW</v>
          </cell>
          <cell r="AL1843" t="str">
            <v>1-0602-新復發&gt;寄&gt;附發票&gt;附回郵</v>
          </cell>
          <cell r="AM1843" t="str">
            <v>1-0602</v>
          </cell>
        </row>
        <row r="1844">
          <cell r="B1844" t="str">
            <v>1-1839</v>
          </cell>
          <cell r="E1844" t="str">
            <v>有限公司</v>
          </cell>
          <cell r="R1844" t="b">
            <v>0</v>
          </cell>
          <cell r="S1844" t="str"/>
          <cell r="T1844" t="b">
            <v>0</v>
          </cell>
          <cell r="W1844" t="str"/>
          <cell r="Y1844" t="str"/>
          <cell r="AA1844" t="str"/>
          <cell r="AK1844" t="str">
            <v>0519-NA</v>
          </cell>
          <cell r="AL1844" t="str">
            <v>1-0328-平順&gt;寄&gt;附發票&gt;附回郵</v>
          </cell>
          <cell r="AM1844" t="str">
            <v>1-0328</v>
          </cell>
        </row>
        <row r="1845">
          <cell r="B1845" t="str">
            <v>1-1840</v>
          </cell>
          <cell r="E1845" t="str">
            <v>有限公司</v>
          </cell>
          <cell r="R1845" t="b">
            <v>0</v>
          </cell>
          <cell r="S1845" t="str"/>
          <cell r="T1845" t="b">
            <v>0</v>
          </cell>
          <cell r="W1845" t="str"/>
          <cell r="Y1845" t="str"/>
          <cell r="AA1845" t="str"/>
          <cell r="AK1845" t="str">
            <v>1900-KW</v>
          </cell>
          <cell r="AL1845" t="str">
            <v>1-0060-源鴻&gt;寄&gt;親收</v>
          </cell>
          <cell r="AM1845" t="str">
            <v>1-0060</v>
          </cell>
        </row>
        <row r="1846">
          <cell r="B1846" t="str">
            <v>1-1841</v>
          </cell>
          <cell r="E1846" t="str">
            <v>有限公司</v>
          </cell>
          <cell r="R1846" t="b">
            <v>0</v>
          </cell>
          <cell r="S1846" t="str"/>
          <cell r="T1846" t="b">
            <v>0</v>
          </cell>
          <cell r="W1846" t="str"/>
          <cell r="Y1846" t="str"/>
          <cell r="AA1846" t="str"/>
          <cell r="AK1846" t="str">
            <v>W2-0247</v>
          </cell>
          <cell r="AL1846" t="str">
            <v>1-0074-順安&gt;寄&gt;附發票&gt;附回郵</v>
          </cell>
          <cell r="AM1846" t="str">
            <v>1-0074</v>
          </cell>
        </row>
        <row r="1847">
          <cell r="B1847" t="str">
            <v>1-1842</v>
          </cell>
          <cell r="E1847" t="str">
            <v>有限公司</v>
          </cell>
          <cell r="R1847" t="b">
            <v>0</v>
          </cell>
          <cell r="S1847" t="str"/>
          <cell r="T1847" t="b">
            <v>0</v>
          </cell>
          <cell r="W1847" t="str"/>
          <cell r="Y1847" t="str"/>
          <cell r="AA1847" t="str"/>
          <cell r="AK1847" t="str">
            <v>532-RT</v>
          </cell>
          <cell r="AL1847" t="str">
            <v>1-0206-春池&gt;寄&gt;附發票&gt;附回郵</v>
          </cell>
          <cell r="AM1847" t="str">
            <v>1-0206</v>
          </cell>
        </row>
        <row r="1848">
          <cell r="B1848" t="str">
            <v>1-1843</v>
          </cell>
          <cell r="E1848" t="str">
            <v>有限公司</v>
          </cell>
          <cell r="R1848" t="b">
            <v>0</v>
          </cell>
          <cell r="S1848" t="str"/>
          <cell r="T1848" t="b">
            <v>0</v>
          </cell>
          <cell r="W1848" t="str"/>
          <cell r="Y1848" t="str"/>
          <cell r="AA1848" t="str"/>
          <cell r="AK1848" t="str">
            <v>7P-6095</v>
          </cell>
          <cell r="AL1848" t="str">
            <v>1-0060-源鴻&gt;寄&gt;親收</v>
          </cell>
          <cell r="AM1848" t="str">
            <v>1-0060</v>
          </cell>
        </row>
        <row r="1849">
          <cell r="B1849" t="str">
            <v>1-1844</v>
          </cell>
          <cell r="E1849" t="str">
            <v>有限公司</v>
          </cell>
          <cell r="R1849" t="b">
            <v>0</v>
          </cell>
          <cell r="S1849" t="str"/>
          <cell r="T1849" t="b">
            <v>0</v>
          </cell>
          <cell r="W1849" t="str"/>
          <cell r="Y1849" t="str"/>
          <cell r="AA1849" t="str"/>
          <cell r="AK1849" t="str">
            <v>板子-15</v>
          </cell>
          <cell r="AL1849" t="str">
            <v>1-0152-藝豐&gt;寄&gt;附發票</v>
          </cell>
          <cell r="AM1849" t="str">
            <v>1-0152</v>
          </cell>
        </row>
        <row r="1850">
          <cell r="B1850" t="str">
            <v>1-1845</v>
          </cell>
          <cell r="E1850" t="str">
            <v>有限公司</v>
          </cell>
          <cell r="R1850" t="b">
            <v>0</v>
          </cell>
          <cell r="S1850" t="str"/>
          <cell r="T1850" t="b">
            <v>0</v>
          </cell>
          <cell r="W1850" t="str"/>
          <cell r="Y1850" t="str"/>
          <cell r="AA1850" t="str"/>
          <cell r="AK1850" t="str">
            <v>7693-R8</v>
          </cell>
          <cell r="AL1850" t="str">
            <v>1-0060-源鴻&gt;寄&gt;親收</v>
          </cell>
          <cell r="AM1850" t="str">
            <v>1-0060</v>
          </cell>
        </row>
        <row r="1851">
          <cell r="B1851" t="str">
            <v>1-1846</v>
          </cell>
          <cell r="E1851" t="str">
            <v>有限公司</v>
          </cell>
          <cell r="R1851" t="b">
            <v>0</v>
          </cell>
          <cell r="S1851" t="str"/>
          <cell r="T1851" t="b">
            <v>0</v>
          </cell>
          <cell r="W1851" t="str"/>
          <cell r="Y1851" t="str"/>
          <cell r="AA1851" t="str"/>
          <cell r="AK1851" t="str">
            <v>536-M5</v>
          </cell>
          <cell r="AL1851" t="str">
            <v>1-0334-廣寶&gt;環亞&gt;正大&gt;寄&gt;附回郵&gt;1個月後匯款</v>
          </cell>
          <cell r="AM1851" t="str">
            <v>1-0334</v>
          </cell>
        </row>
        <row r="1852">
          <cell r="B1852" t="str">
            <v>1-1847</v>
          </cell>
          <cell r="E1852" t="str">
            <v>有限公司</v>
          </cell>
          <cell r="R1852" t="b">
            <v>0</v>
          </cell>
          <cell r="S1852" t="str"/>
          <cell r="T1852" t="b">
            <v>0</v>
          </cell>
          <cell r="W1852" t="str"/>
          <cell r="Y1852" t="str"/>
          <cell r="AA1852" t="str"/>
          <cell r="AK1852" t="str">
            <v>KLA-3793</v>
          </cell>
          <cell r="AL1852" t="str">
            <v>1-0334-廣寶&gt;環亞&gt;正大&gt;寄&gt;附回郵&gt;1個月後匯款</v>
          </cell>
          <cell r="AM1852" t="str">
            <v>1-0334</v>
          </cell>
        </row>
        <row r="1853">
          <cell r="B1853" t="str">
            <v>1-1848</v>
          </cell>
          <cell r="E1853" t="str">
            <v>有限公司</v>
          </cell>
          <cell r="R1853" t="b">
            <v>0</v>
          </cell>
          <cell r="S1853" t="str"/>
          <cell r="T1853" t="b">
            <v>0</v>
          </cell>
          <cell r="W1853" t="str"/>
          <cell r="Y1853" t="str"/>
          <cell r="AA1853" t="str"/>
          <cell r="AK1853" t="str">
            <v>647-UW</v>
          </cell>
          <cell r="AL1853" t="str">
            <v>1-0694-永發&gt;寄&gt;附發票&gt;附回郵</v>
          </cell>
          <cell r="AM1853" t="str">
            <v>1-0694</v>
          </cell>
        </row>
        <row r="1854">
          <cell r="B1854" t="str">
            <v>1-1849</v>
          </cell>
          <cell r="E1854" t="str">
            <v>有限公司</v>
          </cell>
          <cell r="R1854" t="b">
            <v>0</v>
          </cell>
          <cell r="S1854" t="str"/>
          <cell r="T1854" t="b">
            <v>0</v>
          </cell>
          <cell r="W1854" t="str"/>
          <cell r="Y1854" t="str"/>
          <cell r="AA1854" t="str"/>
          <cell r="AK1854" t="str">
            <v>2373-ZG</v>
          </cell>
          <cell r="AL1854" t="str">
            <v>1-0060-源鴻&gt;寄&gt;親收</v>
          </cell>
          <cell r="AM1854" t="str">
            <v>1-0060</v>
          </cell>
        </row>
        <row r="1855">
          <cell r="B1855" t="str">
            <v>1-1850</v>
          </cell>
          <cell r="E1855" t="str">
            <v>有限公司</v>
          </cell>
          <cell r="R1855" t="b">
            <v>0</v>
          </cell>
          <cell r="S1855" t="str"/>
          <cell r="T1855" t="b">
            <v>0</v>
          </cell>
          <cell r="W1855" t="str"/>
          <cell r="Y1855" t="str"/>
          <cell r="AA1855" t="str"/>
          <cell r="AK1855" t="str">
            <v>062-Q8</v>
          </cell>
          <cell r="AL1855" t="str">
            <v>1-0658-順同&gt;尚泰行.弘舜&gt;寄&gt;附發票&gt;附回郵</v>
          </cell>
          <cell r="AM1855" t="str">
            <v>1-0658</v>
          </cell>
        </row>
        <row r="1856">
          <cell r="B1856" t="str">
            <v>1-1851</v>
          </cell>
          <cell r="E1856" t="str">
            <v>有限公司</v>
          </cell>
          <cell r="R1856" t="b">
            <v>0</v>
          </cell>
          <cell r="S1856" t="str"/>
          <cell r="T1856" t="b">
            <v>0</v>
          </cell>
          <cell r="W1856" t="str"/>
          <cell r="Y1856" t="str"/>
          <cell r="AA1856" t="str"/>
          <cell r="AK1856" t="str">
            <v>1896-KG</v>
          </cell>
          <cell r="AL1856" t="str">
            <v>1-0074-順安&gt;寄&gt;附發票&gt;附回郵</v>
          </cell>
          <cell r="AM1856" t="str">
            <v>1-0074</v>
          </cell>
        </row>
        <row r="1857">
          <cell r="B1857" t="str">
            <v>1-1852</v>
          </cell>
          <cell r="E1857" t="str">
            <v>有限公司</v>
          </cell>
          <cell r="R1857" t="b">
            <v>0</v>
          </cell>
          <cell r="S1857" t="str"/>
          <cell r="T1857" t="b">
            <v>0</v>
          </cell>
          <cell r="W1857" t="str"/>
          <cell r="Y1857" t="str"/>
          <cell r="AA1857" t="str"/>
          <cell r="AK1857" t="str">
            <v>ACA-6798</v>
          </cell>
          <cell r="AL1857" t="str">
            <v>1-0248-咏進&gt;寄&gt;附發票&gt;附回郵</v>
          </cell>
          <cell r="AM1857" t="str">
            <v>1-0248</v>
          </cell>
        </row>
        <row r="1858">
          <cell r="B1858" t="str">
            <v>1-1853</v>
          </cell>
          <cell r="E1858" t="str">
            <v>有限公司</v>
          </cell>
          <cell r="R1858" t="b">
            <v>0</v>
          </cell>
          <cell r="S1858" t="str"/>
          <cell r="T1858" t="b">
            <v>0</v>
          </cell>
          <cell r="W1858" t="str"/>
          <cell r="Y1858" t="str"/>
          <cell r="AA1858" t="str"/>
          <cell r="AK1858" t="str">
            <v>119-KB</v>
          </cell>
          <cell r="AL1858" t="str">
            <v>1-0003-榮聯&gt;寄&gt;附發票&gt;附回郵</v>
          </cell>
          <cell r="AM1858" t="str">
            <v>1-0003</v>
          </cell>
        </row>
        <row r="1859">
          <cell r="B1859" t="str">
            <v>1-1854</v>
          </cell>
          <cell r="E1859" t="str">
            <v>有限公司</v>
          </cell>
          <cell r="R1859" t="b">
            <v>0</v>
          </cell>
          <cell r="S1859" t="str"/>
          <cell r="T1859" t="b">
            <v>0</v>
          </cell>
          <cell r="W1859" t="str"/>
          <cell r="Y1859" t="str"/>
          <cell r="AA1859" t="str"/>
          <cell r="AK1859" t="str">
            <v>5200-KW</v>
          </cell>
          <cell r="AL1859" t="str">
            <v>1-0060-源鴻&gt;寄&gt;親收</v>
          </cell>
          <cell r="AM1859" t="str">
            <v>1-0060</v>
          </cell>
        </row>
        <row r="1860">
          <cell r="B1860" t="str">
            <v>1-1855</v>
          </cell>
          <cell r="E1860" t="str">
            <v>有限公司</v>
          </cell>
          <cell r="R1860" t="b">
            <v>0</v>
          </cell>
          <cell r="S1860" t="str"/>
          <cell r="T1860" t="b">
            <v>0</v>
          </cell>
          <cell r="W1860" t="str"/>
          <cell r="Y1860" t="str"/>
          <cell r="AA1860" t="str"/>
          <cell r="AK1860" t="str">
            <v>5021-DK</v>
          </cell>
          <cell r="AL1860" t="str">
            <v>1-0215-慶豐金紙&gt;盈順&gt;寄&gt;附回郵</v>
          </cell>
          <cell r="AM1860" t="str">
            <v>1-0215</v>
          </cell>
        </row>
        <row r="1861">
          <cell r="B1861" t="str">
            <v>1-1856</v>
          </cell>
          <cell r="E1861" t="str">
            <v>有限公司</v>
          </cell>
          <cell r="R1861" t="b">
            <v>0</v>
          </cell>
          <cell r="S1861" t="str"/>
          <cell r="T1861" t="b">
            <v>0</v>
          </cell>
          <cell r="W1861" t="str"/>
          <cell r="Y1861" t="str"/>
          <cell r="AA1861" t="str"/>
          <cell r="AK1861" t="str">
            <v>69-ZK</v>
          </cell>
          <cell r="AL1861" t="str">
            <v>1-0054-(1/2)美聖&gt;寄&gt;附發票&gt;附回郵</v>
          </cell>
          <cell r="AM1861" t="str">
            <v>1-0054</v>
          </cell>
        </row>
        <row r="1862">
          <cell r="B1862" t="str">
            <v>1-1857</v>
          </cell>
          <cell r="E1862" t="str">
            <v>有限公司</v>
          </cell>
          <cell r="R1862" t="b">
            <v>0</v>
          </cell>
          <cell r="S1862" t="str"/>
          <cell r="T1862" t="b">
            <v>0</v>
          </cell>
          <cell r="W1862" t="str"/>
          <cell r="Y1862" t="str"/>
          <cell r="AA1862" t="str"/>
          <cell r="AK1862" t="str">
            <v>16輪</v>
          </cell>
          <cell r="AL1862" t="str">
            <v>1-0398-天文.坤成&gt;寄&gt;附發票&gt;附回郵</v>
          </cell>
          <cell r="AM1862" t="str">
            <v>1-0398</v>
          </cell>
        </row>
        <row r="1863">
          <cell r="B1863" t="str">
            <v>1-1858</v>
          </cell>
          <cell r="E1863" t="str">
            <v>有限公司</v>
          </cell>
          <cell r="R1863" t="b">
            <v>0</v>
          </cell>
          <cell r="S1863" t="str"/>
          <cell r="T1863" t="b">
            <v>0</v>
          </cell>
          <cell r="W1863" t="str"/>
          <cell r="Y1863" t="str"/>
          <cell r="AA1863" t="str"/>
          <cell r="AK1863" t="str">
            <v>911-W7</v>
          </cell>
          <cell r="AL1863" t="str">
            <v>1-0663-劉博塏.國鑫&gt;寄&gt;附發票&gt;匯款4392886.</v>
          </cell>
          <cell r="AM1863" t="str">
            <v>1-0663</v>
          </cell>
        </row>
        <row r="1864">
          <cell r="B1864" t="str">
            <v>1-1859</v>
          </cell>
          <cell r="E1864" t="str">
            <v>有限公司</v>
          </cell>
          <cell r="R1864" t="b">
            <v>0</v>
          </cell>
          <cell r="S1864" t="str"/>
          <cell r="T1864" t="b">
            <v>0</v>
          </cell>
          <cell r="W1864" t="str"/>
          <cell r="Y1864" t="str"/>
          <cell r="AA1864" t="str"/>
          <cell r="AK1864" t="str">
            <v>228-TY</v>
          </cell>
          <cell r="AL1864" t="str">
            <v>1-0689-新竹縣寶山鄉公所&gt;寄&gt;附發票&gt;附回郵</v>
          </cell>
          <cell r="AM1864" t="str">
            <v>1-0689</v>
          </cell>
        </row>
        <row r="1865">
          <cell r="B1865" t="str">
            <v>1-1860</v>
          </cell>
          <cell r="E1865" t="str">
            <v>有限公司</v>
          </cell>
          <cell r="R1865" t="b">
            <v>0</v>
          </cell>
          <cell r="S1865" t="str"/>
          <cell r="T1865" t="b">
            <v>0</v>
          </cell>
          <cell r="W1865" t="str"/>
          <cell r="Y1865" t="str"/>
          <cell r="AA1865" t="str"/>
          <cell r="AK1865" t="str">
            <v>KLA-9558</v>
          </cell>
          <cell r="AL1865" t="str">
            <v>1-0162-鎰利&gt;鎰金&gt;鎰加&gt;寄&gt;附發票&gt;2個月匯款</v>
          </cell>
          <cell r="AM1865" t="str">
            <v>1-0162</v>
          </cell>
        </row>
        <row r="1866">
          <cell r="B1866" t="str">
            <v>1-1861</v>
          </cell>
          <cell r="E1866" t="str">
            <v>有限公司</v>
          </cell>
          <cell r="R1866" t="b">
            <v>0</v>
          </cell>
          <cell r="S1866" t="str"/>
          <cell r="T1866" t="b">
            <v>0</v>
          </cell>
          <cell r="W1866" t="str"/>
          <cell r="Y1866" t="str"/>
          <cell r="AA1866" t="str"/>
          <cell r="AK1866" t="str">
            <v>960-M3</v>
          </cell>
          <cell r="AL1866" t="str">
            <v>1-0381-越穩(越大)輪胎&gt;寄&gt;匯款</v>
          </cell>
          <cell r="AM1866" t="str">
            <v>1-0381</v>
          </cell>
        </row>
        <row r="1867">
          <cell r="B1867" t="str">
            <v>1-1862</v>
          </cell>
          <cell r="E1867" t="str">
            <v>有限公司</v>
          </cell>
          <cell r="R1867" t="b">
            <v>0</v>
          </cell>
          <cell r="S1867" t="str"/>
          <cell r="T1867" t="b">
            <v>0</v>
          </cell>
          <cell r="W1867" t="str"/>
          <cell r="Y1867" t="str"/>
          <cell r="AA1867" t="str"/>
          <cell r="AK1867" t="str">
            <v>AKM-6771</v>
          </cell>
          <cell r="AL1867" t="str">
            <v>1-0499-弘隆&gt;寄&gt;附回郵</v>
          </cell>
          <cell r="AM1867" t="str">
            <v>1-0499</v>
          </cell>
        </row>
        <row r="1868">
          <cell r="B1868" t="str">
            <v>1-1863</v>
          </cell>
          <cell r="E1868" t="str">
            <v>有限公司</v>
          </cell>
          <cell r="R1868" t="b">
            <v>0</v>
          </cell>
          <cell r="S1868" t="str"/>
          <cell r="T1868" t="b">
            <v>0</v>
          </cell>
          <cell r="W1868" t="str"/>
          <cell r="Y1868" t="str"/>
          <cell r="AA1868" t="str"/>
          <cell r="AK1868" t="str">
            <v>693-2C</v>
          </cell>
          <cell r="AL1868" t="str">
            <v>1-0162-鎰利&gt;鎰金&gt;鎰加&gt;寄&gt;附發票&gt;2個月匯款</v>
          </cell>
          <cell r="AM1868" t="str">
            <v>1-0162</v>
          </cell>
        </row>
        <row r="1869">
          <cell r="B1869" t="str">
            <v>1-1864</v>
          </cell>
          <cell r="E1869" t="str">
            <v>有限公司</v>
          </cell>
          <cell r="R1869" t="b">
            <v>0</v>
          </cell>
          <cell r="S1869" t="str"/>
          <cell r="T1869" t="b">
            <v>0</v>
          </cell>
          <cell r="W1869" t="str"/>
          <cell r="Y1869" t="str"/>
          <cell r="AA1869" t="str"/>
          <cell r="AK1869" t="str">
            <v>KLA-9760</v>
          </cell>
          <cell r="AL1869" t="str">
            <v>1-0047-(2/4)鴻安&gt;寄&gt;附發票&gt;附回郵</v>
          </cell>
          <cell r="AM1869" t="str">
            <v>1-0047</v>
          </cell>
        </row>
        <row r="1870">
          <cell r="B1870" t="str">
            <v>1-1865</v>
          </cell>
          <cell r="E1870" t="str">
            <v>有限公司</v>
          </cell>
          <cell r="R1870" t="b">
            <v>0</v>
          </cell>
          <cell r="S1870" t="str"/>
          <cell r="T1870" t="b">
            <v>0</v>
          </cell>
          <cell r="W1870" t="str"/>
          <cell r="Y1870" t="str"/>
          <cell r="AA1870" t="str"/>
          <cell r="AK1870" t="str">
            <v>930-7Y</v>
          </cell>
          <cell r="AL1870" t="str">
            <v>1-0694-永發&gt;寄&gt;附發票&gt;附回郵</v>
          </cell>
          <cell r="AM1870" t="str">
            <v>1-0694</v>
          </cell>
        </row>
        <row r="1871">
          <cell r="B1871" t="str">
            <v>1-1866</v>
          </cell>
          <cell r="E1871" t="str">
            <v>有限公司</v>
          </cell>
          <cell r="R1871" t="b">
            <v>0</v>
          </cell>
          <cell r="S1871" t="str"/>
          <cell r="T1871" t="b">
            <v>0</v>
          </cell>
          <cell r="W1871" t="str"/>
          <cell r="Y1871" t="str"/>
          <cell r="AA1871" t="str"/>
          <cell r="AK1871" t="str">
            <v>156-GB</v>
          </cell>
          <cell r="AL1871" t="str">
            <v>1-0334-廣寶&gt;環亞&gt;正大&gt;寄&gt;附回郵&gt;1個月後匯款</v>
          </cell>
          <cell r="AM1871" t="str">
            <v>1-0334</v>
          </cell>
        </row>
        <row r="1872">
          <cell r="B1872" t="str">
            <v>1-1867</v>
          </cell>
          <cell r="E1872" t="str">
            <v>有限公司</v>
          </cell>
          <cell r="R1872" t="b">
            <v>0</v>
          </cell>
          <cell r="S1872" t="str"/>
          <cell r="T1872" t="b">
            <v>0</v>
          </cell>
          <cell r="W1872" t="str"/>
          <cell r="Y1872" t="str"/>
          <cell r="AA1872" t="str"/>
          <cell r="AK1872" t="str">
            <v>942-M5</v>
          </cell>
          <cell r="AL1872" t="str">
            <v>1-0500-立翔(原建昱)&gt;寄&gt;附回郵</v>
          </cell>
          <cell r="AM1872" t="str">
            <v>1-0500</v>
          </cell>
        </row>
        <row r="1873">
          <cell r="B1873" t="str">
            <v>1-1868</v>
          </cell>
          <cell r="E1873" t="str">
            <v>有限公司</v>
          </cell>
          <cell r="R1873" t="b">
            <v>0</v>
          </cell>
          <cell r="S1873" t="str"/>
          <cell r="T1873" t="b">
            <v>0</v>
          </cell>
          <cell r="W1873" t="str"/>
          <cell r="Y1873" t="str"/>
          <cell r="AA1873" t="str"/>
          <cell r="AK1873" t="str">
            <v>5D-3169</v>
          </cell>
          <cell r="AL1873" t="str">
            <v>1-0019-福雄&gt;寄&gt;附發票&gt;附回郵</v>
          </cell>
          <cell r="AM1873" t="str">
            <v>1-0019</v>
          </cell>
        </row>
        <row r="1874">
          <cell r="B1874" t="str">
            <v>1-1869</v>
          </cell>
          <cell r="E1874" t="str">
            <v>有限公司</v>
          </cell>
          <cell r="R1874" t="b">
            <v>0</v>
          </cell>
          <cell r="S1874" t="str"/>
          <cell r="T1874" t="b">
            <v>0</v>
          </cell>
          <cell r="W1874" t="str"/>
          <cell r="Y1874" t="str"/>
          <cell r="AA1874" t="str"/>
          <cell r="AK1874" t="str">
            <v>AAJ-888</v>
          </cell>
          <cell r="AL1874" t="str">
            <v>1-0672-鴻茂&gt;鴻準&gt;寄&gt;附發票&gt;匯款(兩個月月底匯款)</v>
          </cell>
          <cell r="AM1874" t="str">
            <v>1-0672</v>
          </cell>
        </row>
        <row r="1875">
          <cell r="B1875" t="str">
            <v>1-1870</v>
          </cell>
          <cell r="E1875" t="str">
            <v>有限公司</v>
          </cell>
          <cell r="R1875" t="b">
            <v>0</v>
          </cell>
          <cell r="S1875" t="str"/>
          <cell r="T1875" t="b">
            <v>0</v>
          </cell>
          <cell r="W1875" t="str"/>
          <cell r="Y1875" t="str"/>
          <cell r="AA1875" t="str"/>
          <cell r="AK1875" t="str">
            <v>KEA-9329</v>
          </cell>
          <cell r="AL1875" t="str">
            <v>1-0768-正順環保&gt;高富榮&gt;寄&gt;附發票&gt;附回郵</v>
          </cell>
          <cell r="AM1875" t="str">
            <v>1-0768</v>
          </cell>
        </row>
        <row r="1876">
          <cell r="B1876" t="str">
            <v>1-1871</v>
          </cell>
          <cell r="E1876" t="str">
            <v>有限公司</v>
          </cell>
          <cell r="R1876" t="b">
            <v>0</v>
          </cell>
          <cell r="S1876" t="str"/>
          <cell r="T1876" t="b">
            <v>0</v>
          </cell>
          <cell r="W1876" t="str"/>
          <cell r="Y1876" t="str"/>
          <cell r="AA1876" t="str"/>
          <cell r="AK1876" t="str">
            <v>279-Y7</v>
          </cell>
          <cell r="AL1876" t="str">
            <v>1-0061-信豐&gt;寄&gt;附發票&gt;附回郵</v>
          </cell>
          <cell r="AM1876" t="str">
            <v>1-0061</v>
          </cell>
        </row>
        <row r="1877">
          <cell r="B1877" t="str">
            <v>1-1872</v>
          </cell>
          <cell r="E1877" t="str">
            <v>有限公司</v>
          </cell>
          <cell r="R1877" t="b">
            <v>0</v>
          </cell>
          <cell r="S1877" t="str"/>
          <cell r="T1877" t="b">
            <v>0</v>
          </cell>
          <cell r="W1877" t="str"/>
          <cell r="Y1877" t="str"/>
          <cell r="AA1877" t="str"/>
          <cell r="AK1877" t="str">
            <v>508-Q8</v>
          </cell>
          <cell r="AL1877" t="str">
            <v>1-0334-廣寶&gt;環亞&gt;正大&gt;寄&gt;附回郵&gt;1個月後匯款</v>
          </cell>
          <cell r="AM1877" t="str">
            <v>1-0334</v>
          </cell>
        </row>
        <row r="1878">
          <cell r="B1878" t="str">
            <v>1-1873</v>
          </cell>
          <cell r="E1878" t="str">
            <v>有限公司</v>
          </cell>
          <cell r="R1878" t="b">
            <v>0</v>
          </cell>
          <cell r="S1878" t="str"/>
          <cell r="T1878" t="b">
            <v>0</v>
          </cell>
          <cell r="W1878" t="str"/>
          <cell r="Y1878" t="str"/>
          <cell r="AA1878" t="str"/>
          <cell r="AK1878" t="str">
            <v>798-M5</v>
          </cell>
          <cell r="AL1878" t="str">
            <v>1-0674-翔威.翔鑫&gt;付現&gt;不能簽帳</v>
          </cell>
          <cell r="AM1878" t="str">
            <v>1-0674</v>
          </cell>
        </row>
        <row r="1879">
          <cell r="B1879" t="str">
            <v>1-1874</v>
          </cell>
          <cell r="E1879" t="str">
            <v>有限公司</v>
          </cell>
          <cell r="R1879" t="b">
            <v>0</v>
          </cell>
          <cell r="S1879" t="str"/>
          <cell r="T1879" t="b">
            <v>0</v>
          </cell>
          <cell r="W1879" t="str"/>
          <cell r="Y1879" t="str"/>
          <cell r="AA1879" t="str"/>
          <cell r="AK1879" t="str">
            <v>3805-HK</v>
          </cell>
          <cell r="AL1879" t="str">
            <v>1-0060-源鴻&gt;寄&gt;親收</v>
          </cell>
          <cell r="AM1879" t="str">
            <v>1-0060</v>
          </cell>
        </row>
        <row r="1880">
          <cell r="B1880" t="str">
            <v>1-1875</v>
          </cell>
          <cell r="E1880" t="str">
            <v>有限公司</v>
          </cell>
          <cell r="R1880" t="b">
            <v>0</v>
          </cell>
          <cell r="S1880" t="str"/>
          <cell r="T1880" t="b">
            <v>0</v>
          </cell>
          <cell r="W1880" t="str"/>
          <cell r="Y1880" t="str"/>
          <cell r="AA1880" t="str"/>
          <cell r="AK1880" t="str">
            <v>板428</v>
          </cell>
          <cell r="AL1880" t="str">
            <v>1-0162-鎰利&gt;鎰金&gt;鎰加&gt;寄&gt;附發票&gt;2個月匯款</v>
          </cell>
          <cell r="AM1880" t="str">
            <v>1-0162</v>
          </cell>
        </row>
        <row r="1881">
          <cell r="B1881" t="str">
            <v>1-1876</v>
          </cell>
          <cell r="E1881" t="str">
            <v>有限公司</v>
          </cell>
          <cell r="R1881" t="b">
            <v>0</v>
          </cell>
          <cell r="S1881" t="str"/>
          <cell r="T1881" t="b">
            <v>0</v>
          </cell>
          <cell r="W1881" t="str"/>
          <cell r="Y1881" t="str"/>
          <cell r="AA1881" t="str"/>
          <cell r="AK1881" t="str">
            <v>板253</v>
          </cell>
          <cell r="AL1881" t="str">
            <v>1-0162-鎰利&gt;鎰金&gt;鎰加&gt;寄&gt;附發票&gt;2個月匯款</v>
          </cell>
          <cell r="AM1881" t="str">
            <v>1-0162</v>
          </cell>
        </row>
        <row r="1882">
          <cell r="B1882" t="str">
            <v>1-1877</v>
          </cell>
          <cell r="E1882" t="str">
            <v>有限公司</v>
          </cell>
          <cell r="R1882" t="b">
            <v>0</v>
          </cell>
          <cell r="S1882" t="str"/>
          <cell r="T1882" t="b">
            <v>0</v>
          </cell>
          <cell r="W1882" t="str"/>
          <cell r="Y1882" t="str"/>
          <cell r="AA1882" t="str"/>
          <cell r="AK1882" t="str">
            <v>板255</v>
          </cell>
          <cell r="AL1882" t="str">
            <v>1-0162-鎰利&gt;鎰金&gt;鎰加&gt;寄&gt;附發票&gt;2個月匯款</v>
          </cell>
          <cell r="AM1882" t="str">
            <v>1-0162</v>
          </cell>
        </row>
        <row r="1883">
          <cell r="B1883" t="str">
            <v>1-1878</v>
          </cell>
          <cell r="E1883" t="str">
            <v>有限公司</v>
          </cell>
          <cell r="R1883" t="b">
            <v>0</v>
          </cell>
          <cell r="S1883" t="str"/>
          <cell r="T1883" t="b">
            <v>0</v>
          </cell>
          <cell r="W1883" t="str"/>
          <cell r="Y1883" t="str"/>
          <cell r="AA1883" t="str"/>
          <cell r="AK1883" t="str">
            <v>板425</v>
          </cell>
          <cell r="AL1883" t="str">
            <v>1-0162-鎰利&gt;鎰金&gt;鎰加&gt;寄&gt;附發票&gt;2個月匯款</v>
          </cell>
          <cell r="AM1883" t="str">
            <v>1-0162</v>
          </cell>
        </row>
        <row r="1884">
          <cell r="B1884" t="str">
            <v>1-1879</v>
          </cell>
          <cell r="E1884" t="str">
            <v>有限公司</v>
          </cell>
          <cell r="R1884" t="b">
            <v>0</v>
          </cell>
          <cell r="S1884" t="str"/>
          <cell r="T1884" t="b">
            <v>0</v>
          </cell>
          <cell r="W1884" t="str"/>
          <cell r="Y1884" t="str"/>
          <cell r="AA1884" t="str"/>
          <cell r="AK1884" t="str">
            <v>板410</v>
          </cell>
          <cell r="AL1884" t="str">
            <v>1-0162-鎰利&gt;鎰金&gt;鎰加&gt;寄&gt;附發票&gt;2個月匯款</v>
          </cell>
          <cell r="AM1884" t="str">
            <v>1-0162</v>
          </cell>
        </row>
        <row r="1885">
          <cell r="B1885" t="str">
            <v>1-1880</v>
          </cell>
          <cell r="E1885" t="str">
            <v>有限公司</v>
          </cell>
          <cell r="R1885" t="b">
            <v>0</v>
          </cell>
          <cell r="S1885" t="str"/>
          <cell r="T1885" t="b">
            <v>0</v>
          </cell>
          <cell r="W1885" t="str"/>
          <cell r="Y1885" t="str"/>
          <cell r="AA1885" t="str"/>
          <cell r="AK1885" t="str">
            <v>KLC-6258</v>
          </cell>
          <cell r="AL1885" t="str">
            <v>1-0736-盛鋐開發&gt;旺佶&gt;寄&gt;附發票&gt;1個月匯款</v>
          </cell>
          <cell r="AM1885" t="str">
            <v>1-0736</v>
          </cell>
        </row>
        <row r="1886">
          <cell r="B1886" t="str">
            <v>1-1881</v>
          </cell>
          <cell r="E1886" t="str">
            <v>有限公司</v>
          </cell>
          <cell r="R1886" t="b">
            <v>0</v>
          </cell>
          <cell r="S1886" t="str"/>
          <cell r="T1886" t="b">
            <v>0</v>
          </cell>
          <cell r="W1886" t="str"/>
          <cell r="Y1886" t="str"/>
          <cell r="AA1886" t="str"/>
          <cell r="AK1886" t="str">
            <v>WF-279</v>
          </cell>
          <cell r="AL1886" t="str">
            <v>1-0702-交通大學&gt;寄&gt;附發票&gt;匯款</v>
          </cell>
          <cell r="AM1886" t="str">
            <v>1-0702</v>
          </cell>
        </row>
        <row r="1887">
          <cell r="B1887" t="str">
            <v>1-1882</v>
          </cell>
          <cell r="E1887" t="str">
            <v>有限公司</v>
          </cell>
          <cell r="R1887" t="b">
            <v>0</v>
          </cell>
          <cell r="S1887" t="str"/>
          <cell r="T1887" t="b">
            <v>0</v>
          </cell>
          <cell r="W1887" t="str"/>
          <cell r="Y1887" t="str"/>
          <cell r="AA1887" t="str"/>
          <cell r="AK1887" t="str">
            <v>676-Y7</v>
          </cell>
          <cell r="AL1887" t="str">
            <v>1-0703-洪晟金屬&gt;寄&gt;附發票&gt;附回郵</v>
          </cell>
          <cell r="AM1887" t="str">
            <v>1-0703</v>
          </cell>
        </row>
        <row r="1888">
          <cell r="B1888" t="str">
            <v>1-1883</v>
          </cell>
          <cell r="E1888" t="str">
            <v>有限公司</v>
          </cell>
          <cell r="R1888" t="b">
            <v>0</v>
          </cell>
          <cell r="S1888" t="str"/>
          <cell r="T1888" t="b">
            <v>0</v>
          </cell>
          <cell r="W1888" t="str"/>
          <cell r="Y1888" t="str"/>
          <cell r="AA1888" t="str"/>
          <cell r="AK1888" t="str">
            <v>925-TZ</v>
          </cell>
          <cell r="AL1888" t="str">
            <v>1-0138-栗合興&gt;栗安&gt;寄&gt;附發票&gt;三個月匯款</v>
          </cell>
          <cell r="AM1888" t="str">
            <v>1-0138</v>
          </cell>
        </row>
        <row r="1889">
          <cell r="B1889" t="str">
            <v>1-1884</v>
          </cell>
          <cell r="E1889" t="str">
            <v>有限公司</v>
          </cell>
          <cell r="R1889" t="b">
            <v>0</v>
          </cell>
          <cell r="S1889" t="str"/>
          <cell r="T1889" t="b">
            <v>0</v>
          </cell>
          <cell r="W1889" t="str"/>
          <cell r="Y1889" t="str"/>
          <cell r="AA1889" t="str"/>
          <cell r="AK1889" t="str">
            <v>1593-YV</v>
          </cell>
          <cell r="AL1889" t="str">
            <v>1-0693-意鑫&gt;寄&gt;附發票&gt;匯款</v>
          </cell>
          <cell r="AM1889" t="str">
            <v>1-0693</v>
          </cell>
        </row>
        <row r="1890">
          <cell r="B1890" t="str">
            <v>1-1885</v>
          </cell>
          <cell r="E1890" t="str">
            <v>有限公司</v>
          </cell>
          <cell r="R1890" t="b">
            <v>0</v>
          </cell>
          <cell r="S1890" t="str"/>
          <cell r="T1890" t="b">
            <v>0</v>
          </cell>
          <cell r="W1890" t="str"/>
          <cell r="Y1890" t="str"/>
          <cell r="AA1890" t="str"/>
          <cell r="AK1890" t="str">
            <v>KEG-5152</v>
          </cell>
          <cell r="AL1890" t="str">
            <v>1-0625-(2/3)永矩(卡車)&gt;寄&gt;附發票&gt;附回郵</v>
          </cell>
          <cell r="AM1890" t="str">
            <v>1-0625</v>
          </cell>
        </row>
        <row r="1891">
          <cell r="B1891" t="str">
            <v>1-1886</v>
          </cell>
          <cell r="E1891" t="str">
            <v>有限公司</v>
          </cell>
          <cell r="R1891" t="b">
            <v>0</v>
          </cell>
          <cell r="S1891" t="str"/>
          <cell r="T1891" t="b">
            <v>0</v>
          </cell>
          <cell r="W1891" t="str"/>
          <cell r="Y1891" t="str"/>
          <cell r="AA1891" t="str"/>
          <cell r="AK1891" t="str">
            <v>2516-N5</v>
          </cell>
          <cell r="AL1891" t="str">
            <v>1-0003-榮聯&gt;寄&gt;附發票&gt;附回郵</v>
          </cell>
          <cell r="AM1891" t="str">
            <v>1-0003</v>
          </cell>
        </row>
        <row r="1892">
          <cell r="B1892" t="str">
            <v>1-1887</v>
          </cell>
          <cell r="E1892" t="str">
            <v>有限公司</v>
          </cell>
          <cell r="R1892" t="b">
            <v>0</v>
          </cell>
          <cell r="S1892" t="str"/>
          <cell r="T1892" t="b">
            <v>0</v>
          </cell>
          <cell r="W1892" t="str"/>
          <cell r="Y1892" t="str"/>
          <cell r="AA1892" t="str"/>
          <cell r="AK1892" t="str">
            <v>KLA-9736</v>
          </cell>
          <cell r="AL1892" t="str">
            <v>1-0047-(2/4)鴻安&gt;寄&gt;附發票&gt;附回郵</v>
          </cell>
          <cell r="AM1892" t="str">
            <v>1-0047</v>
          </cell>
        </row>
        <row r="1893">
          <cell r="B1893" t="str">
            <v>1-1888</v>
          </cell>
          <cell r="E1893" t="str">
            <v>有限公司</v>
          </cell>
          <cell r="R1893" t="b">
            <v>0</v>
          </cell>
          <cell r="S1893" t="str"/>
          <cell r="T1893" t="b">
            <v>0</v>
          </cell>
          <cell r="W1893" t="str"/>
          <cell r="Y1893" t="str"/>
          <cell r="AA1893" t="str"/>
          <cell r="AK1893" t="str">
            <v>KLA-9737</v>
          </cell>
          <cell r="AL1893" t="str">
            <v>1-0047-(2/4)鴻安&gt;寄&gt;附發票&gt;附回郵</v>
          </cell>
          <cell r="AM1893" t="str">
            <v>1-0047</v>
          </cell>
        </row>
        <row r="1894">
          <cell r="B1894" t="str">
            <v>1-1889</v>
          </cell>
          <cell r="E1894" t="str">
            <v>有限公司</v>
          </cell>
          <cell r="R1894" t="b">
            <v>0</v>
          </cell>
          <cell r="S1894" t="str"/>
          <cell r="T1894" t="b">
            <v>0</v>
          </cell>
          <cell r="W1894" t="str"/>
          <cell r="Y1894" t="str"/>
          <cell r="AA1894" t="str"/>
          <cell r="AK1894" t="str">
            <v>KLA-9738</v>
          </cell>
          <cell r="AL1894" t="str">
            <v>1-0047-(2/4)鴻安&gt;寄&gt;附發票&gt;附回郵</v>
          </cell>
          <cell r="AM1894" t="str">
            <v>1-0047</v>
          </cell>
        </row>
        <row r="1895">
          <cell r="B1895" t="str">
            <v>1-1890</v>
          </cell>
          <cell r="E1895" t="str">
            <v>有限公司</v>
          </cell>
          <cell r="R1895" t="b">
            <v>0</v>
          </cell>
          <cell r="S1895" t="str"/>
          <cell r="T1895" t="b">
            <v>0</v>
          </cell>
          <cell r="W1895" t="str"/>
          <cell r="Y1895" t="str"/>
          <cell r="AA1895" t="str"/>
          <cell r="AK1895" t="str">
            <v>KLA-9739</v>
          </cell>
          <cell r="AL1895" t="str">
            <v>1-0047-(2/4)鴻安&gt;寄&gt;附發票&gt;附回郵</v>
          </cell>
          <cell r="AM1895" t="str">
            <v>1-0047</v>
          </cell>
        </row>
        <row r="1896">
          <cell r="B1896" t="str">
            <v>1-1891</v>
          </cell>
          <cell r="E1896" t="str">
            <v>有限公司</v>
          </cell>
          <cell r="R1896" t="b">
            <v>0</v>
          </cell>
          <cell r="S1896" t="str"/>
          <cell r="T1896" t="b">
            <v>0</v>
          </cell>
          <cell r="W1896" t="str"/>
          <cell r="Y1896" t="str"/>
          <cell r="AA1896" t="str"/>
          <cell r="AK1896" t="str">
            <v>KLA-9750</v>
          </cell>
          <cell r="AL1896" t="str">
            <v>1-0047-(2/4)鴻安&gt;寄&gt;附發票&gt;附回郵</v>
          </cell>
          <cell r="AM1896" t="str">
            <v>1-0047</v>
          </cell>
        </row>
        <row r="1897">
          <cell r="B1897" t="str">
            <v>1-1892</v>
          </cell>
          <cell r="E1897" t="str">
            <v>有限公司</v>
          </cell>
          <cell r="R1897" t="b">
            <v>0</v>
          </cell>
          <cell r="S1897" t="str"/>
          <cell r="T1897" t="b">
            <v>0</v>
          </cell>
          <cell r="W1897" t="str"/>
          <cell r="Y1897" t="str"/>
          <cell r="AA1897" t="str"/>
          <cell r="AK1897" t="str">
            <v>KLA-9751</v>
          </cell>
          <cell r="AL1897" t="str">
            <v>1-0047-(2/4)鴻安&gt;寄&gt;附發票&gt;附回郵</v>
          </cell>
          <cell r="AM1897" t="str">
            <v>1-0047</v>
          </cell>
        </row>
        <row r="1898">
          <cell r="B1898" t="str">
            <v>1-1893</v>
          </cell>
          <cell r="E1898" t="str">
            <v>有限公司</v>
          </cell>
          <cell r="R1898" t="b">
            <v>0</v>
          </cell>
          <cell r="S1898" t="str"/>
          <cell r="T1898" t="b">
            <v>0</v>
          </cell>
          <cell r="W1898" t="str"/>
          <cell r="Y1898" t="str"/>
          <cell r="AA1898" t="str"/>
          <cell r="AK1898" t="str">
            <v>KLA-9752</v>
          </cell>
          <cell r="AL1898" t="str">
            <v>1-0047-(2/4)鴻安&gt;寄&gt;附發票&gt;附回郵</v>
          </cell>
          <cell r="AM1898" t="str">
            <v>1-0047</v>
          </cell>
        </row>
        <row r="1899">
          <cell r="B1899" t="str">
            <v>1-1894</v>
          </cell>
          <cell r="E1899" t="str">
            <v>有限公司</v>
          </cell>
          <cell r="R1899" t="b">
            <v>0</v>
          </cell>
          <cell r="S1899" t="str"/>
          <cell r="T1899" t="b">
            <v>0</v>
          </cell>
          <cell r="W1899" t="str"/>
          <cell r="Y1899" t="str"/>
          <cell r="AA1899" t="str"/>
          <cell r="AK1899" t="str">
            <v>KLA-9755</v>
          </cell>
          <cell r="AL1899" t="str">
            <v>1-0047-(2/4)鴻安&gt;寄&gt;附發票&gt;附回郵</v>
          </cell>
          <cell r="AM1899" t="str">
            <v>1-0047</v>
          </cell>
        </row>
        <row r="1900">
          <cell r="B1900" t="str">
            <v>1-1895</v>
          </cell>
          <cell r="E1900" t="str">
            <v>有限公司</v>
          </cell>
          <cell r="R1900" t="b">
            <v>0</v>
          </cell>
          <cell r="S1900" t="str"/>
          <cell r="T1900" t="b">
            <v>0</v>
          </cell>
          <cell r="W1900" t="str"/>
          <cell r="Y1900" t="str"/>
          <cell r="AA1900" t="str"/>
          <cell r="AK1900" t="str">
            <v>KLA-9756</v>
          </cell>
          <cell r="AL1900" t="str">
            <v>1-0047-(2/4)鴻安&gt;寄&gt;附發票&gt;附回郵</v>
          </cell>
          <cell r="AM1900" t="str">
            <v>1-0047</v>
          </cell>
        </row>
        <row r="1901">
          <cell r="B1901" t="str">
            <v>1-1896</v>
          </cell>
          <cell r="E1901" t="str">
            <v>有限公司</v>
          </cell>
          <cell r="R1901" t="b">
            <v>0</v>
          </cell>
          <cell r="S1901" t="str"/>
          <cell r="T1901" t="b">
            <v>0</v>
          </cell>
          <cell r="W1901" t="str"/>
          <cell r="Y1901" t="str"/>
          <cell r="AA1901" t="str"/>
          <cell r="AK1901" t="str">
            <v>KLA-9757</v>
          </cell>
          <cell r="AL1901" t="str">
            <v>1-0047-(2/4)鴻安&gt;寄&gt;附發票&gt;附回郵</v>
          </cell>
          <cell r="AM1901" t="str">
            <v>1-0047</v>
          </cell>
        </row>
        <row r="1902">
          <cell r="B1902" t="str">
            <v>1-1897</v>
          </cell>
          <cell r="E1902" t="str">
            <v>有限公司</v>
          </cell>
          <cell r="R1902" t="b">
            <v>0</v>
          </cell>
          <cell r="S1902" t="str"/>
          <cell r="T1902" t="b">
            <v>0</v>
          </cell>
          <cell r="W1902" t="str"/>
          <cell r="Y1902" t="str"/>
          <cell r="AA1902" t="str"/>
          <cell r="AK1902" t="str">
            <v>KLA-9758</v>
          </cell>
          <cell r="AL1902" t="str">
            <v>1-0047-(2/4)鴻安&gt;寄&gt;附發票&gt;附回郵</v>
          </cell>
          <cell r="AM1902" t="str">
            <v>1-0047</v>
          </cell>
        </row>
        <row r="1903">
          <cell r="B1903" t="str">
            <v>1-1898</v>
          </cell>
          <cell r="E1903" t="str">
            <v>有限公司</v>
          </cell>
          <cell r="R1903" t="b">
            <v>0</v>
          </cell>
          <cell r="S1903" t="str"/>
          <cell r="T1903" t="b">
            <v>0</v>
          </cell>
          <cell r="W1903" t="str"/>
          <cell r="Y1903" t="str"/>
          <cell r="AA1903" t="str"/>
          <cell r="AK1903" t="str">
            <v>KLA-9759</v>
          </cell>
          <cell r="AL1903" t="str">
            <v>1-0047-(2/4)鴻安&gt;寄&gt;附發票&gt;附回郵</v>
          </cell>
          <cell r="AM1903" t="str">
            <v>1-0047</v>
          </cell>
        </row>
        <row r="1904">
          <cell r="B1904" t="str">
            <v>1-1899</v>
          </cell>
          <cell r="E1904" t="str">
            <v>有限公司</v>
          </cell>
          <cell r="R1904" t="b">
            <v>0</v>
          </cell>
          <cell r="S1904" t="str"/>
          <cell r="T1904" t="b">
            <v>0</v>
          </cell>
          <cell r="W1904" t="str"/>
          <cell r="Y1904" t="str"/>
          <cell r="AA1904" t="str"/>
          <cell r="AK1904" t="str">
            <v>028-H8</v>
          </cell>
          <cell r="AL1904" t="str">
            <v>1-0705-(1/3)福瑞&gt;寄&gt;附發票&gt;附回郵</v>
          </cell>
          <cell r="AM1904" t="str">
            <v>1-0705</v>
          </cell>
        </row>
        <row r="1905">
          <cell r="B1905" t="str">
            <v>1-1900</v>
          </cell>
          <cell r="E1905" t="str">
            <v>有限公司</v>
          </cell>
          <cell r="R1905" t="b">
            <v>0</v>
          </cell>
          <cell r="S1905" t="str"/>
          <cell r="T1905" t="b">
            <v>0</v>
          </cell>
          <cell r="W1905" t="str"/>
          <cell r="Y1905" t="str"/>
          <cell r="AA1905" t="str"/>
          <cell r="AK1905" t="str">
            <v>ARD-2908</v>
          </cell>
          <cell r="AL1905" t="str">
            <v>1-0521-竹南永德福SCANIA&gt;寄&gt;附發票&gt;2個月後匯款</v>
          </cell>
          <cell r="AM1905" t="str">
            <v>1-0521</v>
          </cell>
        </row>
        <row r="1906">
          <cell r="B1906" t="str">
            <v>1-1901</v>
          </cell>
          <cell r="E1906" t="str">
            <v>有限公司</v>
          </cell>
          <cell r="R1906" t="b">
            <v>0</v>
          </cell>
          <cell r="S1906" t="str"/>
          <cell r="T1906" t="b">
            <v>0</v>
          </cell>
          <cell r="W1906" t="str"/>
          <cell r="Y1906" t="str"/>
          <cell r="AA1906" t="str"/>
          <cell r="AK1906" t="str">
            <v>567-Y7</v>
          </cell>
          <cell r="AL1906" t="str">
            <v>1-0741-炎益行&gt;寄＞自結&gt;現金價</v>
          </cell>
          <cell r="AM1906" t="str">
            <v>1-0741</v>
          </cell>
        </row>
        <row r="1907">
          <cell r="B1907" t="str">
            <v>1-1902</v>
          </cell>
          <cell r="E1907" t="str">
            <v>有限公司</v>
          </cell>
          <cell r="R1907" t="b">
            <v>0</v>
          </cell>
          <cell r="S1907" t="str"/>
          <cell r="T1907" t="b">
            <v>0</v>
          </cell>
          <cell r="W1907" t="str"/>
          <cell r="Y1907" t="str"/>
          <cell r="AA1907" t="str"/>
          <cell r="AK1907" t="str">
            <v>500-KP</v>
          </cell>
          <cell r="AL1907" t="str">
            <v>1-0607-(2/2)瑋鎰&gt;寄&gt;附發票&gt;附回郵</v>
          </cell>
          <cell r="AM1907" t="str">
            <v>1-0607</v>
          </cell>
        </row>
        <row r="1908">
          <cell r="B1908" t="str">
            <v>1-1903</v>
          </cell>
          <cell r="E1908" t="str">
            <v>有限公司</v>
          </cell>
          <cell r="R1908" t="b">
            <v>0</v>
          </cell>
          <cell r="S1908" t="str"/>
          <cell r="T1908" t="b">
            <v>0</v>
          </cell>
          <cell r="W1908" t="str"/>
          <cell r="Y1908" t="str"/>
          <cell r="AA1908" t="str"/>
          <cell r="AK1908" t="str">
            <v>066-Q8</v>
          </cell>
          <cell r="AL1908" t="str">
            <v>1-0658-順同&gt;尚泰行.弘舜&gt;寄&gt;附發票&gt;附回郵</v>
          </cell>
          <cell r="AM1908" t="str">
            <v>1-0658</v>
          </cell>
        </row>
        <row r="1909">
          <cell r="B1909" t="str">
            <v>1-1904</v>
          </cell>
          <cell r="E1909" t="str">
            <v>有限公司</v>
          </cell>
          <cell r="R1909" t="b">
            <v>0</v>
          </cell>
          <cell r="S1909" t="str"/>
          <cell r="T1909" t="b">
            <v>0</v>
          </cell>
          <cell r="W1909" t="str"/>
          <cell r="Y1909" t="str"/>
          <cell r="AA1909" t="str"/>
          <cell r="AK1909" t="str">
            <v>830-5A</v>
          </cell>
          <cell r="AL1909" t="str">
            <v>1-0607-(2/2)瑋鎰&gt;寄&gt;附發票&gt;附回郵</v>
          </cell>
          <cell r="AM1909" t="str">
            <v>1-0607</v>
          </cell>
        </row>
        <row r="1910">
          <cell r="B1910" t="str">
            <v>1-1905</v>
          </cell>
          <cell r="E1910" t="str">
            <v>有限公司</v>
          </cell>
          <cell r="R1910" t="b">
            <v>0</v>
          </cell>
          <cell r="S1910" t="str"/>
          <cell r="T1910" t="b">
            <v>0</v>
          </cell>
          <cell r="W1910" t="str"/>
          <cell r="Y1910" t="str"/>
          <cell r="AA1910" t="str"/>
          <cell r="AK1910" t="str">
            <v>806-5A</v>
          </cell>
          <cell r="AL1910" t="str">
            <v>1-0607-(2/2)瑋鎰&gt;寄&gt;附發票&gt;附回郵</v>
          </cell>
          <cell r="AM1910" t="str">
            <v>1-0607</v>
          </cell>
        </row>
        <row r="1911">
          <cell r="B1911" t="str">
            <v>1-1906</v>
          </cell>
          <cell r="E1911" t="str">
            <v>有限公司</v>
          </cell>
          <cell r="R1911" t="b">
            <v>0</v>
          </cell>
          <cell r="S1911" t="str"/>
          <cell r="T1911" t="b">
            <v>0</v>
          </cell>
          <cell r="W1911" t="str"/>
          <cell r="Y1911" t="str"/>
          <cell r="AA1911" t="str"/>
          <cell r="AK1911" t="str">
            <v>5P-6716</v>
          </cell>
          <cell r="AL1911" t="str">
            <v>1-0606-(1/2)冠德&gt;寄&gt;附發票&gt;附回郵</v>
          </cell>
          <cell r="AM1911" t="str">
            <v>1-0606</v>
          </cell>
        </row>
        <row r="1912">
          <cell r="B1912" t="str">
            <v>1-1907</v>
          </cell>
          <cell r="E1912" t="str">
            <v>有限公司</v>
          </cell>
          <cell r="R1912" t="b">
            <v>0</v>
          </cell>
          <cell r="S1912" t="str"/>
          <cell r="T1912" t="b">
            <v>0</v>
          </cell>
          <cell r="W1912" t="str"/>
          <cell r="Y1912" t="str"/>
          <cell r="AA1912" t="str"/>
          <cell r="AK1912" t="str">
            <v>AAJ-699</v>
          </cell>
          <cell r="AL1912" t="str">
            <v>1-0023-楊育茹&gt;拓隆&gt;廣丞&gt;寄&gt;附發票&gt;附回郵</v>
          </cell>
          <cell r="AM1912" t="str">
            <v>1-0023</v>
          </cell>
        </row>
        <row r="1913">
          <cell r="B1913" t="str">
            <v>1-1908</v>
          </cell>
          <cell r="E1913" t="str">
            <v>有限公司</v>
          </cell>
          <cell r="R1913" t="b">
            <v>0</v>
          </cell>
          <cell r="S1913" t="str"/>
          <cell r="T1913" t="b">
            <v>0</v>
          </cell>
          <cell r="W1913" t="str"/>
          <cell r="Y1913" t="str"/>
          <cell r="AA1913" t="str"/>
          <cell r="AK1913" t="str">
            <v>W7-9793</v>
          </cell>
          <cell r="AL1913" t="str">
            <v>1-0109-東禾修理廠&gt;寄&gt;附發票&gt;附回郵</v>
          </cell>
          <cell r="AM1913" t="str">
            <v>1-0109</v>
          </cell>
        </row>
        <row r="1914">
          <cell r="B1914" t="str">
            <v>1-1909</v>
          </cell>
          <cell r="E1914" t="str">
            <v>有限公司</v>
          </cell>
          <cell r="R1914" t="b">
            <v>0</v>
          </cell>
          <cell r="S1914" t="str"/>
          <cell r="T1914" t="b">
            <v>0</v>
          </cell>
          <cell r="W1914" t="str"/>
          <cell r="Y1914" t="str"/>
          <cell r="AA1914" t="str"/>
          <cell r="AK1914" t="str">
            <v>ALQ-7025</v>
          </cell>
          <cell r="AL1914" t="str">
            <v>1-0566-順彬&gt;寄&gt;附發票&gt;附回郵</v>
          </cell>
          <cell r="AM1914" t="str">
            <v>1-0566</v>
          </cell>
        </row>
        <row r="1915">
          <cell r="B1915" t="str">
            <v>1-1910</v>
          </cell>
          <cell r="E1915" t="str">
            <v>有限公司</v>
          </cell>
          <cell r="R1915" t="b">
            <v>0</v>
          </cell>
          <cell r="S1915" t="str"/>
          <cell r="T1915" t="b">
            <v>0</v>
          </cell>
          <cell r="W1915" t="str"/>
          <cell r="Y1915" t="str"/>
          <cell r="AA1915" t="str"/>
          <cell r="AK1915" t="str">
            <v>AHA-1890</v>
          </cell>
          <cell r="AL1915" t="str">
            <v>1-0576-弘振&gt;寄&gt;匯款</v>
          </cell>
          <cell r="AM1915" t="str">
            <v>1-0576</v>
          </cell>
        </row>
        <row r="1916">
          <cell r="B1916" t="str">
            <v>1-1911</v>
          </cell>
          <cell r="E1916" t="str">
            <v>有限公司</v>
          </cell>
          <cell r="R1916" t="b">
            <v>0</v>
          </cell>
          <cell r="S1916" t="str"/>
          <cell r="T1916" t="b">
            <v>0</v>
          </cell>
          <cell r="W1916" t="str"/>
          <cell r="Y1916" t="str"/>
          <cell r="AA1916" t="str"/>
          <cell r="AK1916" t="str">
            <v>068-VB</v>
          </cell>
          <cell r="AL1916" t="str">
            <v>1-0223-禎祥&gt;寄&gt;附發票&gt;附回郵</v>
          </cell>
          <cell r="AM1916" t="str">
            <v>1-0223</v>
          </cell>
        </row>
        <row r="1917">
          <cell r="B1917" t="str">
            <v>1-1912</v>
          </cell>
          <cell r="E1917" t="str">
            <v>有限公司</v>
          </cell>
          <cell r="R1917" t="b">
            <v>0</v>
          </cell>
          <cell r="S1917" t="str"/>
          <cell r="T1917" t="b">
            <v>0</v>
          </cell>
          <cell r="W1917" t="str"/>
          <cell r="Y1917" t="str"/>
          <cell r="AA1917" t="str"/>
          <cell r="AK1917" t="str">
            <v>595-X5</v>
          </cell>
          <cell r="AL1917" t="str">
            <v>1-0334-廣寶&gt;環亞&gt;正大&gt;寄&gt;附回郵&gt;1個月後匯款</v>
          </cell>
          <cell r="AM1917" t="str">
            <v>1-0334</v>
          </cell>
        </row>
        <row r="1918">
          <cell r="B1918" t="str">
            <v>1-1913</v>
          </cell>
          <cell r="E1918" t="str">
            <v>有限公司</v>
          </cell>
          <cell r="R1918" t="b">
            <v>0</v>
          </cell>
          <cell r="S1918" t="str"/>
          <cell r="T1918" t="b">
            <v>0</v>
          </cell>
          <cell r="W1918" t="str"/>
          <cell r="Y1918" t="str"/>
          <cell r="AA1918" t="str"/>
          <cell r="AK1918" t="str">
            <v>6P-8053</v>
          </cell>
          <cell r="AL1918" t="str">
            <v>1-0060-源鴻&gt;寄&gt;親收</v>
          </cell>
          <cell r="AM1918" t="str">
            <v>1-0060</v>
          </cell>
        </row>
        <row r="1919">
          <cell r="B1919" t="str">
            <v>1-1914</v>
          </cell>
          <cell r="E1919" t="str">
            <v>有限公司</v>
          </cell>
          <cell r="R1919" t="b">
            <v>0</v>
          </cell>
          <cell r="S1919" t="str"/>
          <cell r="T1919" t="b">
            <v>0</v>
          </cell>
          <cell r="W1919" t="str"/>
          <cell r="Y1919" t="str"/>
          <cell r="AA1919" t="str"/>
          <cell r="AK1919" t="str">
            <v>535-RR</v>
          </cell>
          <cell r="AL1919" t="str">
            <v>1-0470-裕珉&gt;寄&gt;匯款633429.</v>
          </cell>
          <cell r="AM1919" t="str">
            <v>1-0470</v>
          </cell>
        </row>
        <row r="1920">
          <cell r="B1920" t="str">
            <v>1-1915</v>
          </cell>
          <cell r="E1920" t="str">
            <v>有限公司</v>
          </cell>
          <cell r="R1920" t="b">
            <v>0</v>
          </cell>
          <cell r="S1920" t="str"/>
          <cell r="T1920" t="b">
            <v>0</v>
          </cell>
          <cell r="W1920" t="str"/>
          <cell r="Y1920" t="str"/>
          <cell r="AA1920" t="str"/>
          <cell r="AK1920" t="str">
            <v>659-UW</v>
          </cell>
          <cell r="AL1920" t="str">
            <v>1-0285-友商&gt;友勝&gt;電&gt;親收&gt;帶客戶請款聯</v>
          </cell>
          <cell r="AM1920" t="str">
            <v>1-0285</v>
          </cell>
        </row>
        <row r="1921">
          <cell r="B1921" t="str">
            <v>1-1916</v>
          </cell>
          <cell r="E1921" t="str">
            <v>有限公司</v>
          </cell>
          <cell r="R1921" t="b">
            <v>0</v>
          </cell>
          <cell r="S1921" t="str"/>
          <cell r="T1921" t="b">
            <v>0</v>
          </cell>
          <cell r="W1921" t="str"/>
          <cell r="Y1921" t="str"/>
          <cell r="AA1921" t="str"/>
          <cell r="AK1921" t="str">
            <v>183-RW</v>
          </cell>
          <cell r="AL1921" t="str">
            <v>1-0049-欣晏&gt;寄&gt;匯款</v>
          </cell>
          <cell r="AM1921" t="str">
            <v>1-0049</v>
          </cell>
        </row>
        <row r="1922">
          <cell r="B1922" t="str">
            <v>1-1917</v>
          </cell>
          <cell r="E1922" t="str">
            <v>有限公司</v>
          </cell>
          <cell r="R1922" t="b">
            <v>0</v>
          </cell>
          <cell r="S1922" t="str"/>
          <cell r="T1922" t="b">
            <v>0</v>
          </cell>
          <cell r="W1922" t="str"/>
          <cell r="Y1922" t="str"/>
          <cell r="AA1922" t="str"/>
          <cell r="AK1922" t="str">
            <v>08-EQ</v>
          </cell>
          <cell r="AL1922" t="str">
            <v>1-0594-景明&gt;寄&gt;附發票&gt;三個月匯款</v>
          </cell>
          <cell r="AM1922" t="str">
            <v>1-0594</v>
          </cell>
        </row>
        <row r="1923">
          <cell r="B1923" t="str">
            <v>1-1918</v>
          </cell>
          <cell r="E1923" t="str">
            <v>有限公司</v>
          </cell>
          <cell r="R1923" t="b">
            <v>0</v>
          </cell>
          <cell r="S1923" t="str"/>
          <cell r="T1923" t="b">
            <v>0</v>
          </cell>
          <cell r="W1923" t="str"/>
          <cell r="Y1923" t="str"/>
          <cell r="AA1923" t="str"/>
          <cell r="AK1923" t="str">
            <v>1186-TX</v>
          </cell>
          <cell r="AL1923" t="str">
            <v>1-0576-弘振&gt;寄&gt;匯款</v>
          </cell>
          <cell r="AM1923" t="str">
            <v>1-0576</v>
          </cell>
        </row>
        <row r="1924">
          <cell r="B1924" t="str">
            <v>1-1919</v>
          </cell>
          <cell r="E1924" t="str">
            <v>有限公司</v>
          </cell>
          <cell r="R1924" t="b">
            <v>0</v>
          </cell>
          <cell r="S1924" t="str"/>
          <cell r="T1924" t="b">
            <v>0</v>
          </cell>
          <cell r="W1924" t="str"/>
          <cell r="Y1924" t="str"/>
          <cell r="AA1924" t="str"/>
          <cell r="AK1924" t="str">
            <v>149-S2</v>
          </cell>
          <cell r="AL1924" t="str">
            <v>1-0625-(2/3)永矩(卡車)&gt;寄&gt;附發票&gt;附回郵</v>
          </cell>
          <cell r="AM1924" t="str">
            <v>1-0625</v>
          </cell>
        </row>
        <row r="1925">
          <cell r="B1925" t="str">
            <v>1-1920</v>
          </cell>
          <cell r="E1925" t="str">
            <v>有限公司</v>
          </cell>
          <cell r="R1925" t="b">
            <v>0</v>
          </cell>
          <cell r="S1925" t="str"/>
          <cell r="T1925" t="b">
            <v>0</v>
          </cell>
          <cell r="W1925" t="str"/>
          <cell r="Y1925" t="str"/>
          <cell r="AA1925" t="str"/>
          <cell r="AK1925" t="str">
            <v>8705-YU</v>
          </cell>
          <cell r="AL1925" t="str">
            <v>1-0492-佳能環保&gt;鳳屏&gt;新益慶&gt;寄&gt;附發票&gt;一個月匯款</v>
          </cell>
          <cell r="AM1925" t="str">
            <v>1-0492</v>
          </cell>
        </row>
        <row r="1926">
          <cell r="B1926" t="str">
            <v>1-1921</v>
          </cell>
          <cell r="E1926" t="str">
            <v>有限公司</v>
          </cell>
          <cell r="R1926" t="b">
            <v>0</v>
          </cell>
          <cell r="S1926" t="str"/>
          <cell r="T1926" t="b">
            <v>0</v>
          </cell>
          <cell r="W1926" t="str"/>
          <cell r="Y1926" t="str"/>
          <cell r="AA1926" t="str"/>
          <cell r="AK1926" t="str">
            <v>ABG-3056</v>
          </cell>
          <cell r="AL1926" t="str">
            <v>1-0118-金昌&gt;寄&gt;附發票&gt;附回郵</v>
          </cell>
          <cell r="AM1926" t="str">
            <v>1-0118</v>
          </cell>
        </row>
        <row r="1927">
          <cell r="B1927" t="str">
            <v>1-1922</v>
          </cell>
          <cell r="E1927" t="str">
            <v>有限公司</v>
          </cell>
          <cell r="R1927" t="b">
            <v>0</v>
          </cell>
          <cell r="S1927" t="str"/>
          <cell r="T1927" t="b">
            <v>0</v>
          </cell>
          <cell r="W1927" t="str"/>
          <cell r="Y1927" t="str"/>
          <cell r="AA1927" t="str"/>
          <cell r="AK1927" t="str">
            <v>7508-P6</v>
          </cell>
          <cell r="AL1927" t="str">
            <v>1-0029-聖統環保</v>
          </cell>
          <cell r="AM1927" t="str">
            <v>1-0029</v>
          </cell>
        </row>
        <row r="1928">
          <cell r="B1928" t="str">
            <v>1-1923</v>
          </cell>
          <cell r="E1928" t="str">
            <v>有限公司</v>
          </cell>
          <cell r="R1928" t="b">
            <v>0</v>
          </cell>
          <cell r="S1928" t="str"/>
          <cell r="T1928" t="b">
            <v>0</v>
          </cell>
          <cell r="W1928" t="str"/>
          <cell r="Y1928" t="str"/>
          <cell r="AA1928" t="str"/>
          <cell r="AK1928" t="str">
            <v>325-W7</v>
          </cell>
          <cell r="AL1928" t="str">
            <v>1-0334-廣寶&gt;環亞&gt;正大&gt;寄&gt;附回郵&gt;1個月後匯款</v>
          </cell>
          <cell r="AM1928" t="str">
            <v>1-0334</v>
          </cell>
        </row>
        <row r="1929">
          <cell r="B1929" t="str">
            <v>1-1924</v>
          </cell>
          <cell r="E1929" t="str">
            <v>有限公司</v>
          </cell>
          <cell r="R1929" t="b">
            <v>0</v>
          </cell>
          <cell r="S1929" t="str"/>
          <cell r="T1929" t="b">
            <v>0</v>
          </cell>
          <cell r="W1929" t="str"/>
          <cell r="Y1929" t="str"/>
          <cell r="AA1929" t="str"/>
          <cell r="AK1929" t="str">
            <v>LAH-022</v>
          </cell>
          <cell r="AL1929" t="str">
            <v>1-0039-來大&gt;景森&gt;寄&gt;附發票&gt;附回郵</v>
          </cell>
          <cell r="AM1929" t="str">
            <v>1-0039</v>
          </cell>
        </row>
        <row r="1930">
          <cell r="B1930" t="str">
            <v>1-1925</v>
          </cell>
          <cell r="E1930" t="str">
            <v>有限公司</v>
          </cell>
          <cell r="R1930" t="b">
            <v>0</v>
          </cell>
          <cell r="S1930" t="str"/>
          <cell r="T1930" t="b">
            <v>0</v>
          </cell>
          <cell r="W1930" t="str"/>
          <cell r="Y1930" t="str"/>
          <cell r="AA1930" t="str"/>
          <cell r="AK1930" t="str">
            <v>AAJ-759</v>
          </cell>
          <cell r="AL1930" t="str">
            <v>1-0566-順彬&gt;寄&gt;附發票&gt;附回郵</v>
          </cell>
          <cell r="AM1930" t="str">
            <v>1-0566</v>
          </cell>
        </row>
        <row r="1931">
          <cell r="B1931" t="str">
            <v>1-1926</v>
          </cell>
          <cell r="E1931" t="str">
            <v>有限公司</v>
          </cell>
          <cell r="R1931" t="b">
            <v>0</v>
          </cell>
          <cell r="S1931" t="str"/>
          <cell r="T1931" t="b">
            <v>0</v>
          </cell>
          <cell r="W1931" t="str"/>
          <cell r="Y1931" t="str"/>
          <cell r="AA1931" t="str"/>
          <cell r="AK1931" t="str">
            <v>KLB-6209</v>
          </cell>
          <cell r="AL1931" t="str">
            <v>1-0649-豐車.勞倫斯&gt;寄&gt;匯款</v>
          </cell>
          <cell r="AM1931" t="str">
            <v>1-0649</v>
          </cell>
        </row>
        <row r="1932">
          <cell r="B1932" t="str">
            <v>1-1927</v>
          </cell>
          <cell r="E1932" t="str">
            <v>有限公司</v>
          </cell>
          <cell r="R1932" t="b">
            <v>0</v>
          </cell>
          <cell r="S1932" t="str"/>
          <cell r="T1932" t="b">
            <v>0</v>
          </cell>
          <cell r="W1932" t="str"/>
          <cell r="Y1932" t="str"/>
          <cell r="AA1932" t="str"/>
          <cell r="AK1932" t="str">
            <v>5N-4728</v>
          </cell>
          <cell r="AL1932" t="str">
            <v>1-0576-弘振&gt;寄&gt;匯款</v>
          </cell>
          <cell r="AM1932" t="str">
            <v>1-0576</v>
          </cell>
        </row>
        <row r="1933">
          <cell r="B1933" t="str">
            <v>1-1928</v>
          </cell>
          <cell r="E1933" t="str">
            <v>有限公司</v>
          </cell>
          <cell r="R1933" t="b">
            <v>0</v>
          </cell>
          <cell r="S1933" t="str"/>
          <cell r="T1933" t="b">
            <v>0</v>
          </cell>
          <cell r="W1933" t="str"/>
          <cell r="Y1933" t="str"/>
          <cell r="AA1933" t="str"/>
          <cell r="AK1933" t="str">
            <v>板79-3A</v>
          </cell>
          <cell r="AL1933" t="str">
            <v>1-0473-台灣肥料&gt;寄&gt;附發票&gt;兩個月底匯款</v>
          </cell>
          <cell r="AM1933" t="str">
            <v>1-0473</v>
          </cell>
        </row>
        <row r="1934">
          <cell r="B1934" t="str">
            <v>1-1929</v>
          </cell>
          <cell r="E1934" t="str">
            <v>有限公司</v>
          </cell>
          <cell r="R1934" t="b">
            <v>0</v>
          </cell>
          <cell r="S1934" t="str"/>
          <cell r="T1934" t="b">
            <v>0</v>
          </cell>
          <cell r="W1934" t="str"/>
          <cell r="Y1934" t="str"/>
          <cell r="AA1934" t="str"/>
          <cell r="AK1934" t="str">
            <v>板261</v>
          </cell>
          <cell r="AL1934" t="str">
            <v>1-0162-鎰利&gt;鎰金&gt;鎰加&gt;寄&gt;附發票&gt;2個月匯款</v>
          </cell>
          <cell r="AM1934" t="str">
            <v>1-0162</v>
          </cell>
        </row>
        <row r="1935">
          <cell r="B1935" t="str">
            <v>1-1930</v>
          </cell>
          <cell r="E1935" t="str">
            <v>有限公司</v>
          </cell>
          <cell r="R1935" t="b">
            <v>0</v>
          </cell>
          <cell r="S1935" t="str"/>
          <cell r="T1935" t="b">
            <v>0</v>
          </cell>
          <cell r="W1935" t="str"/>
          <cell r="Y1935" t="str"/>
          <cell r="AA1935" t="str"/>
          <cell r="AK1935" t="str">
            <v>993-W7</v>
          </cell>
          <cell r="AL1935" t="str">
            <v>1-0608-聯倉&gt;寄&gt;附發票&gt;附回郵</v>
          </cell>
          <cell r="AM1935" t="str">
            <v>1-0608</v>
          </cell>
        </row>
        <row r="1936">
          <cell r="B1936" t="str">
            <v>1-1931</v>
          </cell>
          <cell r="E1936" t="str">
            <v>有限公司</v>
          </cell>
          <cell r="R1936" t="b">
            <v>0</v>
          </cell>
          <cell r="S1936" t="str"/>
          <cell r="T1936" t="b">
            <v>0</v>
          </cell>
          <cell r="W1936" t="str"/>
          <cell r="Y1936" t="str"/>
          <cell r="AA1936" t="str"/>
          <cell r="AK1936" t="str">
            <v>APX-1188</v>
          </cell>
          <cell r="AL1936" t="str">
            <v>1-0394-宸羽&gt;寄&gt;親收</v>
          </cell>
          <cell r="AM1936" t="str">
            <v>1-0394</v>
          </cell>
        </row>
        <row r="1937">
          <cell r="B1937" t="str">
            <v>1-1932</v>
          </cell>
          <cell r="E1937" t="str">
            <v>有限公司</v>
          </cell>
          <cell r="R1937" t="b">
            <v>0</v>
          </cell>
          <cell r="S1937" t="str"/>
          <cell r="T1937" t="b">
            <v>0</v>
          </cell>
          <cell r="W1937" t="str"/>
          <cell r="Y1937" t="str"/>
          <cell r="AA1937" t="str"/>
          <cell r="AK1937" t="str">
            <v>KAA-0399</v>
          </cell>
          <cell r="AL1937" t="str">
            <v>1-0637-中壢永德福SCANIA&gt;寄＞附發票＞匯款</v>
          </cell>
          <cell r="AM1937" t="str">
            <v>1-0637</v>
          </cell>
        </row>
        <row r="1938">
          <cell r="B1938" t="str">
            <v>1-1933</v>
          </cell>
          <cell r="E1938" t="str">
            <v>有限公司</v>
          </cell>
          <cell r="R1938" t="b">
            <v>0</v>
          </cell>
          <cell r="S1938" t="str"/>
          <cell r="T1938" t="b">
            <v>0</v>
          </cell>
          <cell r="W1938" t="str"/>
          <cell r="Y1938" t="str"/>
          <cell r="AA1938" t="str"/>
          <cell r="AK1938" t="str">
            <v>3798-RZ</v>
          </cell>
          <cell r="AL1938" t="str">
            <v>1-0285-友商&gt;友勝&gt;電&gt;親收&gt;帶客戶請款聯</v>
          </cell>
          <cell r="AM1938" t="str">
            <v>1-0285</v>
          </cell>
        </row>
        <row r="1939">
          <cell r="B1939" t="str">
            <v>1-1934</v>
          </cell>
          <cell r="E1939" t="str">
            <v>有限公司</v>
          </cell>
          <cell r="R1939" t="b">
            <v>0</v>
          </cell>
          <cell r="S1939" t="str"/>
          <cell r="T1939" t="b">
            <v>0</v>
          </cell>
          <cell r="W1939" t="str"/>
          <cell r="Y1939" t="str"/>
          <cell r="AA1939" t="str"/>
          <cell r="AK1939" t="str">
            <v>743-2C</v>
          </cell>
          <cell r="AL1939" t="str">
            <v>1-0162-鎰利&gt;鎰金&gt;鎰加&gt;寄&gt;附發票&gt;2個月匯款</v>
          </cell>
          <cell r="AM1939" t="str">
            <v>1-0162</v>
          </cell>
        </row>
        <row r="1940">
          <cell r="B1940" t="str">
            <v>1-1935</v>
          </cell>
          <cell r="E1940" t="str">
            <v>有限公司</v>
          </cell>
          <cell r="R1940" t="b">
            <v>0</v>
          </cell>
          <cell r="S1940" t="str"/>
          <cell r="T1940" t="b">
            <v>0</v>
          </cell>
          <cell r="W1940" t="str"/>
          <cell r="Y1940" t="str"/>
          <cell r="AA1940" t="str"/>
          <cell r="AK1940" t="str">
            <v>573-VV</v>
          </cell>
          <cell r="AL1940" t="str">
            <v>1-0394-宸羽&gt;寄&gt;親收</v>
          </cell>
          <cell r="AM1940" t="str">
            <v>1-0394</v>
          </cell>
        </row>
        <row r="1941">
          <cell r="B1941" t="str">
            <v>1-1936</v>
          </cell>
          <cell r="E1941" t="str">
            <v>有限公司</v>
          </cell>
          <cell r="R1941" t="b">
            <v>0</v>
          </cell>
          <cell r="S1941" t="str"/>
          <cell r="T1941" t="b">
            <v>0</v>
          </cell>
          <cell r="W1941" t="str"/>
          <cell r="Y1941" t="str"/>
          <cell r="AA1941" t="str"/>
          <cell r="AK1941" t="str">
            <v>635-V6</v>
          </cell>
          <cell r="AL1941" t="str">
            <v>1-0122-嘉偉&gt;元美&gt;寄&gt;附發票&gt;附回郵</v>
          </cell>
          <cell r="AM1941" t="str">
            <v>1-0122</v>
          </cell>
        </row>
        <row r="1942">
          <cell r="B1942" t="str">
            <v>1-1937</v>
          </cell>
          <cell r="E1942" t="str">
            <v>有限公司</v>
          </cell>
          <cell r="R1942" t="b">
            <v>0</v>
          </cell>
          <cell r="S1942" t="str"/>
          <cell r="T1942" t="b">
            <v>0</v>
          </cell>
          <cell r="W1942" t="str"/>
          <cell r="Y1942" t="str"/>
          <cell r="AA1942" t="str"/>
          <cell r="AK1942" t="str">
            <v>HK-282</v>
          </cell>
          <cell r="AL1942" t="str">
            <v>1-0043-(2/2)和泰&gt;寄&gt;附發票&gt;附回郵</v>
          </cell>
          <cell r="AM1942" t="str">
            <v>1-0043</v>
          </cell>
        </row>
        <row r="1943">
          <cell r="B1943" t="str">
            <v>1-1938</v>
          </cell>
          <cell r="E1943" t="str">
            <v>有限公司</v>
          </cell>
          <cell r="R1943" t="b">
            <v>0</v>
          </cell>
          <cell r="S1943" t="str"/>
          <cell r="T1943" t="b">
            <v>0</v>
          </cell>
          <cell r="W1943" t="str"/>
          <cell r="Y1943" t="str"/>
          <cell r="AA1943" t="str"/>
          <cell r="AK1943" t="str">
            <v>2376-SW</v>
          </cell>
          <cell r="AL1943" t="str">
            <v>1-0465-原新金屬&gt;寄&gt;附發票&gt;附回郵</v>
          </cell>
          <cell r="AM1943" t="str">
            <v>1-0465</v>
          </cell>
        </row>
        <row r="1944">
          <cell r="B1944" t="str">
            <v>1-1939</v>
          </cell>
          <cell r="E1944" t="str">
            <v>有限公司</v>
          </cell>
          <cell r="R1944" t="b">
            <v>0</v>
          </cell>
          <cell r="S1944" t="str"/>
          <cell r="T1944" t="b">
            <v>0</v>
          </cell>
          <cell r="W1944" t="str"/>
          <cell r="Y1944" t="str"/>
          <cell r="AA1944" t="str"/>
          <cell r="AK1944" t="str">
            <v>AAG-389</v>
          </cell>
          <cell r="AL1944" t="str">
            <v>1-0484-世鑫營造&gt;寄&gt;附發票&gt;2個月匯款</v>
          </cell>
          <cell r="AM1944" t="str">
            <v>1-0484</v>
          </cell>
        </row>
        <row r="1945">
          <cell r="B1945" t="str">
            <v>1-1940</v>
          </cell>
          <cell r="E1945" t="str">
            <v>有限公司</v>
          </cell>
          <cell r="R1945" t="b">
            <v>0</v>
          </cell>
          <cell r="S1945" t="str"/>
          <cell r="T1945" t="b">
            <v>0</v>
          </cell>
          <cell r="W1945" t="str"/>
          <cell r="Y1945" t="str"/>
          <cell r="AA1945" t="str"/>
          <cell r="AK1945" t="str">
            <v>板110</v>
          </cell>
          <cell r="AL1945" t="str">
            <v>1-0162-鎰利&gt;鎰金&gt;鎰加&gt;寄&gt;附發票&gt;2個月匯款</v>
          </cell>
          <cell r="AM1945" t="str">
            <v>1-0162</v>
          </cell>
        </row>
        <row r="1946">
          <cell r="B1946" t="str">
            <v>1-1941</v>
          </cell>
          <cell r="E1946" t="str">
            <v>有限公司</v>
          </cell>
          <cell r="R1946" t="b">
            <v>0</v>
          </cell>
          <cell r="S1946" t="str"/>
          <cell r="T1946" t="b">
            <v>0</v>
          </cell>
          <cell r="W1946" t="str"/>
          <cell r="Y1946" t="str"/>
          <cell r="AA1946" t="str"/>
          <cell r="AK1946" t="str">
            <v>660-CC</v>
          </cell>
          <cell r="AL1946" t="str">
            <v>1-0164-元慶&gt;寄&gt;附發票&gt;附回郵</v>
          </cell>
          <cell r="AM1946" t="str">
            <v>1-0164</v>
          </cell>
        </row>
        <row r="1947">
          <cell r="B1947" t="str">
            <v>1-1942</v>
          </cell>
          <cell r="E1947" t="str">
            <v>有限公司</v>
          </cell>
          <cell r="R1947" t="b">
            <v>0</v>
          </cell>
          <cell r="S1947" t="str"/>
          <cell r="T1947" t="b">
            <v>0</v>
          </cell>
          <cell r="W1947" t="str"/>
          <cell r="Y1947" t="str"/>
          <cell r="AA1947" t="str"/>
          <cell r="AK1947" t="str">
            <v>8982-SK</v>
          </cell>
          <cell r="AL1947" t="str">
            <v>1-0590-電機葆&gt;張正葆&gt;寄&gt;自結</v>
          </cell>
          <cell r="AM1947" t="str">
            <v>1-0590</v>
          </cell>
        </row>
        <row r="1948">
          <cell r="B1948" t="str">
            <v>1-1943</v>
          </cell>
          <cell r="E1948" t="str">
            <v>有限公司</v>
          </cell>
          <cell r="R1948" t="b">
            <v>0</v>
          </cell>
          <cell r="S1948" t="str"/>
          <cell r="T1948" t="b">
            <v>0</v>
          </cell>
          <cell r="W1948" t="str"/>
          <cell r="Y1948" t="str"/>
          <cell r="AA1948" t="str"/>
          <cell r="AK1948" t="str">
            <v>933-W7</v>
          </cell>
          <cell r="AL1948" t="str">
            <v>1-0608-聯倉&gt;寄&gt;附發票&gt;附回郵</v>
          </cell>
          <cell r="AM1948" t="str">
            <v>1-0608</v>
          </cell>
        </row>
        <row r="1949">
          <cell r="B1949" t="str">
            <v>1-1944</v>
          </cell>
          <cell r="E1949" t="str">
            <v>有限公司</v>
          </cell>
          <cell r="R1949" t="b">
            <v>0</v>
          </cell>
          <cell r="S1949" t="str"/>
          <cell r="T1949" t="b">
            <v>0</v>
          </cell>
          <cell r="W1949" t="str"/>
          <cell r="Y1949" t="str"/>
          <cell r="AA1949" t="str"/>
          <cell r="AK1949" t="str">
            <v>0170-TW</v>
          </cell>
          <cell r="AL1949" t="str">
            <v>1-0505-吉和&gt;三義消防隊&gt;寄&gt;附發票&gt;匯款</v>
          </cell>
          <cell r="AM1949" t="str">
            <v>1-0505</v>
          </cell>
        </row>
        <row r="1950">
          <cell r="B1950" t="str">
            <v>1-1945</v>
          </cell>
          <cell r="E1950" t="str">
            <v>有限公司</v>
          </cell>
          <cell r="R1950" t="b">
            <v>0</v>
          </cell>
          <cell r="S1950" t="str"/>
          <cell r="T1950" t="b">
            <v>0</v>
          </cell>
          <cell r="W1950" t="str"/>
          <cell r="Y1950" t="str"/>
          <cell r="AA1950" t="str"/>
          <cell r="AK1950" t="str">
            <v>KAE-810</v>
          </cell>
          <cell r="AL1950" t="str">
            <v>1-0164-元慶&gt;寄&gt;附發票&gt;附回郵</v>
          </cell>
          <cell r="AM1950" t="str">
            <v>1-0164</v>
          </cell>
        </row>
        <row r="1951">
          <cell r="B1951" t="str">
            <v>1-1946</v>
          </cell>
          <cell r="E1951" t="str">
            <v>有限公司</v>
          </cell>
          <cell r="R1951" t="b">
            <v>0</v>
          </cell>
          <cell r="S1951" t="str"/>
          <cell r="T1951" t="b">
            <v>0</v>
          </cell>
          <cell r="W1951" t="str"/>
          <cell r="Y1951" t="str"/>
          <cell r="AA1951" t="str"/>
          <cell r="AK1951" t="str">
            <v>2L-29</v>
          </cell>
          <cell r="AL1951" t="str">
            <v>1-0496-啟德&gt;寄&gt;附發票&gt;附回郵</v>
          </cell>
          <cell r="AM1951" t="str">
            <v>1-0496</v>
          </cell>
        </row>
        <row r="1952">
          <cell r="B1952" t="str">
            <v>1-1947</v>
          </cell>
          <cell r="E1952" t="str">
            <v>有限公司</v>
          </cell>
          <cell r="R1952" t="b">
            <v>0</v>
          </cell>
          <cell r="S1952" t="str"/>
          <cell r="T1952" t="b">
            <v>0</v>
          </cell>
          <cell r="W1952" t="str"/>
          <cell r="Y1952" t="str"/>
          <cell r="AA1952" t="str"/>
          <cell r="AK1952" t="str">
            <v>560-S2</v>
          </cell>
          <cell r="AL1952" t="str">
            <v>1-0484-世鑫營造&gt;寄&gt;附發票&gt;2個月匯款</v>
          </cell>
          <cell r="AM1952" t="str">
            <v>1-0484</v>
          </cell>
        </row>
        <row r="1953">
          <cell r="B1953" t="str">
            <v>1-1948</v>
          </cell>
          <cell r="E1953" t="str">
            <v>有限公司</v>
          </cell>
          <cell r="R1953" t="b">
            <v>0</v>
          </cell>
          <cell r="S1953" t="str"/>
          <cell r="T1953" t="b">
            <v>0</v>
          </cell>
          <cell r="W1953" t="str"/>
          <cell r="Y1953" t="str"/>
          <cell r="AA1953" t="str"/>
          <cell r="AK1953" t="str">
            <v>318-W8</v>
          </cell>
          <cell r="AL1953" t="str">
            <v>1-0008-路人</v>
          </cell>
          <cell r="AM1953" t="str">
            <v>1-0008</v>
          </cell>
        </row>
        <row r="1954">
          <cell r="B1954" t="str">
            <v>1-1949</v>
          </cell>
          <cell r="E1954" t="str">
            <v>有限公司</v>
          </cell>
          <cell r="R1954" t="b">
            <v>0</v>
          </cell>
          <cell r="S1954" t="str"/>
          <cell r="T1954" t="b">
            <v>0</v>
          </cell>
          <cell r="W1954" t="str"/>
          <cell r="Y1954" t="str"/>
          <cell r="AA1954" t="str"/>
          <cell r="AK1954" t="str">
            <v>APP-7381</v>
          </cell>
          <cell r="AL1954" t="str">
            <v>1-0344-全力&gt;寄&gt;附發票&gt;附回郵</v>
          </cell>
          <cell r="AM1954" t="str">
            <v>1-0344</v>
          </cell>
        </row>
        <row r="1955">
          <cell r="B1955" t="str">
            <v>1-1950</v>
          </cell>
          <cell r="E1955" t="str">
            <v>有限公司</v>
          </cell>
          <cell r="R1955" t="b">
            <v>0</v>
          </cell>
          <cell r="S1955" t="str"/>
          <cell r="T1955" t="b">
            <v>0</v>
          </cell>
          <cell r="W1955" t="str"/>
          <cell r="Y1955" t="str"/>
          <cell r="AA1955" t="str"/>
          <cell r="AK1955" t="str">
            <v>8A-8600</v>
          </cell>
          <cell r="AL1955" t="str">
            <v>1-0060-源鴻&gt;寄&gt;親收</v>
          </cell>
          <cell r="AM1955" t="str">
            <v>1-0060</v>
          </cell>
        </row>
        <row r="1956">
          <cell r="B1956" t="str">
            <v>1-1951</v>
          </cell>
          <cell r="E1956" t="str">
            <v>有限公司</v>
          </cell>
          <cell r="R1956" t="b">
            <v>0</v>
          </cell>
          <cell r="S1956" t="str"/>
          <cell r="T1956" t="b">
            <v>0</v>
          </cell>
          <cell r="W1956" t="str"/>
          <cell r="Y1956" t="str"/>
          <cell r="AA1956" t="str"/>
          <cell r="AK1956" t="str">
            <v>RBE-2858</v>
          </cell>
          <cell r="AL1956" t="str">
            <v>1-0180-益勝鷹架&gt;寄&gt;附發票&gt;匯款</v>
          </cell>
          <cell r="AM1956" t="str">
            <v>1-0180</v>
          </cell>
        </row>
        <row r="1957">
          <cell r="B1957" t="str">
            <v>1-1952</v>
          </cell>
          <cell r="E1957" t="str">
            <v>有限公司</v>
          </cell>
          <cell r="R1957" t="b">
            <v>0</v>
          </cell>
          <cell r="S1957" t="str"/>
          <cell r="T1957" t="b">
            <v>0</v>
          </cell>
          <cell r="W1957" t="str"/>
          <cell r="Y1957" t="str"/>
          <cell r="AA1957" t="str"/>
          <cell r="AK1957" t="str">
            <v>182-Y7</v>
          </cell>
          <cell r="AL1957" t="str">
            <v>1-0306-力龍&gt;寄&gt;自結</v>
          </cell>
          <cell r="AM1957" t="str">
            <v>1-0306</v>
          </cell>
        </row>
        <row r="1958">
          <cell r="B1958" t="str">
            <v>1-1953</v>
          </cell>
          <cell r="E1958" t="str">
            <v>有限公司</v>
          </cell>
          <cell r="R1958" t="b">
            <v>0</v>
          </cell>
          <cell r="S1958" t="str"/>
          <cell r="T1958" t="b">
            <v>0</v>
          </cell>
          <cell r="W1958" t="str"/>
          <cell r="Y1958" t="str"/>
          <cell r="AA1958" t="str"/>
          <cell r="AK1958" t="str">
            <v>430-KB</v>
          </cell>
          <cell r="AL1958" t="str">
            <v>1-0162-鎰利&gt;鎰金&gt;鎰加&gt;寄&gt;附發票&gt;2個月匯款</v>
          </cell>
          <cell r="AM1958" t="str">
            <v>1-0162</v>
          </cell>
        </row>
        <row r="1959">
          <cell r="B1959" t="str">
            <v>1-1954</v>
          </cell>
          <cell r="E1959" t="str">
            <v>有限公司</v>
          </cell>
          <cell r="R1959" t="b">
            <v>0</v>
          </cell>
          <cell r="S1959" t="str"/>
          <cell r="T1959" t="b">
            <v>0</v>
          </cell>
          <cell r="W1959" t="str"/>
          <cell r="Y1959" t="str"/>
          <cell r="AA1959" t="str"/>
          <cell r="AK1959" t="str">
            <v>442-ZU</v>
          </cell>
          <cell r="AL1959" t="str">
            <v>1-0344-全力&gt;寄&gt;附發票&gt;附回郵</v>
          </cell>
          <cell r="AM1959" t="str">
            <v>1-0344</v>
          </cell>
        </row>
        <row r="1960">
          <cell r="B1960" t="str">
            <v>1-1955</v>
          </cell>
          <cell r="E1960" t="str">
            <v>有限公司</v>
          </cell>
          <cell r="R1960" t="b">
            <v>0</v>
          </cell>
          <cell r="S1960" t="str"/>
          <cell r="T1960" t="b">
            <v>0</v>
          </cell>
          <cell r="W1960" t="str"/>
          <cell r="Y1960" t="str"/>
          <cell r="AA1960" t="str"/>
          <cell r="AK1960" t="str">
            <v>KAE-866</v>
          </cell>
          <cell r="AL1960" t="str">
            <v>1-0164-元慶&gt;寄&gt;附發票&gt;附回郵</v>
          </cell>
          <cell r="AM1960" t="str">
            <v>1-0164</v>
          </cell>
        </row>
        <row r="1961">
          <cell r="B1961" t="str">
            <v>1-1956</v>
          </cell>
          <cell r="E1961" t="str">
            <v>有限公司</v>
          </cell>
          <cell r="R1961" t="b">
            <v>0</v>
          </cell>
          <cell r="S1961" t="str"/>
          <cell r="T1961" t="b">
            <v>0</v>
          </cell>
          <cell r="W1961" t="str"/>
          <cell r="Y1961" t="str"/>
          <cell r="AA1961" t="str"/>
          <cell r="AK1961" t="str">
            <v>3N-9386</v>
          </cell>
          <cell r="AL1961" t="str">
            <v>1-0505-吉和&gt;三義消防隊&gt;寄&gt;附發票&gt;匯款</v>
          </cell>
          <cell r="AM1961" t="str">
            <v>1-0505</v>
          </cell>
        </row>
        <row r="1962">
          <cell r="B1962" t="str">
            <v>1-1957</v>
          </cell>
          <cell r="E1962" t="str">
            <v>有限公司</v>
          </cell>
          <cell r="R1962" t="b">
            <v>0</v>
          </cell>
          <cell r="S1962" t="str"/>
          <cell r="T1962" t="b">
            <v>0</v>
          </cell>
          <cell r="W1962" t="str"/>
          <cell r="Y1962" t="str"/>
          <cell r="AA1962" t="str"/>
          <cell r="AK1962" t="str">
            <v>945-ZC</v>
          </cell>
          <cell r="AL1962" t="str">
            <v>1-0403-陳添寶&gt;嘉盛&gt;寄&gt;自結</v>
          </cell>
          <cell r="AM1962" t="str">
            <v>1-0403</v>
          </cell>
        </row>
        <row r="1963">
          <cell r="B1963" t="str">
            <v>1-1958</v>
          </cell>
          <cell r="E1963" t="str">
            <v>有限公司</v>
          </cell>
          <cell r="R1963" t="b">
            <v>0</v>
          </cell>
          <cell r="S1963" t="str"/>
          <cell r="T1963" t="b">
            <v>0</v>
          </cell>
          <cell r="W1963" t="str"/>
          <cell r="Y1963" t="str"/>
          <cell r="AA1963" t="str"/>
          <cell r="AK1963" t="str">
            <v>WB-299</v>
          </cell>
          <cell r="AL1963" t="str">
            <v>1-0544-勇和興&gt;寄&gt;附回郵</v>
          </cell>
          <cell r="AM1963" t="str">
            <v>1-0544</v>
          </cell>
        </row>
        <row r="1964">
          <cell r="B1964" t="str">
            <v>1-1959</v>
          </cell>
          <cell r="E1964" t="str">
            <v>有限公司</v>
          </cell>
          <cell r="R1964" t="b">
            <v>0</v>
          </cell>
          <cell r="S1964" t="str"/>
          <cell r="T1964" t="b">
            <v>0</v>
          </cell>
          <cell r="W1964" t="str"/>
          <cell r="Y1964" t="str"/>
          <cell r="AA1964" t="str"/>
          <cell r="AK1964" t="str">
            <v>04-小山貓</v>
          </cell>
          <cell r="AL1964" t="str">
            <v>1-0004-(1/3)長增&gt;寄&gt;附發票&gt;匯款&gt;現金價</v>
          </cell>
          <cell r="AM1964" t="str">
            <v>1-0004</v>
          </cell>
        </row>
        <row r="1965">
          <cell r="B1965" t="str">
            <v>1-1960</v>
          </cell>
          <cell r="E1965" t="str">
            <v>有限公司</v>
          </cell>
          <cell r="R1965" t="b">
            <v>0</v>
          </cell>
          <cell r="S1965" t="str"/>
          <cell r="T1965" t="b">
            <v>0</v>
          </cell>
          <cell r="W1965" t="str"/>
          <cell r="Y1965" t="str"/>
          <cell r="AA1965" t="str"/>
          <cell r="AK1965" t="str">
            <v>610-BT</v>
          </cell>
          <cell r="AL1965" t="str">
            <v>1-0176-眾信&gt;寄&gt;附發票&gt;附回郵</v>
          </cell>
          <cell r="AM1965" t="str">
            <v>1-0176</v>
          </cell>
        </row>
        <row r="1966">
          <cell r="B1966" t="str">
            <v>1-1961</v>
          </cell>
          <cell r="E1966" t="str">
            <v>有限公司</v>
          </cell>
          <cell r="R1966" t="b">
            <v>0</v>
          </cell>
          <cell r="S1966" t="str"/>
          <cell r="T1966" t="b">
            <v>0</v>
          </cell>
          <cell r="W1966" t="str"/>
          <cell r="Y1966" t="str"/>
          <cell r="AA1966" t="str"/>
          <cell r="AK1966" t="str">
            <v>143-Y7</v>
          </cell>
          <cell r="AL1966" t="str">
            <v>1-0146-佳億塑膠&gt;寄&gt;附發票&gt;附回郵</v>
          </cell>
          <cell r="AM1966" t="str">
            <v>1-0146</v>
          </cell>
        </row>
        <row r="1967">
          <cell r="B1967" t="str">
            <v>1-1962</v>
          </cell>
          <cell r="E1967" t="str">
            <v>有限公司</v>
          </cell>
          <cell r="R1967" t="b">
            <v>0</v>
          </cell>
          <cell r="S1967" t="str"/>
          <cell r="T1967" t="b">
            <v>0</v>
          </cell>
          <cell r="W1967" t="str"/>
          <cell r="Y1967" t="str"/>
          <cell r="AA1967" t="str"/>
          <cell r="AK1967" t="str">
            <v>板子-8</v>
          </cell>
          <cell r="AL1967" t="str">
            <v>1-0607-(2/2)瑋鎰&gt;寄&gt;附發票&gt;附回郵</v>
          </cell>
          <cell r="AM1967" t="str">
            <v>1-0607</v>
          </cell>
        </row>
        <row r="1968">
          <cell r="B1968" t="str">
            <v>1-1963</v>
          </cell>
          <cell r="E1968" t="str">
            <v>有限公司</v>
          </cell>
          <cell r="R1968" t="b">
            <v>0</v>
          </cell>
          <cell r="S1968" t="str"/>
          <cell r="T1968" t="b">
            <v>0</v>
          </cell>
          <cell r="W1968" t="str"/>
          <cell r="Y1968" t="str"/>
          <cell r="AA1968" t="str"/>
          <cell r="AK1968" t="str">
            <v>AFH-5161</v>
          </cell>
          <cell r="AL1968" t="str">
            <v>1-0610-恆陽&gt;聯鋮&gt;寄&gt;附發票&gt;附回郵</v>
          </cell>
          <cell r="AM1968" t="str">
            <v>1-0610</v>
          </cell>
        </row>
        <row r="1969">
          <cell r="B1969" t="str">
            <v>1-1964</v>
          </cell>
          <cell r="E1969" t="str">
            <v>有限公司</v>
          </cell>
          <cell r="R1969" t="b">
            <v>0</v>
          </cell>
          <cell r="S1969" t="str"/>
          <cell r="T1969" t="b">
            <v>0</v>
          </cell>
          <cell r="W1969" t="str"/>
          <cell r="Y1969" t="str"/>
          <cell r="AA1969" t="str"/>
          <cell r="AK1969" t="str">
            <v>AAJ-766</v>
          </cell>
          <cell r="AL1969" t="str">
            <v>1-0255-優泥&gt;寄&gt;附發票&gt;附回郵</v>
          </cell>
          <cell r="AM1969" t="str">
            <v>1-0255</v>
          </cell>
        </row>
        <row r="1970">
          <cell r="B1970" t="str">
            <v>1-1965</v>
          </cell>
          <cell r="E1970" t="str">
            <v>有限公司</v>
          </cell>
          <cell r="R1970" t="b">
            <v>0</v>
          </cell>
          <cell r="S1970" t="str"/>
          <cell r="T1970" t="b">
            <v>0</v>
          </cell>
          <cell r="W1970" t="str"/>
          <cell r="Y1970" t="str"/>
          <cell r="AA1970" t="str"/>
          <cell r="AK1970" t="str">
            <v>557-RV</v>
          </cell>
          <cell r="AL1970" t="str">
            <v>1-0109-東禾修理廠&gt;寄&gt;附發票&gt;附回郵</v>
          </cell>
          <cell r="AM1970" t="str">
            <v>1-0109</v>
          </cell>
        </row>
        <row r="1971">
          <cell r="B1971" t="str">
            <v>1-1966</v>
          </cell>
          <cell r="E1971" t="str">
            <v>有限公司</v>
          </cell>
          <cell r="R1971" t="b">
            <v>0</v>
          </cell>
          <cell r="S1971" t="str"/>
          <cell r="T1971" t="b">
            <v>0</v>
          </cell>
          <cell r="W1971" t="str"/>
          <cell r="Y1971" t="str"/>
          <cell r="AA1971" t="str"/>
          <cell r="AK1971" t="str">
            <v>818-VN</v>
          </cell>
          <cell r="AL1971" t="str">
            <v>1-0285-友商&gt;友勝&gt;電&gt;親收&gt;帶客戶請款聯</v>
          </cell>
          <cell r="AM1971" t="str">
            <v>1-0285</v>
          </cell>
        </row>
        <row r="1972">
          <cell r="B1972" t="str">
            <v>1-1967</v>
          </cell>
          <cell r="E1972" t="str">
            <v>有限公司</v>
          </cell>
          <cell r="R1972" t="b">
            <v>0</v>
          </cell>
          <cell r="S1972" t="str"/>
          <cell r="T1972" t="b">
            <v>0</v>
          </cell>
          <cell r="W1972" t="str"/>
          <cell r="Y1972" t="str"/>
          <cell r="AA1972" t="str"/>
          <cell r="AK1972" t="str">
            <v>748-KN</v>
          </cell>
          <cell r="AL1972" t="str">
            <v>1-0162-鎰利&gt;鎰金&gt;鎰加&gt;寄&gt;附發票&gt;2個月匯款</v>
          </cell>
          <cell r="AM1972" t="str">
            <v>1-0162</v>
          </cell>
        </row>
        <row r="1973">
          <cell r="B1973" t="str">
            <v>1-1968</v>
          </cell>
          <cell r="E1973" t="str">
            <v>有限公司</v>
          </cell>
          <cell r="R1973" t="b">
            <v>0</v>
          </cell>
          <cell r="S1973" t="str"/>
          <cell r="T1973" t="b">
            <v>0</v>
          </cell>
          <cell r="W1973" t="str"/>
          <cell r="Y1973" t="str"/>
          <cell r="AA1973" t="str"/>
          <cell r="AK1973" t="str">
            <v>729-TK</v>
          </cell>
          <cell r="AL1973" t="str">
            <v>1-0257-古肇魁＞阿奎伯&gt;利汯&gt;電&gt;自結</v>
          </cell>
          <cell r="AM1973" t="str">
            <v>1-0257</v>
          </cell>
        </row>
        <row r="1974">
          <cell r="B1974" t="str">
            <v>1-1969</v>
          </cell>
          <cell r="E1974" t="str">
            <v>有限公司</v>
          </cell>
          <cell r="R1974" t="b">
            <v>0</v>
          </cell>
          <cell r="S1974" t="str"/>
          <cell r="T1974" t="b">
            <v>0</v>
          </cell>
          <cell r="W1974" t="str"/>
          <cell r="Y1974" t="str"/>
          <cell r="AA1974" t="str"/>
          <cell r="AK1974" t="str">
            <v>8579-HJ</v>
          </cell>
          <cell r="AL1974" t="str">
            <v>1-0109-東禾修理廠&gt;寄&gt;附發票&gt;附回郵</v>
          </cell>
          <cell r="AM1974" t="str">
            <v>1-0109</v>
          </cell>
        </row>
        <row r="1975">
          <cell r="B1975" t="str">
            <v>1-1970</v>
          </cell>
          <cell r="E1975" t="str">
            <v>有限公司</v>
          </cell>
          <cell r="R1975" t="b">
            <v>0</v>
          </cell>
          <cell r="S1975" t="str"/>
          <cell r="T1975" t="b">
            <v>0</v>
          </cell>
          <cell r="W1975" t="str"/>
          <cell r="Y1975" t="str"/>
          <cell r="AA1975" t="str"/>
          <cell r="AK1975" t="str">
            <v>KLF-8285</v>
          </cell>
          <cell r="AL1975" t="str">
            <v>1-0870-陳致佑&gt;電&gt;匯款&gt;自結</v>
          </cell>
          <cell r="AM1975" t="str">
            <v>1-0870</v>
          </cell>
        </row>
        <row r="1976">
          <cell r="B1976" t="str">
            <v>1-1971</v>
          </cell>
          <cell r="E1976" t="str">
            <v>有限公司</v>
          </cell>
          <cell r="R1976" t="b">
            <v>0</v>
          </cell>
          <cell r="S1976" t="str"/>
          <cell r="T1976" t="b">
            <v>0</v>
          </cell>
          <cell r="W1976" t="str"/>
          <cell r="Y1976" t="str"/>
          <cell r="AA1976" t="str"/>
          <cell r="AK1976" t="str">
            <v>KLF-0328</v>
          </cell>
          <cell r="AL1976" t="str">
            <v>1-0022-台新&gt;寄&gt;附發票&gt;兩個月25號匯款</v>
          </cell>
          <cell r="AM1976" t="str">
            <v>1-0022</v>
          </cell>
        </row>
        <row r="1977">
          <cell r="B1977" t="str">
            <v>1-1972</v>
          </cell>
          <cell r="E1977" t="str">
            <v>有限公司</v>
          </cell>
          <cell r="R1977" t="b">
            <v>0</v>
          </cell>
          <cell r="S1977" t="str"/>
          <cell r="T1977" t="b">
            <v>0</v>
          </cell>
          <cell r="W1977" t="str"/>
          <cell r="Y1977" t="str"/>
          <cell r="AA1977" t="str"/>
          <cell r="AK1977" t="str">
            <v>ABR-0310</v>
          </cell>
          <cell r="AL1977" t="str">
            <v>1-0602-新復發&gt;寄&gt;附發票&gt;附回郵</v>
          </cell>
          <cell r="AM1977" t="str">
            <v>1-0602</v>
          </cell>
        </row>
        <row r="1978">
          <cell r="B1978" t="str">
            <v>1-1973</v>
          </cell>
          <cell r="E1978" t="str">
            <v>有限公司</v>
          </cell>
          <cell r="R1978" t="b">
            <v>0</v>
          </cell>
          <cell r="S1978" t="str"/>
          <cell r="T1978" t="b">
            <v>0</v>
          </cell>
          <cell r="W1978" t="str"/>
          <cell r="Y1978" t="str"/>
          <cell r="AA1978" t="str"/>
          <cell r="AK1978" t="str">
            <v>6673-SA</v>
          </cell>
          <cell r="AL1978" t="str">
            <v>1-0465-原新金屬&gt;寄&gt;附發票&gt;附回郵</v>
          </cell>
          <cell r="AM1978" t="str">
            <v>1-0465</v>
          </cell>
        </row>
        <row r="1979">
          <cell r="B1979" t="str">
            <v>1-1974</v>
          </cell>
          <cell r="E1979" t="str">
            <v>有限公司</v>
          </cell>
          <cell r="R1979" t="b">
            <v>0</v>
          </cell>
          <cell r="S1979" t="str"/>
          <cell r="T1979" t="b">
            <v>0</v>
          </cell>
          <cell r="W1979" t="str"/>
          <cell r="Y1979" t="str"/>
          <cell r="AA1979" t="str"/>
          <cell r="AK1979" t="str">
            <v>943-JB</v>
          </cell>
          <cell r="AL1979" t="str">
            <v>1-0616-榮隆輪胎&gt;寄&gt;附回郵</v>
          </cell>
          <cell r="AM1979" t="str">
            <v>1-0616</v>
          </cell>
        </row>
        <row r="1980">
          <cell r="B1980" t="str">
            <v>1-1975</v>
          </cell>
          <cell r="E1980" t="str">
            <v>有限公司</v>
          </cell>
          <cell r="R1980" t="b">
            <v>0</v>
          </cell>
          <cell r="S1980" t="str"/>
          <cell r="T1980" t="b">
            <v>0</v>
          </cell>
          <cell r="W1980" t="str"/>
          <cell r="Y1980" t="str"/>
          <cell r="AA1980" t="str"/>
          <cell r="AK1980" t="str">
            <v>2979-YW</v>
          </cell>
          <cell r="AL1980" t="str">
            <v>1-0060-源鴻&gt;寄&gt;親收</v>
          </cell>
          <cell r="AM1980" t="str">
            <v>1-0060</v>
          </cell>
        </row>
        <row r="1981">
          <cell r="B1981" t="str">
            <v>1-1976</v>
          </cell>
          <cell r="E1981" t="str">
            <v>有限公司</v>
          </cell>
          <cell r="R1981" t="b">
            <v>0</v>
          </cell>
          <cell r="S1981" t="str"/>
          <cell r="T1981" t="b">
            <v>0</v>
          </cell>
          <cell r="W1981" t="str"/>
          <cell r="Y1981" t="str"/>
          <cell r="AA1981" t="str"/>
          <cell r="AK1981" t="str">
            <v>RBC-5268</v>
          </cell>
          <cell r="AL1981" t="str">
            <v>1-0674-翔威.翔鑫&gt;付現&gt;不能簽帳</v>
          </cell>
          <cell r="AM1981" t="str">
            <v>1-0674</v>
          </cell>
        </row>
        <row r="1982">
          <cell r="B1982" t="str">
            <v>1-1977</v>
          </cell>
          <cell r="E1982" t="str">
            <v>有限公司</v>
          </cell>
          <cell r="R1982" t="b">
            <v>0</v>
          </cell>
          <cell r="S1982" t="str"/>
          <cell r="T1982" t="b">
            <v>0</v>
          </cell>
          <cell r="W1982" t="str"/>
          <cell r="Y1982" t="str"/>
          <cell r="AA1982" t="str"/>
          <cell r="AK1982" t="str">
            <v>9773-JU</v>
          </cell>
          <cell r="AL1982" t="str">
            <v>1-0546-慈揚&gt;賴進烈&gt;寄&gt;1個月15號匯款</v>
          </cell>
          <cell r="AM1982" t="str">
            <v>1-0546</v>
          </cell>
        </row>
        <row r="1983">
          <cell r="B1983" t="str">
            <v>1-1978</v>
          </cell>
          <cell r="E1983" t="str">
            <v>有限公司</v>
          </cell>
          <cell r="R1983" t="b">
            <v>0</v>
          </cell>
          <cell r="S1983" t="str"/>
          <cell r="T1983" t="b">
            <v>0</v>
          </cell>
          <cell r="W1983" t="str"/>
          <cell r="Y1983" t="str"/>
          <cell r="AA1983" t="str"/>
          <cell r="AK1983" t="str">
            <v>809-Y7</v>
          </cell>
          <cell r="AL1983" t="str">
            <v>1-0255-優泥&gt;寄&gt;附發票&gt;附回郵</v>
          </cell>
          <cell r="AM1983" t="str">
            <v>1-0255</v>
          </cell>
        </row>
        <row r="1984">
          <cell r="B1984" t="str">
            <v>1-1979</v>
          </cell>
          <cell r="E1984" t="str">
            <v>有限公司</v>
          </cell>
          <cell r="R1984" t="b">
            <v>0</v>
          </cell>
          <cell r="S1984" t="str"/>
          <cell r="T1984" t="b">
            <v>0</v>
          </cell>
          <cell r="W1984" t="str"/>
          <cell r="Y1984" t="str"/>
          <cell r="AA1984" t="str"/>
          <cell r="AK1984" t="str">
            <v>KAE-853</v>
          </cell>
          <cell r="AL1984" t="str">
            <v>1-0122-嘉偉&gt;元美&gt;寄&gt;附發票&gt;附回郵</v>
          </cell>
          <cell r="AM1984" t="str">
            <v>1-0122</v>
          </cell>
        </row>
        <row r="1985">
          <cell r="B1985" t="str">
            <v>1-1980</v>
          </cell>
          <cell r="E1985" t="str">
            <v>有限公司</v>
          </cell>
          <cell r="R1985" t="b">
            <v>0</v>
          </cell>
          <cell r="S1985" t="str"/>
          <cell r="T1985" t="b">
            <v>0</v>
          </cell>
          <cell r="W1985" t="str"/>
          <cell r="Y1985" t="str"/>
          <cell r="AA1985" t="str"/>
          <cell r="AK1985" t="str">
            <v>LAB-208</v>
          </cell>
          <cell r="AL1985" t="str">
            <v>1-0073-李志文&gt;龍秀&gt;裕嘉&gt;寄平信&gt;自結</v>
          </cell>
          <cell r="AM1985" t="str">
            <v>1-0073</v>
          </cell>
        </row>
        <row r="1986">
          <cell r="B1986" t="str">
            <v>1-1981</v>
          </cell>
          <cell r="E1986" t="str">
            <v>有限公司</v>
          </cell>
          <cell r="R1986" t="b">
            <v>0</v>
          </cell>
          <cell r="S1986" t="str"/>
          <cell r="T1986" t="b">
            <v>0</v>
          </cell>
          <cell r="W1986" t="str"/>
          <cell r="Y1986" t="str"/>
          <cell r="AA1986" t="str"/>
          <cell r="AK1986" t="str">
            <v>KM-51</v>
          </cell>
          <cell r="AL1986" t="str">
            <v>1-0504-安泰起重&gt;寄&gt;附發票&gt;附回郵</v>
          </cell>
          <cell r="AM1986" t="str">
            <v>1-0504</v>
          </cell>
        </row>
        <row r="1987">
          <cell r="B1987" t="str">
            <v>1-1982</v>
          </cell>
          <cell r="E1987" t="str">
            <v>有限公司</v>
          </cell>
          <cell r="R1987" t="b">
            <v>0</v>
          </cell>
          <cell r="S1987" t="str"/>
          <cell r="T1987" t="b">
            <v>0</v>
          </cell>
          <cell r="W1987" t="str"/>
          <cell r="Y1987" t="str"/>
          <cell r="AA1987" t="str"/>
          <cell r="AK1987" t="str">
            <v>HB-608</v>
          </cell>
          <cell r="AL1987" t="str">
            <v>1-0309-龍聖&gt;嘉盛&gt;寄&gt;自結</v>
          </cell>
          <cell r="AM1987" t="str">
            <v>1-0309</v>
          </cell>
        </row>
        <row r="1988">
          <cell r="B1988" t="str">
            <v>1-1983</v>
          </cell>
          <cell r="E1988" t="str">
            <v>有限公司</v>
          </cell>
          <cell r="R1988" t="b">
            <v>0</v>
          </cell>
          <cell r="S1988" t="str"/>
          <cell r="T1988" t="b">
            <v>0</v>
          </cell>
          <cell r="W1988" t="str"/>
          <cell r="Y1988" t="str"/>
          <cell r="AA1988" t="str"/>
          <cell r="AK1988" t="str">
            <v>ALQ-2525</v>
          </cell>
          <cell r="AL1988" t="str">
            <v>1-0011-海銓&gt;電&gt;親收&gt;帶客戶請款聯</v>
          </cell>
          <cell r="AM1988" t="str">
            <v>1-0011</v>
          </cell>
        </row>
        <row r="1989">
          <cell r="B1989" t="str">
            <v>1-1984</v>
          </cell>
          <cell r="E1989" t="str">
            <v>有限公司</v>
          </cell>
          <cell r="R1989" t="b">
            <v>0</v>
          </cell>
          <cell r="S1989" t="str"/>
          <cell r="T1989" t="b">
            <v>0</v>
          </cell>
          <cell r="W1989" t="str"/>
          <cell r="Y1989" t="str"/>
          <cell r="AA1989" t="str"/>
          <cell r="AK1989" t="str">
            <v>581-ZB</v>
          </cell>
          <cell r="AL1989" t="str">
            <v>1-0579-(1/2)捷盛&gt;寄&gt;附發票&gt;3個月匯款</v>
          </cell>
          <cell r="AM1989" t="str">
            <v>1-0579</v>
          </cell>
        </row>
        <row r="1990">
          <cell r="B1990" t="str">
            <v>1-1985</v>
          </cell>
          <cell r="E1990" t="str">
            <v>有限公司</v>
          </cell>
          <cell r="R1990" t="b">
            <v>0</v>
          </cell>
          <cell r="S1990" t="str"/>
          <cell r="T1990" t="b">
            <v>0</v>
          </cell>
          <cell r="W1990" t="str"/>
          <cell r="Y1990" t="str"/>
          <cell r="AA1990" t="str"/>
          <cell r="AK1990" t="str">
            <v>4929-NA</v>
          </cell>
          <cell r="AL1990" t="str">
            <v>1-0058-鑫能&gt;寄&gt;匯款</v>
          </cell>
          <cell r="AM1990" t="str">
            <v>1-0058</v>
          </cell>
        </row>
        <row r="1991">
          <cell r="B1991" t="str">
            <v>1-1986</v>
          </cell>
          <cell r="E1991" t="str">
            <v>有限公司</v>
          </cell>
          <cell r="R1991" t="b">
            <v>0</v>
          </cell>
          <cell r="S1991" t="str"/>
          <cell r="T1991" t="b">
            <v>0</v>
          </cell>
          <cell r="W1991" t="str"/>
          <cell r="Y1991" t="str"/>
          <cell r="AA1991" t="str"/>
          <cell r="AK1991" t="str">
            <v>8287-TQ</v>
          </cell>
          <cell r="AL1991" t="str">
            <v>1-0109-東禾修理廠&gt;寄&gt;附發票&gt;附回郵</v>
          </cell>
          <cell r="AM1991" t="str">
            <v>1-0109</v>
          </cell>
        </row>
        <row r="1992">
          <cell r="B1992" t="str">
            <v>1-1987</v>
          </cell>
          <cell r="E1992" t="str">
            <v>有限公司</v>
          </cell>
          <cell r="R1992" t="b">
            <v>0</v>
          </cell>
          <cell r="S1992" t="str"/>
          <cell r="T1992" t="b">
            <v>0</v>
          </cell>
          <cell r="W1992" t="str"/>
          <cell r="Y1992" t="str"/>
          <cell r="AA1992" t="str"/>
          <cell r="AK1992" t="str">
            <v>976-X2</v>
          </cell>
          <cell r="AL1992" t="str">
            <v>1-0707-(3/3)福麗&gt;寄&gt;附發票&gt;附回郵</v>
          </cell>
          <cell r="AM1992" t="str">
            <v>1-0707</v>
          </cell>
        </row>
        <row r="1993">
          <cell r="B1993" t="str">
            <v>1-1988</v>
          </cell>
          <cell r="E1993" t="str">
            <v>有限公司</v>
          </cell>
          <cell r="R1993" t="b">
            <v>0</v>
          </cell>
          <cell r="S1993" t="str"/>
          <cell r="T1993" t="b">
            <v>0</v>
          </cell>
          <cell r="W1993" t="str"/>
          <cell r="Y1993" t="str"/>
          <cell r="AA1993" t="str"/>
          <cell r="AK1993" t="str">
            <v>1850-EX</v>
          </cell>
          <cell r="AL1993" t="str">
            <v>1-0109-東禾修理廠&gt;寄&gt;附發票&gt;附回郵</v>
          </cell>
          <cell r="AM1993" t="str">
            <v>1-0109</v>
          </cell>
        </row>
        <row r="1994">
          <cell r="B1994" t="str">
            <v>1-1989</v>
          </cell>
          <cell r="E1994" t="str">
            <v>有限公司</v>
          </cell>
          <cell r="R1994" t="b">
            <v>0</v>
          </cell>
          <cell r="S1994" t="str"/>
          <cell r="T1994" t="b">
            <v>0</v>
          </cell>
          <cell r="W1994" t="str"/>
          <cell r="Y1994" t="str"/>
          <cell r="AA1994" t="str"/>
          <cell r="AK1994" t="str">
            <v>AFQ-7671</v>
          </cell>
          <cell r="AL1994" t="str">
            <v>1-0060-源鴻&gt;寄&gt;親收</v>
          </cell>
          <cell r="AM1994" t="str">
            <v>1-0060</v>
          </cell>
        </row>
        <row r="1995">
          <cell r="B1995" t="str">
            <v>1-1990</v>
          </cell>
          <cell r="E1995" t="str">
            <v>有限公司</v>
          </cell>
          <cell r="R1995" t="b">
            <v>0</v>
          </cell>
          <cell r="S1995" t="str"/>
          <cell r="T1995" t="b">
            <v>0</v>
          </cell>
          <cell r="W1995" t="str"/>
          <cell r="Y1995" t="str"/>
          <cell r="AA1995" t="str"/>
          <cell r="AK1995" t="str">
            <v>ALQ-8900</v>
          </cell>
          <cell r="AL1995" t="str">
            <v>1-0106-宏技&gt;寄&gt;附發票&gt;附回郵</v>
          </cell>
          <cell r="AM1995" t="str">
            <v>1-0106</v>
          </cell>
        </row>
        <row r="1996">
          <cell r="B1996" t="str">
            <v>1-1991</v>
          </cell>
          <cell r="E1996" t="str">
            <v>有限公司</v>
          </cell>
          <cell r="R1996" t="b">
            <v>0</v>
          </cell>
          <cell r="S1996" t="str"/>
          <cell r="T1996" t="b">
            <v>0</v>
          </cell>
          <cell r="W1996" t="str"/>
          <cell r="Y1996" t="str"/>
          <cell r="AA1996" t="str"/>
          <cell r="AK1996" t="str">
            <v>藝豐板子-7</v>
          </cell>
          <cell r="AL1996" t="str">
            <v>1-0152-藝豐&gt;寄&gt;附發票</v>
          </cell>
          <cell r="AM1996" t="str">
            <v>1-0152</v>
          </cell>
        </row>
        <row r="1997">
          <cell r="B1997" t="str">
            <v>1-1992</v>
          </cell>
          <cell r="E1997" t="str">
            <v>有限公司</v>
          </cell>
          <cell r="R1997" t="b">
            <v>0</v>
          </cell>
          <cell r="S1997" t="str"/>
          <cell r="T1997" t="b">
            <v>0</v>
          </cell>
          <cell r="W1997" t="str"/>
          <cell r="Y1997" t="str"/>
          <cell r="AA1997" t="str"/>
          <cell r="AK1997" t="str">
            <v>KLD-6050</v>
          </cell>
          <cell r="AL1997" t="str">
            <v>1-0182-福海&gt;寄&gt;附回郵</v>
          </cell>
          <cell r="AM1997" t="str">
            <v>1-0182</v>
          </cell>
        </row>
        <row r="1998">
          <cell r="B1998" t="str">
            <v>1-1993</v>
          </cell>
          <cell r="E1998" t="str">
            <v>有限公司</v>
          </cell>
          <cell r="R1998" t="b">
            <v>0</v>
          </cell>
          <cell r="S1998" t="str"/>
          <cell r="T1998" t="b">
            <v>0</v>
          </cell>
          <cell r="W1998" t="str"/>
          <cell r="Y1998" t="str"/>
          <cell r="AA1998" t="str"/>
          <cell r="AK1998" t="str">
            <v>HAA-3071</v>
          </cell>
          <cell r="AL1998" t="str">
            <v>1-0660-竹新.頂烽&gt;寄&gt;附發票&gt;匯款</v>
          </cell>
          <cell r="AM1998" t="str">
            <v>1-0660</v>
          </cell>
        </row>
        <row r="1999">
          <cell r="B1999" t="str">
            <v>1-1994</v>
          </cell>
          <cell r="E1999" t="str">
            <v>有限公司</v>
          </cell>
          <cell r="R1999" t="b">
            <v>0</v>
          </cell>
          <cell r="S1999" t="str"/>
          <cell r="T1999" t="b">
            <v>0</v>
          </cell>
          <cell r="W1999" t="str"/>
          <cell r="Y1999" t="str"/>
          <cell r="AA1999" t="str"/>
          <cell r="AK1999" t="str">
            <v>366-RW</v>
          </cell>
          <cell r="AL1999" t="str">
            <v>1-0696-永鉅汽車&gt;寄&gt;附發票&gt;附回郵</v>
          </cell>
          <cell r="AM1999" t="str">
            <v>1-0696</v>
          </cell>
        </row>
        <row r="2000">
          <cell r="B2000" t="str">
            <v>1-1995</v>
          </cell>
          <cell r="E2000" t="str">
            <v>有限公司</v>
          </cell>
          <cell r="R2000" t="b">
            <v>0</v>
          </cell>
          <cell r="S2000" t="str"/>
          <cell r="T2000" t="b">
            <v>0</v>
          </cell>
          <cell r="W2000" t="str"/>
          <cell r="Y2000" t="str"/>
          <cell r="AA2000" t="str"/>
          <cell r="AK2000" t="str">
            <v>Q7-471</v>
          </cell>
          <cell r="AL2000" t="str">
            <v>1-0728-中油探採&gt;寄&gt;待通知開發票&gt;一個月匯款&gt;(標案)</v>
          </cell>
          <cell r="AM2000" t="str">
            <v>1-0728</v>
          </cell>
        </row>
        <row r="2001">
          <cell r="E2001" t="str">
            <v>有限公司</v>
          </cell>
          <cell r="R2001" t="b">
            <v>0</v>
          </cell>
          <cell r="S2001" t="str"/>
          <cell r="T2001" t="b">
            <v>0</v>
          </cell>
          <cell r="W2001" t="str"/>
          <cell r="Y2001" t="str"/>
          <cell r="AA2001" t="str"/>
          <cell r="AK2001" t="str">
            <v>556-BT</v>
          </cell>
          <cell r="AL2001" t="str">
            <v>1-0415-聯有.統一東京&gt;寄&gt;附發票&gt;附回郵</v>
          </cell>
          <cell r="AM2001" t="str">
            <v>1-0415</v>
          </cell>
        </row>
        <row r="2002">
          <cell r="E2002" t="str">
            <v>有限公司</v>
          </cell>
          <cell r="R2002" t="b">
            <v>0</v>
          </cell>
          <cell r="S2002" t="str"/>
          <cell r="T2002" t="b">
            <v>0</v>
          </cell>
          <cell r="W2002" t="str"/>
          <cell r="Y2002" t="str"/>
          <cell r="AA2002" t="str"/>
          <cell r="AK2002" t="str">
            <v>9609-W9</v>
          </cell>
          <cell r="AL2002" t="str">
            <v>1-0571-賴鼎龍&gt;菱揚&gt;酒空&gt;寄&gt;自結</v>
          </cell>
          <cell r="AM2002" t="str">
            <v>1-0571</v>
          </cell>
        </row>
        <row r="2003">
          <cell r="E2003" t="str">
            <v>有限公司</v>
          </cell>
          <cell r="R2003" t="b">
            <v>0</v>
          </cell>
          <cell r="S2003" t="str"/>
          <cell r="T2003" t="b">
            <v>0</v>
          </cell>
          <cell r="W2003" t="str"/>
          <cell r="Y2003" t="str"/>
          <cell r="AA2003" t="str"/>
          <cell r="AK2003" t="str">
            <v>AJT-9388</v>
          </cell>
          <cell r="AL2003" t="str">
            <v>1-0105-胡清陽&gt;苗連.花旗&gt;寄&gt;附發票&gt;附回郵</v>
          </cell>
          <cell r="AM2003" t="str">
            <v>1-0105</v>
          </cell>
        </row>
        <row r="2004">
          <cell r="E2004" t="str">
            <v>有限公司</v>
          </cell>
          <cell r="R2004" t="b">
            <v>0</v>
          </cell>
          <cell r="S2004" t="str"/>
          <cell r="T2004" t="b">
            <v>0</v>
          </cell>
          <cell r="W2004" t="str"/>
          <cell r="Y2004" t="str"/>
          <cell r="AA2004" t="str"/>
          <cell r="AK2004" t="str">
            <v>0976-L6</v>
          </cell>
          <cell r="AL2004" t="str">
            <v>1-0641-(2/2)紀志易.私人帳&gt;寄&gt;自結</v>
          </cell>
          <cell r="AM2004" t="str">
            <v>1-0641</v>
          </cell>
        </row>
        <row r="2005">
          <cell r="E2005" t="str">
            <v>有限公司</v>
          </cell>
          <cell r="R2005" t="b">
            <v>0</v>
          </cell>
          <cell r="S2005" t="str"/>
          <cell r="T2005" t="b">
            <v>0</v>
          </cell>
          <cell r="W2005" t="str"/>
          <cell r="Y2005" t="str"/>
          <cell r="AA2005" t="str"/>
          <cell r="AK2005" t="str">
            <v>307-PP</v>
          </cell>
          <cell r="AL2005" t="str">
            <v>1-0593-大宇&gt;寄&gt;附發票&gt;附回郵</v>
          </cell>
          <cell r="AM2005" t="str">
            <v>1-0593</v>
          </cell>
        </row>
        <row r="2006">
          <cell r="E2006" t="str">
            <v>有限公司</v>
          </cell>
          <cell r="R2006" t="b">
            <v>0</v>
          </cell>
          <cell r="S2006" t="str"/>
          <cell r="T2006" t="b">
            <v>0</v>
          </cell>
          <cell r="W2006" t="str"/>
          <cell r="Y2006" t="str"/>
          <cell r="AA2006" t="str"/>
          <cell r="AK2006" t="str">
            <v>581-鏟車</v>
          </cell>
          <cell r="AL2006" t="str">
            <v>1-0581-弘喬&gt;寄&gt;附發票&gt;附回郵</v>
          </cell>
          <cell r="AM2006" t="str">
            <v>1-0581</v>
          </cell>
        </row>
        <row r="2007">
          <cell r="E2007" t="str">
            <v>有限公司</v>
          </cell>
          <cell r="R2007" t="b">
            <v>0</v>
          </cell>
          <cell r="S2007" t="str"/>
          <cell r="T2007" t="b">
            <v>0</v>
          </cell>
          <cell r="W2007" t="str"/>
          <cell r="Y2007" t="str"/>
          <cell r="AA2007" t="str"/>
          <cell r="AK2007" t="str">
            <v>L12-0.4-2</v>
          </cell>
          <cell r="AL2007" t="str">
            <v>1-0162-鎰利&gt;鎰金&gt;鎰加&gt;寄&gt;附發票&gt;2個月匯款</v>
          </cell>
          <cell r="AM2007" t="str">
            <v>1-0162</v>
          </cell>
        </row>
        <row r="2008">
          <cell r="E2008" t="str">
            <v>有限公司</v>
          </cell>
          <cell r="R2008" t="b">
            <v>0</v>
          </cell>
          <cell r="S2008" t="str"/>
          <cell r="T2008" t="b">
            <v>0</v>
          </cell>
          <cell r="W2008" t="str"/>
          <cell r="Y2008" t="str"/>
          <cell r="AA2008" t="str"/>
          <cell r="AK2008" t="str">
            <v>L7-0.4-1</v>
          </cell>
          <cell r="AL2008" t="str">
            <v>1-0162-鎰利&gt;鎰金&gt;鎰加&gt;寄&gt;附發票&gt;2個月匯款</v>
          </cell>
          <cell r="AM2008" t="str">
            <v>1-0162</v>
          </cell>
        </row>
        <row r="2009">
          <cell r="E2009" t="str">
            <v>有限公司</v>
          </cell>
          <cell r="R2009" t="b">
            <v>0</v>
          </cell>
          <cell r="S2009" t="str"/>
          <cell r="T2009" t="b">
            <v>0</v>
          </cell>
          <cell r="W2009" t="str"/>
          <cell r="Y2009" t="str"/>
          <cell r="AA2009" t="str"/>
          <cell r="AK2009" t="str">
            <v>ALJ-5205</v>
          </cell>
          <cell r="AL2009" t="str">
            <v>1-0399-銘旺&gt;寄&gt;附發票&gt;附回郵</v>
          </cell>
          <cell r="AM2009" t="str">
            <v>1-0399</v>
          </cell>
        </row>
        <row r="2010">
          <cell r="E2010" t="str">
            <v>有限公司</v>
          </cell>
          <cell r="R2010" t="b">
            <v>0</v>
          </cell>
          <cell r="S2010" t="str"/>
          <cell r="T2010" t="b">
            <v>0</v>
          </cell>
          <cell r="W2010" t="str"/>
          <cell r="Y2010" t="str"/>
          <cell r="AA2010" t="str"/>
          <cell r="AK2010" t="str">
            <v>5363-ZD</v>
          </cell>
          <cell r="AL2010" t="str">
            <v>1-0109-東禾修理廠&gt;寄&gt;附發票&gt;附回郵</v>
          </cell>
          <cell r="AM2010" t="str">
            <v>1-0109</v>
          </cell>
        </row>
        <row r="2011">
          <cell r="B2011">
            <v>0</v>
          </cell>
          <cell r="E2011" t="str">
            <v>有限公司</v>
          </cell>
          <cell r="R2011" t="b">
            <v>0</v>
          </cell>
          <cell r="S2011" t="str"/>
          <cell r="T2011" t="b">
            <v>0</v>
          </cell>
          <cell r="W2011" t="str"/>
          <cell r="Y2011" t="str"/>
          <cell r="AA2011" t="str"/>
          <cell r="AK2011" t="str">
            <v>830-GY</v>
          </cell>
          <cell r="AL2011" t="str">
            <v>1-0097-佳金&gt;江運弘&gt;寄&gt;自結</v>
          </cell>
          <cell r="AM2011" t="str">
            <v>1-0097</v>
          </cell>
        </row>
        <row r="2012">
          <cell r="B2012" t="str">
            <v>(空白)</v>
          </cell>
          <cell r="E2012" t="str">
            <v>有限公司</v>
          </cell>
          <cell r="R2012" t="b">
            <v>0</v>
          </cell>
          <cell r="S2012" t="str"/>
          <cell r="T2012" t="b">
            <v>0</v>
          </cell>
          <cell r="W2012" t="str"/>
          <cell r="Y2012" t="str"/>
          <cell r="AA2012" t="str"/>
          <cell r="AK2012" t="str">
            <v>板P2-33</v>
          </cell>
          <cell r="AL2012" t="str">
            <v>1-0540-聯興&gt;葉秀禮&gt;寄平信&gt;自結</v>
          </cell>
          <cell r="AM2012" t="str">
            <v>1-0540</v>
          </cell>
        </row>
        <row r="2013">
          <cell r="B2013" t="str">
            <v>總計</v>
          </cell>
          <cell r="D2013">
            <v>0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AK2013" t="str">
            <v>AAJ-962</v>
          </cell>
          <cell r="AL2013" t="str">
            <v>1-0460-榮興&gt;寄&gt;附發票&gt;附回郵</v>
          </cell>
          <cell r="AM2013" t="str">
            <v>1-0460</v>
          </cell>
        </row>
        <row r="2014">
          <cell r="AA2014" t="str">
            <v>812新竹市中華路6段716-1號</v>
          </cell>
          <cell r="AK2014" t="str">
            <v>板A12</v>
          </cell>
          <cell r="AL2014" t="str">
            <v>1-0162-鎰利&gt;鎰金&gt;鎰加&gt;寄&gt;附發票&gt;2個月匯款</v>
          </cell>
          <cell r="AM2014" t="str">
            <v>1-0162</v>
          </cell>
        </row>
        <row r="2015">
          <cell r="R2015" t="b">
            <v>0</v>
          </cell>
          <cell r="S2015" t="str"/>
          <cell r="T2015" t="b">
            <v>0</v>
          </cell>
          <cell r="AK2015" t="str">
            <v>KAE-856</v>
          </cell>
          <cell r="AL2015" t="str">
            <v>1-0122-嘉偉&gt;元美&gt;寄&gt;附發票&gt;附回郵</v>
          </cell>
          <cell r="AM2015" t="str">
            <v>1-0122</v>
          </cell>
        </row>
        <row r="2016">
          <cell r="AK2016" t="str">
            <v>406-VA</v>
          </cell>
          <cell r="AL2016" t="str">
            <v>1-0109-東禾修理廠&gt;寄&gt;附發票&gt;附回郵</v>
          </cell>
          <cell r="AM2016" t="str">
            <v>1-0109</v>
          </cell>
        </row>
        <row r="2017">
          <cell r="AK2017" t="str">
            <v>KLF-8217</v>
          </cell>
          <cell r="AL2017" t="str">
            <v>1-0047-(2/4)鴻安&gt;寄&gt;附發票&gt;附回郵</v>
          </cell>
          <cell r="AM2017" t="str">
            <v>1-0047</v>
          </cell>
        </row>
        <row r="2018">
          <cell r="AK2018" t="str">
            <v>KLF-1088</v>
          </cell>
          <cell r="AL2018" t="str">
            <v>1-0780-易陽&gt;財石砂石&gt;寄&gt;附發票&gt;附回郵</v>
          </cell>
          <cell r="AM2018" t="str">
            <v>1-0780</v>
          </cell>
        </row>
        <row r="2019">
          <cell r="AK2019" t="str">
            <v>21鏟車</v>
          </cell>
          <cell r="AL2019" t="str">
            <v>1-0021-毅和&gt;寄&gt;附發票&gt;附回郵</v>
          </cell>
          <cell r="AM2019" t="str">
            <v>1-0021</v>
          </cell>
        </row>
        <row r="2020">
          <cell r="AK2020" t="str">
            <v>1025-H2</v>
          </cell>
          <cell r="AL2020" t="str">
            <v>1-0640-(1/2)紀志易.公司帳&gt;寄&gt;自結</v>
          </cell>
          <cell r="AM2020" t="str">
            <v>1-0640</v>
          </cell>
        </row>
        <row r="2021">
          <cell r="AK2021" t="str">
            <v>163-Q2</v>
          </cell>
          <cell r="AL2021" t="str">
            <v>1-0328-平順&gt;寄&gt;附發票&gt;附回郵</v>
          </cell>
          <cell r="AM2021" t="str">
            <v>1-0328</v>
          </cell>
        </row>
        <row r="2022">
          <cell r="AK2022" t="str">
            <v>5373-LB</v>
          </cell>
          <cell r="AL2022" t="str">
            <v>1-0060-源鴻&gt;寄&gt;親收</v>
          </cell>
          <cell r="AM2022" t="str">
            <v>1-0060</v>
          </cell>
        </row>
        <row r="2023">
          <cell r="AK2023" t="str">
            <v>566堆高機</v>
          </cell>
          <cell r="AL2023" t="str">
            <v>1-0566-順彬&gt;寄&gt;附發票&gt;附回郵</v>
          </cell>
          <cell r="AM2023" t="str">
            <v>1-0566</v>
          </cell>
        </row>
        <row r="2024">
          <cell r="AK2024" t="str">
            <v>262-GX</v>
          </cell>
          <cell r="AL2024" t="str">
            <v>1-0056-寬輾&gt;寄&gt;附回郵(1/3)</v>
          </cell>
          <cell r="AM2024" t="str">
            <v>1-0056</v>
          </cell>
        </row>
        <row r="2025">
          <cell r="AK2025" t="str">
            <v>ALF-0932</v>
          </cell>
          <cell r="AL2025" t="str">
            <v>1-0328-平順&gt;寄&gt;附發票&gt;附回郵</v>
          </cell>
          <cell r="AM2025" t="str">
            <v>1-0328</v>
          </cell>
        </row>
        <row r="2026">
          <cell r="AK2026" t="str">
            <v>KEA-9026</v>
          </cell>
          <cell r="AL2026" t="str">
            <v>1-0194-傅文芳&gt;大砲&gt;一路發拖吊&gt;電&gt;自結</v>
          </cell>
          <cell r="AM2026" t="str">
            <v>1-0194</v>
          </cell>
        </row>
        <row r="2027">
          <cell r="AK2027" t="str">
            <v>KLB-1762</v>
          </cell>
          <cell r="AL2027" t="str">
            <v>1-0056-寬輾&gt;寄&gt;附回郵(1/3)</v>
          </cell>
          <cell r="AM2027" t="str">
            <v>1-0056</v>
          </cell>
        </row>
        <row r="2028">
          <cell r="AK2028" t="str">
            <v>458-QP</v>
          </cell>
          <cell r="AL2028" t="str">
            <v>1-0590-電機葆&gt;張正葆&gt;寄&gt;自結</v>
          </cell>
          <cell r="AM2028" t="str">
            <v>1-0590</v>
          </cell>
        </row>
        <row r="2029">
          <cell r="AK2029" t="str">
            <v>RAZ-5928</v>
          </cell>
          <cell r="AL2029" t="str">
            <v>1-0079-旭中&gt;寄&gt;附發票&gt;附回郵</v>
          </cell>
          <cell r="AM2029" t="str">
            <v>1-0079</v>
          </cell>
        </row>
        <row r="2030">
          <cell r="AK2030" t="str">
            <v>板子99-DF</v>
          </cell>
          <cell r="AL2030" t="str">
            <v>1-0607-(2/2)瑋鎰&gt;寄&gt;附發票&gt;附回郵</v>
          </cell>
          <cell r="AM2030" t="str">
            <v>1-0607</v>
          </cell>
        </row>
        <row r="2031">
          <cell r="AK2031" t="str">
            <v>165-Q2</v>
          </cell>
          <cell r="AL2031" t="str">
            <v>1-0328-平順&gt;寄&gt;附發票&gt;附回郵</v>
          </cell>
          <cell r="AM2031" t="str">
            <v>1-0328</v>
          </cell>
        </row>
        <row r="2032">
          <cell r="AK2032" t="str">
            <v>546-Y7</v>
          </cell>
          <cell r="AL2032" t="str">
            <v>1-0473-台灣肥料&gt;寄&gt;附發票&gt;兩個月底匯款</v>
          </cell>
          <cell r="AM2032" t="str">
            <v>1-0473</v>
          </cell>
        </row>
        <row r="2033">
          <cell r="AK2033" t="str">
            <v>LU-4983</v>
          </cell>
          <cell r="AL2033" t="str">
            <v>1-0576-弘振&gt;寄&gt;匯款</v>
          </cell>
          <cell r="AM2033" t="str">
            <v>1-0576</v>
          </cell>
        </row>
        <row r="2034">
          <cell r="AK2034" t="str">
            <v>8K-817</v>
          </cell>
          <cell r="AL2034" t="str">
            <v>1-0303-江正榮＞阿妙-永慶&gt;寄&gt;自結</v>
          </cell>
          <cell r="AM2034" t="str">
            <v>1-0303</v>
          </cell>
        </row>
        <row r="2035">
          <cell r="AK2035" t="str">
            <v>HN-976</v>
          </cell>
          <cell r="AL2035" t="str">
            <v>1-0399-銘旺&gt;寄&gt;附發票&gt;附回郵</v>
          </cell>
          <cell r="AM2035" t="str">
            <v>1-0399</v>
          </cell>
        </row>
        <row r="2036">
          <cell r="AK2036" t="str">
            <v>KEG-5153</v>
          </cell>
          <cell r="AL2036" t="str">
            <v>1-0625-(2/3)永矩(卡車)&gt;寄&gt;附發票&gt;附回郵</v>
          </cell>
          <cell r="AM2036" t="str">
            <v>1-0625</v>
          </cell>
        </row>
        <row r="2037">
          <cell r="AK2037" t="str">
            <v>AAG-561</v>
          </cell>
          <cell r="AL2037" t="str">
            <v>1-0019-福雄&gt;寄&gt;附發票&gt;附回郵</v>
          </cell>
          <cell r="AM2037" t="str">
            <v>1-0019</v>
          </cell>
        </row>
        <row r="2038">
          <cell r="AK2038" t="str">
            <v>271-8A</v>
          </cell>
          <cell r="AL2038" t="str">
            <v>1-0381-越穩(越大)輪胎&gt;寄&gt;匯款</v>
          </cell>
          <cell r="AM2038" t="str">
            <v>1-0381</v>
          </cell>
        </row>
        <row r="2039">
          <cell r="AK2039" t="str">
            <v>607板22</v>
          </cell>
          <cell r="AL2039" t="str">
            <v>1-0607-(2/2)瑋鎰&gt;寄&gt;附發票&gt;附回郵</v>
          </cell>
          <cell r="AM2039" t="str">
            <v>1-0607</v>
          </cell>
        </row>
        <row r="2040">
          <cell r="AK2040" t="str">
            <v>226-R9</v>
          </cell>
          <cell r="AL2040" t="str">
            <v>1-0109-東禾修理廠&gt;寄&gt;附發票&gt;附回郵</v>
          </cell>
          <cell r="AM2040" t="str">
            <v>1-0109</v>
          </cell>
        </row>
        <row r="2041">
          <cell r="AK2041" t="str">
            <v>KLD-3508</v>
          </cell>
          <cell r="AL2041" t="str">
            <v>1-0162-鎰利&gt;鎰金&gt;鎰加&gt;寄&gt;附發票&gt;2個月匯款</v>
          </cell>
          <cell r="AM2041" t="str">
            <v>1-0162</v>
          </cell>
        </row>
        <row r="2042">
          <cell r="AK2042" t="str">
            <v>0320-TX</v>
          </cell>
          <cell r="AL2042" t="str">
            <v>1-0019-福雄&gt;寄&gt;附發票&gt;附回郵</v>
          </cell>
          <cell r="AM2042" t="str">
            <v>1-0019</v>
          </cell>
        </row>
        <row r="2043">
          <cell r="AK2043" t="str">
            <v>6078-TW</v>
          </cell>
          <cell r="AL2043" t="str">
            <v>1-0459-弘勝達&gt;寄&gt;附發票&gt;附回郵</v>
          </cell>
          <cell r="AM2043" t="str">
            <v>1-0459</v>
          </cell>
        </row>
        <row r="2044">
          <cell r="AK2044" t="str">
            <v>350-HP</v>
          </cell>
          <cell r="AL2044" t="str">
            <v>1-0548-題陞&gt;寄&gt;附發票&gt;附回郵</v>
          </cell>
          <cell r="AM2044" t="str">
            <v>1-0548</v>
          </cell>
        </row>
        <row r="2045">
          <cell r="AK2045" t="str">
            <v>板子17</v>
          </cell>
          <cell r="AL2045" t="str">
            <v>1-0162-鎰利&gt;鎰金&gt;鎰加&gt;寄&gt;附發票&gt;2個月匯款</v>
          </cell>
          <cell r="AM2045" t="str">
            <v>1-0162</v>
          </cell>
        </row>
        <row r="2046">
          <cell r="AK2046" t="str">
            <v>RV-287</v>
          </cell>
          <cell r="AL2046" t="str">
            <v>1-0696-永鉅汽車&gt;寄&gt;附發票&gt;附回郵</v>
          </cell>
          <cell r="AM2046" t="str">
            <v>1-0696</v>
          </cell>
        </row>
        <row r="2047">
          <cell r="AK2047" t="str">
            <v>557-BT</v>
          </cell>
          <cell r="AL2047" t="str">
            <v>1-0415-聯有.統一東京&gt;寄&gt;附發票&gt;附回郵</v>
          </cell>
          <cell r="AM2047" t="str">
            <v>1-0415</v>
          </cell>
        </row>
        <row r="2048">
          <cell r="AK2048" t="str">
            <v>KAE-871</v>
          </cell>
          <cell r="AL2048" t="str">
            <v>1-0122-嘉偉&gt;元美&gt;寄&gt;附發票&gt;附回郵</v>
          </cell>
          <cell r="AM2048" t="str">
            <v>1-0122</v>
          </cell>
        </row>
        <row r="2049">
          <cell r="AK2049" t="str">
            <v>1387-QZ</v>
          </cell>
          <cell r="AL2049" t="str">
            <v>1-0610-恆陽&gt;聯鋮&gt;寄&gt;附發票&gt;附回郵</v>
          </cell>
          <cell r="AM2049" t="str">
            <v>1-0610</v>
          </cell>
        </row>
        <row r="2050">
          <cell r="AK2050" t="str">
            <v>7986-NA</v>
          </cell>
          <cell r="AL2050" t="str">
            <v>1-0060-源鴻&gt;寄&gt;親收</v>
          </cell>
          <cell r="AM2050" t="str">
            <v>1-0060</v>
          </cell>
        </row>
        <row r="2051">
          <cell r="AK2051" t="str">
            <v>KAA-0561</v>
          </cell>
          <cell r="AL2051" t="str">
            <v>1-0635-台中永德福SCANIA&gt;寄＞附發票＞匯款</v>
          </cell>
          <cell r="AM2051" t="str">
            <v>1-0635</v>
          </cell>
        </row>
        <row r="2052">
          <cell r="AK2052" t="str">
            <v>KLA-3309</v>
          </cell>
          <cell r="AL2052" t="str">
            <v>1-0430-沅冠&gt;寄&gt;自結</v>
          </cell>
          <cell r="AM2052" t="str">
            <v>1-0430</v>
          </cell>
        </row>
        <row r="2053">
          <cell r="AK2053">
            <v>1709428</v>
          </cell>
          <cell r="AL2053" t="str">
            <v>1-0118-金昌&gt;寄&gt;附發票&gt;附回郵</v>
          </cell>
          <cell r="AM2053" t="str">
            <v>1-0118</v>
          </cell>
        </row>
        <row r="2054">
          <cell r="AK2054" t="str">
            <v>395-UR</v>
          </cell>
          <cell r="AL2054" t="str">
            <v>1-0642-峰奇&gt;寄&gt;附發票&gt;附回郵</v>
          </cell>
          <cell r="AM2054" t="str">
            <v>1-0642</v>
          </cell>
        </row>
        <row r="2055">
          <cell r="AK2055" t="str">
            <v>2Q-1673</v>
          </cell>
          <cell r="AL2055" t="str">
            <v>1-0060-源鴻&gt;寄&gt;親收</v>
          </cell>
          <cell r="AM2055" t="str">
            <v>1-0060</v>
          </cell>
        </row>
        <row r="2056">
          <cell r="AK2056" t="str">
            <v>2R-9983</v>
          </cell>
          <cell r="AL2056" t="str">
            <v>1-0060-源鴻&gt;寄&gt;親收</v>
          </cell>
          <cell r="AM2056" t="str">
            <v>1-0060</v>
          </cell>
        </row>
        <row r="2057">
          <cell r="AK2057" t="str">
            <v>板416</v>
          </cell>
          <cell r="AL2057" t="str">
            <v>1-0162-鎰利&gt;鎰金&gt;鎰加&gt;寄&gt;附發票&gt;2個月匯款</v>
          </cell>
          <cell r="AM2057" t="str">
            <v>1-0162</v>
          </cell>
        </row>
        <row r="2058">
          <cell r="AK2058" t="str">
            <v>板39</v>
          </cell>
          <cell r="AL2058" t="str">
            <v>1-0607-(2/2)瑋鎰&gt;寄&gt;附發票&gt;附回郵</v>
          </cell>
          <cell r="AM2058" t="str">
            <v>1-0607</v>
          </cell>
        </row>
        <row r="2059">
          <cell r="AK2059" t="str">
            <v>AUW-6929</v>
          </cell>
          <cell r="AL2059" t="str">
            <v>1-0632-長源新竹&gt;寄＞附發票＞三個月匯款</v>
          </cell>
          <cell r="AM2059" t="str">
            <v>1-0632</v>
          </cell>
        </row>
        <row r="2060">
          <cell r="AK2060" t="str">
            <v>APX-2532</v>
          </cell>
          <cell r="AL2060" t="str">
            <v>1-0505-吉和&gt;三義消防隊&gt;寄&gt;附發票&gt;匯款</v>
          </cell>
          <cell r="AM2060" t="str">
            <v>1-0505</v>
          </cell>
        </row>
        <row r="2061">
          <cell r="AK2061" t="str">
            <v>315-3B</v>
          </cell>
          <cell r="AL2061" t="str">
            <v>1-0608-聯倉&gt;寄&gt;附發票&gt;附回郵</v>
          </cell>
          <cell r="AM2061" t="str">
            <v>1-0608</v>
          </cell>
        </row>
        <row r="2062">
          <cell r="AK2062" t="str">
            <v>AAH-733</v>
          </cell>
          <cell r="AL2062" t="str">
            <v>1-0649-豐車.勞倫斯&gt;寄&gt;匯款</v>
          </cell>
          <cell r="AM2062" t="str">
            <v>1-0649</v>
          </cell>
        </row>
        <row r="2063">
          <cell r="AK2063" t="str">
            <v>AAJ-869</v>
          </cell>
          <cell r="AL2063" t="str">
            <v>1-0368-銀城&gt;寄&gt;附發票&gt;附回郵</v>
          </cell>
          <cell r="AM2063" t="str">
            <v>1-0368</v>
          </cell>
        </row>
        <row r="2064">
          <cell r="AK2064" t="str">
            <v>663-HK</v>
          </cell>
          <cell r="AL2064" t="str">
            <v>1-0652-章化輪胎&gt;寄&gt;附發票&gt;匯款</v>
          </cell>
          <cell r="AM2064" t="str">
            <v>1-0652</v>
          </cell>
        </row>
        <row r="2065">
          <cell r="AK2065" t="str">
            <v>849-ZC</v>
          </cell>
          <cell r="AL2065" t="str">
            <v>1-0354-志祥通運.普惠&gt;寄&gt;附發票&gt;附回郵</v>
          </cell>
          <cell r="AM2065" t="str">
            <v>1-0354</v>
          </cell>
        </row>
        <row r="2066">
          <cell r="AK2066" t="str">
            <v>AAH-302</v>
          </cell>
          <cell r="AL2066" t="str">
            <v>1-0662-得嘉鑫&gt;明鑫&gt;光明&gt;寄&gt;附回郵</v>
          </cell>
          <cell r="AM2066" t="str">
            <v>1-0662</v>
          </cell>
        </row>
        <row r="2067">
          <cell r="AK2067" t="str">
            <v>AMZ-3839</v>
          </cell>
          <cell r="AL2067" t="str">
            <v>1-0484-世鑫營造&gt;寄&gt;附發票&gt;2個月匯款</v>
          </cell>
          <cell r="AM2067" t="str">
            <v>1-0484</v>
          </cell>
        </row>
        <row r="2068">
          <cell r="AK2068" t="str">
            <v>ALN-0857</v>
          </cell>
          <cell r="AL2068" t="str">
            <v>1-0671-和鑫肉品&gt;電聯&gt;自結</v>
          </cell>
          <cell r="AM2068" t="str">
            <v>1-0671</v>
          </cell>
        </row>
        <row r="2069">
          <cell r="AK2069" t="str">
            <v>3027-ZH</v>
          </cell>
          <cell r="AL2069" t="str">
            <v>1-0060-源鴻&gt;寄&gt;親收</v>
          </cell>
          <cell r="AM2069" t="str">
            <v>1-0060</v>
          </cell>
        </row>
        <row r="2070">
          <cell r="AK2070" t="str">
            <v>KLA-9730</v>
          </cell>
          <cell r="AL2070" t="str">
            <v>1-0699-寶固&gt;寄&gt;附回郵</v>
          </cell>
          <cell r="AM2070" t="str">
            <v>1-0699</v>
          </cell>
        </row>
        <row r="2071">
          <cell r="AK2071" t="str">
            <v>566-S2</v>
          </cell>
          <cell r="AL2071" t="str">
            <v>1-0023-楊育茹&gt;拓隆&gt;廣丞&gt;寄&gt;附發票&gt;附回郵</v>
          </cell>
          <cell r="AM2071" t="str">
            <v>1-0023</v>
          </cell>
        </row>
        <row r="2072">
          <cell r="AK2072" t="str">
            <v>5679-V6</v>
          </cell>
          <cell r="AL2072" t="str">
            <v>1-0194-傅文芳&gt;大砲&gt;一路發拖吊&gt;電&gt;自結</v>
          </cell>
          <cell r="AM2072" t="str">
            <v>1-0194</v>
          </cell>
        </row>
        <row r="2073">
          <cell r="AK2073" t="str">
            <v>275-H8</v>
          </cell>
          <cell r="AL2073" t="str">
            <v>1-0705-(1/3)福瑞&gt;寄&gt;附發票&gt;附回郵</v>
          </cell>
          <cell r="AM2073" t="str">
            <v>1-0705</v>
          </cell>
        </row>
        <row r="2074">
          <cell r="AK2074" t="str">
            <v>ABG-8627</v>
          </cell>
          <cell r="AL2074" t="str">
            <v>1-0576-弘振&gt;寄&gt;匯款</v>
          </cell>
          <cell r="AM2074" t="str">
            <v>1-0576</v>
          </cell>
        </row>
        <row r="2075">
          <cell r="AK2075" t="str">
            <v>551-R9</v>
          </cell>
          <cell r="AL2075" t="str">
            <v>1-0589-汯宸&gt;寄&gt;附發票&gt;一個月匯款</v>
          </cell>
          <cell r="AM2075" t="str">
            <v>1-0589</v>
          </cell>
        </row>
        <row r="2076">
          <cell r="AK2076" t="str">
            <v>AHZ-3063</v>
          </cell>
          <cell r="AL2076" t="str">
            <v>1-0524-馬董&gt;親送收</v>
          </cell>
          <cell r="AM2076" t="str">
            <v>1-0524</v>
          </cell>
        </row>
        <row r="2077">
          <cell r="AK2077" t="str">
            <v>566-WW</v>
          </cell>
          <cell r="AL2077" t="str">
            <v>1-0370-驊泰&gt;寄&gt;附發票&gt;附回郵</v>
          </cell>
          <cell r="AM2077" t="str">
            <v>1-0370</v>
          </cell>
        </row>
        <row r="2078">
          <cell r="AK2078" t="str">
            <v>0056-TX</v>
          </cell>
          <cell r="AL2078" t="str">
            <v>1-0694-永發&gt;寄&gt;附發票&gt;附回郵</v>
          </cell>
          <cell r="AM2078" t="str">
            <v>1-0694</v>
          </cell>
        </row>
        <row r="2079">
          <cell r="AK2079" t="str">
            <v>RBL-5060</v>
          </cell>
          <cell r="AL2079" t="str">
            <v>1-0624-聖麒工程&gt;閎元&gt;永金&gt;寄&gt;附回郵&gt;現金價</v>
          </cell>
          <cell r="AM2079" t="str">
            <v>1-0624</v>
          </cell>
        </row>
        <row r="2080">
          <cell r="AK2080" t="str">
            <v>751-HY</v>
          </cell>
          <cell r="AL2080" t="str">
            <v>1-0117-貴盛&gt;寄&gt;附發票&gt;附回郵</v>
          </cell>
          <cell r="AM2080" t="str">
            <v>1-0117</v>
          </cell>
        </row>
        <row r="2081">
          <cell r="AK2081" t="str">
            <v>4318-KY</v>
          </cell>
          <cell r="AL2081" t="str">
            <v>1-0104-勁達汽車&gt;寄&gt;附回郵</v>
          </cell>
          <cell r="AM2081" t="str">
            <v>1-0104</v>
          </cell>
        </row>
        <row r="2082">
          <cell r="AK2082" t="str">
            <v>LAD-178</v>
          </cell>
          <cell r="AL2082" t="str">
            <v>1-0661-泰華通運&gt;寄&gt;附發票&gt;附回郵</v>
          </cell>
          <cell r="AM2082" t="str">
            <v>1-0661</v>
          </cell>
        </row>
        <row r="2083">
          <cell r="AK2083" t="str">
            <v>Q7-339</v>
          </cell>
          <cell r="AL2083" t="str">
            <v>1-0696-永鉅汽車&gt;寄&gt;附發票&gt;附回郵</v>
          </cell>
          <cell r="AM2083" t="str">
            <v>1-0696</v>
          </cell>
        </row>
        <row r="2084">
          <cell r="AK2084" t="str">
            <v>048-RW</v>
          </cell>
          <cell r="AL2084" t="str">
            <v>1-0728-中油探採&gt;寄&gt;待通知開發票&gt;一個月匯款&gt;(標案)</v>
          </cell>
          <cell r="AM2084" t="str">
            <v>1-0728</v>
          </cell>
        </row>
        <row r="2085">
          <cell r="AK2085" t="str">
            <v>BQ-709</v>
          </cell>
          <cell r="AL2085" t="str">
            <v>1-0696-永鉅汽車&gt;寄&gt;附發票&gt;附回郵</v>
          </cell>
          <cell r="AM2085" t="str">
            <v>1-0696</v>
          </cell>
        </row>
        <row r="2086">
          <cell r="AK2086" t="str">
            <v>KLA-3855</v>
          </cell>
          <cell r="AL2086" t="str">
            <v>1-0844-日中&gt;自結&gt;</v>
          </cell>
          <cell r="AM2086" t="str">
            <v>1-0844</v>
          </cell>
        </row>
        <row r="2087">
          <cell r="AK2087" t="str">
            <v>ASK-0630</v>
          </cell>
          <cell r="AL2087" t="str">
            <v>1-0103-何文光&gt;鴻富&gt;電&gt;匯款</v>
          </cell>
          <cell r="AM2087" t="str">
            <v>1-0103</v>
          </cell>
        </row>
        <row r="2088">
          <cell r="AK2088" t="str">
            <v>481-Y7</v>
          </cell>
          <cell r="AL2088" t="str">
            <v>1-0053-力璽&gt;寄&gt;匯款</v>
          </cell>
          <cell r="AM2088" t="str">
            <v>1-0053</v>
          </cell>
        </row>
        <row r="2089">
          <cell r="AK2089" t="str">
            <v>599-ZS</v>
          </cell>
          <cell r="AL2089" t="str">
            <v>1-0544-勇和興&gt;寄&gt;附回郵</v>
          </cell>
          <cell r="AM2089" t="str">
            <v>1-0544</v>
          </cell>
        </row>
        <row r="2090">
          <cell r="AK2090" t="str">
            <v>2019-S6</v>
          </cell>
          <cell r="AL2090" t="str">
            <v>1-0103-何文光&gt;鴻富&gt;電&gt;匯款</v>
          </cell>
          <cell r="AM2090" t="str">
            <v>1-0103</v>
          </cell>
        </row>
        <row r="2091">
          <cell r="AK2091" t="str">
            <v>3496-TV</v>
          </cell>
          <cell r="AL2091" t="str">
            <v>1-0109-東禾修理廠&gt;寄&gt;附發票&gt;附回郵</v>
          </cell>
          <cell r="AM2091" t="str">
            <v>1-0109</v>
          </cell>
        </row>
        <row r="2092">
          <cell r="AK2092" t="str">
            <v>APR-1086</v>
          </cell>
          <cell r="AL2092" t="str">
            <v>1-0320-陳俊華&gt;寄&gt;自結</v>
          </cell>
          <cell r="AM2092" t="str">
            <v>1-0320</v>
          </cell>
        </row>
        <row r="2093">
          <cell r="AK2093" t="str">
            <v>156-G6</v>
          </cell>
          <cell r="AL2093" t="str">
            <v>1-0334-廣寶&gt;環亞&gt;正大&gt;寄&gt;附回郵&gt;1個月後匯款</v>
          </cell>
          <cell r="AM2093" t="str">
            <v>1-0334</v>
          </cell>
        </row>
        <row r="2094">
          <cell r="AK2094" t="str">
            <v>KLA-9795</v>
          </cell>
          <cell r="AL2094" t="str">
            <v>1-0251-笙泰&gt;寄&gt;附回郵</v>
          </cell>
          <cell r="AM2094" t="str">
            <v>1-0251</v>
          </cell>
        </row>
        <row r="2095">
          <cell r="AK2095" t="str">
            <v>KNA-5516</v>
          </cell>
          <cell r="AL2095" t="str">
            <v>1-0398-天文.坤成&gt;寄&gt;附發票&gt;附回郵</v>
          </cell>
          <cell r="AM2095" t="str">
            <v>1-0398</v>
          </cell>
        </row>
        <row r="2096">
          <cell r="AK2096" t="str">
            <v>Q8-2279</v>
          </cell>
          <cell r="AL2096" t="str">
            <v>1-0104-勁達汽車&gt;寄&gt;附回郵</v>
          </cell>
          <cell r="AM2096" t="str">
            <v>1-0104</v>
          </cell>
        </row>
        <row r="2097">
          <cell r="AK2097" t="str">
            <v>332-W8</v>
          </cell>
          <cell r="AL2097" t="str">
            <v>1-0251-笙泰&gt;寄&gt;附回郵</v>
          </cell>
          <cell r="AM2097" t="str">
            <v>1-0251</v>
          </cell>
        </row>
        <row r="2098">
          <cell r="AK2098" t="str">
            <v>241-V6</v>
          </cell>
          <cell r="AL2098" t="str">
            <v>1-0164-元慶&gt;寄&gt;附發票&gt;附回郵</v>
          </cell>
          <cell r="AM2098" t="str">
            <v>1-0164</v>
          </cell>
        </row>
        <row r="2099">
          <cell r="AK2099" t="str">
            <v>650-Y7</v>
          </cell>
          <cell r="AL2099" t="str">
            <v>1-0694-永發&gt;寄&gt;附發票&gt;附回郵</v>
          </cell>
          <cell r="AM2099" t="str">
            <v>1-0694</v>
          </cell>
        </row>
        <row r="2100">
          <cell r="AK2100" t="str">
            <v>9157-W6</v>
          </cell>
          <cell r="AL2100" t="str">
            <v>1-0646-許丘銘&gt;電&gt;付現</v>
          </cell>
          <cell r="AM2100" t="str">
            <v>1-0646</v>
          </cell>
        </row>
        <row r="2101">
          <cell r="AK2101" t="str">
            <v>011-S2</v>
          </cell>
          <cell r="AL2101" t="str">
            <v>1-0701-串昌&gt;兑玖開發&gt;寄&gt;附發票&gt;附回郵</v>
          </cell>
          <cell r="AM2101" t="str">
            <v>1-0701</v>
          </cell>
        </row>
        <row r="2102">
          <cell r="AK2102" t="str">
            <v>012-S2</v>
          </cell>
          <cell r="AL2102" t="str">
            <v>1-0701-串昌&gt;兑玖開發&gt;寄&gt;附發票&gt;附回郵</v>
          </cell>
          <cell r="AM2102" t="str">
            <v>1-0701</v>
          </cell>
        </row>
        <row r="2103">
          <cell r="AK2103" t="str">
            <v>929-V6</v>
          </cell>
          <cell r="AL2103" t="str">
            <v>1-0635-台中永德福SCANIA&gt;寄＞附發票＞匯款</v>
          </cell>
          <cell r="AM2103" t="str">
            <v>1-0635</v>
          </cell>
        </row>
        <row r="2104">
          <cell r="AK2104" t="str">
            <v>RBL-5061</v>
          </cell>
          <cell r="AL2104" t="str">
            <v>1-0624-聖麒工程&gt;閎元&gt;永金&gt;寄&gt;附回郵&gt;現金價</v>
          </cell>
          <cell r="AM2104" t="str">
            <v>1-0624</v>
          </cell>
        </row>
        <row r="2105">
          <cell r="AK2105" t="str">
            <v>9875-PM</v>
          </cell>
          <cell r="AL2105" t="str">
            <v>1-0109-東禾修理廠&gt;寄&gt;附發票&gt;附回郵</v>
          </cell>
          <cell r="AM2105" t="str">
            <v>1-0109</v>
          </cell>
        </row>
        <row r="2106">
          <cell r="AK2106" t="str">
            <v>223-ZB</v>
          </cell>
          <cell r="AL2106" t="str">
            <v>1-0496-啟德&gt;寄&gt;附發票&gt;附回郵</v>
          </cell>
          <cell r="AM2106" t="str">
            <v>1-0496</v>
          </cell>
        </row>
        <row r="2107">
          <cell r="AK2107" t="str">
            <v>63-VA</v>
          </cell>
          <cell r="AL2107" t="str">
            <v>1-0496-啟德&gt;寄&gt;附發票&gt;附回郵</v>
          </cell>
          <cell r="AM2107" t="str">
            <v>1-0496</v>
          </cell>
        </row>
        <row r="2108">
          <cell r="AK2108" t="str">
            <v>AAJ-853</v>
          </cell>
          <cell r="AL2108" t="str">
            <v>1-0194-傅文芳&gt;大砲&gt;一路發拖吊&gt;電&gt;自結</v>
          </cell>
          <cell r="AM2108" t="str">
            <v>1-0194</v>
          </cell>
        </row>
        <row r="2109">
          <cell r="AK2109" t="str">
            <v>AJM-5008</v>
          </cell>
          <cell r="AL2109" t="str">
            <v>1-0465-原新金屬&gt;寄&gt;附發票&gt;附回郵</v>
          </cell>
          <cell r="AM2109" t="str">
            <v>1-0465</v>
          </cell>
        </row>
        <row r="2110">
          <cell r="AK2110" t="str">
            <v>303-HC</v>
          </cell>
          <cell r="AL2110" t="str">
            <v>1-0455-順偉輪胎&gt;寄&gt;附發票&gt;兩個月匯款</v>
          </cell>
          <cell r="AM2110" t="str">
            <v>1-0455</v>
          </cell>
        </row>
        <row r="2111">
          <cell r="AK2111" t="str">
            <v>ALA-8260</v>
          </cell>
          <cell r="AL2111" t="str">
            <v>1-0658-順同&gt;尚泰行.弘舜&gt;寄&gt;附發票&gt;附回郵</v>
          </cell>
          <cell r="AM2111" t="str">
            <v>1-0658</v>
          </cell>
        </row>
        <row r="2112">
          <cell r="AK2112" t="str">
            <v>2A-2887</v>
          </cell>
          <cell r="AL2112" t="str">
            <v>1-0103-何文光&gt;鴻富&gt;電&gt;匯款</v>
          </cell>
          <cell r="AM2112" t="str">
            <v>1-0103</v>
          </cell>
        </row>
        <row r="2113">
          <cell r="AK2113" t="str">
            <v>8573-N2</v>
          </cell>
          <cell r="AL2113" t="str">
            <v>1-0060-源鴻&gt;寄&gt;親收</v>
          </cell>
          <cell r="AM2113" t="str">
            <v>1-0060</v>
          </cell>
        </row>
        <row r="2114">
          <cell r="AK2114" t="str">
            <v>LAF-230</v>
          </cell>
          <cell r="AL2114" t="str">
            <v>1-0046-(1/4)鴻阜&gt;寄&gt;附發票&gt;附回郵</v>
          </cell>
          <cell r="AM2114" t="str">
            <v>1-0046</v>
          </cell>
        </row>
        <row r="2115">
          <cell r="AK2115" t="str">
            <v>891-W8</v>
          </cell>
          <cell r="AL2115" t="str">
            <v>1-0021-毅和&gt;寄&gt;附發票&gt;附回郵</v>
          </cell>
          <cell r="AM2115" t="str">
            <v>1-0021</v>
          </cell>
        </row>
        <row r="2116">
          <cell r="AK2116" t="str">
            <v>RBC-5857</v>
          </cell>
          <cell r="AL2116" t="str">
            <v>1-0610-恆陽&gt;聯鋮&gt;寄&gt;附發票&gt;附回郵</v>
          </cell>
          <cell r="AM2116" t="str">
            <v>1-0610</v>
          </cell>
        </row>
        <row r="2117">
          <cell r="AK2117" t="str">
            <v>6681-TX</v>
          </cell>
          <cell r="AL2117" t="str">
            <v>1-0060-源鴻&gt;寄&gt;親收</v>
          </cell>
          <cell r="AM2117" t="str">
            <v>1-0060</v>
          </cell>
        </row>
        <row r="2118">
          <cell r="AK2118" t="str">
            <v>BBT-1891</v>
          </cell>
          <cell r="AL2118" t="str">
            <v>1-0276-民景&gt;寄&gt;附發票&gt;附回郵</v>
          </cell>
          <cell r="AM2118" t="str">
            <v>1-0276</v>
          </cell>
        </row>
        <row r="2119">
          <cell r="AK2119" t="str">
            <v>LAD-181</v>
          </cell>
          <cell r="AL2119" t="str">
            <v>1-0661-泰華通運&gt;寄&gt;附發票&gt;附回郵</v>
          </cell>
          <cell r="AM2119" t="str">
            <v>1-0661</v>
          </cell>
        </row>
        <row r="2120">
          <cell r="AK2120" t="str">
            <v>AFP-8087</v>
          </cell>
          <cell r="AL2120" t="str">
            <v>1-0060-源鴻&gt;寄&gt;親收</v>
          </cell>
          <cell r="AM2120" t="str">
            <v>1-0060</v>
          </cell>
        </row>
        <row r="2121">
          <cell r="AK2121" t="str">
            <v>L7-10-1</v>
          </cell>
          <cell r="AL2121" t="str">
            <v>1-0162-鎰利&gt;鎰金&gt;鎰加&gt;寄&gt;附發票&gt;2個月匯款</v>
          </cell>
          <cell r="AM2121" t="str">
            <v>1-0162</v>
          </cell>
        </row>
        <row r="2122">
          <cell r="AK2122" t="str">
            <v>307-Y7</v>
          </cell>
          <cell r="AL2122" t="str">
            <v>1-0125-源順&gt;寄&gt;附發票&gt;附回郵</v>
          </cell>
          <cell r="AM2122" t="str">
            <v>1-0125</v>
          </cell>
        </row>
        <row r="2123">
          <cell r="AK2123" t="str">
            <v>KN-297</v>
          </cell>
          <cell r="AL2123" t="str">
            <v>1-0117-貴盛&gt;寄&gt;附發票&gt;附回郵</v>
          </cell>
          <cell r="AM2123" t="str">
            <v>1-0117</v>
          </cell>
        </row>
        <row r="2124">
          <cell r="AK2124" t="str">
            <v>189-HX</v>
          </cell>
          <cell r="AL2124" t="str">
            <v>1-0210-葉水發&gt;志松&gt;寄平信&gt;自結</v>
          </cell>
          <cell r="AM2124" t="str">
            <v>1-0210</v>
          </cell>
        </row>
        <row r="2125">
          <cell r="AK2125" t="str">
            <v>NF-033</v>
          </cell>
          <cell r="AL2125" t="str">
            <v>1-0303-江正榮＞阿妙-永慶&gt;寄&gt;自結</v>
          </cell>
          <cell r="AM2125" t="str">
            <v>1-0303</v>
          </cell>
        </row>
        <row r="2126">
          <cell r="AK2126" t="str">
            <v>568-Q8</v>
          </cell>
          <cell r="AL2126" t="str">
            <v>1-0334-廣寶&gt;環亞&gt;正大&gt;寄&gt;附回郵&gt;1個月後匯款</v>
          </cell>
          <cell r="AM2126" t="str">
            <v>1-0334</v>
          </cell>
        </row>
        <row r="2127">
          <cell r="AK2127" t="str">
            <v>KED-2991</v>
          </cell>
          <cell r="AL2127" t="str">
            <v>1-0521-竹南永德福SCANIA&gt;寄&gt;附發票&gt;2個月後匯款</v>
          </cell>
          <cell r="AM2127" t="str">
            <v>1-0521</v>
          </cell>
        </row>
        <row r="2128">
          <cell r="AK2128" t="str">
            <v>1672-S6</v>
          </cell>
          <cell r="AL2128" t="str">
            <v>1-0354-志祥通運.普惠&gt;寄&gt;附發票&gt;附回郵</v>
          </cell>
          <cell r="AM2128" t="str">
            <v>1-0354</v>
          </cell>
        </row>
        <row r="2129">
          <cell r="AK2129" t="str">
            <v>板163</v>
          </cell>
          <cell r="AL2129" t="str">
            <v>1-0686-日亨&gt;寄&gt;附回郵</v>
          </cell>
          <cell r="AM2129" t="str">
            <v>1-0686</v>
          </cell>
        </row>
        <row r="2130">
          <cell r="AK2130" t="str">
            <v>660大山貓</v>
          </cell>
          <cell r="AL2130" t="str">
            <v>1-0660-竹新.頂烽&gt;寄&gt;附發票&gt;匯款</v>
          </cell>
          <cell r="AM2130" t="str">
            <v>1-0660</v>
          </cell>
        </row>
        <row r="2131">
          <cell r="AK2131" t="str">
            <v>ALQ-2105</v>
          </cell>
          <cell r="AL2131" t="str">
            <v>1-0103-何文光&gt;鴻富&gt;電&gt;匯款</v>
          </cell>
          <cell r="AM2131" t="str">
            <v>1-0103</v>
          </cell>
        </row>
        <row r="2132">
          <cell r="AK2132" t="str">
            <v>APX-8653</v>
          </cell>
          <cell r="AL2132" t="str">
            <v>1-0150-老劉&gt;寄&gt;附發票&gt;自結</v>
          </cell>
          <cell r="AM2132" t="str">
            <v>1-0150</v>
          </cell>
        </row>
        <row r="2133">
          <cell r="AK2133" t="str">
            <v>4521-B8</v>
          </cell>
          <cell r="AL2133" t="str">
            <v>1-0531-鋒魁.笠格科技&gt;寄&gt;附發票&gt;匯款(兩個月10號匯)</v>
          </cell>
          <cell r="AM2133" t="str">
            <v>1-0531</v>
          </cell>
        </row>
        <row r="2134">
          <cell r="AK2134" t="str">
            <v>5283-F7</v>
          </cell>
          <cell r="AL2134" t="str">
            <v>1-0103-何文光&gt;鴻富&gt;電&gt;匯款</v>
          </cell>
          <cell r="AM2134" t="str">
            <v>1-0103</v>
          </cell>
        </row>
        <row r="2135">
          <cell r="AK2135" t="str">
            <v>KLA-3304</v>
          </cell>
          <cell r="AL2135" t="str">
            <v>1-0430-沅冠&gt;寄&gt;自結</v>
          </cell>
          <cell r="AM2135" t="str">
            <v>1-0430</v>
          </cell>
        </row>
        <row r="2136">
          <cell r="AK2136" t="str">
            <v>5608-N5</v>
          </cell>
          <cell r="AL2136" t="str">
            <v>1-0074-順安&gt;寄&gt;附發票&gt;附回郵</v>
          </cell>
          <cell r="AM2136" t="str">
            <v>1-0074</v>
          </cell>
        </row>
        <row r="2137">
          <cell r="AK2137" t="str">
            <v>009-Q8</v>
          </cell>
          <cell r="AL2137" t="str">
            <v>1-0658-順同&gt;尚泰行.弘舜&gt;寄&gt;附發票&gt;附回郵</v>
          </cell>
          <cell r="AM2137" t="str">
            <v>1-0658</v>
          </cell>
        </row>
        <row r="2138">
          <cell r="AK2138" t="str">
            <v>5183-T6</v>
          </cell>
          <cell r="AL2138" t="str">
            <v>1-0429-協成輪胎&gt;寄&gt;附發票&gt;附回郵</v>
          </cell>
          <cell r="AM2138" t="str">
            <v>1-0429</v>
          </cell>
        </row>
        <row r="2139">
          <cell r="AK2139" t="str">
            <v>586鏟車</v>
          </cell>
          <cell r="AL2139" t="str">
            <v>1-0586-宏明&gt;寄&gt;附發票&gt;附回郵</v>
          </cell>
          <cell r="AM2139" t="str">
            <v>1-0586</v>
          </cell>
        </row>
        <row r="2140">
          <cell r="AK2140" t="str">
            <v>板407</v>
          </cell>
          <cell r="AL2140" t="str">
            <v>1-0162-鎰利&gt;鎰金&gt;鎰加&gt;寄&gt;附發票&gt;2個月匯款</v>
          </cell>
          <cell r="AM2140" t="str">
            <v>1-0162</v>
          </cell>
        </row>
        <row r="2141">
          <cell r="AK2141" t="str">
            <v>858-W5</v>
          </cell>
          <cell r="AL2141" t="str">
            <v>1-0620-敏銓&gt;寄&gt;親收</v>
          </cell>
          <cell r="AM2141" t="str">
            <v>1-0620</v>
          </cell>
        </row>
        <row r="2142">
          <cell r="AK2142" t="str">
            <v>933-TY</v>
          </cell>
          <cell r="AL2142" t="str">
            <v>1-0011-海銓&gt;電&gt;親收&gt;帶客戶請款聯</v>
          </cell>
          <cell r="AM2142" t="str">
            <v>1-0011</v>
          </cell>
        </row>
        <row r="2143">
          <cell r="AK2143" t="str">
            <v>152-板01</v>
          </cell>
          <cell r="AL2143" t="str">
            <v>1-0152-藝豐&gt;寄&gt;附發票</v>
          </cell>
          <cell r="AM2143" t="str">
            <v>1-0152</v>
          </cell>
        </row>
        <row r="2144">
          <cell r="AK2144" t="str">
            <v>121-S2</v>
          </cell>
          <cell r="AL2144" t="str">
            <v>1-0484-世鑫營造&gt;寄&gt;附發票&gt;2個月匯款</v>
          </cell>
          <cell r="AM2144" t="str">
            <v>1-0484</v>
          </cell>
        </row>
        <row r="2145">
          <cell r="AK2145" t="str">
            <v>211-RV</v>
          </cell>
          <cell r="AL2145" t="str">
            <v>1-0058-鑫能&gt;寄&gt;匯款</v>
          </cell>
          <cell r="AM2145" t="str">
            <v>1-0058</v>
          </cell>
        </row>
        <row r="2146">
          <cell r="AK2146" t="str">
            <v>7U-3119</v>
          </cell>
          <cell r="AL2146" t="str">
            <v>1-0060-源鴻&gt;寄&gt;親收</v>
          </cell>
          <cell r="AM2146" t="str">
            <v>1-0060</v>
          </cell>
        </row>
        <row r="2147">
          <cell r="AK2147" t="str">
            <v>921-V6</v>
          </cell>
          <cell r="AL2147" t="str">
            <v>1-0118-金昌&gt;寄&gt;附發票&gt;附回郵</v>
          </cell>
          <cell r="AM2147" t="str">
            <v>1-0118</v>
          </cell>
        </row>
        <row r="2148">
          <cell r="AK2148" t="str">
            <v>241-W6</v>
          </cell>
          <cell r="AL2148" t="str">
            <v>1-0164-元慶&gt;寄&gt;附發票&gt;附回郵</v>
          </cell>
          <cell r="AM2148" t="str">
            <v>1-0164</v>
          </cell>
        </row>
        <row r="2149">
          <cell r="AK2149" t="str">
            <v>ALQ-0692</v>
          </cell>
          <cell r="AL2149" t="str">
            <v>1-0553-旭峰&gt;寄&gt;附發票&gt;附回郵</v>
          </cell>
          <cell r="AM2149" t="str">
            <v>1-0553</v>
          </cell>
        </row>
        <row r="2150">
          <cell r="AK2150" t="str">
            <v>7496-M5</v>
          </cell>
          <cell r="AL2150" t="str">
            <v>1-0504-安泰起重&gt;寄&gt;附發票&gt;附回郵</v>
          </cell>
          <cell r="AM2150" t="str">
            <v>1-0504</v>
          </cell>
        </row>
        <row r="2151">
          <cell r="AK2151" t="str">
            <v>8800-U7</v>
          </cell>
          <cell r="AL2151" t="str">
            <v>1-0704-成權有限公司&gt;寄&gt;匯款</v>
          </cell>
          <cell r="AM2151" t="str">
            <v>1-0704</v>
          </cell>
        </row>
        <row r="2152">
          <cell r="AK2152" t="str">
            <v>0792-VJ</v>
          </cell>
          <cell r="AL2152" t="str">
            <v>1-0001-全佑</v>
          </cell>
          <cell r="AM2152" t="str">
            <v>1-0001</v>
          </cell>
        </row>
        <row r="2153">
          <cell r="AK2153" t="str">
            <v>APX-8628</v>
          </cell>
          <cell r="AL2153" t="str">
            <v>1-0429-協成輪胎&gt;寄&gt;附發票&gt;附回郵</v>
          </cell>
          <cell r="AM2153" t="str">
            <v>1-0429</v>
          </cell>
        </row>
        <row r="2154">
          <cell r="AK2154" t="str">
            <v>729-RW</v>
          </cell>
          <cell r="AL2154" t="str">
            <v>1-0159-吉星建材&gt;寄&gt;附發票&gt;匯款</v>
          </cell>
          <cell r="AM2154" t="str">
            <v>1-0159</v>
          </cell>
        </row>
        <row r="2155">
          <cell r="AK2155" t="str">
            <v>HAA-3751</v>
          </cell>
          <cell r="AL2155" t="str">
            <v>1-0652-章化輪胎&gt;寄&gt;附發票&gt;匯款</v>
          </cell>
          <cell r="AM2155" t="str">
            <v>1-0652</v>
          </cell>
        </row>
        <row r="2156">
          <cell r="AK2156" t="str">
            <v>9F-752</v>
          </cell>
          <cell r="AL2156" t="str">
            <v>1-0696-永鉅汽車&gt;寄&gt;附發票&gt;附回郵</v>
          </cell>
          <cell r="AM2156" t="str">
            <v>1-0696</v>
          </cell>
        </row>
        <row r="2157">
          <cell r="AK2157" t="str">
            <v>336-RW</v>
          </cell>
          <cell r="AL2157" t="str">
            <v>1-0728-中油探採&gt;寄&gt;待通知開發票&gt;一個月匯款&gt;(標案)</v>
          </cell>
          <cell r="AM2157" t="str">
            <v>1-0728</v>
          </cell>
        </row>
        <row r="2158">
          <cell r="AK2158" t="str">
            <v>RB-570</v>
          </cell>
          <cell r="AL2158" t="str">
            <v>1-0019-福雄&gt;寄&gt;附發票&gt;附回郵</v>
          </cell>
          <cell r="AM2158" t="str">
            <v>1-0019</v>
          </cell>
        </row>
        <row r="2159">
          <cell r="AK2159" t="str">
            <v>RV-076</v>
          </cell>
          <cell r="AL2159" t="str">
            <v>1-0605-大信玻璃&gt;寄&gt;附回郵</v>
          </cell>
          <cell r="AM2159" t="str">
            <v>1-0605</v>
          </cell>
        </row>
        <row r="2160">
          <cell r="AK2160" t="str">
            <v>395-M5</v>
          </cell>
          <cell r="AL2160" t="str">
            <v>1-0674-翔威.翔鑫&gt;付現&gt;不能簽帳</v>
          </cell>
          <cell r="AM2160" t="str">
            <v>1-0674</v>
          </cell>
        </row>
        <row r="2161">
          <cell r="AK2161" t="str">
            <v>615-RB</v>
          </cell>
          <cell r="AL2161" t="str">
            <v>1-0125-源順&gt;寄&gt;附發票&gt;附回郵</v>
          </cell>
          <cell r="AM2161" t="str">
            <v>1-0125</v>
          </cell>
        </row>
        <row r="2162">
          <cell r="AK2162" t="str">
            <v>6019-RZ</v>
          </cell>
          <cell r="AL2162" t="str">
            <v>1-0001-全佑</v>
          </cell>
          <cell r="AM2162" t="str">
            <v>1-0001</v>
          </cell>
        </row>
        <row r="2163">
          <cell r="AK2163" t="str">
            <v>426-Y7</v>
          </cell>
          <cell r="AL2163" t="str">
            <v>1-0031-上和&gt;寄&gt;附發票&gt;附回郵</v>
          </cell>
          <cell r="AM2163" t="str">
            <v>1-0031</v>
          </cell>
        </row>
        <row r="2164">
          <cell r="AK2164" t="str">
            <v>RAW-2635</v>
          </cell>
          <cell r="AL2164" t="str">
            <v>1-0415-聯有.統一東京&gt;寄&gt;附發票&gt;附回郵</v>
          </cell>
          <cell r="AM2164" t="str">
            <v>1-0415</v>
          </cell>
        </row>
        <row r="2165">
          <cell r="AK2165" t="str">
            <v>板07-ZW</v>
          </cell>
          <cell r="AL2165" t="str">
            <v>1-0589-汯宸&gt;寄&gt;附發票&gt;一個月匯款</v>
          </cell>
          <cell r="AM2165" t="str">
            <v>1-0589</v>
          </cell>
        </row>
        <row r="2166">
          <cell r="AK2166" t="str">
            <v>ALQ-1587</v>
          </cell>
          <cell r="AL2166" t="str">
            <v>1-0703-洪晟金屬&gt;寄&gt;附發票&gt;附回郵</v>
          </cell>
          <cell r="AM2166" t="str">
            <v>1-0703</v>
          </cell>
        </row>
        <row r="2167">
          <cell r="AK2167" t="str">
            <v>板13</v>
          </cell>
          <cell r="AL2167" t="str">
            <v>1-0607-(2/2)瑋鎰&gt;寄&gt;附發票&gt;附回郵</v>
          </cell>
          <cell r="AM2167" t="str">
            <v>1-0607</v>
          </cell>
        </row>
        <row r="2168">
          <cell r="AK2168" t="str">
            <v>41-JT</v>
          </cell>
          <cell r="AL2168" t="str">
            <v>1-0162-鎰利&gt;鎰金&gt;鎰加&gt;寄&gt;附發票&gt;2個月匯款</v>
          </cell>
          <cell r="AM2168" t="str">
            <v>1-0162</v>
          </cell>
        </row>
        <row r="2169">
          <cell r="AK2169" t="str">
            <v>607板20</v>
          </cell>
          <cell r="AL2169" t="str">
            <v>1-0607-(2/2)瑋鎰&gt;寄&gt;附發票&gt;附回郵</v>
          </cell>
          <cell r="AM2169" t="str">
            <v>1-0607</v>
          </cell>
        </row>
        <row r="2170">
          <cell r="AK2170" t="str">
            <v>SR-80</v>
          </cell>
          <cell r="AL2170" t="str">
            <v>1-0725-葉志生&gt;一天&gt;寄&gt;附發票&gt;匯款</v>
          </cell>
          <cell r="AM2170" t="str">
            <v>1-0725</v>
          </cell>
        </row>
        <row r="2171">
          <cell r="AK2171" t="str">
            <v>008-VB</v>
          </cell>
          <cell r="AL2171" t="str">
            <v>1-0703-洪晟金屬&gt;寄&gt;附發票&gt;附回郵</v>
          </cell>
          <cell r="AM2171" t="str">
            <v>1-0703</v>
          </cell>
        </row>
        <row r="2172">
          <cell r="AK2172" t="str">
            <v>WF-033</v>
          </cell>
          <cell r="AL2172" t="str">
            <v>1-0303-江正榮＞阿妙-永慶&gt;寄&gt;自結</v>
          </cell>
          <cell r="AM2172" t="str">
            <v>1-0303</v>
          </cell>
        </row>
        <row r="2173">
          <cell r="AK2173" t="str">
            <v>L7-06-2</v>
          </cell>
          <cell r="AL2173" t="str">
            <v>1-0162-鎰利&gt;鎰金&gt;鎰加&gt;寄&gt;附發票&gt;2個月匯款</v>
          </cell>
          <cell r="AM2173" t="str">
            <v>1-0162</v>
          </cell>
        </row>
        <row r="2174">
          <cell r="AK2174" t="str">
            <v>板L12-0.6-2</v>
          </cell>
          <cell r="AL2174" t="str">
            <v>1-0162-鎰利&gt;鎰金&gt;鎰加&gt;寄&gt;附發票&gt;2個月匯款</v>
          </cell>
          <cell r="AM2174" t="str">
            <v>1-0162</v>
          </cell>
        </row>
        <row r="2175">
          <cell r="AK2175" t="str">
            <v>板419</v>
          </cell>
          <cell r="AL2175" t="str">
            <v>1-0162-鎰利&gt;鎰金&gt;鎰加&gt;寄&gt;附發票&gt;2個月匯款</v>
          </cell>
          <cell r="AM2175" t="str">
            <v>1-0162</v>
          </cell>
        </row>
        <row r="2176">
          <cell r="AK2176" t="str">
            <v>板17</v>
          </cell>
          <cell r="AL2176" t="str">
            <v>1-0162-鎰利&gt;鎰金&gt;鎰加&gt;寄&gt;附發票&gt;2個月匯款</v>
          </cell>
          <cell r="AM2176" t="str">
            <v>1-0162</v>
          </cell>
        </row>
        <row r="2177">
          <cell r="AK2177" t="str">
            <v>211堆高機</v>
          </cell>
          <cell r="AL2177" t="str">
            <v>1-0211-嘉勤紙業&gt;寄&gt;附發票&gt;附回郵</v>
          </cell>
          <cell r="AM2177" t="str">
            <v>1-0211</v>
          </cell>
        </row>
        <row r="2178">
          <cell r="AK2178" t="str">
            <v>689-Y7</v>
          </cell>
          <cell r="AL2178" t="str">
            <v>1-0001-全佑</v>
          </cell>
          <cell r="AM2178" t="str">
            <v>1-0001</v>
          </cell>
        </row>
        <row r="2179">
          <cell r="AK2179" t="str">
            <v>小山貓17.5-20</v>
          </cell>
          <cell r="AL2179" t="str">
            <v>1-0021-毅和&gt;寄&gt;附發票&gt;附回郵</v>
          </cell>
          <cell r="AM2179" t="str">
            <v>1-0021</v>
          </cell>
        </row>
        <row r="2180">
          <cell r="AK2180" t="str">
            <v>QO-618</v>
          </cell>
          <cell r="AL2180" t="str">
            <v>1-0728-中油探採&gt;寄&gt;待通知開發票&gt;一個月匯款&gt;(標案)</v>
          </cell>
          <cell r="AM2180" t="str">
            <v>1-0728</v>
          </cell>
        </row>
        <row r="2181">
          <cell r="AK2181" t="str">
            <v>728-推高機</v>
          </cell>
          <cell r="AL2181" t="str">
            <v>1-0728-中油探採&gt;寄&gt;待通知開發票&gt;一個月匯款&gt;(標案)</v>
          </cell>
          <cell r="AM2181" t="str">
            <v>1-0728</v>
          </cell>
        </row>
        <row r="2182">
          <cell r="AK2182" t="str">
            <v>620-GC</v>
          </cell>
          <cell r="AL2182" t="str">
            <v>1-0445-呂清河&gt;寄平信＞自結</v>
          </cell>
          <cell r="AM2182" t="str">
            <v>1-0445</v>
          </cell>
        </row>
        <row r="2183">
          <cell r="AK2183" t="str">
            <v>KEA-9253</v>
          </cell>
          <cell r="AL2183" t="str">
            <v>1-0725-葉志生&gt;一天&gt;寄&gt;附發票&gt;匯款</v>
          </cell>
          <cell r="AM2183" t="str">
            <v>1-0725</v>
          </cell>
        </row>
        <row r="2184">
          <cell r="AK2184" t="str">
            <v>L5-04-01</v>
          </cell>
          <cell r="AL2184" t="str">
            <v>1-0162-鎰利&gt;鎰金&gt;鎰加&gt;寄&gt;附發票&gt;2個月匯款</v>
          </cell>
          <cell r="AM2184" t="str">
            <v>1-0162</v>
          </cell>
        </row>
        <row r="2185">
          <cell r="AK2185" t="str">
            <v>217-W9</v>
          </cell>
          <cell r="AL2185" t="str">
            <v>1-0334-廣寶&gt;環亞&gt;正大&gt;寄&gt;附回郵&gt;1個月後匯款</v>
          </cell>
          <cell r="AM2185" t="str">
            <v>1-0334</v>
          </cell>
        </row>
        <row r="2186">
          <cell r="AK2186" t="str">
            <v>9558-KLA</v>
          </cell>
          <cell r="AL2186" t="str">
            <v>1-0162-鎰利&gt;鎰金&gt;鎰加&gt;寄&gt;附發票&gt;2個月匯款</v>
          </cell>
          <cell r="AM2186" t="str">
            <v>1-0162</v>
          </cell>
        </row>
        <row r="2187">
          <cell r="AK2187" t="str">
            <v>605-TZ</v>
          </cell>
          <cell r="AL2187" t="str">
            <v>1-0694-永發&gt;寄&gt;附發票&gt;附回郵</v>
          </cell>
          <cell r="AM2187" t="str">
            <v>1-0694</v>
          </cell>
        </row>
        <row r="2188">
          <cell r="AK2188" t="str">
            <v>KLD-3501</v>
          </cell>
          <cell r="AL2188" t="str">
            <v>1-0673-徐育生&gt;寄&gt;自結</v>
          </cell>
          <cell r="AM2188" t="str">
            <v>1-0673</v>
          </cell>
        </row>
        <row r="2189">
          <cell r="AK2189" t="str">
            <v>KEA-9063</v>
          </cell>
          <cell r="AL2189" t="str">
            <v>1-0023-楊育茹&gt;拓隆&gt;廣丞&gt;寄&gt;附發票&gt;附回郵</v>
          </cell>
          <cell r="AM2189" t="str">
            <v>1-0023</v>
          </cell>
        </row>
        <row r="2190">
          <cell r="AK2190" t="str">
            <v>181-HG</v>
          </cell>
          <cell r="AL2190" t="str">
            <v>1-0109-東禾修理廠&gt;寄&gt;附發票&gt;附回郵</v>
          </cell>
          <cell r="AM2190" t="str">
            <v>1-0109</v>
          </cell>
        </row>
        <row r="2191">
          <cell r="AK2191" t="str">
            <v>AJM-9023</v>
          </cell>
          <cell r="AL2191" t="str">
            <v>1-0060-源鴻&gt;寄&gt;親收</v>
          </cell>
          <cell r="AM2191" t="str">
            <v>1-0060</v>
          </cell>
        </row>
        <row r="2192">
          <cell r="AK2192" t="str">
            <v>930-TY</v>
          </cell>
          <cell r="AL2192" t="str">
            <v>1-0694-永發&gt;寄&gt;附發票&gt;附回郵</v>
          </cell>
          <cell r="AM2192" t="str">
            <v>1-0694</v>
          </cell>
        </row>
        <row r="2193">
          <cell r="AK2193" t="str">
            <v>AJM-0068</v>
          </cell>
          <cell r="AL2193" t="str">
            <v>1-0399-銘旺&gt;寄&gt;附發票&gt;附回郵</v>
          </cell>
          <cell r="AM2193" t="str">
            <v>1-0399</v>
          </cell>
        </row>
        <row r="2194">
          <cell r="AK2194" t="str">
            <v>WK-199</v>
          </cell>
          <cell r="AL2194" t="str">
            <v>1-0729-中油探採&gt;開估價單&gt;自來結帳開發票&gt;匯款</v>
          </cell>
          <cell r="AM2194" t="str">
            <v>1-0729</v>
          </cell>
        </row>
        <row r="2195">
          <cell r="AK2195" t="str">
            <v>APF-5838</v>
          </cell>
          <cell r="AL2195" t="str">
            <v>1-0546-慈揚&gt;賴進烈&gt;寄&gt;1個月15號匯款</v>
          </cell>
          <cell r="AM2195" t="str">
            <v>1-0546</v>
          </cell>
        </row>
        <row r="2196">
          <cell r="AK2196" t="str">
            <v>RAA-2125</v>
          </cell>
          <cell r="AL2196" t="str">
            <v>1-0415-聯有.統一東京&gt;寄&gt;附發票&gt;附回郵</v>
          </cell>
          <cell r="AM2196" t="str">
            <v>1-0415</v>
          </cell>
        </row>
        <row r="2197">
          <cell r="AK2197" t="str">
            <v>LAG-858</v>
          </cell>
          <cell r="AL2197" t="str">
            <v>1-0761-山城米&gt;王致理&gt;寄&gt;附發票&gt;匯款&gt;義合</v>
          </cell>
          <cell r="AM2197" t="str">
            <v>1-0761</v>
          </cell>
        </row>
        <row r="2198">
          <cell r="AK2198" t="str">
            <v>9931-YU</v>
          </cell>
          <cell r="AL2198" t="str">
            <v>1-0589-汯宸&gt;寄&gt;附發票&gt;一個月匯款</v>
          </cell>
          <cell r="AM2198" t="str">
            <v>1-0589</v>
          </cell>
        </row>
        <row r="2199">
          <cell r="AK2199" t="str">
            <v>板17-YR</v>
          </cell>
          <cell r="AL2199" t="str">
            <v>1-0504-安泰起重&gt;寄&gt;附發票&gt;附回郵</v>
          </cell>
          <cell r="AM2199" t="str">
            <v>1-0504</v>
          </cell>
        </row>
        <row r="2200">
          <cell r="AK2200" t="str">
            <v>板80-KW</v>
          </cell>
          <cell r="AL2200" t="str">
            <v>1-0504-安泰起重&gt;寄&gt;附發票&gt;附回郵</v>
          </cell>
          <cell r="AM2200" t="str">
            <v>1-0504</v>
          </cell>
        </row>
        <row r="2201">
          <cell r="AK2201" t="str">
            <v>板29-M8</v>
          </cell>
          <cell r="AL2201" t="str">
            <v>1-0607-(2/2)瑋鎰&gt;寄&gt;附發票&gt;附回郵</v>
          </cell>
          <cell r="AM2201" t="str">
            <v>1-0607</v>
          </cell>
        </row>
        <row r="2202">
          <cell r="AK2202" t="str">
            <v>L12-09-7</v>
          </cell>
          <cell r="AL2202" t="str">
            <v>1-0162-鎰利&gt;鎰金&gt;鎰加&gt;寄&gt;附發票&gt;2個月匯款</v>
          </cell>
          <cell r="AM2202" t="str">
            <v>1-0162</v>
          </cell>
        </row>
        <row r="2203">
          <cell r="AK2203" t="str">
            <v>KLB-1825</v>
          </cell>
          <cell r="AL2203" t="str">
            <v>1-0727-鐘有鈿 &gt;連升&gt;正峰&gt;嘉順&gt;寄&gt;附回郵</v>
          </cell>
          <cell r="AM2203" t="str">
            <v>1-0727</v>
          </cell>
        </row>
        <row r="2204">
          <cell r="AK2204" t="str">
            <v>KLC-3062</v>
          </cell>
          <cell r="AL2204" t="str">
            <v>1-0043-(2/2)和泰&gt;寄&gt;附發票&gt;附回郵</v>
          </cell>
          <cell r="AM2204" t="str">
            <v>1-0043</v>
          </cell>
        </row>
        <row r="2205">
          <cell r="AK2205" t="str">
            <v>5056-T6</v>
          </cell>
          <cell r="AL2205" t="str">
            <v>1-0484-世鑫營造&gt;寄&gt;附發票&gt;2個月匯款</v>
          </cell>
          <cell r="AM2205" t="str">
            <v>1-0484</v>
          </cell>
        </row>
        <row r="2206">
          <cell r="AK2206" t="str">
            <v>660推土機</v>
          </cell>
          <cell r="AL2206" t="str">
            <v>1-0660-竹新.頂烽&gt;寄&gt;附發票&gt;匯款</v>
          </cell>
          <cell r="AM2206" t="str">
            <v>1-0660</v>
          </cell>
        </row>
        <row r="2207">
          <cell r="AK2207" t="str">
            <v>AAJ-909</v>
          </cell>
          <cell r="AL2207" t="str">
            <v>1-0728-中油探採&gt;寄&gt;待通知開發票&gt;一個月匯款&gt;(標案)</v>
          </cell>
          <cell r="AM2207" t="str">
            <v>1-0728</v>
          </cell>
        </row>
        <row r="2208">
          <cell r="AK2208" t="str">
            <v>286-GS</v>
          </cell>
          <cell r="AL2208" t="str">
            <v>1-0725-葉志生&gt;一天&gt;寄&gt;附發票&gt;匯款</v>
          </cell>
          <cell r="AM2208" t="str">
            <v>1-0725</v>
          </cell>
        </row>
        <row r="2209">
          <cell r="AK2209" t="str">
            <v>RBS-5836</v>
          </cell>
          <cell r="AL2209" t="str">
            <v>1-0080-百巢&gt;寄&gt;附發票&gt;附回郵</v>
          </cell>
          <cell r="AM2209" t="str">
            <v>1-0080</v>
          </cell>
        </row>
        <row r="2210">
          <cell r="AK2210" t="str">
            <v>1276-N3</v>
          </cell>
          <cell r="AL2210" t="str">
            <v>1-0576-弘振&gt;寄&gt;匯款</v>
          </cell>
          <cell r="AM2210" t="str">
            <v>1-0576</v>
          </cell>
        </row>
        <row r="2211">
          <cell r="AK2211" t="str">
            <v>VC-5460</v>
          </cell>
          <cell r="AL2211" t="str">
            <v>1-0060-源鴻&gt;寄&gt;親收</v>
          </cell>
          <cell r="AM2211" t="str">
            <v>1-0060</v>
          </cell>
        </row>
        <row r="2212">
          <cell r="AK2212" t="str">
            <v>125-M8</v>
          </cell>
          <cell r="AL2212" t="str">
            <v>1-0056-寬輾&gt;寄&gt;附回郵(1/3)</v>
          </cell>
          <cell r="AM2212" t="str">
            <v>1-0056</v>
          </cell>
        </row>
        <row r="2213">
          <cell r="AK2213" t="str">
            <v>6509-YS</v>
          </cell>
          <cell r="AL2213" t="str">
            <v>1-0581-弘喬&gt;寄&gt;附發票&gt;附回郵</v>
          </cell>
          <cell r="AM2213" t="str">
            <v>1-0581</v>
          </cell>
        </row>
        <row r="2214">
          <cell r="AK2214" t="str">
            <v>113-RW</v>
          </cell>
          <cell r="AL2214" t="str">
            <v>1-0728-中油探採&gt;寄&gt;待通知開發票&gt;一個月匯款&gt;(標案)</v>
          </cell>
          <cell r="AM2214" t="str">
            <v>1-0728</v>
          </cell>
        </row>
        <row r="2215">
          <cell r="AK2215" t="str">
            <v>2311-KW</v>
          </cell>
          <cell r="AL2215" t="str">
            <v>1-0060-源鴻&gt;寄&gt;親收</v>
          </cell>
          <cell r="AM2215" t="str">
            <v>1-0060</v>
          </cell>
        </row>
        <row r="2216">
          <cell r="AK2216" t="str">
            <v>0466-B6</v>
          </cell>
          <cell r="AL2216" t="str">
            <v>1-0060-源鴻&gt;寄&gt;親收</v>
          </cell>
          <cell r="AM2216" t="str">
            <v>1-0060</v>
          </cell>
        </row>
        <row r="2217">
          <cell r="AK2217" t="str">
            <v>391-X3</v>
          </cell>
          <cell r="AL2217" t="str">
            <v>1-0455-順偉輪胎&gt;寄&gt;附發票&gt;兩個月匯款</v>
          </cell>
          <cell r="AM2217" t="str">
            <v>1-0455</v>
          </cell>
        </row>
        <row r="2218">
          <cell r="AK2218" t="str">
            <v>6401-KY</v>
          </cell>
          <cell r="AL2218" t="str">
            <v>1-0694-永發&gt;寄&gt;附發票&gt;附回郵</v>
          </cell>
          <cell r="AM2218" t="str">
            <v>1-0694</v>
          </cell>
        </row>
        <row r="2219">
          <cell r="AK2219" t="str">
            <v>AAJ-675</v>
          </cell>
          <cell r="AL2219" t="str">
            <v>1-0368-銀城&gt;寄&gt;附發票&gt;附回郵</v>
          </cell>
          <cell r="AM2219" t="str">
            <v>1-0368</v>
          </cell>
        </row>
        <row r="2220">
          <cell r="AK2220" t="str">
            <v>1567-DJ</v>
          </cell>
          <cell r="AL2220" t="str">
            <v>1-0060-源鴻&gt;寄&gt;親收</v>
          </cell>
          <cell r="AM2220" t="str">
            <v>1-0060</v>
          </cell>
        </row>
        <row r="2221">
          <cell r="AK2221" t="str">
            <v>ARP-0108</v>
          </cell>
          <cell r="AL2221" t="str">
            <v>1-0646-許丘銘&gt;電&gt;付現</v>
          </cell>
          <cell r="AM2221" t="str">
            <v>1-0646</v>
          </cell>
        </row>
        <row r="2222">
          <cell r="AK2222" t="str">
            <v>6003-GT</v>
          </cell>
          <cell r="AL2222" t="str">
            <v>1-0504-安泰起重&gt;寄&gt;附發票&gt;附回郵</v>
          </cell>
          <cell r="AM2222" t="str">
            <v>1-0504</v>
          </cell>
        </row>
        <row r="2223">
          <cell r="AK2223" t="str">
            <v>NE-033</v>
          </cell>
          <cell r="AL2223" t="str">
            <v>1-0303-江正榮＞阿妙-永慶&gt;寄&gt;自結</v>
          </cell>
          <cell r="AM2223" t="str">
            <v>1-0303</v>
          </cell>
        </row>
        <row r="2224">
          <cell r="AK2224" t="str">
            <v>585-X5</v>
          </cell>
          <cell r="AL2224" t="str">
            <v>1-0707-(3/3)福麗&gt;寄&gt;附發票&gt;附回郵</v>
          </cell>
          <cell r="AM2224" t="str">
            <v>1-0707</v>
          </cell>
        </row>
        <row r="2225">
          <cell r="AK2225" t="str">
            <v>5352-QU</v>
          </cell>
          <cell r="AL2225" t="str">
            <v>1-0103-何文光&gt;鴻富&gt;電&gt;匯款</v>
          </cell>
          <cell r="AM2225" t="str">
            <v>1-0103</v>
          </cell>
        </row>
        <row r="2226">
          <cell r="AK2226" t="str">
            <v>690-X5</v>
          </cell>
          <cell r="AL2226" t="str">
            <v>1-0706-(2/3)福民&gt;寄&gt;附發票&gt;附回郵</v>
          </cell>
          <cell r="AM2226" t="str">
            <v>1-0706</v>
          </cell>
        </row>
        <row r="2227">
          <cell r="AK2227" t="str">
            <v>161-Y7</v>
          </cell>
          <cell r="AL2227" t="str">
            <v>1-0708-久久環保&gt;寄&gt;附回郵&gt;附發票</v>
          </cell>
          <cell r="AM2227" t="str">
            <v>1-0708</v>
          </cell>
        </row>
        <row r="2228">
          <cell r="AK2228" t="str">
            <v>AFP-8260</v>
          </cell>
          <cell r="AL2228" t="str">
            <v>1-0509-陳龍泉&gt;苗豐交通&gt;寄&gt;電聯</v>
          </cell>
          <cell r="AM2228" t="str">
            <v>1-0509</v>
          </cell>
        </row>
        <row r="2229">
          <cell r="AK2229" t="str">
            <v>1528-HT</v>
          </cell>
          <cell r="AL2229" t="str">
            <v>1-0019-福雄&gt;寄&gt;附發票&gt;附回郵</v>
          </cell>
          <cell r="AM2229" t="str">
            <v>1-0019</v>
          </cell>
        </row>
        <row r="2230">
          <cell r="AK2230" t="str">
            <v>6F-07</v>
          </cell>
          <cell r="AL2230" t="str">
            <v>1-0728-中油探採&gt;寄&gt;待通知開發票&gt;一個月匯款&gt;(標案)</v>
          </cell>
          <cell r="AM2230" t="str">
            <v>1-0728</v>
          </cell>
        </row>
        <row r="2231">
          <cell r="AK2231" t="str">
            <v>83-PX</v>
          </cell>
          <cell r="AL2231" t="str">
            <v>1-0540-聯興&gt;葉秀禮&gt;寄平信&gt;自結</v>
          </cell>
          <cell r="AM2231" t="str">
            <v>1-0540</v>
          </cell>
        </row>
        <row r="2232">
          <cell r="AK2232" t="str">
            <v>LI-Z8</v>
          </cell>
          <cell r="AL2232" t="str">
            <v>1-0540-聯興&gt;葉秀禮&gt;寄平信&gt;自結</v>
          </cell>
          <cell r="AM2232" t="str">
            <v>1-0540</v>
          </cell>
        </row>
        <row r="2233">
          <cell r="AK2233" t="str">
            <v>192-HY</v>
          </cell>
          <cell r="AL2233" t="str">
            <v>1-0640-(1/2)紀志易.公司帳&gt;寄&gt;自結</v>
          </cell>
          <cell r="AM2233" t="str">
            <v>1-0640</v>
          </cell>
        </row>
        <row r="2234">
          <cell r="AK2234" t="str">
            <v>A90-W9</v>
          </cell>
          <cell r="AL2234" t="str">
            <v>1-0309-龍聖&gt;嘉盛&gt;寄&gt;自結</v>
          </cell>
          <cell r="AM2234" t="str">
            <v>1-0309</v>
          </cell>
        </row>
        <row r="2235">
          <cell r="AK2235" t="str">
            <v>AMZ-0666</v>
          </cell>
          <cell r="AL2235" t="str">
            <v>1-0399-銘旺&gt;寄&gt;附發票&gt;附回郵</v>
          </cell>
          <cell r="AM2235" t="str">
            <v>1-0399</v>
          </cell>
        </row>
        <row r="2236">
          <cell r="AK2236" t="str">
            <v>087-SW</v>
          </cell>
          <cell r="AL2236" t="str">
            <v>1-0021-毅和&gt;寄&gt;附發票&gt;附回郵</v>
          </cell>
          <cell r="AM2236" t="str">
            <v>1-0021</v>
          </cell>
        </row>
        <row r="2237">
          <cell r="AK2237" t="str">
            <v>LAA-8575</v>
          </cell>
          <cell r="AL2237" t="str">
            <v>1-0019-福雄&gt;寄&gt;附發票&gt;附回郵</v>
          </cell>
          <cell r="AM2237" t="str">
            <v>1-0019</v>
          </cell>
        </row>
        <row r="2238">
          <cell r="AK2238" t="str">
            <v>833-Q8</v>
          </cell>
          <cell r="AL2238" t="str">
            <v>1-0663-劉博塏.國鑫&gt;寄&gt;附發票&gt;匯款4392886.</v>
          </cell>
          <cell r="AM2238" t="str">
            <v>1-0663</v>
          </cell>
        </row>
        <row r="2239">
          <cell r="AK2239" t="str">
            <v>RY-050</v>
          </cell>
          <cell r="AL2239" t="str">
            <v>1-0176-眾信&gt;寄&gt;附發票&gt;附回郵</v>
          </cell>
          <cell r="AM2239" t="str">
            <v>1-0176</v>
          </cell>
        </row>
        <row r="2240">
          <cell r="AK2240" t="str">
            <v>816-HF</v>
          </cell>
          <cell r="AL2240" t="str">
            <v>1-0603-邱志銘&gt;寄平信&gt;自結</v>
          </cell>
          <cell r="AM2240" t="str">
            <v>1-0603</v>
          </cell>
        </row>
        <row r="2241">
          <cell r="AK2241" t="str">
            <v>ANF-7879</v>
          </cell>
          <cell r="AL2241" t="str">
            <v>1-0125-源順&gt;寄&gt;附發票&gt;附回郵</v>
          </cell>
          <cell r="AM2241" t="str">
            <v>1-0125</v>
          </cell>
        </row>
        <row r="2242">
          <cell r="AK2242" t="str">
            <v>879-VN</v>
          </cell>
          <cell r="AL2242" t="str">
            <v>1-0672-鴻茂&gt;鴻準&gt;寄&gt;附發票&gt;匯款(兩個月月底匯款)</v>
          </cell>
          <cell r="AM2242" t="str">
            <v>1-0672</v>
          </cell>
        </row>
        <row r="2243">
          <cell r="AK2243" t="str">
            <v>AFP-9967</v>
          </cell>
          <cell r="AL2243" t="str">
            <v>1-0346-進發&gt;寄&gt;附發票&gt;附回郵</v>
          </cell>
          <cell r="AM2243" t="str">
            <v>1-0346</v>
          </cell>
        </row>
        <row r="2244">
          <cell r="AK2244" t="str">
            <v>1331-TM</v>
          </cell>
          <cell r="AL2244" t="str">
            <v>1-0109-東禾修理廠&gt;寄&gt;附發票&gt;附回郵</v>
          </cell>
          <cell r="AM2244" t="str">
            <v>1-0109</v>
          </cell>
        </row>
        <row r="2245">
          <cell r="AK2245" t="str">
            <v>03-JV</v>
          </cell>
          <cell r="AL2245" t="str">
            <v>1-0162-鎰利&gt;鎰金&gt;鎰加&gt;寄&gt;附發票&gt;2個月匯款</v>
          </cell>
          <cell r="AM2245" t="str">
            <v>1-0162</v>
          </cell>
        </row>
        <row r="2246">
          <cell r="AK2246" t="str">
            <v>978-AN</v>
          </cell>
          <cell r="AL2246" t="str">
            <v>1-0544-勇和興&gt;寄&gt;附回郵</v>
          </cell>
          <cell r="AM2246" t="str">
            <v>1-0544</v>
          </cell>
        </row>
        <row r="2247">
          <cell r="AK2247" t="str">
            <v>660-JA</v>
          </cell>
          <cell r="AL2247" t="str">
            <v>1-0166-歐特耐&gt;寄&gt;附發票&gt;附回郵</v>
          </cell>
          <cell r="AM2247" t="str">
            <v>1-0166</v>
          </cell>
        </row>
        <row r="2248">
          <cell r="AK2248" t="str">
            <v>138-R9</v>
          </cell>
          <cell r="AL2248" t="str">
            <v>1-0589-汯宸&gt;寄&gt;附發票&gt;一個月匯款</v>
          </cell>
          <cell r="AM2248" t="str">
            <v>1-0589</v>
          </cell>
        </row>
        <row r="2249">
          <cell r="AK2249" t="str">
            <v>2892-B7</v>
          </cell>
          <cell r="AL2249" t="str">
            <v>1-0399-銘旺&gt;寄&gt;附發票&gt;附回郵</v>
          </cell>
          <cell r="AM2249" t="str">
            <v>1-0399</v>
          </cell>
        </row>
        <row r="2250">
          <cell r="AK2250" t="str">
            <v>082-TU</v>
          </cell>
          <cell r="AL2250" t="str">
            <v>1-0567-東億&gt;寄&gt;附發票&gt;附回郵</v>
          </cell>
          <cell r="AM2250" t="str">
            <v>1-0567</v>
          </cell>
        </row>
        <row r="2251">
          <cell r="AK2251" t="str">
            <v>KLB-8092</v>
          </cell>
          <cell r="AL2251" t="str">
            <v>1-0166-歐特耐&gt;寄&gt;附發票&gt;附回郵</v>
          </cell>
          <cell r="AM2251" t="str">
            <v>1-0166</v>
          </cell>
        </row>
        <row r="2252">
          <cell r="AK2252" t="str">
            <v>290-ZG</v>
          </cell>
          <cell r="AL2252" t="str">
            <v>1-0373-三詠&gt;源松&gt;華都&gt;寄&gt;自結</v>
          </cell>
          <cell r="AM2252" t="str">
            <v>1-0373</v>
          </cell>
        </row>
        <row r="2253">
          <cell r="AK2253" t="str">
            <v>板A22</v>
          </cell>
          <cell r="AL2253" t="str">
            <v>1-0162-鎰利&gt;鎰金&gt;鎰加&gt;寄&gt;附發票&gt;2個月匯款</v>
          </cell>
          <cell r="AM2253" t="str">
            <v>1-0162</v>
          </cell>
        </row>
        <row r="2254">
          <cell r="AK2254" t="str">
            <v>板A2</v>
          </cell>
          <cell r="AL2254" t="str">
            <v>1-0162-鎰利&gt;鎰金&gt;鎰加&gt;寄&gt;附發票&gt;2個月匯款</v>
          </cell>
          <cell r="AM2254" t="str">
            <v>1-0162</v>
          </cell>
        </row>
        <row r="2255">
          <cell r="AK2255" t="str">
            <v>板NV-T5</v>
          </cell>
          <cell r="AL2255" t="str">
            <v>1-0162-鎰利&gt;鎰金&gt;鎰加&gt;寄&gt;附發票&gt;2個月匯款</v>
          </cell>
          <cell r="AM2255" t="str">
            <v>1-0162</v>
          </cell>
        </row>
        <row r="2256">
          <cell r="AK2256" t="str">
            <v>KLD-3525</v>
          </cell>
          <cell r="AL2256" t="str">
            <v>1-0105-胡清陽&gt;苗連.花旗&gt;寄&gt;附發票&gt;附回郵</v>
          </cell>
          <cell r="AM2256" t="str">
            <v>1-0105</v>
          </cell>
        </row>
        <row r="2257">
          <cell r="AK2257" t="str">
            <v>RBT-7158</v>
          </cell>
          <cell r="AL2257" t="str">
            <v>1-0610-恆陽&gt;聯鋮&gt;寄&gt;附發票&gt;附回郵</v>
          </cell>
          <cell r="AM2257" t="str">
            <v>1-0610</v>
          </cell>
        </row>
        <row r="2258">
          <cell r="AK2258" t="str">
            <v>ML-97</v>
          </cell>
          <cell r="AL2258" t="str">
            <v>1-0504-安泰起重&gt;寄&gt;附發票&gt;附回郵</v>
          </cell>
          <cell r="AM2258" t="str">
            <v>1-0504</v>
          </cell>
        </row>
        <row r="2259">
          <cell r="AK2259" t="str">
            <v>L12-0.9-8</v>
          </cell>
          <cell r="AL2259" t="str">
            <v>1-0162-鎰利&gt;鎰金&gt;鎰加&gt;寄&gt;附發票&gt;2個月匯款</v>
          </cell>
          <cell r="AM2259" t="str">
            <v>1-0162</v>
          </cell>
        </row>
        <row r="2260">
          <cell r="AK2260" t="str">
            <v>板子18</v>
          </cell>
          <cell r="AL2260" t="str">
            <v>1-0607-(2/2)瑋鎰&gt;寄&gt;附發票&gt;附回郵</v>
          </cell>
          <cell r="AM2260" t="str">
            <v>1-0607</v>
          </cell>
        </row>
        <row r="2261">
          <cell r="AK2261" t="str">
            <v>LAG-931</v>
          </cell>
          <cell r="AL2261" t="str">
            <v>1-0040-久大&gt;寄&gt;附回郵</v>
          </cell>
          <cell r="AM2261" t="str">
            <v>1-0040</v>
          </cell>
        </row>
        <row r="2262">
          <cell r="AK2262" t="str">
            <v>KLB-1625</v>
          </cell>
          <cell r="AL2262" t="str">
            <v>1-0691-高金水&gt;寄&gt;匯款:林澤滄&gt;拒絕往來戶</v>
          </cell>
          <cell r="AM2262" t="str">
            <v>1-0691</v>
          </cell>
        </row>
        <row r="2263">
          <cell r="AK2263" t="str">
            <v>KLB-1630</v>
          </cell>
          <cell r="AL2263" t="str">
            <v>1-0706-(2/3)福民&gt;寄&gt;附發票&gt;附回郵</v>
          </cell>
          <cell r="AM2263" t="str">
            <v>1-0706</v>
          </cell>
        </row>
        <row r="2264">
          <cell r="AK2264" t="str">
            <v>855-Y7</v>
          </cell>
          <cell r="AL2264" t="str">
            <v>1-0031-上和&gt;寄&gt;附發票&gt;附回郵</v>
          </cell>
          <cell r="AM2264" t="str">
            <v>1-0031</v>
          </cell>
        </row>
        <row r="2265">
          <cell r="AK2265" t="str">
            <v>板418</v>
          </cell>
          <cell r="AL2265" t="str">
            <v>1-0162-鎰利&gt;鎰金&gt;鎰加&gt;寄&gt;附發票&gt;2個月匯款</v>
          </cell>
          <cell r="AM2265" t="str">
            <v>1-0162</v>
          </cell>
        </row>
        <row r="2266">
          <cell r="AK2266" t="str">
            <v>板A11</v>
          </cell>
          <cell r="AL2266" t="str">
            <v>1-0162-鎰利&gt;鎰金&gt;鎰加&gt;寄&gt;附發票&gt;2個月匯款</v>
          </cell>
          <cell r="AM2266" t="str">
            <v>1-0162</v>
          </cell>
        </row>
        <row r="2267">
          <cell r="AK2267" t="str">
            <v>藍色特殊板</v>
          </cell>
          <cell r="AL2267" t="str">
            <v>1-0162-鎰利&gt;鎰金&gt;鎰加&gt;寄&gt;附發票&gt;2個月匯款</v>
          </cell>
          <cell r="AM2267" t="str">
            <v>1-0162</v>
          </cell>
        </row>
        <row r="2268">
          <cell r="AK2268" t="str">
            <v>板437</v>
          </cell>
          <cell r="AL2268" t="str">
            <v>1-0162-鎰利&gt;鎰金&gt;鎰加&gt;寄&gt;附發票&gt;2個月匯款</v>
          </cell>
          <cell r="AM2268" t="str">
            <v>1-0162</v>
          </cell>
        </row>
        <row r="2269">
          <cell r="AK2269" t="str">
            <v>AA-501</v>
          </cell>
          <cell r="AL2269" t="str">
            <v>1-0137-華鎮環保科技有限公司&gt;寄&gt;匯款</v>
          </cell>
          <cell r="AM2269" t="str">
            <v>1-0137</v>
          </cell>
        </row>
        <row r="2270">
          <cell r="AK2270" t="str">
            <v>ASK-3592</v>
          </cell>
          <cell r="AL2270" t="str">
            <v>1-0531-鋒魁.笠格科技&gt;寄&gt;附發票&gt;匯款(兩個月10號匯)</v>
          </cell>
          <cell r="AM2270" t="str">
            <v>1-0531</v>
          </cell>
        </row>
        <row r="2271">
          <cell r="AK2271" t="str">
            <v>ALK-8997</v>
          </cell>
          <cell r="AL2271" t="str">
            <v>1-0248-咏進&gt;寄&gt;附發票&gt;附回郵</v>
          </cell>
          <cell r="AM2271" t="str">
            <v>1-0248</v>
          </cell>
        </row>
        <row r="2272">
          <cell r="AK2272" t="str">
            <v>822-QQ</v>
          </cell>
          <cell r="AL2272" t="str">
            <v>1-0164-元慶&gt;寄&gt;附發票&gt;附回郵</v>
          </cell>
          <cell r="AM2272" t="str">
            <v>1-0164</v>
          </cell>
        </row>
        <row r="2273">
          <cell r="AK2273" t="str">
            <v>5N-02</v>
          </cell>
          <cell r="AL2273" t="str">
            <v>1-0469-黃明良&gt;旭東&gt;寄&gt;附發票&gt;附回郵</v>
          </cell>
          <cell r="AM2273" t="str">
            <v>1-0469</v>
          </cell>
        </row>
        <row r="2274">
          <cell r="AK2274" t="str">
            <v>ALG-727</v>
          </cell>
          <cell r="AL2274" t="str">
            <v>1-0023-楊育茹&gt;拓隆&gt;廣丞&gt;寄&gt;附發票&gt;附回郵</v>
          </cell>
          <cell r="AM2274" t="str">
            <v>1-0023</v>
          </cell>
        </row>
        <row r="2275">
          <cell r="AK2275" t="str">
            <v>613-TT</v>
          </cell>
          <cell r="AL2275" t="str">
            <v>1-0394-宸羽&gt;寄&gt;親收</v>
          </cell>
          <cell r="AM2275" t="str">
            <v>1-0394</v>
          </cell>
        </row>
        <row r="2276">
          <cell r="AK2276" t="str">
            <v>RBD-0925</v>
          </cell>
          <cell r="AL2276" t="str">
            <v>1-0549-華品&gt;佳上&gt;冠仁&gt;寄&gt;附發票&gt;附回郵</v>
          </cell>
          <cell r="AM2276" t="str">
            <v>1-0549</v>
          </cell>
        </row>
        <row r="2277">
          <cell r="AK2277" t="str">
            <v>1960-X2</v>
          </cell>
          <cell r="AL2277" t="str">
            <v>1-0457-合正&gt;寄平信&gt;自結</v>
          </cell>
          <cell r="AM2277" t="str">
            <v>1-0457</v>
          </cell>
        </row>
        <row r="2278">
          <cell r="AK2278" t="str">
            <v>83-10X</v>
          </cell>
          <cell r="AL2278" t="str">
            <v>1-0540-聯興&gt;葉秀禮&gt;寄平信&gt;自結</v>
          </cell>
          <cell r="AM2278" t="str">
            <v>1-0540</v>
          </cell>
        </row>
        <row r="2279">
          <cell r="AK2279" t="str">
            <v>3855-FT</v>
          </cell>
          <cell r="AL2279" t="str">
            <v>1-0531-鋒魁.笠格科技&gt;寄&gt;附發票&gt;匯款(兩個月10號匯)</v>
          </cell>
          <cell r="AM2279" t="str">
            <v>1-0531</v>
          </cell>
        </row>
        <row r="2280">
          <cell r="AK2280" t="str">
            <v>1136-HB</v>
          </cell>
          <cell r="AL2280" t="str">
            <v>1-0031-上和&gt;寄&gt;附發票&gt;附回郵</v>
          </cell>
          <cell r="AM2280" t="str">
            <v>1-0031</v>
          </cell>
        </row>
        <row r="2281">
          <cell r="AK2281" t="str">
            <v>6759-VG</v>
          </cell>
          <cell r="AL2281" t="str">
            <v>1-0504-安泰起重&gt;寄&gt;附發票&gt;附回郵</v>
          </cell>
          <cell r="AM2281" t="str">
            <v>1-0504</v>
          </cell>
        </row>
        <row r="2282">
          <cell r="AK2282" t="str">
            <v>KLA-9696</v>
          </cell>
          <cell r="AL2282" t="str">
            <v>1-0606-(1/2)冠德&gt;寄&gt;附發票&gt;附回郵</v>
          </cell>
          <cell r="AM2282" t="str">
            <v>1-0606</v>
          </cell>
        </row>
        <row r="2283">
          <cell r="AK2283" t="str">
            <v>15-ZK</v>
          </cell>
          <cell r="AL2283" t="str">
            <v>1-0701-串昌&gt;兑玖開發&gt;寄&gt;附發票&gt;附回郵</v>
          </cell>
          <cell r="AM2283" t="str">
            <v>1-0701</v>
          </cell>
        </row>
        <row r="2284">
          <cell r="AK2284" t="str">
            <v>4656-NA</v>
          </cell>
          <cell r="AL2284" t="str">
            <v>1-0214-嘉德技術&gt;寄&gt;附發票&gt;附回郵</v>
          </cell>
          <cell r="AM2284" t="str">
            <v>1-0214</v>
          </cell>
        </row>
        <row r="2285">
          <cell r="AK2285" t="str">
            <v>339-TD</v>
          </cell>
          <cell r="AL2285" t="str">
            <v>1-0109-東禾修理廠&gt;寄&gt;附發票&gt;附回郵</v>
          </cell>
          <cell r="AM2285" t="str">
            <v>1-0109</v>
          </cell>
        </row>
        <row r="2286">
          <cell r="AK2286" t="str">
            <v>501-RW</v>
          </cell>
          <cell r="AL2286" t="str">
            <v>1-0001-全佑</v>
          </cell>
          <cell r="AM2286" t="str">
            <v>1-0001</v>
          </cell>
        </row>
        <row r="2287">
          <cell r="AK2287" t="str">
            <v>板LN-82(401)</v>
          </cell>
          <cell r="AL2287" t="str">
            <v>1-0162-鎰利&gt;鎰金&gt;鎰加&gt;寄&gt;附發票&gt;2個月匯款</v>
          </cell>
          <cell r="AM2287" t="str">
            <v>1-0162</v>
          </cell>
        </row>
        <row r="2288">
          <cell r="AK2288" t="str">
            <v>RD-495</v>
          </cell>
          <cell r="AL2288" t="str">
            <v>1-0728-中油探採&gt;寄&gt;待通知開發票&gt;一個月匯款&gt;(標案)</v>
          </cell>
          <cell r="AM2288" t="str">
            <v>1-0728</v>
          </cell>
        </row>
        <row r="2289">
          <cell r="AK2289" t="str">
            <v>997-HJ</v>
          </cell>
          <cell r="AL2289" t="str">
            <v>1-0706-(2/3)福民&gt;寄&gt;附發票&gt;附回郵</v>
          </cell>
          <cell r="AM2289" t="str">
            <v>1-0706</v>
          </cell>
        </row>
        <row r="2290">
          <cell r="AK2290" t="str">
            <v>BO-302</v>
          </cell>
          <cell r="AL2290" t="str">
            <v>1-0194-傅文芳&gt;大砲&gt;一路發拖吊&gt;電&gt;自結</v>
          </cell>
          <cell r="AM2290" t="str">
            <v>1-0194</v>
          </cell>
        </row>
        <row r="2291">
          <cell r="AK2291" t="str">
            <v>KLA-9705</v>
          </cell>
          <cell r="AL2291" t="str">
            <v>1-0581-弘喬&gt;寄&gt;附發票&gt;附回郵</v>
          </cell>
          <cell r="AM2291" t="str">
            <v>1-0581</v>
          </cell>
        </row>
        <row r="2292">
          <cell r="AK2292" t="str">
            <v>L6-10-1</v>
          </cell>
          <cell r="AL2292" t="str">
            <v>1-0162-鎰利&gt;鎰金&gt;鎰加&gt;寄&gt;附發票&gt;2個月匯款</v>
          </cell>
          <cell r="AM2292" t="str">
            <v>1-0162</v>
          </cell>
        </row>
        <row r="2293">
          <cell r="AK2293" t="str">
            <v>KED-5687</v>
          </cell>
          <cell r="AL2293" t="str">
            <v>1-0704-成權有限公司&gt;寄&gt;匯款</v>
          </cell>
          <cell r="AM2293" t="str">
            <v>1-0704</v>
          </cell>
        </row>
        <row r="2294">
          <cell r="AK2294" t="str">
            <v>板402</v>
          </cell>
          <cell r="AL2294" t="str">
            <v>1-0162-鎰利&gt;鎰金&gt;鎰加&gt;寄&gt;附發票&gt;2個月匯款</v>
          </cell>
          <cell r="AM2294" t="str">
            <v>1-0162</v>
          </cell>
        </row>
        <row r="2295">
          <cell r="AK2295" t="str">
            <v>7N-2370</v>
          </cell>
          <cell r="AL2295" t="str">
            <v>1-0488-陶晟相祺&gt;寄&gt;兩個月匯款57364.2344.</v>
          </cell>
          <cell r="AM2295" t="str">
            <v>1-0488</v>
          </cell>
        </row>
        <row r="2296">
          <cell r="AK2296" t="str">
            <v>941-Q2</v>
          </cell>
          <cell r="AL2296" t="str">
            <v>1-0694-永發&gt;寄&gt;附發票&gt;附回郵</v>
          </cell>
          <cell r="AM2296" t="str">
            <v>1-0694</v>
          </cell>
        </row>
        <row r="2297">
          <cell r="AK2297" t="str">
            <v>649-XW</v>
          </cell>
          <cell r="AL2297" t="str">
            <v>1-0056-寬輾&gt;寄&gt;附回郵(1/3)</v>
          </cell>
          <cell r="AM2297" t="str">
            <v>1-0056</v>
          </cell>
        </row>
        <row r="2298">
          <cell r="AK2298" t="str">
            <v>466-M7</v>
          </cell>
          <cell r="AL2298" t="str">
            <v>1-0705-(1/3)福瑞&gt;寄&gt;附發票&gt;附回郵</v>
          </cell>
          <cell r="AM2298" t="str">
            <v>1-0705</v>
          </cell>
        </row>
        <row r="2299">
          <cell r="AK2299" t="str">
            <v>488-M7</v>
          </cell>
          <cell r="AL2299" t="str">
            <v>1-0706-(2/3)福民&gt;寄&gt;附發票&gt;附回郵</v>
          </cell>
          <cell r="AM2299" t="str">
            <v>1-0706</v>
          </cell>
        </row>
        <row r="2300">
          <cell r="AK2300" t="str">
            <v>601-M7</v>
          </cell>
          <cell r="AL2300" t="str">
            <v>1-0706-(2/3)福民&gt;寄&gt;附發票&gt;附回郵</v>
          </cell>
          <cell r="AM2300" t="str">
            <v>1-0706</v>
          </cell>
        </row>
        <row r="2301">
          <cell r="AK2301" t="str">
            <v>600-M7</v>
          </cell>
          <cell r="AL2301" t="str">
            <v>1-0705-(1/3)福瑞&gt;寄&gt;附發票&gt;附回郵</v>
          </cell>
          <cell r="AM2301" t="str">
            <v>1-0705</v>
          </cell>
        </row>
        <row r="2302">
          <cell r="AK2302" t="str">
            <v>KLB-1398</v>
          </cell>
          <cell r="AL2302" t="str">
            <v>1-0706-(2/3)福民&gt;寄&gt;附發票&gt;附回郵</v>
          </cell>
          <cell r="AM2302" t="str">
            <v>1-0706</v>
          </cell>
        </row>
        <row r="2303">
          <cell r="AK2303" t="str">
            <v>136-H8</v>
          </cell>
          <cell r="AL2303" t="str">
            <v>1-0706-(2/3)福民&gt;寄&gt;附發票&gt;附回郵</v>
          </cell>
          <cell r="AM2303" t="str">
            <v>1-0706</v>
          </cell>
        </row>
        <row r="2304">
          <cell r="AK2304" t="str">
            <v>498-ZW</v>
          </cell>
          <cell r="AL2304" t="str">
            <v>1-0705-(1/3)福瑞&gt;寄&gt;附發票&gt;附回郵</v>
          </cell>
          <cell r="AM2304" t="str">
            <v>1-0705</v>
          </cell>
        </row>
        <row r="2305">
          <cell r="AK2305" t="str">
            <v>971-X2</v>
          </cell>
          <cell r="AL2305" t="str">
            <v>1-0706-(2/3)福民&gt;寄&gt;附發票&gt;附回郵</v>
          </cell>
          <cell r="AM2305" t="str">
            <v>1-0706</v>
          </cell>
        </row>
        <row r="2306">
          <cell r="AK2306" t="str">
            <v>KLC-3232</v>
          </cell>
          <cell r="AL2306" t="str">
            <v>1-0706-(2/3)福民&gt;寄&gt;附發票&gt;附回郵</v>
          </cell>
          <cell r="AM2306" t="str">
            <v>1-0706</v>
          </cell>
        </row>
        <row r="2307">
          <cell r="AK2307" t="str">
            <v>KLC-3233</v>
          </cell>
          <cell r="AL2307" t="str">
            <v>1-0705-(1/3)福瑞&gt;寄&gt;附發票&gt;附回郵</v>
          </cell>
          <cell r="AM2307" t="str">
            <v>1-0705</v>
          </cell>
        </row>
        <row r="2308">
          <cell r="AK2308" t="str">
            <v>256-HQ</v>
          </cell>
          <cell r="AL2308" t="str">
            <v>1-0705-(1/3)福瑞&gt;寄&gt;附發票&gt;附回郵</v>
          </cell>
          <cell r="AM2308" t="str">
            <v>1-0705</v>
          </cell>
        </row>
        <row r="2309">
          <cell r="AK2309" t="str">
            <v>493-HK</v>
          </cell>
          <cell r="AL2309" t="str">
            <v>1-0707-(3/3)福麗&gt;寄&gt;附發票&gt;附回郵</v>
          </cell>
          <cell r="AM2309" t="str">
            <v>1-0707</v>
          </cell>
        </row>
        <row r="2310">
          <cell r="AK2310" t="str">
            <v>496-HK</v>
          </cell>
          <cell r="AL2310" t="str">
            <v>1-0705-(1/3)福瑞&gt;寄&gt;附發票&gt;附回郵</v>
          </cell>
          <cell r="AM2310" t="str">
            <v>1-0705</v>
          </cell>
        </row>
        <row r="2311">
          <cell r="AK2311" t="str">
            <v>843-ZE</v>
          </cell>
          <cell r="AL2311" t="str">
            <v>1-0706-(2/3)福民&gt;寄&gt;附發票&gt;附回郵</v>
          </cell>
          <cell r="AM2311" t="str">
            <v>1-0706</v>
          </cell>
        </row>
        <row r="2312">
          <cell r="AK2312" t="str">
            <v>101-GT</v>
          </cell>
          <cell r="AL2312" t="str">
            <v>1-0706-(2/3)福民&gt;寄&gt;附發票&gt;附回郵</v>
          </cell>
          <cell r="AM2312" t="str">
            <v>1-0706</v>
          </cell>
        </row>
        <row r="2313">
          <cell r="AK2313" t="str">
            <v>739-G6</v>
          </cell>
          <cell r="AL2313" t="str">
            <v>1-0706-(2/3)福民&gt;寄&gt;附發票&gt;附回郵</v>
          </cell>
          <cell r="AM2313" t="str">
            <v>1-0706</v>
          </cell>
        </row>
        <row r="2314">
          <cell r="AK2314" t="str">
            <v>975-ZE</v>
          </cell>
          <cell r="AL2314" t="str">
            <v>1-0706-(2/3)福民&gt;寄&gt;附發票&gt;附回郵</v>
          </cell>
          <cell r="AM2314" t="str">
            <v>1-0706</v>
          </cell>
        </row>
        <row r="2315">
          <cell r="AK2315" t="str">
            <v>589-X5</v>
          </cell>
          <cell r="AL2315" t="str">
            <v>1-0707-(3/3)福麗&gt;寄&gt;附發票&gt;附回郵</v>
          </cell>
          <cell r="AM2315" t="str">
            <v>1-0707</v>
          </cell>
        </row>
        <row r="2316">
          <cell r="AK2316" t="str">
            <v>822-GZ</v>
          </cell>
          <cell r="AL2316" t="str">
            <v>1-0706-(2/3)福民&gt;寄&gt;附發票&gt;附回郵</v>
          </cell>
          <cell r="AM2316" t="str">
            <v>1-0706</v>
          </cell>
        </row>
        <row r="2317">
          <cell r="AK2317" t="str">
            <v>661-X5</v>
          </cell>
          <cell r="AL2317" t="str">
            <v>1-0706-(2/3)福民&gt;寄&gt;附發票&gt;附回郵</v>
          </cell>
          <cell r="AM2317" t="str">
            <v>1-0706</v>
          </cell>
        </row>
        <row r="2318">
          <cell r="AK2318" t="str">
            <v>662-X5</v>
          </cell>
          <cell r="AL2318" t="str">
            <v>1-0706-(2/3)福民&gt;寄&gt;附發票&gt;附回郵</v>
          </cell>
          <cell r="AM2318" t="str">
            <v>1-0706</v>
          </cell>
        </row>
        <row r="2319">
          <cell r="AK2319" t="str">
            <v>KLB-1095</v>
          </cell>
          <cell r="AL2319" t="str">
            <v>1-0705-(1/3)福瑞&gt;寄&gt;附發票&gt;附回郵</v>
          </cell>
          <cell r="AM2319" t="str">
            <v>1-0705</v>
          </cell>
        </row>
        <row r="2320">
          <cell r="AK2320" t="str">
            <v>130-X5</v>
          </cell>
          <cell r="AL2320" t="str">
            <v>1-0706-(2/3)福民&gt;寄&gt;附發票&gt;附回郵</v>
          </cell>
          <cell r="AM2320" t="str">
            <v>1-0706</v>
          </cell>
        </row>
        <row r="2321">
          <cell r="AK2321" t="str">
            <v>060-ZW</v>
          </cell>
          <cell r="AL2321" t="str">
            <v>1-0705-(1/3)福瑞&gt;寄&gt;附發票&gt;附回郵</v>
          </cell>
          <cell r="AM2321" t="str">
            <v>1-0705</v>
          </cell>
        </row>
        <row r="2322">
          <cell r="AK2322" t="str">
            <v>KLB-1152</v>
          </cell>
          <cell r="AL2322" t="str">
            <v>1-0705-(1/3)福瑞&gt;寄&gt;附發票&gt;附回郵</v>
          </cell>
          <cell r="AM2322" t="str">
            <v>1-0705</v>
          </cell>
        </row>
        <row r="2323">
          <cell r="AK2323" t="str">
            <v>177-X5</v>
          </cell>
          <cell r="AL2323" t="str">
            <v>1-0706-(2/3)福民&gt;寄&gt;附發票&gt;附回郵</v>
          </cell>
          <cell r="AM2323" t="str">
            <v>1-0706</v>
          </cell>
        </row>
        <row r="2324">
          <cell r="AK2324" t="str">
            <v>175-X5</v>
          </cell>
          <cell r="AL2324" t="str">
            <v>1-0705-(1/3)福瑞&gt;寄&gt;附發票&gt;附回郵</v>
          </cell>
          <cell r="AM2324" t="str">
            <v>1-0705</v>
          </cell>
        </row>
        <row r="2325">
          <cell r="AK2325" t="str">
            <v>273-H8</v>
          </cell>
          <cell r="AL2325" t="str">
            <v>1-0705-(1/3)福瑞&gt;寄&gt;附發票&gt;附回郵</v>
          </cell>
          <cell r="AM2325" t="str">
            <v>1-0705</v>
          </cell>
        </row>
        <row r="2326">
          <cell r="AK2326" t="str">
            <v>8657-T6</v>
          </cell>
          <cell r="AL2326" t="str">
            <v>1-0019-福雄&gt;寄&gt;附發票&gt;附回郵</v>
          </cell>
          <cell r="AM2326" t="str">
            <v>1-0019</v>
          </cell>
        </row>
        <row r="2327">
          <cell r="AK2327" t="str">
            <v>RW-196</v>
          </cell>
          <cell r="AL2327" t="str">
            <v>1-0074-順安&gt;寄&gt;附發票&gt;附回郵</v>
          </cell>
          <cell r="AM2327" t="str">
            <v>1-0074</v>
          </cell>
        </row>
        <row r="2328">
          <cell r="AK2328" t="str">
            <v>2589-N5</v>
          </cell>
          <cell r="AL2328" t="str">
            <v>1-0069-卓文湧&gt;天頂&gt;寄&gt;自結</v>
          </cell>
          <cell r="AM2328" t="str">
            <v>1-0069</v>
          </cell>
        </row>
        <row r="2329">
          <cell r="AK2329" t="str">
            <v>008-S2</v>
          </cell>
          <cell r="AL2329" t="str">
            <v>1-0625-(2/3)永矩(卡車)&gt;寄&gt;附發票&gt;附回郵</v>
          </cell>
          <cell r="AM2329" t="str">
            <v>1-0625</v>
          </cell>
        </row>
        <row r="2330">
          <cell r="AK2330" t="str">
            <v>623-S2</v>
          </cell>
          <cell r="AL2330" t="str">
            <v>1-0589-汯宸&gt;寄&gt;附發票&gt;一個月匯款</v>
          </cell>
          <cell r="AM2330" t="str">
            <v>1-0589</v>
          </cell>
        </row>
        <row r="2331">
          <cell r="AK2331" t="str">
            <v>KLA-9572</v>
          </cell>
          <cell r="AL2331" t="str">
            <v>1-0136-順華&gt;寄&gt;附發票&gt;三個月匯款</v>
          </cell>
          <cell r="AM2331" t="str">
            <v>1-0136</v>
          </cell>
        </row>
        <row r="2332">
          <cell r="AK2332" t="str">
            <v>L12-0.4-1</v>
          </cell>
          <cell r="AL2332" t="str">
            <v>1-0162-鎰利&gt;鎰金&gt;鎰加&gt;寄&gt;附發票&gt;2個月匯款</v>
          </cell>
          <cell r="AM2332" t="str">
            <v>1-0162</v>
          </cell>
        </row>
        <row r="2333">
          <cell r="AK2333" t="str">
            <v>L6-0.5-1</v>
          </cell>
          <cell r="AL2333" t="str">
            <v>1-0162-鎰利&gt;鎰金&gt;鎰加&gt;寄&gt;附發票&gt;2個月匯款</v>
          </cell>
          <cell r="AM2333" t="str">
            <v>1-0162</v>
          </cell>
        </row>
        <row r="2334">
          <cell r="AK2334" t="str">
            <v>板409</v>
          </cell>
          <cell r="AL2334" t="str">
            <v>1-0162-鎰利&gt;鎰金&gt;鎰加&gt;寄&gt;附發票&gt;2個月匯款</v>
          </cell>
          <cell r="AM2334" t="str">
            <v>1-0162</v>
          </cell>
        </row>
        <row r="2335">
          <cell r="AK2335" t="str">
            <v>3802-PQ</v>
          </cell>
          <cell r="AL2335" t="str">
            <v>1-0610-恆陽&gt;聯鋮&gt;寄&gt;附發票&gt;附回郵</v>
          </cell>
          <cell r="AM2335" t="str">
            <v>1-0610</v>
          </cell>
        </row>
        <row r="2336">
          <cell r="AK2336" t="str">
            <v>L7-0.6-1</v>
          </cell>
          <cell r="AL2336" t="str">
            <v>1-0162-鎰利&gt;鎰金&gt;鎰加&gt;寄&gt;附發票&gt;2個月匯款</v>
          </cell>
          <cell r="AM2336" t="str">
            <v>1-0162</v>
          </cell>
        </row>
        <row r="2337">
          <cell r="AK2337" t="str">
            <v>ABJ-6638</v>
          </cell>
          <cell r="AL2337" t="str">
            <v>1-0138-栗合興&gt;栗安&gt;寄&gt;附發票&gt;三個月匯款</v>
          </cell>
          <cell r="AM2337" t="str">
            <v>1-0138</v>
          </cell>
        </row>
        <row r="2338">
          <cell r="AK2338" t="str">
            <v>板422</v>
          </cell>
          <cell r="AL2338" t="str">
            <v>1-0162-鎰利&gt;鎰金&gt;鎰加&gt;寄&gt;附發票&gt;2個月匯款</v>
          </cell>
          <cell r="AM2338" t="str">
            <v>1-0162</v>
          </cell>
        </row>
        <row r="2339">
          <cell r="AK2339" t="str">
            <v>APX-8177</v>
          </cell>
          <cell r="AL2339" t="str">
            <v>1-0368-銀城&gt;寄&gt;附發票&gt;附回郵</v>
          </cell>
          <cell r="AM2339" t="str">
            <v>1-0368</v>
          </cell>
        </row>
        <row r="2340">
          <cell r="AK2340" t="str">
            <v>RC-037</v>
          </cell>
          <cell r="AL2340" t="str">
            <v>1-0696-永鉅汽車&gt;寄&gt;附發票&gt;附回郵</v>
          </cell>
          <cell r="AM2340" t="str">
            <v>1-0696</v>
          </cell>
        </row>
        <row r="2341">
          <cell r="AK2341" t="str">
            <v>ABB-8985</v>
          </cell>
          <cell r="AL2341" t="str">
            <v>1-0548-題陞&gt;寄&gt;附發票&gt;附回郵</v>
          </cell>
          <cell r="AM2341" t="str">
            <v>1-0548</v>
          </cell>
        </row>
        <row r="2342">
          <cell r="AK2342" t="str">
            <v>9788-YV</v>
          </cell>
          <cell r="AL2342" t="str">
            <v>1-0605-大信玻璃&gt;寄&gt;附回郵</v>
          </cell>
          <cell r="AM2342" t="str">
            <v>1-0605</v>
          </cell>
        </row>
        <row r="2343">
          <cell r="AK2343" t="str">
            <v>KLC-5772</v>
          </cell>
          <cell r="AL2343" t="str">
            <v>1-0320-陳俊華&gt;寄&gt;自結</v>
          </cell>
          <cell r="AM2343" t="str">
            <v>1-0320</v>
          </cell>
        </row>
        <row r="2344">
          <cell r="AK2344" t="str">
            <v>Q7-886</v>
          </cell>
          <cell r="AL2344" t="str">
            <v>1-0194-傅文芳&gt;大砲&gt;一路發拖吊&gt;電&gt;自結</v>
          </cell>
          <cell r="AM2344" t="str">
            <v>1-0194</v>
          </cell>
        </row>
        <row r="2345">
          <cell r="AK2345" t="str">
            <v>RW-841</v>
          </cell>
          <cell r="AL2345" t="str">
            <v>1-0696-永鉅汽車&gt;寄&gt;附發票&gt;附回郵</v>
          </cell>
          <cell r="AM2345" t="str">
            <v>1-0696</v>
          </cell>
        </row>
        <row r="2346">
          <cell r="AK2346" t="str">
            <v>087-RW</v>
          </cell>
          <cell r="AL2346" t="str">
            <v>1-0444-力盛&gt;寄&gt;附發票&gt;附回郵</v>
          </cell>
          <cell r="AM2346" t="str">
            <v>1-0444</v>
          </cell>
        </row>
        <row r="2347">
          <cell r="AK2347" t="str">
            <v>369-SJ</v>
          </cell>
          <cell r="AL2347" t="str">
            <v>1-0662-得嘉鑫&gt;明鑫&gt;光明&gt;寄&gt;附回郵</v>
          </cell>
          <cell r="AM2347" t="str">
            <v>1-0662</v>
          </cell>
        </row>
        <row r="2348">
          <cell r="AK2348" t="str">
            <v>1938-PE</v>
          </cell>
          <cell r="AL2348" t="str">
            <v>1-0605-大信玻璃&gt;寄&gt;附回郵</v>
          </cell>
          <cell r="AM2348" t="str">
            <v>1-0605</v>
          </cell>
        </row>
        <row r="2349">
          <cell r="AK2349" t="str">
            <v>Q9-6337</v>
          </cell>
          <cell r="AL2349" t="str">
            <v>1-0287-蘇定芳＞十二少&gt;寄平信&gt;附回郵</v>
          </cell>
          <cell r="AM2349" t="str">
            <v>1-0287</v>
          </cell>
        </row>
        <row r="2350">
          <cell r="AK2350" t="str">
            <v>612-G2</v>
          </cell>
          <cell r="AL2350" t="str">
            <v>1-0004-(1/3)長增&gt;寄&gt;附發票&gt;匯款&gt;現金價</v>
          </cell>
          <cell r="AM2350" t="str">
            <v>1-0004</v>
          </cell>
        </row>
        <row r="2351">
          <cell r="AK2351" t="str">
            <v>KEG-5157</v>
          </cell>
          <cell r="AL2351" t="str">
            <v>1-0625-(2/3)永矩(卡車)&gt;寄&gt;附發票&gt;附回郵</v>
          </cell>
          <cell r="AM2351" t="str">
            <v>1-0625</v>
          </cell>
        </row>
        <row r="2352">
          <cell r="AK2352" t="str">
            <v>AUC-2061</v>
          </cell>
          <cell r="AL2352" t="str">
            <v>1-0602-新復發&gt;寄&gt;附發票&gt;附回郵</v>
          </cell>
          <cell r="AM2352" t="str">
            <v>1-0602</v>
          </cell>
        </row>
        <row r="2353">
          <cell r="AK2353" t="str">
            <v>0518-NA</v>
          </cell>
          <cell r="AL2353" t="str">
            <v>1-0328-平順&gt;寄&gt;附發票&gt;附回郵</v>
          </cell>
          <cell r="AM2353" t="str">
            <v>1-0328</v>
          </cell>
        </row>
        <row r="2354">
          <cell r="AK2354" t="str">
            <v>6H-4683</v>
          </cell>
          <cell r="AL2354" t="str">
            <v>1-0414-亞太汽車&gt;寄&gt;附回郵</v>
          </cell>
          <cell r="AM2354" t="str">
            <v>1-0414</v>
          </cell>
        </row>
        <row r="2355">
          <cell r="AK2355" t="str">
            <v>WK-070</v>
          </cell>
          <cell r="AL2355" t="str">
            <v>1-0725-葉志生&gt;一天&gt;寄&gt;附發票&gt;匯款</v>
          </cell>
          <cell r="AM2355" t="str">
            <v>1-0725</v>
          </cell>
        </row>
        <row r="2356">
          <cell r="AK2356" t="str">
            <v>7686-T6</v>
          </cell>
          <cell r="AL2356" t="str">
            <v>1-0689-新竹縣寶山鄉公所&gt;寄&gt;附發票&gt;附回郵</v>
          </cell>
          <cell r="AM2356" t="str">
            <v>1-0689</v>
          </cell>
        </row>
        <row r="2357">
          <cell r="AK2357" t="str">
            <v>5719-B8</v>
          </cell>
          <cell r="AL2357" t="str">
            <v>1-0563-鳴倫&gt;寄&gt;附發票&gt;附回郵</v>
          </cell>
          <cell r="AM2357" t="str">
            <v>1-0563</v>
          </cell>
        </row>
        <row r="2358">
          <cell r="AK2358" t="str">
            <v>196-Y7</v>
          </cell>
          <cell r="AL2358" t="str">
            <v>1-0146-佳億塑膠&gt;寄&gt;附發票&gt;附回郵</v>
          </cell>
          <cell r="AM2358" t="str">
            <v>1-0146</v>
          </cell>
        </row>
        <row r="2359">
          <cell r="AK2359" t="str">
            <v>Z3-6787</v>
          </cell>
          <cell r="AL2359" t="str">
            <v>1-0109-東禾修理廠&gt;寄&gt;附發票&gt;附回郵</v>
          </cell>
          <cell r="AM2359" t="str">
            <v>1-0109</v>
          </cell>
        </row>
        <row r="2360">
          <cell r="AK2360" t="str">
            <v>KEA-9152</v>
          </cell>
          <cell r="AL2360" t="str">
            <v>1-0023-楊育茹&gt;拓隆&gt;廣丞&gt;寄&gt;附發票&gt;附回郵</v>
          </cell>
          <cell r="AM2360" t="str">
            <v>1-0023</v>
          </cell>
        </row>
        <row r="2361">
          <cell r="AK2361" t="str">
            <v>AJN-7062</v>
          </cell>
          <cell r="AL2361" t="str">
            <v>1-0674-翔威.翔鑫&gt;付現&gt;不能簽帳</v>
          </cell>
          <cell r="AM2361" t="str">
            <v>1-0674</v>
          </cell>
        </row>
        <row r="2362">
          <cell r="AK2362" t="str">
            <v>712-XM</v>
          </cell>
          <cell r="AL2362" t="str">
            <v>1-0608-聯倉&gt;寄&gt;附發票&gt;附回郵</v>
          </cell>
          <cell r="AM2362" t="str">
            <v>1-0608</v>
          </cell>
        </row>
        <row r="2363">
          <cell r="AK2363" t="str">
            <v>AJM-9873</v>
          </cell>
          <cell r="AL2363" t="str">
            <v>1-0056-寬輾&gt;寄&gt;附回郵(1/3)</v>
          </cell>
          <cell r="AM2363" t="str">
            <v>1-0056</v>
          </cell>
        </row>
        <row r="2364">
          <cell r="AK2364" t="str">
            <v>ALQ-8195</v>
          </cell>
          <cell r="AL2364" t="str">
            <v>1-0021-毅和&gt;寄&gt;附發票&gt;附回郵</v>
          </cell>
          <cell r="AM2364" t="str">
            <v>1-0021</v>
          </cell>
        </row>
        <row r="2365">
          <cell r="AK2365" t="str">
            <v>Y3-999</v>
          </cell>
          <cell r="AL2365" t="str">
            <v>1-0122-嘉偉&gt;元美&gt;寄&gt;附發票&gt;附回郵</v>
          </cell>
          <cell r="AM2365" t="str">
            <v>1-0122</v>
          </cell>
        </row>
        <row r="2366">
          <cell r="AK2366" t="str">
            <v>ASN-8226</v>
          </cell>
          <cell r="AL2366" t="str">
            <v>1-0074-順安&gt;寄&gt;附發票&gt;附回郵</v>
          </cell>
          <cell r="AM2366" t="str">
            <v>1-0074</v>
          </cell>
        </row>
        <row r="2367">
          <cell r="AK2367" t="str">
            <v>737-HY</v>
          </cell>
          <cell r="AL2367" t="str">
            <v>1-0733-元智通運-小山豬&gt;寄&gt;附發票&gt;附回郵</v>
          </cell>
          <cell r="AM2367" t="str">
            <v>1-0733</v>
          </cell>
        </row>
        <row r="2368">
          <cell r="AK2368" t="str">
            <v>板50-KD</v>
          </cell>
          <cell r="AL2368" t="str">
            <v>1-0496-啟德&gt;寄&gt;附發票&gt;附回郵</v>
          </cell>
          <cell r="AM2368" t="str">
            <v>1-0496</v>
          </cell>
        </row>
        <row r="2369">
          <cell r="AK2369" t="str">
            <v>板A1</v>
          </cell>
          <cell r="AL2369" t="str">
            <v>1-0162-鎰利&gt;鎰金&gt;鎰加&gt;寄&gt;附發票&gt;2個月匯款</v>
          </cell>
          <cell r="AM2369" t="str">
            <v>1-0162</v>
          </cell>
        </row>
        <row r="2370">
          <cell r="AK2370" t="str">
            <v>板47-DR</v>
          </cell>
          <cell r="AL2370" t="str">
            <v>1-0608-聯倉&gt;寄&gt;附發票&gt;附回郵</v>
          </cell>
          <cell r="AM2370" t="str">
            <v>1-0608</v>
          </cell>
        </row>
        <row r="2371">
          <cell r="AK2371" t="str">
            <v>0210-EV</v>
          </cell>
          <cell r="AL2371" t="str">
            <v>1-0605-大信玻璃&gt;寄&gt;附回郵</v>
          </cell>
          <cell r="AM2371" t="str">
            <v>1-0605</v>
          </cell>
        </row>
        <row r="2372">
          <cell r="AK2372" t="str">
            <v>AUP-1215</v>
          </cell>
          <cell r="AL2372" t="str">
            <v>1-0223-禎祥&gt;寄&gt;附發票&gt;附回郵</v>
          </cell>
          <cell r="AM2372" t="str">
            <v>1-0223</v>
          </cell>
        </row>
        <row r="2373">
          <cell r="AK2373" t="str">
            <v>KAE-888</v>
          </cell>
          <cell r="AL2373" t="str">
            <v>1-0122-嘉偉&gt;元美&gt;寄&gt;附發票&gt;附回郵</v>
          </cell>
          <cell r="AM2373" t="str">
            <v>1-0122</v>
          </cell>
        </row>
        <row r="2374">
          <cell r="AK2374" t="str">
            <v>869-EE</v>
          </cell>
          <cell r="AL2374" t="str">
            <v>1-0525-勝興&gt;寄&gt;附發票&gt;自結</v>
          </cell>
          <cell r="AM2374" t="str">
            <v>1-0525</v>
          </cell>
        </row>
        <row r="2375">
          <cell r="AK2375" t="str">
            <v>851-V6</v>
          </cell>
          <cell r="AL2375" t="str">
            <v>1-0164-元慶&gt;寄&gt;附發票&gt;附回郵</v>
          </cell>
          <cell r="AM2375" t="str">
            <v>1-0164</v>
          </cell>
        </row>
        <row r="2376">
          <cell r="AK2376" t="str">
            <v>2A-6679</v>
          </cell>
          <cell r="AL2376" t="str">
            <v>1-0461-釧宏&gt;寄&gt;附發票&gt;附回郵</v>
          </cell>
          <cell r="AM2376" t="str">
            <v>1-0461</v>
          </cell>
        </row>
        <row r="2377">
          <cell r="AK2377" t="str">
            <v>2817-RW</v>
          </cell>
          <cell r="AL2377" t="str">
            <v>1-0276-民景&gt;寄&gt;附發票&gt;附回郵</v>
          </cell>
          <cell r="AM2377" t="str">
            <v>1-0276</v>
          </cell>
        </row>
        <row r="2378">
          <cell r="AK2378" t="str">
            <v>RAE-6065</v>
          </cell>
          <cell r="AL2378" t="str">
            <v>1-0449-園區&gt;寄&gt;附發票&gt;附回郵</v>
          </cell>
          <cell r="AM2378" t="str">
            <v>1-0449</v>
          </cell>
        </row>
        <row r="2379">
          <cell r="AK2379" t="str">
            <v>4718-R2</v>
          </cell>
          <cell r="AL2379" t="str">
            <v>1-0021-毅和&gt;寄&gt;附發票&gt;附回郵</v>
          </cell>
          <cell r="AM2379" t="str">
            <v>1-0021</v>
          </cell>
        </row>
        <row r="2380">
          <cell r="AK2380" t="str">
            <v>01-M6</v>
          </cell>
          <cell r="AL2380" t="str">
            <v>1-0607-(2/2)瑋鎰&gt;寄&gt;附發票&gt;附回郵</v>
          </cell>
          <cell r="AM2380" t="str">
            <v>1-0607</v>
          </cell>
        </row>
        <row r="2381">
          <cell r="AK2381" t="str">
            <v>542-Y7</v>
          </cell>
          <cell r="AL2381" t="str">
            <v>1-0473-台灣肥料&gt;寄&gt;附發票&gt;兩個月底匯款</v>
          </cell>
          <cell r="AM2381" t="str">
            <v>1-0473</v>
          </cell>
        </row>
        <row r="2382">
          <cell r="AK2382" t="str">
            <v>ABR-0252</v>
          </cell>
          <cell r="AL2382" t="str">
            <v>1-0729-中油探採&gt;開估價單&gt;自來結帳開發票&gt;匯款</v>
          </cell>
          <cell r="AM2382" t="str">
            <v>1-0729</v>
          </cell>
        </row>
        <row r="2383">
          <cell r="AK2383" t="str">
            <v>ABR-0251</v>
          </cell>
          <cell r="AL2383" t="str">
            <v>1-0729-中油探採&gt;開估價單&gt;自來結帳開發票&gt;匯款</v>
          </cell>
          <cell r="AM2383" t="str">
            <v>1-0729</v>
          </cell>
        </row>
        <row r="2384">
          <cell r="AK2384" t="str">
            <v>4558-TV</v>
          </cell>
          <cell r="AL2384" t="str">
            <v>1-0689-新竹縣寶山鄉公所&gt;寄&gt;附發票&gt;附回郵</v>
          </cell>
          <cell r="AM2384" t="str">
            <v>1-0689</v>
          </cell>
        </row>
        <row r="2385">
          <cell r="AK2385" t="str">
            <v>ALQ-5061</v>
          </cell>
          <cell r="AL2385" t="str">
            <v>1-0368-銀城&gt;寄&gt;附發票&gt;附回郵</v>
          </cell>
          <cell r="AM2385" t="str">
            <v>1-0368</v>
          </cell>
        </row>
        <row r="2386">
          <cell r="AK2386" t="str">
            <v>RAA-2203</v>
          </cell>
          <cell r="AL2386" t="str">
            <v>1-0415-聯有.統一東京&gt;寄&gt;附發票&gt;附回郵</v>
          </cell>
          <cell r="AM2386" t="str">
            <v>1-0415</v>
          </cell>
        </row>
        <row r="2387">
          <cell r="AK2387" t="str">
            <v>ARQ-7189</v>
          </cell>
          <cell r="AL2387" t="str">
            <v>1-0548-題陞&gt;寄&gt;附發票&gt;附回郵</v>
          </cell>
          <cell r="AM2387" t="str">
            <v>1-0548</v>
          </cell>
        </row>
        <row r="2388">
          <cell r="AK2388" t="str">
            <v>352-TD</v>
          </cell>
          <cell r="AL2388" t="str">
            <v>1-0711-耕溢&gt;寄&gt;附發票&gt;附回郵</v>
          </cell>
          <cell r="AM2388" t="str">
            <v>1-0711</v>
          </cell>
        </row>
        <row r="2389">
          <cell r="AK2389" t="str">
            <v>833-Y7</v>
          </cell>
          <cell r="AL2389" t="str">
            <v>1-0080-百巢&gt;寄&gt;附發票&gt;附回郵</v>
          </cell>
          <cell r="AM2389" t="str">
            <v>1-0080</v>
          </cell>
        </row>
        <row r="2390">
          <cell r="AK2390" t="str">
            <v>5P-0249</v>
          </cell>
          <cell r="AL2390" t="str">
            <v>1-0074-順安&gt;寄&gt;附發票&gt;附回郵</v>
          </cell>
          <cell r="AM2390" t="str">
            <v>1-0074</v>
          </cell>
        </row>
        <row r="2391">
          <cell r="AK2391" t="str">
            <v>380-V6</v>
          </cell>
          <cell r="AL2391" t="str">
            <v>1-0164-元慶&gt;寄&gt;附發票&gt;附回郵</v>
          </cell>
          <cell r="AM2391" t="str">
            <v>1-0164</v>
          </cell>
        </row>
        <row r="2392">
          <cell r="AK2392" t="str">
            <v>055-V6</v>
          </cell>
          <cell r="AL2392" t="str">
            <v>1-0164-元慶&gt;寄&gt;附發票&gt;附回郵</v>
          </cell>
          <cell r="AM2392" t="str">
            <v>1-0164</v>
          </cell>
        </row>
        <row r="2393">
          <cell r="AK2393" t="str">
            <v>731-HY</v>
          </cell>
          <cell r="AL2393" t="str">
            <v>1-0004-(1/3)長增&gt;寄&gt;附發票&gt;匯款&gt;現金價</v>
          </cell>
          <cell r="AM2393" t="str">
            <v>1-0004</v>
          </cell>
        </row>
        <row r="2394">
          <cell r="AK2394" t="str">
            <v>APD-0067</v>
          </cell>
          <cell r="AL2394" t="str">
            <v>1-0214-嘉德技術&gt;寄&gt;附發票&gt;附回郵</v>
          </cell>
          <cell r="AM2394" t="str">
            <v>1-0214</v>
          </cell>
        </row>
        <row r="2395">
          <cell r="AK2395" t="str">
            <v>364-鏟車</v>
          </cell>
          <cell r="AL2395" t="str">
            <v>1-0364-弘翔.東大&gt;寄&gt;附發票&gt;附回郵</v>
          </cell>
          <cell r="AM2395" t="str">
            <v>1-0364</v>
          </cell>
        </row>
        <row r="2396">
          <cell r="AK2396" t="str">
            <v>1599-TX</v>
          </cell>
          <cell r="AL2396" t="str">
            <v>1-0060-源鴻&gt;寄&gt;親收</v>
          </cell>
          <cell r="AM2396" t="str">
            <v>1-0060</v>
          </cell>
        </row>
        <row r="2397">
          <cell r="AK2397" t="str">
            <v>7592-VW</v>
          </cell>
          <cell r="AL2397" t="str">
            <v>1-0646-許丘銘&gt;電&gt;付現</v>
          </cell>
          <cell r="AM2397" t="str">
            <v>1-0646</v>
          </cell>
        </row>
        <row r="2398">
          <cell r="AK2398" t="str">
            <v>RAS-7239</v>
          </cell>
          <cell r="AL2398" t="str">
            <v>1-0449-園區&gt;寄&gt;附發票&gt;附回郵</v>
          </cell>
          <cell r="AM2398" t="str">
            <v>1-0449</v>
          </cell>
        </row>
        <row r="2399">
          <cell r="AK2399" t="str">
            <v>6929-GE</v>
          </cell>
          <cell r="AL2399" t="str">
            <v>1-0582-周應欽&gt;電&gt;自結</v>
          </cell>
          <cell r="AM2399" t="str">
            <v>1-0582</v>
          </cell>
        </row>
        <row r="2400">
          <cell r="AK2400" t="str">
            <v>AHD-1176</v>
          </cell>
          <cell r="AL2400" t="str">
            <v>1-0549-華品&gt;佳上&gt;冠仁&gt;寄&gt;附發票&gt;附回郵</v>
          </cell>
          <cell r="AM2400" t="str">
            <v>1-0549</v>
          </cell>
        </row>
        <row r="2401">
          <cell r="AK2401" t="str">
            <v>320-RW</v>
          </cell>
          <cell r="AL2401" t="str">
            <v>1-0694-永發&gt;寄&gt;附發票&gt;附回郵</v>
          </cell>
          <cell r="AM2401" t="str">
            <v>1-0694</v>
          </cell>
        </row>
        <row r="2402">
          <cell r="AK2402" t="str">
            <v>506-RW</v>
          </cell>
          <cell r="AL2402" t="str">
            <v>1-0109-東禾修理廠&gt;寄&gt;附發票&gt;附回郵</v>
          </cell>
          <cell r="AM2402" t="str">
            <v>1-0109</v>
          </cell>
        </row>
        <row r="2403">
          <cell r="AK2403" t="str">
            <v>KNA-5378</v>
          </cell>
          <cell r="AL2403" t="str">
            <v>1-0398-天文.坤成&gt;寄&gt;附發票&gt;附回郵</v>
          </cell>
          <cell r="AM2403" t="str">
            <v>1-0398</v>
          </cell>
        </row>
        <row r="2404">
          <cell r="AK2404" t="str">
            <v>30-PE</v>
          </cell>
          <cell r="AL2404" t="str">
            <v>1-0504-安泰起重&gt;寄&gt;附發票&gt;附回郵</v>
          </cell>
          <cell r="AM2404" t="str">
            <v>1-0504</v>
          </cell>
        </row>
        <row r="2405">
          <cell r="AK2405" t="str">
            <v>AKM-6581</v>
          </cell>
          <cell r="AL2405" t="str">
            <v>1-0729-中油探採&gt;開估價單&gt;自來結帳開發票&gt;匯款</v>
          </cell>
          <cell r="AM2405" t="str">
            <v>1-0729</v>
          </cell>
        </row>
        <row r="2406">
          <cell r="AK2406" t="str">
            <v>WK-005</v>
          </cell>
          <cell r="AL2406" t="str">
            <v>1-0729-中油探採&gt;開估價單&gt;自來結帳開發票&gt;匯款</v>
          </cell>
          <cell r="AM2406" t="str">
            <v>1-0729</v>
          </cell>
        </row>
        <row r="2407">
          <cell r="AK2407" t="str">
            <v>WK-003</v>
          </cell>
          <cell r="AL2407" t="str">
            <v>1-0729-中油探採&gt;開估價單&gt;自來結帳開發票&gt;匯款</v>
          </cell>
          <cell r="AM2407" t="str">
            <v>1-0729</v>
          </cell>
        </row>
        <row r="2408">
          <cell r="AK2408" t="str">
            <v>AGU-8096</v>
          </cell>
          <cell r="AL2408" t="str">
            <v>1-0414-亞太汽車&gt;寄&gt;附回郵</v>
          </cell>
          <cell r="AM2408" t="str">
            <v>1-0414</v>
          </cell>
        </row>
        <row r="2409">
          <cell r="AK2409" t="str">
            <v>ALA-2510</v>
          </cell>
          <cell r="AL2409" t="str">
            <v>1-0576-弘振&gt;寄&gt;匯款</v>
          </cell>
          <cell r="AM2409" t="str">
            <v>1-0576</v>
          </cell>
        </row>
        <row r="2410">
          <cell r="AK2410" t="str">
            <v>208-VB</v>
          </cell>
          <cell r="AL2410" t="str">
            <v>1-0672-鴻茂&gt;鴻準&gt;寄&gt;附發票&gt;匯款(兩個月月底匯款)</v>
          </cell>
          <cell r="AM2410" t="str">
            <v>1-0672</v>
          </cell>
        </row>
        <row r="2411">
          <cell r="AK2411" t="str">
            <v>425-HP</v>
          </cell>
          <cell r="AL2411" t="str">
            <v>1-0433-紘洋&gt;寄&gt;附發票&gt;附回郵</v>
          </cell>
          <cell r="AM2411" t="str">
            <v>1-0433</v>
          </cell>
        </row>
        <row r="2412">
          <cell r="AK2412" t="str">
            <v>1155-ZV</v>
          </cell>
          <cell r="AL2412" t="str">
            <v>1-0125-源順&gt;寄&gt;附發票&gt;附回郵</v>
          </cell>
          <cell r="AM2412" t="str">
            <v>1-0125</v>
          </cell>
        </row>
        <row r="2413">
          <cell r="AK2413" t="str">
            <v>660-下巴</v>
          </cell>
          <cell r="AL2413" t="str">
            <v>1-0660-竹新.頂烽&gt;寄&gt;附發票&gt;匯款</v>
          </cell>
          <cell r="AM2413" t="str">
            <v>1-0660</v>
          </cell>
        </row>
        <row r="2414">
          <cell r="AK2414" t="str">
            <v>L7-0.4-2</v>
          </cell>
          <cell r="AL2414" t="str">
            <v>1-0162-鎰利&gt;鎰金&gt;鎰加&gt;寄&gt;附發票&gt;2個月匯款</v>
          </cell>
          <cell r="AM2414" t="str">
            <v>1-0162</v>
          </cell>
        </row>
        <row r="2415">
          <cell r="AK2415" t="str">
            <v>0681-YV</v>
          </cell>
          <cell r="AL2415" t="str">
            <v>1-0602-新復發&gt;寄&gt;附發票&gt;附回郵</v>
          </cell>
          <cell r="AM2415" t="str">
            <v>1-0602</v>
          </cell>
        </row>
        <row r="2416">
          <cell r="AK2416" t="str">
            <v>1076-HN</v>
          </cell>
          <cell r="AL2416" t="str">
            <v>1-0162-鎰利&gt;鎰金&gt;鎰加&gt;寄&gt;附發票&gt;2個月匯款</v>
          </cell>
          <cell r="AM2416" t="str">
            <v>1-0162</v>
          </cell>
        </row>
        <row r="2417">
          <cell r="AK2417" t="str">
            <v>AAG-099</v>
          </cell>
          <cell r="AL2417" t="str">
            <v>1-0484-世鑫營造&gt;寄&gt;附發票&gt;2個月匯款</v>
          </cell>
          <cell r="AM2417" t="str">
            <v>1-0484</v>
          </cell>
        </row>
        <row r="2418">
          <cell r="AK2418" t="str">
            <v>5016-NC</v>
          </cell>
          <cell r="AL2418" t="str">
            <v>1-0602-新復發&gt;寄&gt;附發票&gt;附回郵</v>
          </cell>
          <cell r="AM2418" t="str">
            <v>1-0602</v>
          </cell>
        </row>
        <row r="2419">
          <cell r="AK2419" t="str">
            <v>AAJ-837</v>
          </cell>
          <cell r="AL2419" t="str">
            <v>1-0504-安泰起重&gt;寄&gt;附發票&gt;附回郵</v>
          </cell>
          <cell r="AM2419" t="str">
            <v>1-0504</v>
          </cell>
        </row>
        <row r="2420">
          <cell r="AK2420" t="str">
            <v>609-Q2</v>
          </cell>
          <cell r="AL2420" t="str">
            <v>1-0504-安泰起重&gt;寄&gt;附發票&gt;附回郵</v>
          </cell>
          <cell r="AM2420" t="str">
            <v>1-0504</v>
          </cell>
        </row>
        <row r="2421">
          <cell r="AK2421" t="str">
            <v>308-V6</v>
          </cell>
          <cell r="AL2421" t="str">
            <v>1-0164-元慶&gt;寄&gt;附發票&gt;附回郵</v>
          </cell>
          <cell r="AM2421" t="str">
            <v>1-0164</v>
          </cell>
        </row>
        <row r="2422">
          <cell r="AK2422" t="str">
            <v>AVZ-0857</v>
          </cell>
          <cell r="AL2422" t="str">
            <v>1-0624-聖麒工程&gt;閎元&gt;永金&gt;寄&gt;附回郵&gt;現金價</v>
          </cell>
          <cell r="AM2422" t="str">
            <v>1-0624</v>
          </cell>
        </row>
        <row r="2423">
          <cell r="AK2423" t="str">
            <v>KEA-2205</v>
          </cell>
          <cell r="AL2423" t="str">
            <v>1-0712-佑鑫起重&gt;寄&gt;附回郵</v>
          </cell>
          <cell r="AM2423" t="str">
            <v>1-0712</v>
          </cell>
        </row>
        <row r="2424">
          <cell r="AK2424" t="str">
            <v>KEA-9138</v>
          </cell>
          <cell r="AL2424" t="str">
            <v>1-0549-華品&gt;佳上&gt;冠仁&gt;寄&gt;附發票&gt;附回郵</v>
          </cell>
          <cell r="AM2424" t="str">
            <v>1-0549</v>
          </cell>
        </row>
        <row r="2425">
          <cell r="AK2425" t="str">
            <v>537-X2</v>
          </cell>
          <cell r="AL2425" t="str">
            <v>1-0504-安泰起重&gt;寄&gt;附發票&gt;附回郵</v>
          </cell>
          <cell r="AM2425" t="str">
            <v>1-0504</v>
          </cell>
        </row>
        <row r="2426">
          <cell r="AK2426" t="str">
            <v>149-HP</v>
          </cell>
          <cell r="AL2426" t="str">
            <v>1-0608-聯倉&gt;寄&gt;附發票&gt;附回郵</v>
          </cell>
          <cell r="AM2426" t="str">
            <v>1-0608</v>
          </cell>
        </row>
        <row r="2427">
          <cell r="AK2427" t="str">
            <v>817-8K</v>
          </cell>
          <cell r="AL2427" t="str">
            <v>1-0303-江正榮＞阿妙-永慶&gt;寄&gt;自結</v>
          </cell>
          <cell r="AM2427" t="str">
            <v>1-0303</v>
          </cell>
        </row>
        <row r="2428">
          <cell r="AK2428" t="str">
            <v>板子A9</v>
          </cell>
          <cell r="AL2428" t="str">
            <v>1-0162-鎰利&gt;鎰金&gt;鎰加&gt;寄&gt;附發票&gt;2個月匯款</v>
          </cell>
          <cell r="AM2428" t="str">
            <v>1-0162</v>
          </cell>
        </row>
        <row r="2429">
          <cell r="AK2429" t="str">
            <v>APW-7185</v>
          </cell>
          <cell r="AL2429" t="str">
            <v>1-0624-聖麒工程&gt;閎元&gt;永金&gt;寄&gt;附回郵&gt;現金價</v>
          </cell>
          <cell r="AM2429" t="str">
            <v>1-0624</v>
          </cell>
        </row>
        <row r="2430">
          <cell r="AK2430" t="str">
            <v>AAG-280</v>
          </cell>
          <cell r="AL2430" t="str">
            <v>1-0589-汯宸&gt;寄&gt;附發票&gt;一個月匯款</v>
          </cell>
          <cell r="AM2430" t="str">
            <v>1-0589</v>
          </cell>
        </row>
        <row r="2431">
          <cell r="AK2431" t="str">
            <v>板53-M6</v>
          </cell>
          <cell r="AL2431" t="str">
            <v>1-0607-(2/2)瑋鎰&gt;寄&gt;附發票&gt;附回郵</v>
          </cell>
          <cell r="AM2431" t="str">
            <v>1-0607</v>
          </cell>
        </row>
        <row r="2432">
          <cell r="AK2432" t="str">
            <v>991-K2</v>
          </cell>
          <cell r="AL2432" t="str">
            <v>1-0162-鎰利&gt;鎰金&gt;鎰加&gt;寄&gt;附發票&gt;2個月匯款</v>
          </cell>
          <cell r="AM2432" t="str">
            <v>1-0162</v>
          </cell>
        </row>
        <row r="2433">
          <cell r="AK2433" t="str">
            <v>307-V6</v>
          </cell>
          <cell r="AL2433" t="str">
            <v>1-0122-嘉偉&gt;元美&gt;寄&gt;附發票&gt;附回郵</v>
          </cell>
          <cell r="AM2433" t="str">
            <v>1-0122</v>
          </cell>
        </row>
        <row r="2434">
          <cell r="AK2434" t="str">
            <v>860-5A</v>
          </cell>
          <cell r="AL2434" t="str">
            <v>1-0162-鎰利&gt;鎰金&gt;鎰加&gt;寄&gt;附發票&gt;2個月匯款</v>
          </cell>
          <cell r="AM2434" t="str">
            <v>1-0162</v>
          </cell>
        </row>
        <row r="2435">
          <cell r="AK2435" t="str">
            <v>8496-UB</v>
          </cell>
          <cell r="AL2435" t="str">
            <v>1-0061-信豐&gt;寄&gt;附發票&gt;附回郵</v>
          </cell>
          <cell r="AM2435" t="str">
            <v>1-0061</v>
          </cell>
        </row>
        <row r="2436">
          <cell r="AK2436" t="str">
            <v>8397-YV</v>
          </cell>
          <cell r="AL2436" t="str">
            <v>1-0176-眾信&gt;寄&gt;附發票&gt;附回郵</v>
          </cell>
          <cell r="AM2436" t="str">
            <v>1-0176</v>
          </cell>
        </row>
        <row r="2437">
          <cell r="AK2437" t="str">
            <v>FV-635</v>
          </cell>
          <cell r="AL2437" t="str">
            <v>1-0661-泰華通運&gt;寄&gt;附發票&gt;附回郵</v>
          </cell>
          <cell r="AM2437" t="str">
            <v>1-0661</v>
          </cell>
        </row>
        <row r="2438">
          <cell r="AK2438">
            <v>4840</v>
          </cell>
          <cell r="AL2438" t="str">
            <v>1-0610-恆陽&gt;聯鋮&gt;寄&gt;附發票&gt;附回郵</v>
          </cell>
          <cell r="AM2438" t="str">
            <v>1-0610</v>
          </cell>
        </row>
        <row r="2439">
          <cell r="AK2439" t="str">
            <v>773-TK</v>
          </cell>
          <cell r="AL2439" t="str">
            <v>1-0694-永發&gt;寄&gt;附發票&gt;附回郵</v>
          </cell>
          <cell r="AM2439" t="str">
            <v>1-0694</v>
          </cell>
        </row>
        <row r="2440">
          <cell r="AK2440" t="str">
            <v>板A9</v>
          </cell>
          <cell r="AL2440" t="str">
            <v>1-0162-鎰利&gt;鎰金&gt;鎰加&gt;寄&gt;附發票&gt;2個月匯款</v>
          </cell>
          <cell r="AM2440" t="str">
            <v>1-0162</v>
          </cell>
        </row>
        <row r="2441">
          <cell r="AK2441" t="str">
            <v>768-M9</v>
          </cell>
          <cell r="AL2441" t="str">
            <v>1-0713-光吳土木&gt;寄&gt;附發票&gt;附回郵</v>
          </cell>
          <cell r="AM2441" t="str">
            <v>1-0713</v>
          </cell>
        </row>
        <row r="2442">
          <cell r="AK2442" t="str">
            <v>板18-RV</v>
          </cell>
          <cell r="AL2442" t="str">
            <v>1-0706-(2/3)福民&gt;寄&gt;附發票&gt;附回郵</v>
          </cell>
          <cell r="AM2442" t="str">
            <v>1-0706</v>
          </cell>
        </row>
        <row r="2443">
          <cell r="AK2443" t="str">
            <v>4570-YV</v>
          </cell>
          <cell r="AL2443" t="str">
            <v>1-0531-鋒魁.笠格科技&gt;寄&gt;附發票&gt;匯款(兩個月10號匯)</v>
          </cell>
          <cell r="AM2443" t="str">
            <v>1-0531</v>
          </cell>
        </row>
        <row r="2444">
          <cell r="AK2444" t="str">
            <v>板79-SG</v>
          </cell>
          <cell r="AL2444" t="str">
            <v>1-0707-(3/3)福麗&gt;寄&gt;附發票&gt;附回郵</v>
          </cell>
          <cell r="AM2444" t="str">
            <v>1-0707</v>
          </cell>
        </row>
        <row r="2445">
          <cell r="AK2445" t="str">
            <v>板701</v>
          </cell>
          <cell r="AL2445" t="str">
            <v>1-0398-天文.坤成&gt;寄&gt;附發票&gt;附回郵</v>
          </cell>
          <cell r="AM2445" t="str">
            <v>1-0398</v>
          </cell>
        </row>
        <row r="2446">
          <cell r="AK2446" t="str">
            <v>719-WW</v>
          </cell>
          <cell r="AL2446" t="str">
            <v>1-0558-苗栗客運&gt;寄&gt;附發票&gt;附回郵</v>
          </cell>
          <cell r="AM2446" t="str">
            <v>1-0558</v>
          </cell>
        </row>
        <row r="2447">
          <cell r="AK2447" t="str">
            <v>808-Y7</v>
          </cell>
          <cell r="AL2447" t="str">
            <v>1-0077-德龍紙業&gt;寄&gt;附發票＞親收</v>
          </cell>
          <cell r="AM2447" t="str">
            <v>1-0077</v>
          </cell>
        </row>
        <row r="2448">
          <cell r="AK2448" t="str">
            <v>8808-VS</v>
          </cell>
          <cell r="AL2448" t="str">
            <v>1-0513-百飛.最安逸.天朝&gt;寄&gt;附發票&gt;自結</v>
          </cell>
          <cell r="AM2448" t="str">
            <v>1-0513</v>
          </cell>
        </row>
        <row r="2449">
          <cell r="AK2449" t="str">
            <v>板架36</v>
          </cell>
          <cell r="AL2449" t="str">
            <v>1-0607-(2/2)瑋鎰&gt;寄&gt;附發票&gt;附回郵</v>
          </cell>
          <cell r="AM2449" t="str">
            <v>1-0607</v>
          </cell>
        </row>
        <row r="2450">
          <cell r="AK2450" t="str">
            <v>450-BQ</v>
          </cell>
          <cell r="AL2450" t="str">
            <v>1-0711-耕溢&gt;寄&gt;附發票&gt;附回郵</v>
          </cell>
          <cell r="AM2450" t="str">
            <v>1-0711</v>
          </cell>
        </row>
        <row r="2451">
          <cell r="AK2451" t="str">
            <v>RU-076</v>
          </cell>
          <cell r="AL2451" t="str">
            <v>1-0605-大信玻璃&gt;寄&gt;附回郵</v>
          </cell>
          <cell r="AM2451" t="str">
            <v>1-0605</v>
          </cell>
        </row>
        <row r="2452">
          <cell r="AK2452" t="str">
            <v>KAE-817</v>
          </cell>
          <cell r="AL2452" t="str">
            <v>1-0122-嘉偉&gt;元美&gt;寄&gt;附發票&gt;附回郵</v>
          </cell>
          <cell r="AM2452" t="str">
            <v>1-0122</v>
          </cell>
        </row>
        <row r="2453">
          <cell r="AK2453" t="str">
            <v>3636-VW</v>
          </cell>
          <cell r="AL2453" t="str">
            <v>1-0496-啟德&gt;寄&gt;附發票&gt;附回郵</v>
          </cell>
          <cell r="AM2453" t="str">
            <v>1-0496</v>
          </cell>
        </row>
        <row r="2454">
          <cell r="AK2454" t="str">
            <v>4407-B6</v>
          </cell>
          <cell r="AL2454" t="str">
            <v>1-0728-中油探採&gt;寄&gt;待通知開發票&gt;一個月匯款&gt;(標案)</v>
          </cell>
          <cell r="AM2454" t="str">
            <v>1-0728</v>
          </cell>
        </row>
        <row r="2455">
          <cell r="AK2455" t="str">
            <v>板23-YU</v>
          </cell>
          <cell r="AL2455" t="str">
            <v>1-0705-(1/3)福瑞&gt;寄&gt;附發票&gt;附回郵</v>
          </cell>
          <cell r="AM2455" t="str">
            <v>1-0705</v>
          </cell>
        </row>
        <row r="2456">
          <cell r="AK2456" t="str">
            <v>ACQ-8193</v>
          </cell>
          <cell r="AL2456" t="str">
            <v>1-0021-毅和&gt;寄&gt;附發票&gt;附回郵</v>
          </cell>
          <cell r="AM2456" t="str">
            <v>1-0021</v>
          </cell>
        </row>
        <row r="2457">
          <cell r="AK2457" t="str">
            <v>5171-LE</v>
          </cell>
          <cell r="AL2457" t="str">
            <v>1-0615-弘陞&gt;寄&gt;自結</v>
          </cell>
          <cell r="AM2457" t="str">
            <v>1-0615</v>
          </cell>
        </row>
        <row r="2458">
          <cell r="AK2458" t="str">
            <v>05-7G</v>
          </cell>
          <cell r="AL2458" t="str">
            <v>1-0707-(3/3)福麗&gt;寄&gt;附發票&gt;附回郵</v>
          </cell>
          <cell r="AM2458" t="str">
            <v>1-0707</v>
          </cell>
        </row>
        <row r="2459">
          <cell r="AK2459" t="str">
            <v>613-TZ</v>
          </cell>
          <cell r="AL2459" t="str">
            <v>1-0532-驛順&gt;寄&gt;附發票&gt;附回郵</v>
          </cell>
          <cell r="AM2459" t="str">
            <v>1-0532</v>
          </cell>
        </row>
        <row r="2460">
          <cell r="AK2460" t="str">
            <v>83-2H</v>
          </cell>
          <cell r="AL2460" t="str">
            <v>1-0707-(3/3)福麗&gt;寄&gt;附發票&gt;附回郵</v>
          </cell>
          <cell r="AM2460" t="str">
            <v>1-0707</v>
          </cell>
        </row>
        <row r="2461">
          <cell r="AK2461" t="str">
            <v>板08</v>
          </cell>
          <cell r="AL2461" t="str">
            <v>1-0162-鎰利&gt;鎰金&gt;鎰加&gt;寄&gt;附發票&gt;2個月匯款</v>
          </cell>
          <cell r="AM2461" t="str">
            <v>1-0162</v>
          </cell>
        </row>
        <row r="2462">
          <cell r="AK2462" t="str">
            <v>79-3A</v>
          </cell>
          <cell r="AL2462" t="str">
            <v>1-0473-台灣肥料&gt;寄&gt;附發票&gt;兩個月底匯款</v>
          </cell>
          <cell r="AM2462" t="str">
            <v>1-0473</v>
          </cell>
        </row>
        <row r="2463">
          <cell r="AK2463" t="str">
            <v>AFN-7889</v>
          </cell>
          <cell r="AL2463" t="str">
            <v>1-0074-順安&gt;寄&gt;附發票&gt;附回郵</v>
          </cell>
          <cell r="AM2463" t="str">
            <v>1-0074</v>
          </cell>
        </row>
        <row r="2464">
          <cell r="AK2464" t="str">
            <v>AAR-3168</v>
          </cell>
          <cell r="AL2464" t="str">
            <v>1-0672-鴻茂&gt;鴻準&gt;寄&gt;附發票&gt;匯款(兩個月月底匯款)</v>
          </cell>
          <cell r="AM2464" t="str">
            <v>1-0672</v>
          </cell>
        </row>
        <row r="2465">
          <cell r="AK2465" t="str">
            <v>5922-VV</v>
          </cell>
          <cell r="AL2465" t="str">
            <v>1-0449-園區&gt;寄&gt;附發票&gt;附回郵</v>
          </cell>
          <cell r="AM2465" t="str">
            <v>1-0449</v>
          </cell>
        </row>
        <row r="2466">
          <cell r="AK2466" t="str">
            <v>RV-727</v>
          </cell>
          <cell r="AL2466" t="str">
            <v>1-0729-中油探採&gt;開估價單&gt;自來結帳開發票&gt;匯款</v>
          </cell>
          <cell r="AM2466" t="str">
            <v>1-0729</v>
          </cell>
        </row>
        <row r="2467">
          <cell r="AK2467" t="str">
            <v>ARQ-3759</v>
          </cell>
          <cell r="AL2467" t="str">
            <v>1-0607-(2/2)瑋鎰&gt;寄&gt;附發票&gt;附回郵</v>
          </cell>
          <cell r="AM2467" t="str">
            <v>1-0607</v>
          </cell>
        </row>
        <row r="2468">
          <cell r="AK2468" t="str">
            <v>板251</v>
          </cell>
          <cell r="AL2468" t="str">
            <v>1-0162-鎰利&gt;鎰金&gt;鎰加&gt;寄&gt;附發票&gt;2個月匯款</v>
          </cell>
          <cell r="AM2468" t="str">
            <v>1-0162</v>
          </cell>
        </row>
        <row r="2469">
          <cell r="AK2469" t="str">
            <v>58鏟車</v>
          </cell>
          <cell r="AL2469" t="str">
            <v>1-0058-鑫能&gt;寄&gt;匯款</v>
          </cell>
          <cell r="AM2469" t="str">
            <v>1-0058</v>
          </cell>
        </row>
        <row r="2470">
          <cell r="AK2470" t="str">
            <v>板256</v>
          </cell>
          <cell r="AL2470" t="str">
            <v>1-0162-鎰利&gt;鎰金&gt;鎰加&gt;寄&gt;附發票&gt;2個月匯款</v>
          </cell>
          <cell r="AM2470" t="str">
            <v>1-0162</v>
          </cell>
        </row>
        <row r="2471">
          <cell r="AK2471" t="str">
            <v>RBB-1652</v>
          </cell>
          <cell r="AL2471" t="str">
            <v>1-0551-久展&gt;寄&gt;附發票&gt;兩個月28號匯款</v>
          </cell>
          <cell r="AM2471" t="str">
            <v>1-0551</v>
          </cell>
        </row>
        <row r="2472">
          <cell r="AK2472" t="str">
            <v>016-S2</v>
          </cell>
          <cell r="AL2472" t="str">
            <v>1-0625-(2/3)永矩(卡車)&gt;寄&gt;附發票&gt;附回郵</v>
          </cell>
          <cell r="AM2472" t="str">
            <v>1-0625</v>
          </cell>
        </row>
        <row r="2473">
          <cell r="AK2473" t="str">
            <v>RBT-3399</v>
          </cell>
          <cell r="AL2473" t="str">
            <v>1-0566-順彬&gt;寄&gt;附發票&gt;附回郵</v>
          </cell>
          <cell r="AM2473" t="str">
            <v>1-0566</v>
          </cell>
        </row>
        <row r="2474">
          <cell r="AK2474" t="str">
            <v>APT-2756</v>
          </cell>
          <cell r="AL2474" t="str">
            <v>1-0804-峰宸&gt;豪新&gt;電&gt;自結(刷卡含稅)</v>
          </cell>
          <cell r="AM2474" t="str">
            <v>1-0804</v>
          </cell>
        </row>
        <row r="2475">
          <cell r="AK2475" t="str">
            <v>ALQ-9371</v>
          </cell>
          <cell r="AL2475" t="str">
            <v>1-0576-弘振&gt;寄&gt;匯款</v>
          </cell>
          <cell r="AM2475" t="str">
            <v>1-0576</v>
          </cell>
        </row>
        <row r="2476">
          <cell r="AK2476" t="str">
            <v>APT-0638</v>
          </cell>
          <cell r="AL2476" t="str">
            <v>1-0138-栗合興&gt;栗安&gt;寄&gt;附發票&gt;三個月匯款</v>
          </cell>
          <cell r="AM2476" t="str">
            <v>1-0138</v>
          </cell>
        </row>
        <row r="2477">
          <cell r="AK2477" t="str">
            <v>KEA-9020</v>
          </cell>
          <cell r="AL2477" t="str">
            <v>1-0159-吉星建材&gt;寄&gt;附發票&gt;匯款</v>
          </cell>
          <cell r="AM2477" t="str">
            <v>1-0159</v>
          </cell>
        </row>
        <row r="2478">
          <cell r="AK2478" t="str">
            <v>147-S2</v>
          </cell>
          <cell r="AL2478" t="str">
            <v>1-0625-(2/3)永矩(卡車)&gt;寄&gt;附發票&gt;附回郵</v>
          </cell>
          <cell r="AM2478" t="str">
            <v>1-0625</v>
          </cell>
        </row>
        <row r="2479">
          <cell r="AK2479" t="str">
            <v>41-KK</v>
          </cell>
          <cell r="AL2479" t="str">
            <v>1-0607-(2/2)瑋鎰&gt;寄&gt;附發票&gt;附回郵</v>
          </cell>
          <cell r="AM2479" t="str">
            <v>1-0607</v>
          </cell>
        </row>
        <row r="2480">
          <cell r="AK2480" t="str">
            <v>979-TK</v>
          </cell>
          <cell r="AL2480" t="str">
            <v>1-0605-大信玻璃&gt;寄&gt;附回郵</v>
          </cell>
          <cell r="AM2480" t="str">
            <v>1-0605</v>
          </cell>
        </row>
        <row r="2481">
          <cell r="AK2481" t="str">
            <v>KEG-6167</v>
          </cell>
          <cell r="AL2481" t="str">
            <v>1-0492-佳能環保&gt;鳳屏&gt;新益慶&gt;寄&gt;附發票&gt;一個月匯款</v>
          </cell>
          <cell r="AM2481" t="str">
            <v>1-0492</v>
          </cell>
        </row>
        <row r="2482">
          <cell r="AK2482" t="str">
            <v>KM-50</v>
          </cell>
          <cell r="AL2482" t="str">
            <v>1-0504-安泰起重&gt;寄&gt;附發票&gt;附回郵</v>
          </cell>
          <cell r="AM2482" t="str">
            <v>1-0504</v>
          </cell>
        </row>
        <row r="2483">
          <cell r="AK2483" t="str">
            <v>31-F9</v>
          </cell>
          <cell r="AL2483" t="str">
            <v>1-0137-華鎮環保科技有限公司&gt;寄&gt;匯款</v>
          </cell>
          <cell r="AM2483" t="str">
            <v>1-0137</v>
          </cell>
        </row>
        <row r="2484">
          <cell r="AK2484" t="str">
            <v>661-WW</v>
          </cell>
          <cell r="AL2484" t="str">
            <v>1-0525-勝興&gt;寄&gt;附發票&gt;自結</v>
          </cell>
          <cell r="AM2484" t="str">
            <v>1-0525</v>
          </cell>
        </row>
        <row r="2485">
          <cell r="AK2485" t="str">
            <v>AHE-5556</v>
          </cell>
          <cell r="AL2485" t="str">
            <v>1-0496-啟德&gt;寄&gt;附發票&gt;附回郵</v>
          </cell>
          <cell r="AM2485" t="str">
            <v>1-0496</v>
          </cell>
        </row>
        <row r="2486">
          <cell r="AK2486" t="str">
            <v>AHZ-3399</v>
          </cell>
          <cell r="AL2486" t="str">
            <v>1-0566-順彬&gt;寄&gt;附發票&gt;附回郵</v>
          </cell>
          <cell r="AM2486" t="str">
            <v>1-0566</v>
          </cell>
        </row>
        <row r="2487">
          <cell r="AK2487" t="str">
            <v>RC-036</v>
          </cell>
          <cell r="AL2487" t="str">
            <v>1-0696-永鉅汽車&gt;寄&gt;附發票&gt;附回郵</v>
          </cell>
          <cell r="AM2487" t="str">
            <v>1-0696</v>
          </cell>
        </row>
        <row r="2488">
          <cell r="AK2488" t="str">
            <v>25T吊車</v>
          </cell>
          <cell r="AL2488" t="str">
            <v>1-0539-萬益&gt;寄&gt;自結</v>
          </cell>
          <cell r="AM2488" t="str">
            <v>1-0539</v>
          </cell>
        </row>
        <row r="2489">
          <cell r="AK2489" t="str">
            <v>551-HZ</v>
          </cell>
          <cell r="AL2489" t="str">
            <v>1-0705-(1/3)福瑞&gt;寄&gt;附發票&gt;附回郵</v>
          </cell>
          <cell r="AM2489" t="str">
            <v>1-0705</v>
          </cell>
        </row>
        <row r="2490">
          <cell r="AK2490" t="str">
            <v>RAA-2197</v>
          </cell>
          <cell r="AL2490" t="str">
            <v>1-0415-聯有.統一東京&gt;寄&gt;附發票&gt;附回郵</v>
          </cell>
          <cell r="AM2490" t="str">
            <v>1-0415</v>
          </cell>
        </row>
        <row r="2491">
          <cell r="AK2491" t="str">
            <v>AJW-5587</v>
          </cell>
          <cell r="AL2491" t="str">
            <v>1-0457-合正&gt;寄平信&gt;自結</v>
          </cell>
          <cell r="AM2491" t="str">
            <v>1-0457</v>
          </cell>
        </row>
        <row r="2492">
          <cell r="AK2492" t="str">
            <v>536-RV</v>
          </cell>
          <cell r="AL2492" t="str">
            <v>1-0206-春池&gt;寄&gt;附發票&gt;附回郵</v>
          </cell>
          <cell r="AM2492" t="str">
            <v>1-0206</v>
          </cell>
        </row>
        <row r="2493">
          <cell r="AK2493" t="str">
            <v>KAE-807</v>
          </cell>
          <cell r="AL2493" t="str">
            <v>1-0449-園區&gt;寄&gt;附發票&gt;附回郵</v>
          </cell>
          <cell r="AM2493" t="str">
            <v>1-0449</v>
          </cell>
        </row>
        <row r="2494">
          <cell r="AK2494" t="str">
            <v>515-3B</v>
          </cell>
          <cell r="AL2494" t="str">
            <v>1-0608-聯倉&gt;寄&gt;附發票&gt;附回郵</v>
          </cell>
          <cell r="AM2494" t="str">
            <v>1-0608</v>
          </cell>
        </row>
        <row r="2495">
          <cell r="AK2495" t="str">
            <v>板21-VR</v>
          </cell>
          <cell r="AL2495" t="str">
            <v>1-0706-(2/3)福民&gt;寄&gt;附發票&gt;附回郵</v>
          </cell>
          <cell r="AM2495" t="str">
            <v>1-0706</v>
          </cell>
        </row>
        <row r="2496">
          <cell r="AK2496" t="str">
            <v>123-ZY</v>
          </cell>
          <cell r="AL2496" t="str">
            <v>1-0578-(1/2)捷盛&gt;寄&gt;附發票&gt;3個月匯款</v>
          </cell>
          <cell r="AM2496" t="str">
            <v>1-0578</v>
          </cell>
        </row>
        <row r="2497">
          <cell r="AK2497" t="str">
            <v>SR-78</v>
          </cell>
          <cell r="AL2497" t="str">
            <v>1-0728-中油探採&gt;寄&gt;待通知開發票&gt;一個月匯款&gt;(標案)</v>
          </cell>
          <cell r="AM2497" t="str">
            <v>1-0728</v>
          </cell>
        </row>
        <row r="2498">
          <cell r="AK2498" t="str">
            <v>226-TU</v>
          </cell>
          <cell r="AL2498" t="str">
            <v>1-0058-鑫能&gt;寄&gt;匯款</v>
          </cell>
          <cell r="AM2498" t="str">
            <v>1-0058</v>
          </cell>
        </row>
        <row r="2499">
          <cell r="AK2499" t="str">
            <v>723-JD</v>
          </cell>
          <cell r="AL2499" t="str">
            <v>1-0046-(1/4)鴻阜&gt;寄&gt;附發票&gt;附回郵</v>
          </cell>
          <cell r="AM2499" t="str">
            <v>1-0046</v>
          </cell>
        </row>
        <row r="2500">
          <cell r="AK2500" t="str">
            <v>板221</v>
          </cell>
          <cell r="AL2500" t="str">
            <v>1-0162-鎰利&gt;鎰金&gt;鎰加&gt;寄&gt;附發票&gt;2個月匯款</v>
          </cell>
          <cell r="AM2500" t="str">
            <v>1-0162</v>
          </cell>
        </row>
        <row r="2501">
          <cell r="AK2501" t="str">
            <v>1883-PJ</v>
          </cell>
          <cell r="AL2501" t="str">
            <v>1-0079-旭中&gt;寄&gt;附發票&gt;附回郵</v>
          </cell>
          <cell r="AM2501" t="str">
            <v>1-0079</v>
          </cell>
        </row>
        <row r="2502">
          <cell r="AK2502" t="str">
            <v>KEA-9109</v>
          </cell>
          <cell r="AL2502" t="str">
            <v>1-0125-源順&gt;寄&gt;附發票&gt;附回郵</v>
          </cell>
          <cell r="AM2502" t="str">
            <v>1-0125</v>
          </cell>
        </row>
        <row r="2503">
          <cell r="AK2503" t="str">
            <v>65推土機</v>
          </cell>
          <cell r="AL2503" t="str">
            <v>1-0065-台澄&gt;郭董&gt;寄&gt;老闆親收</v>
          </cell>
          <cell r="AM2503" t="str">
            <v>1-0065</v>
          </cell>
        </row>
        <row r="2504">
          <cell r="AK2504" t="str">
            <v>PC-8388</v>
          </cell>
          <cell r="AL2504" t="str">
            <v>1-0328-平順&gt;寄&gt;附發票&gt;附回郵</v>
          </cell>
          <cell r="AM2504" t="str">
            <v>1-0328</v>
          </cell>
        </row>
        <row r="2505">
          <cell r="AK2505" t="str">
            <v>718-推土機</v>
          </cell>
          <cell r="AL2505" t="str">
            <v>1-0718-廷維&gt;寄＞附發票&gt;附回郵</v>
          </cell>
          <cell r="AM2505" t="str">
            <v>1-0718</v>
          </cell>
        </row>
        <row r="2506">
          <cell r="AK2506" t="str">
            <v>板26-QD</v>
          </cell>
          <cell r="AL2506" t="str">
            <v>1-0706-(2/3)福民&gt;寄&gt;附發票&gt;附回郵</v>
          </cell>
          <cell r="AM2506" t="str">
            <v>1-0706</v>
          </cell>
        </row>
        <row r="2507">
          <cell r="AK2507" t="str">
            <v>179-V6</v>
          </cell>
          <cell r="AL2507" t="str">
            <v>1-0534-輝煌.金仕&gt;新棋興&gt;小額不寄&gt;自結</v>
          </cell>
          <cell r="AM2507" t="str">
            <v>1-0534</v>
          </cell>
        </row>
        <row r="2508">
          <cell r="AK2508" t="str">
            <v>217-Y7</v>
          </cell>
          <cell r="AL2508" t="str">
            <v>1-0211-嘉勤紙業&gt;寄&gt;附發票&gt;附回郵</v>
          </cell>
          <cell r="AM2508" t="str">
            <v>1-0211</v>
          </cell>
        </row>
        <row r="2509">
          <cell r="AK2509" t="str">
            <v>063-ZC</v>
          </cell>
          <cell r="AL2509" t="str">
            <v>1-0353-林銀龍&gt;寄&gt;自結</v>
          </cell>
          <cell r="AM2509" t="str">
            <v>1-0353</v>
          </cell>
        </row>
        <row r="2510">
          <cell r="AK2510" t="str">
            <v>ABF-3823</v>
          </cell>
          <cell r="AL2510" t="str">
            <v>1-0717-豐收&gt;全順&gt;寄&gt;附回郵</v>
          </cell>
          <cell r="AM2510" t="str">
            <v>1-0717</v>
          </cell>
        </row>
        <row r="2511">
          <cell r="AK2511" t="str">
            <v>087-W5</v>
          </cell>
          <cell r="AL2511" t="str">
            <v>1-0766-聯鑫通運&gt;銘鑫物流&gt;聯準企業社&gt;謝惠錦&gt;寄&gt;附發票&gt;附回郵</v>
          </cell>
          <cell r="AM2511" t="str">
            <v>1-0766</v>
          </cell>
        </row>
        <row r="2512">
          <cell r="AK2512" t="str">
            <v>287-SS</v>
          </cell>
          <cell r="AL2512" t="str">
            <v>1-0483-火炎山&gt;寄&gt;附發票&gt;附回郵</v>
          </cell>
          <cell r="AM2512" t="str">
            <v>1-0483</v>
          </cell>
        </row>
        <row r="2513">
          <cell r="AK2513" t="str">
            <v>Q7-472</v>
          </cell>
          <cell r="AL2513" t="str">
            <v>1-0728-中油探採&gt;寄&gt;待通知開發票&gt;一個月匯款&gt;(標案)</v>
          </cell>
          <cell r="AM2513" t="str">
            <v>1-0728</v>
          </cell>
        </row>
        <row r="2514">
          <cell r="AK2514" t="str">
            <v>205-V6</v>
          </cell>
          <cell r="AL2514" t="str">
            <v>1-0164-元慶&gt;寄&gt;附發票&gt;附回郵</v>
          </cell>
          <cell r="AM2514" t="str">
            <v>1-0164</v>
          </cell>
        </row>
        <row r="2515">
          <cell r="AK2515" t="str">
            <v>RBR-1781</v>
          </cell>
          <cell r="AL2515" t="str">
            <v>1-0825-廣聲機械&gt;寄&gt;附發票&gt;附回郵</v>
          </cell>
          <cell r="AM2515" t="str">
            <v>1-0825</v>
          </cell>
        </row>
        <row r="2516">
          <cell r="AK2516" t="str">
            <v>LAD-818</v>
          </cell>
          <cell r="AL2516" t="str">
            <v>1-0661-泰華通運&gt;寄&gt;附發票&gt;附回郵</v>
          </cell>
          <cell r="AM2516" t="str">
            <v>1-0661</v>
          </cell>
        </row>
        <row r="2517">
          <cell r="AK2517" t="str">
            <v>KEC-2052</v>
          </cell>
          <cell r="AL2517" t="str">
            <v>1-0589-汯宸&gt;寄&gt;附發票&gt;一個月匯款</v>
          </cell>
          <cell r="AM2517" t="str">
            <v>1-0589</v>
          </cell>
        </row>
        <row r="2518">
          <cell r="AK2518" t="str">
            <v>板子12</v>
          </cell>
          <cell r="AL2518" t="str">
            <v>1-0152-藝豐&gt;寄&gt;附發票</v>
          </cell>
          <cell r="AM2518" t="str">
            <v>1-0152</v>
          </cell>
        </row>
        <row r="2519">
          <cell r="AK2519" t="str">
            <v>760-Q2</v>
          </cell>
          <cell r="AL2519" t="str">
            <v>1-0556-呈安.天九&gt;寄&gt;附發票&gt;自結</v>
          </cell>
          <cell r="AM2519" t="str">
            <v>1-0556</v>
          </cell>
        </row>
        <row r="2520">
          <cell r="AK2520" t="str">
            <v>86-YJ</v>
          </cell>
          <cell r="AL2520" t="str">
            <v>1-0162-鎰利&gt;鎰金&gt;鎰加&gt;寄&gt;附發票&gt;2個月匯款</v>
          </cell>
          <cell r="AM2520" t="str">
            <v>1-0162</v>
          </cell>
        </row>
        <row r="2521">
          <cell r="AK2521" t="str">
            <v>KAN-5516</v>
          </cell>
          <cell r="AL2521" t="str">
            <v>1-0398-天文.坤成&gt;寄&gt;附發票&gt;附回郵</v>
          </cell>
          <cell r="AM2521" t="str">
            <v>1-0398</v>
          </cell>
        </row>
        <row r="2522">
          <cell r="AK2522" t="str">
            <v>KEA-9183</v>
          </cell>
          <cell r="AL2522" t="str">
            <v>1-0257-古肇魁＞阿奎伯&gt;利汯&gt;電&gt;自結</v>
          </cell>
          <cell r="AM2522" t="str">
            <v>1-0257</v>
          </cell>
        </row>
        <row r="2523">
          <cell r="AK2523" t="str">
            <v>板26-RV</v>
          </cell>
          <cell r="AL2523" t="str">
            <v>1-0706-(2/3)福民&gt;寄&gt;附發票&gt;附回郵</v>
          </cell>
          <cell r="AM2523" t="str">
            <v>1-0706</v>
          </cell>
        </row>
        <row r="2524">
          <cell r="AK2524" t="str">
            <v>73-RV</v>
          </cell>
          <cell r="AL2524" t="str">
            <v>1-0706-(2/3)福民&gt;寄&gt;附發票&gt;附回郵</v>
          </cell>
          <cell r="AM2524" t="str">
            <v>1-0706</v>
          </cell>
        </row>
        <row r="2525">
          <cell r="AK2525" t="str">
            <v>AFP-9838</v>
          </cell>
          <cell r="AL2525" t="str">
            <v>1-0346-進發&gt;寄&gt;附發票&gt;附回郵</v>
          </cell>
          <cell r="AM2525" t="str">
            <v>1-0346</v>
          </cell>
        </row>
        <row r="2526">
          <cell r="AK2526" t="str">
            <v>2667-S6</v>
          </cell>
          <cell r="AL2526" t="str">
            <v>1-0074-順安&gt;寄&gt;附發票&gt;附回郵</v>
          </cell>
          <cell r="AM2526" t="str">
            <v>1-0074</v>
          </cell>
        </row>
        <row r="2527">
          <cell r="AK2527" t="str">
            <v>ABG-8811</v>
          </cell>
          <cell r="AL2527" t="str">
            <v>1-0720-駿江工程&gt;寄&gt;附發票&gt;附回郵</v>
          </cell>
          <cell r="AM2527" t="str">
            <v>1-0720</v>
          </cell>
        </row>
        <row r="2528">
          <cell r="AK2528" t="str">
            <v>1927-N2</v>
          </cell>
          <cell r="AL2528" t="str">
            <v>1-0556-呈安.天九&gt;寄&gt;附發票&gt;自結</v>
          </cell>
          <cell r="AM2528" t="str">
            <v>1-0556</v>
          </cell>
        </row>
        <row r="2529">
          <cell r="AK2529" t="str">
            <v>KLC-3581</v>
          </cell>
          <cell r="AL2529" t="str">
            <v>1-0043-(2/2)和泰&gt;寄&gt;附發票&gt;附回郵</v>
          </cell>
          <cell r="AM2529" t="str">
            <v>1-0043</v>
          </cell>
        </row>
        <row r="2530">
          <cell r="AK2530" t="str">
            <v>板432</v>
          </cell>
          <cell r="AL2530" t="str">
            <v>1-0162-鎰利&gt;鎰金&gt;鎰加&gt;寄&gt;附發票&gt;2個月匯款</v>
          </cell>
          <cell r="AM2530" t="str">
            <v>1-0162</v>
          </cell>
        </row>
        <row r="2531">
          <cell r="AK2531" t="str">
            <v>4497-B8</v>
          </cell>
          <cell r="AL2531" t="str">
            <v>1-0531-鋒魁.笠格科技&gt;寄&gt;附發票&gt;匯款(兩個月10號匯)</v>
          </cell>
          <cell r="AM2531" t="str">
            <v>1-0531</v>
          </cell>
        </row>
        <row r="2532">
          <cell r="AK2532" t="str">
            <v>APX-6502</v>
          </cell>
          <cell r="AL2532" t="str">
            <v>1-0694-永發&gt;寄&gt;附發票&gt;附回郵</v>
          </cell>
          <cell r="AM2532" t="str">
            <v>1-0694</v>
          </cell>
        </row>
        <row r="2533">
          <cell r="AK2533" t="str">
            <v>430-BQ</v>
          </cell>
          <cell r="AL2533" t="str">
            <v>1-0711-耕溢&gt;寄&gt;附發票&gt;附回郵</v>
          </cell>
          <cell r="AM2533" t="str">
            <v>1-0711</v>
          </cell>
        </row>
        <row r="2534">
          <cell r="AK2534" t="str">
            <v>288-SS</v>
          </cell>
          <cell r="AL2534" t="str">
            <v>1-0483-火炎山&gt;寄&gt;附發票&gt;附回郵</v>
          </cell>
          <cell r="AM2534" t="str">
            <v>1-0483</v>
          </cell>
        </row>
        <row r="2535">
          <cell r="AK2535" t="str">
            <v>736-Q8</v>
          </cell>
          <cell r="AL2535" t="str">
            <v>1-0334-廣寶&gt;環亞&gt;正大&gt;寄&gt;附回郵&gt;1個月後匯款</v>
          </cell>
          <cell r="AM2535" t="str">
            <v>1-0334</v>
          </cell>
        </row>
        <row r="2536">
          <cell r="AK2536" t="str">
            <v>3707-HB</v>
          </cell>
          <cell r="AL2536" t="str">
            <v>1-0060-源鴻&gt;寄&gt;親收</v>
          </cell>
          <cell r="AM2536" t="str">
            <v>1-0060</v>
          </cell>
        </row>
        <row r="2537">
          <cell r="AK2537" t="str">
            <v>833-ZG</v>
          </cell>
          <cell r="AL2537" t="str">
            <v>1-0670-大順&gt;寄&gt;自結</v>
          </cell>
          <cell r="AM2537" t="str">
            <v>1-0670</v>
          </cell>
        </row>
        <row r="2538">
          <cell r="AK2538" t="str">
            <v>LAJ-102</v>
          </cell>
          <cell r="AL2538" t="str">
            <v>1-0329-新萬俊&gt;寄&gt;匯款</v>
          </cell>
          <cell r="AM2538" t="str">
            <v>1-0329</v>
          </cell>
        </row>
        <row r="2539">
          <cell r="AK2539" t="str">
            <v>9K-311</v>
          </cell>
          <cell r="AL2539" t="str">
            <v>1-0674-翔威.翔鑫&gt;付現&gt;不能簽帳</v>
          </cell>
          <cell r="AM2539" t="str">
            <v>1-0674</v>
          </cell>
        </row>
        <row r="2540">
          <cell r="AK2540" t="str">
            <v>OH-0751</v>
          </cell>
          <cell r="AL2540" t="str">
            <v>1-0060-源鴻&gt;寄&gt;親收</v>
          </cell>
          <cell r="AM2540" t="str">
            <v>1-0060</v>
          </cell>
        </row>
        <row r="2541">
          <cell r="AK2541" t="str">
            <v>AFU-8016</v>
          </cell>
          <cell r="AL2541" t="str">
            <v>1-0109-東禾修理廠&gt;寄&gt;附發票&gt;附回郵</v>
          </cell>
          <cell r="AM2541" t="str">
            <v>1-0109</v>
          </cell>
        </row>
        <row r="2542">
          <cell r="AK2542" t="str">
            <v>AFN-9283</v>
          </cell>
          <cell r="AL2542" t="str">
            <v>1-0590-電機葆&gt;張正葆&gt;寄&gt;自結</v>
          </cell>
          <cell r="AM2542" t="str">
            <v>1-0590</v>
          </cell>
        </row>
        <row r="2543">
          <cell r="AK2543" t="str">
            <v>357-EE</v>
          </cell>
          <cell r="AL2543" t="str">
            <v>1-0056-寬輾&gt;寄&gt;附回郵(1/3)</v>
          </cell>
          <cell r="AM2543" t="str">
            <v>1-0056</v>
          </cell>
        </row>
        <row r="2544">
          <cell r="AK2544" t="str">
            <v>ML-99</v>
          </cell>
          <cell r="AL2544" t="str">
            <v>1-0504-安泰起重&gt;寄&gt;附發票&gt;附回郵</v>
          </cell>
          <cell r="AM2544" t="str">
            <v>1-0504</v>
          </cell>
        </row>
        <row r="2545">
          <cell r="AK2545" t="str">
            <v>ML-90</v>
          </cell>
          <cell r="AL2545" t="str">
            <v>1-0504-安泰起重&gt;寄&gt;附發票&gt;附回郵</v>
          </cell>
          <cell r="AM2545" t="str">
            <v>1-0504</v>
          </cell>
        </row>
        <row r="2546">
          <cell r="AK2546" t="str">
            <v>ML-790</v>
          </cell>
          <cell r="AL2546" t="str">
            <v>1-0504-安泰起重&gt;寄&gt;附發票&gt;附回郵</v>
          </cell>
          <cell r="AM2546" t="str">
            <v>1-0504</v>
          </cell>
        </row>
        <row r="2547">
          <cell r="AK2547" t="str">
            <v>KLB-1031</v>
          </cell>
          <cell r="AL2547" t="str">
            <v>1-0830-新華傑交通公司&gt;電&gt;匯款</v>
          </cell>
          <cell r="AM2547" t="str">
            <v>1-0830</v>
          </cell>
        </row>
        <row r="2548">
          <cell r="AK2548" t="str">
            <v>531-Y7</v>
          </cell>
          <cell r="AL2548" t="str">
            <v>1-0473-台灣肥料&gt;寄&gt;附發票&gt;兩個月底匯款</v>
          </cell>
          <cell r="AM2548" t="str">
            <v>1-0473</v>
          </cell>
        </row>
        <row r="2549">
          <cell r="AK2549" t="str">
            <v>APR-1116</v>
          </cell>
          <cell r="AL2549" t="str">
            <v>1-0065-台澄&gt;郭董&gt;寄&gt;老闆親收</v>
          </cell>
          <cell r="AM2549" t="str">
            <v>1-0065</v>
          </cell>
        </row>
        <row r="2550">
          <cell r="AK2550" t="str">
            <v>RAA-2103</v>
          </cell>
          <cell r="AL2550" t="str">
            <v>1-0415-聯有.統一東京&gt;寄&gt;附發票&gt;附回郵</v>
          </cell>
          <cell r="AM2550" t="str">
            <v>1-0415</v>
          </cell>
        </row>
        <row r="2551">
          <cell r="AK2551" t="str">
            <v>480-Y7</v>
          </cell>
          <cell r="AL2551" t="str">
            <v>1-0694-永發&gt;寄&gt;附發票&gt;附回郵</v>
          </cell>
          <cell r="AM2551" t="str">
            <v>1-0694</v>
          </cell>
        </row>
        <row r="2552">
          <cell r="AK2552" t="str">
            <v>8799-VY</v>
          </cell>
          <cell r="AL2552" t="str">
            <v>1-0615-弘陞&gt;寄&gt;自結</v>
          </cell>
          <cell r="AM2552" t="str">
            <v>1-0615</v>
          </cell>
        </row>
        <row r="2553">
          <cell r="AK2553" t="str">
            <v>RAE-9230</v>
          </cell>
          <cell r="AL2553" t="str">
            <v>1-0118-金昌&gt;寄&gt;附發票&gt;附回郵</v>
          </cell>
          <cell r="AM2553" t="str">
            <v>1-0118</v>
          </cell>
        </row>
        <row r="2554">
          <cell r="AK2554" t="str">
            <v>368-KD</v>
          </cell>
          <cell r="AL2554" t="str">
            <v>1-0398-天文.坤成&gt;寄&gt;附發票&gt;附回郵</v>
          </cell>
          <cell r="AM2554" t="str">
            <v>1-0398</v>
          </cell>
        </row>
        <row r="2555">
          <cell r="AK2555" t="str">
            <v>RV-272</v>
          </cell>
          <cell r="AL2555" t="str">
            <v>1-0728-中油探採&gt;寄&gt;待通知開發票&gt;一個月匯款&gt;(標案)</v>
          </cell>
          <cell r="AM2555" t="str">
            <v>1-0728</v>
          </cell>
        </row>
        <row r="2556">
          <cell r="AK2556" t="str">
            <v>ASN-3117</v>
          </cell>
          <cell r="AL2556" t="str">
            <v>1-0414-亞太汽車&gt;寄&gt;附回郵</v>
          </cell>
          <cell r="AM2556" t="str">
            <v>1-0414</v>
          </cell>
        </row>
        <row r="2557">
          <cell r="AK2557" t="str">
            <v>RAJ-7255</v>
          </cell>
          <cell r="AL2557" t="str">
            <v>1-0444-力盛&gt;寄&gt;附發票&gt;附回郵</v>
          </cell>
          <cell r="AM2557" t="str">
            <v>1-0444</v>
          </cell>
        </row>
        <row r="2558">
          <cell r="AK2558" t="str">
            <v>KLD-3110</v>
          </cell>
          <cell r="AL2558" t="str">
            <v>1-0319-彭坤盛&gt;龍祥&gt;寄&gt;附發票&gt;匯款</v>
          </cell>
          <cell r="AM2558" t="str">
            <v>1-0319</v>
          </cell>
        </row>
        <row r="2559">
          <cell r="AK2559" t="str">
            <v>APR-0075</v>
          </cell>
          <cell r="AL2559" t="str">
            <v>1-0021-毅和&gt;寄&gt;附發票&gt;附回郵</v>
          </cell>
          <cell r="AM2559" t="str">
            <v>1-0021</v>
          </cell>
        </row>
        <row r="2560">
          <cell r="AK2560" t="str">
            <v>256-R9</v>
          </cell>
          <cell r="AL2560" t="str">
            <v>1-0711-耕溢&gt;寄&gt;附發票&gt;附回郵</v>
          </cell>
          <cell r="AM2560" t="str">
            <v>1-0711</v>
          </cell>
        </row>
        <row r="2561">
          <cell r="AK2561" t="str">
            <v>TOYOTA堆高機</v>
          </cell>
          <cell r="AL2561" t="str">
            <v>1-0551-久展&gt;寄&gt;附發票&gt;兩個月28號匯款</v>
          </cell>
          <cell r="AM2561" t="str">
            <v>1-0551</v>
          </cell>
        </row>
        <row r="2562">
          <cell r="AK2562" t="str">
            <v>515-Y7</v>
          </cell>
          <cell r="AL2562" t="str">
            <v>1-0361-亨福&gt;寄&gt;附發票&gt;匯款(三個月15天)</v>
          </cell>
          <cell r="AM2562" t="str">
            <v>1-0361</v>
          </cell>
        </row>
        <row r="2563">
          <cell r="AK2563" t="str">
            <v>130-HR</v>
          </cell>
          <cell r="AL2563" t="str">
            <v>1-0518-魏世郎&gt;寄&gt;匯款</v>
          </cell>
          <cell r="AM2563" t="str">
            <v>1-0518</v>
          </cell>
        </row>
        <row r="2564">
          <cell r="AK2564" t="str">
            <v>LAG-759</v>
          </cell>
          <cell r="AL2564" t="str">
            <v>1-0136-順華&gt;寄&gt;附發票&gt;三個月匯款</v>
          </cell>
          <cell r="AM2564" t="str">
            <v>1-0136</v>
          </cell>
        </row>
        <row r="2565">
          <cell r="AK2565" t="str">
            <v>B6-7296</v>
          </cell>
          <cell r="AL2565" t="str">
            <v>1-0180-益勝鷹架&gt;寄&gt;附發票&gt;匯款</v>
          </cell>
          <cell r="AM2565" t="str">
            <v>1-0180</v>
          </cell>
        </row>
        <row r="2566">
          <cell r="AK2566" t="str">
            <v>QAE-951</v>
          </cell>
          <cell r="AL2566" t="str">
            <v>1-0608-聯倉&gt;寄&gt;附發票&gt;附回郵</v>
          </cell>
          <cell r="AM2566" t="str">
            <v>1-0608</v>
          </cell>
        </row>
        <row r="2567">
          <cell r="AK2567" t="str">
            <v>869-W6</v>
          </cell>
          <cell r="AL2567" t="str">
            <v>1-0661-泰華通運&gt;寄&gt;附發票&gt;附回郵</v>
          </cell>
          <cell r="AM2567" t="str">
            <v>1-0661</v>
          </cell>
        </row>
        <row r="2568">
          <cell r="AK2568" t="str">
            <v>板21-5B</v>
          </cell>
          <cell r="AL2568" t="str">
            <v>1-0721-中普氣體&gt;寄&gt;附發票&gt;匯款</v>
          </cell>
          <cell r="AM2568" t="str">
            <v>1-0721</v>
          </cell>
        </row>
        <row r="2569">
          <cell r="AK2569" t="str">
            <v>AUF-9897</v>
          </cell>
          <cell r="AL2569" t="str">
            <v>1-0610-恆陽&gt;聯鋮&gt;寄&gt;附發票&gt;附回郵</v>
          </cell>
          <cell r="AM2569" t="str">
            <v>1-0610</v>
          </cell>
        </row>
        <row r="2570">
          <cell r="AK2570" t="str">
            <v>AUU-8871</v>
          </cell>
          <cell r="AL2570" t="str">
            <v>1-0031-上和&gt;寄&gt;附發票&gt;附回郵</v>
          </cell>
          <cell r="AM2570" t="str">
            <v>1-0031</v>
          </cell>
        </row>
        <row r="2571">
          <cell r="AK2571" t="str">
            <v>AQC-7601</v>
          </cell>
          <cell r="AL2571" t="str">
            <v>1-0693-意鑫&gt;寄&gt;附發票&gt;匯款</v>
          </cell>
          <cell r="AM2571" t="str">
            <v>1-0693</v>
          </cell>
        </row>
        <row r="2572">
          <cell r="AK2572" t="str">
            <v>525-Q9</v>
          </cell>
          <cell r="AL2572" t="str">
            <v>1-0119-總宜&gt;寄&gt;自結</v>
          </cell>
          <cell r="AM2572" t="str">
            <v>1-0119</v>
          </cell>
        </row>
        <row r="2573">
          <cell r="AK2573" t="str">
            <v>688-Q9</v>
          </cell>
          <cell r="AL2573" t="str">
            <v>1-0119-總宜&gt;寄&gt;自結</v>
          </cell>
          <cell r="AM2573" t="str">
            <v>1-0119</v>
          </cell>
        </row>
        <row r="2574">
          <cell r="AK2574">
            <v>1154989</v>
          </cell>
          <cell r="AL2574" t="str">
            <v>1-0053-力璽&gt;寄&gt;匯款</v>
          </cell>
          <cell r="AM2574" t="str">
            <v>1-0053</v>
          </cell>
        </row>
        <row r="2575">
          <cell r="AK2575" t="str">
            <v>AJC-2098</v>
          </cell>
          <cell r="AL2575" t="str">
            <v>1-0392-好運&gt;寄&gt;附發票&gt;匯款</v>
          </cell>
          <cell r="AM2575" t="str">
            <v>1-0392</v>
          </cell>
        </row>
        <row r="2576">
          <cell r="AK2576" t="str">
            <v>270-Q2</v>
          </cell>
          <cell r="AL2576" t="str">
            <v>1-0055-利阡&gt;寄&gt;匯款</v>
          </cell>
          <cell r="AM2576" t="str">
            <v>1-0055</v>
          </cell>
        </row>
        <row r="2577">
          <cell r="AK2577" t="str">
            <v>3827-D7</v>
          </cell>
          <cell r="AL2577" t="str">
            <v>1-0001-全佑</v>
          </cell>
          <cell r="AM2577" t="str">
            <v>1-0001</v>
          </cell>
        </row>
        <row r="2578">
          <cell r="AK2578" t="str">
            <v>532-R9</v>
          </cell>
          <cell r="AL2578" t="str">
            <v>1-0109-東禾修理廠&gt;寄&gt;附發票&gt;附回郵</v>
          </cell>
          <cell r="AM2578" t="str">
            <v>1-0109</v>
          </cell>
        </row>
        <row r="2579">
          <cell r="AK2579" t="str">
            <v>AAG-605</v>
          </cell>
          <cell r="AL2579" t="str">
            <v>1-0689-新竹縣寶山鄉公所&gt;寄&gt;附發票&gt;附回郵</v>
          </cell>
          <cell r="AM2579" t="str">
            <v>1-0689</v>
          </cell>
        </row>
        <row r="2580">
          <cell r="AK2580" t="str">
            <v>Q8-056</v>
          </cell>
          <cell r="AL2580" t="str">
            <v>1-0461-釧宏&gt;寄&gt;附發票&gt;附回郵</v>
          </cell>
          <cell r="AM2580" t="str">
            <v>1-0461</v>
          </cell>
        </row>
        <row r="2581">
          <cell r="AK2581" t="str">
            <v>AJM-2576</v>
          </cell>
          <cell r="AL2581" t="str">
            <v>1-0689-新竹縣寶山鄉公所&gt;寄&gt;附發票&gt;附回郵</v>
          </cell>
          <cell r="AM2581" t="str">
            <v>1-0689</v>
          </cell>
        </row>
        <row r="2582">
          <cell r="AK2582" t="str">
            <v>11-3G</v>
          </cell>
          <cell r="AL2582" t="str">
            <v>1-0707-(3/3)福麗&gt;寄&gt;附發票&gt;附回郵</v>
          </cell>
          <cell r="AM2582" t="str">
            <v>1-0707</v>
          </cell>
        </row>
        <row r="2583">
          <cell r="AK2583" t="str">
            <v>L7-04-02</v>
          </cell>
          <cell r="AL2583" t="str">
            <v>1-0162-鎰利&gt;鎰金&gt;鎰加&gt;寄&gt;附發票&gt;2個月匯款</v>
          </cell>
          <cell r="AM2583" t="str">
            <v>1-0162</v>
          </cell>
        </row>
        <row r="2584">
          <cell r="AK2584" t="str">
            <v>RAA-2550</v>
          </cell>
          <cell r="AL2584" t="str">
            <v>1-0415-聯有.統一東京&gt;寄&gt;附發票&gt;附回郵</v>
          </cell>
          <cell r="AM2584" t="str">
            <v>1-0415</v>
          </cell>
        </row>
        <row r="2585">
          <cell r="AK2585" t="str">
            <v>SV-195</v>
          </cell>
          <cell r="AL2585" t="str">
            <v>1-0874-謝武宗&gt;付現</v>
          </cell>
          <cell r="AM2585" t="str">
            <v>1-0874</v>
          </cell>
        </row>
        <row r="2586">
          <cell r="AK2586" t="str">
            <v>257-MM</v>
          </cell>
          <cell r="AL2586" t="str">
            <v>1-0525-勝興&gt;寄&gt;附發票&gt;自結</v>
          </cell>
          <cell r="AM2586" t="str">
            <v>1-0525</v>
          </cell>
        </row>
        <row r="2587">
          <cell r="AK2587" t="str">
            <v>KLA-3326</v>
          </cell>
          <cell r="AL2587" t="str">
            <v>1-0608-聯倉&gt;寄&gt;附發票&gt;附回郵</v>
          </cell>
          <cell r="AM2587" t="str">
            <v>1-0608</v>
          </cell>
        </row>
        <row r="2588">
          <cell r="AK2588" t="str">
            <v>98-DF</v>
          </cell>
          <cell r="AL2588" t="str">
            <v>1-0607-(2/2)瑋鎰&gt;寄&gt;附發票&gt;附回郵</v>
          </cell>
          <cell r="AM2588" t="str">
            <v>1-0607</v>
          </cell>
        </row>
        <row r="2589">
          <cell r="AK2589" t="str">
            <v>板B2</v>
          </cell>
          <cell r="AL2589" t="str">
            <v>1-0162-鎰利&gt;鎰金&gt;鎰加&gt;寄&gt;附發票&gt;2個月匯款</v>
          </cell>
          <cell r="AM2589" t="str">
            <v>1-0162</v>
          </cell>
        </row>
        <row r="2590">
          <cell r="AK2590" t="str">
            <v>AAG-279</v>
          </cell>
          <cell r="AL2590" t="str">
            <v>1-0589-汯宸&gt;寄&gt;附發票&gt;一個月匯款</v>
          </cell>
          <cell r="AM2590" t="str">
            <v>1-0589</v>
          </cell>
        </row>
        <row r="2591">
          <cell r="AK2591" t="str">
            <v>板78-3A</v>
          </cell>
          <cell r="AL2591" t="str">
            <v>1-0473-台灣肥料&gt;寄&gt;附發票&gt;兩個月底匯款</v>
          </cell>
          <cell r="AM2591" t="str">
            <v>1-0473</v>
          </cell>
        </row>
        <row r="2592">
          <cell r="AK2592" t="str">
            <v>吊車NM-99</v>
          </cell>
          <cell r="AL2592" t="str">
            <v>1-0504-安泰起重&gt;寄&gt;附發票&gt;附回郵</v>
          </cell>
          <cell r="AM2592" t="str">
            <v>1-0504</v>
          </cell>
        </row>
        <row r="2593">
          <cell r="AK2593" t="str">
            <v>板82-3A</v>
          </cell>
          <cell r="AL2593" t="str">
            <v>1-0473-台灣肥料&gt;寄&gt;附發票&gt;兩個月底匯款</v>
          </cell>
          <cell r="AM2593" t="str">
            <v>1-0473</v>
          </cell>
        </row>
        <row r="2594">
          <cell r="AK2594" t="str">
            <v>AVA-2323</v>
          </cell>
          <cell r="AL2594" t="str">
            <v>1-0031-上和&gt;寄&gt;附發票&gt;附回郵</v>
          </cell>
          <cell r="AM2594" t="str">
            <v>1-0031</v>
          </cell>
        </row>
        <row r="2595">
          <cell r="AK2595" t="str">
            <v>KLC-3293</v>
          </cell>
          <cell r="AL2595" t="str">
            <v>1-0706-(2/3)福民&gt;寄&gt;附發票&gt;附回郵</v>
          </cell>
          <cell r="AM2595" t="str">
            <v>1-0706</v>
          </cell>
        </row>
        <row r="2596">
          <cell r="AK2596" t="str">
            <v>APX-8330</v>
          </cell>
          <cell r="AL2596" t="str">
            <v>1-0194-傅文芳&gt;大砲&gt;一路發拖吊&gt;電&gt;自結</v>
          </cell>
          <cell r="AM2596" t="str">
            <v>1-0194</v>
          </cell>
        </row>
        <row r="2597">
          <cell r="AK2597" t="str">
            <v>660-堆高機</v>
          </cell>
          <cell r="AL2597" t="str">
            <v>1-0660-竹新.頂烽&gt;寄&gt;附發票&gt;匯款</v>
          </cell>
          <cell r="AM2597" t="str">
            <v>1-0660</v>
          </cell>
        </row>
        <row r="2598">
          <cell r="AK2598" t="str">
            <v>AHD-6787</v>
          </cell>
          <cell r="AL2598" t="str">
            <v>1-0778-國際水電&gt;尖下&gt;寄&gt;兩個月匯款</v>
          </cell>
          <cell r="AM2598" t="str">
            <v>1-0778</v>
          </cell>
        </row>
        <row r="2599">
          <cell r="AK2599" t="str">
            <v>RBP-3399</v>
          </cell>
          <cell r="AL2599" t="str">
            <v>1-0566-順彬&gt;寄&gt;附發票&gt;附回郵</v>
          </cell>
          <cell r="AM2599" t="str">
            <v>1-0566</v>
          </cell>
        </row>
        <row r="2600">
          <cell r="AK2600" t="str">
            <v>ALK-0978</v>
          </cell>
          <cell r="AL2600" t="str">
            <v>1-0019-福雄&gt;寄&gt;附發票&gt;附回郵</v>
          </cell>
          <cell r="AM2600" t="str">
            <v>1-0019</v>
          </cell>
        </row>
        <row r="2601">
          <cell r="AK2601" t="str">
            <v>板A8</v>
          </cell>
          <cell r="AL2601" t="str">
            <v>1-0162-鎰利&gt;鎰金&gt;鎰加&gt;寄&gt;附發票&gt;2個月匯款</v>
          </cell>
          <cell r="AM2601" t="str">
            <v>1-0162</v>
          </cell>
        </row>
        <row r="2602">
          <cell r="AK2602" t="str">
            <v>789-TR</v>
          </cell>
          <cell r="AL2602" t="str">
            <v>1-0513-百飛.最安逸.天朝&gt;寄&gt;附發票&gt;自結</v>
          </cell>
          <cell r="AM2602" t="str">
            <v>1-0513</v>
          </cell>
        </row>
        <row r="2603">
          <cell r="AK2603" t="str">
            <v>KLD-5361</v>
          </cell>
          <cell r="AL2603" t="str">
            <v>1-0608-聯倉&gt;寄&gt;附發票&gt;附回郵</v>
          </cell>
          <cell r="AM2603" t="str">
            <v>1-0608</v>
          </cell>
        </row>
        <row r="2604">
          <cell r="AK2604" t="str">
            <v>ALJ-6777</v>
          </cell>
          <cell r="AL2604" t="str">
            <v>1-0484-世鑫營造&gt;寄&gt;附發票&gt;2個月匯款</v>
          </cell>
          <cell r="AM2604" t="str">
            <v>1-0484</v>
          </cell>
        </row>
        <row r="2605">
          <cell r="AK2605" t="str">
            <v>AJM-3172</v>
          </cell>
          <cell r="AL2605" t="str">
            <v>1-0223-禎祥&gt;寄&gt;附發票&gt;附回郵</v>
          </cell>
          <cell r="AM2605" t="str">
            <v>1-0223</v>
          </cell>
        </row>
        <row r="2606">
          <cell r="AK2606" t="str">
            <v>599-X3</v>
          </cell>
          <cell r="AL2606" t="str">
            <v>1-0727-鐘有鈿 &gt;連升&gt;正峰&gt;嘉順&gt;寄&gt;附回郵</v>
          </cell>
          <cell r="AM2606" t="str">
            <v>1-0727</v>
          </cell>
        </row>
        <row r="2607">
          <cell r="AK2607" t="str">
            <v>27-RV</v>
          </cell>
          <cell r="AL2607" t="str">
            <v>1-0705-(1/3)福瑞&gt;寄&gt;附發票&gt;附回郵</v>
          </cell>
          <cell r="AM2607" t="str">
            <v>1-0705</v>
          </cell>
        </row>
        <row r="2608">
          <cell r="AK2608" t="str">
            <v>R3-0921</v>
          </cell>
          <cell r="AL2608" t="str">
            <v>1-0109-東禾修理廠&gt;寄&gt;附發票&gt;附回郵</v>
          </cell>
          <cell r="AM2608" t="str">
            <v>1-0109</v>
          </cell>
        </row>
        <row r="2609">
          <cell r="AK2609" t="str">
            <v>812-T2</v>
          </cell>
          <cell r="AL2609" t="str">
            <v>1-0026-太原氣體&gt;寄&gt;附發票&gt;附回郵</v>
          </cell>
          <cell r="AM2609" t="str">
            <v>1-0026</v>
          </cell>
        </row>
        <row r="2610">
          <cell r="AK2610" t="str">
            <v>3627-VF</v>
          </cell>
          <cell r="AL2610" t="str">
            <v>1-0031-上和&gt;寄&gt;附發票&gt;附回郵</v>
          </cell>
          <cell r="AM2610" t="str">
            <v>1-0031</v>
          </cell>
        </row>
        <row r="2611">
          <cell r="AK2611" t="str">
            <v>669-BT</v>
          </cell>
          <cell r="AL2611" t="str">
            <v>1-0106-宏技&gt;寄&gt;附發票&gt;附回郵</v>
          </cell>
          <cell r="AM2611" t="str">
            <v>1-0106</v>
          </cell>
        </row>
        <row r="2612">
          <cell r="AK2612" t="str">
            <v>ALQ-6255</v>
          </cell>
          <cell r="AL2612" t="str">
            <v>1-0011-海銓&gt;電&gt;親收&gt;帶客戶請款聯</v>
          </cell>
          <cell r="AM2612" t="str">
            <v>1-0011</v>
          </cell>
        </row>
        <row r="2613">
          <cell r="AK2613" t="str">
            <v>AWQ-3012</v>
          </cell>
          <cell r="AL2613" t="str">
            <v>1-0540-聯興&gt;葉秀禮&gt;寄平信&gt;自結</v>
          </cell>
          <cell r="AM2613" t="str">
            <v>1-0540</v>
          </cell>
        </row>
        <row r="2614">
          <cell r="AK2614" t="str">
            <v>7193-DP</v>
          </cell>
          <cell r="AL2614" t="str">
            <v>1-0031-上和&gt;寄&gt;附發票&gt;附回郵</v>
          </cell>
          <cell r="AM2614" t="str">
            <v>1-0031</v>
          </cell>
        </row>
        <row r="2615">
          <cell r="AK2615" t="str">
            <v>680-ZC</v>
          </cell>
          <cell r="AL2615" t="str">
            <v>1-0004-(1/3)長增&gt;寄&gt;附發票&gt;匯款&gt;現金價</v>
          </cell>
          <cell r="AM2615" t="str">
            <v>1-0004</v>
          </cell>
        </row>
        <row r="2616">
          <cell r="AK2616" t="str">
            <v>450-TV</v>
          </cell>
          <cell r="AL2616" t="str">
            <v>1-0019-福雄&gt;寄&gt;附發票&gt;附回郵</v>
          </cell>
          <cell r="AM2616" t="str">
            <v>1-0019</v>
          </cell>
        </row>
        <row r="2617">
          <cell r="AK2617" t="str">
            <v>HB-463</v>
          </cell>
          <cell r="AL2617" t="str">
            <v>1-0368-銀城&gt;寄&gt;附發票&gt;附回郵</v>
          </cell>
          <cell r="AM2617" t="str">
            <v>1-0368</v>
          </cell>
        </row>
        <row r="2618">
          <cell r="AK2618" t="str">
            <v>7487-YT</v>
          </cell>
          <cell r="AL2618" t="str">
            <v>1-0548-題陞&gt;寄&gt;附發票&gt;附回郵</v>
          </cell>
          <cell r="AM2618" t="str">
            <v>1-0548</v>
          </cell>
        </row>
        <row r="2619">
          <cell r="AK2619" t="str">
            <v>KLB-1798</v>
          </cell>
          <cell r="AL2619" t="str">
            <v>1-0705-(1/3)福瑞&gt;寄&gt;附發票&gt;附回郵</v>
          </cell>
          <cell r="AM2619" t="str">
            <v>1-0705</v>
          </cell>
        </row>
        <row r="2620">
          <cell r="AK2620" t="str">
            <v>7230-JU</v>
          </cell>
          <cell r="AL2620" t="str">
            <v>1-0446-全家福&gt;寄&gt;附發票&gt;二個月匯款</v>
          </cell>
          <cell r="AM2620" t="str">
            <v>1-0446</v>
          </cell>
        </row>
        <row r="2621">
          <cell r="AK2621" t="str">
            <v>2906-B8</v>
          </cell>
          <cell r="AL2621" t="str">
            <v>1-0060-源鴻&gt;寄&gt;親收</v>
          </cell>
          <cell r="AM2621" t="str">
            <v>1-0060</v>
          </cell>
        </row>
        <row r="2622">
          <cell r="AK2622" t="str">
            <v>QM-858</v>
          </cell>
          <cell r="AL2622" t="str">
            <v>1-0668-陳鈺蓁.福聖&gt;寄&gt;附發票&gt;一個月匯款</v>
          </cell>
          <cell r="AM2622" t="str">
            <v>1-0668</v>
          </cell>
        </row>
        <row r="2623">
          <cell r="AK2623" t="str">
            <v>KLC-3776</v>
          </cell>
          <cell r="AL2623" t="str">
            <v>1-0056-寬輾&gt;寄&gt;附回郵(1/3)</v>
          </cell>
          <cell r="AM2623" t="str">
            <v>1-0056</v>
          </cell>
        </row>
        <row r="2624">
          <cell r="AK2624" t="str">
            <v>KEA-9193</v>
          </cell>
          <cell r="AL2624" t="str">
            <v>1-0065-台澄&gt;郭董&gt;寄&gt;老闆親收</v>
          </cell>
          <cell r="AM2624" t="str">
            <v>1-0065</v>
          </cell>
        </row>
        <row r="2625">
          <cell r="AK2625" t="str">
            <v>AJM-0380</v>
          </cell>
          <cell r="AL2625" t="str">
            <v>1-0689-新竹縣寶山鄉公所&gt;寄&gt;附發票&gt;附回郵</v>
          </cell>
          <cell r="AM2625" t="str">
            <v>1-0689</v>
          </cell>
        </row>
        <row r="2626">
          <cell r="AK2626" t="str">
            <v>378-TY</v>
          </cell>
          <cell r="AL2626" t="str">
            <v>1-0484-世鑫營造&gt;寄&gt;附發票&gt;2個月匯款</v>
          </cell>
          <cell r="AM2626" t="str">
            <v>1-0484</v>
          </cell>
        </row>
        <row r="2627">
          <cell r="AK2627" t="str">
            <v>384-QP</v>
          </cell>
          <cell r="AL2627" t="str">
            <v>1-0694-永發&gt;寄&gt;附發票&gt;附回郵</v>
          </cell>
          <cell r="AM2627" t="str">
            <v>1-0694</v>
          </cell>
        </row>
        <row r="2628">
          <cell r="AK2628" t="str">
            <v>152-S2</v>
          </cell>
          <cell r="AL2628" t="str">
            <v>1-0625-(2/3)永矩(卡車)&gt;寄&gt;附發票&gt;附回郵</v>
          </cell>
          <cell r="AM2628" t="str">
            <v>1-0625</v>
          </cell>
        </row>
        <row r="2629">
          <cell r="AK2629" t="str">
            <v>125-VB</v>
          </cell>
          <cell r="AL2629" t="str">
            <v>1-0049-欣晏&gt;寄&gt;匯款</v>
          </cell>
          <cell r="AM2629" t="str">
            <v>1-0049</v>
          </cell>
        </row>
        <row r="2630">
          <cell r="AK2630" t="str">
            <v>ML-89</v>
          </cell>
          <cell r="AL2630" t="str">
            <v>1-0504-安泰起重&gt;寄&gt;附發票&gt;附回郵</v>
          </cell>
          <cell r="AM2630" t="str">
            <v>1-0504</v>
          </cell>
        </row>
        <row r="2631">
          <cell r="AK2631" t="str">
            <v>7199-R5</v>
          </cell>
          <cell r="AL2631" t="str">
            <v>1-0199-鐸昇&gt;寄&gt;附發票&gt;附回郵</v>
          </cell>
          <cell r="AM2631" t="str">
            <v>1-0199</v>
          </cell>
        </row>
        <row r="2632">
          <cell r="AK2632" t="str">
            <v>板29-0.4-1</v>
          </cell>
          <cell r="AL2632" t="str">
            <v>1-0162-鎰利&gt;鎰金&gt;鎰加&gt;寄&gt;附發票&gt;2個月匯款</v>
          </cell>
          <cell r="AM2632" t="str">
            <v>1-0162</v>
          </cell>
        </row>
        <row r="2633">
          <cell r="AK2633" t="str">
            <v>AHD-7116</v>
          </cell>
          <cell r="AL2633" t="str">
            <v>1-0549-華品&gt;佳上&gt;冠仁&gt;寄&gt;附發票&gt;附回郵</v>
          </cell>
          <cell r="AM2633" t="str">
            <v>1-0549</v>
          </cell>
        </row>
        <row r="2634">
          <cell r="AK2634" t="str">
            <v>KLA-3858</v>
          </cell>
          <cell r="AL2634" t="str">
            <v>1-0731-原皇&gt;原華&gt;國順-昇敏&gt;寄&gt;附發票&gt;附回郵(2個月25號寄票)</v>
          </cell>
          <cell r="AM2634" t="str">
            <v>1-0731</v>
          </cell>
        </row>
        <row r="2635">
          <cell r="AK2635" t="str">
            <v>板09</v>
          </cell>
          <cell r="AL2635" t="str">
            <v>1-0162-鎰利&gt;鎰金&gt;鎰加&gt;寄&gt;附發票&gt;2個月匯款</v>
          </cell>
          <cell r="AM2635" t="str">
            <v>1-0162</v>
          </cell>
        </row>
        <row r="2636">
          <cell r="AK2636" t="str">
            <v>KLD-3081</v>
          </cell>
          <cell r="AL2636" t="str">
            <v>1-0709-(3/3)金正汽車貨運&gt;寄&gt;附回郵</v>
          </cell>
          <cell r="AM2636" t="str">
            <v>1-0709</v>
          </cell>
        </row>
        <row r="2637">
          <cell r="AK2637" t="str">
            <v>309-DD</v>
          </cell>
          <cell r="AL2637" t="str">
            <v>1-0122-嘉偉&gt;元美&gt;寄&gt;附發票&gt;附回郵</v>
          </cell>
          <cell r="AM2637" t="str">
            <v>1-0122</v>
          </cell>
        </row>
        <row r="2638">
          <cell r="AK2638" t="str">
            <v>473-ZD</v>
          </cell>
          <cell r="AL2638" t="str">
            <v>1-0162-鎰利&gt;鎰金&gt;鎰加&gt;寄&gt;附發票&gt;2個月匯款</v>
          </cell>
          <cell r="AM2638" t="str">
            <v>1-0162</v>
          </cell>
        </row>
        <row r="2639">
          <cell r="AK2639" t="str">
            <v>QR-7292</v>
          </cell>
          <cell r="AL2639" t="str">
            <v>1-0109-東禾修理廠&gt;寄&gt;附發票&gt;附回郵</v>
          </cell>
          <cell r="AM2639" t="str">
            <v>1-0109</v>
          </cell>
        </row>
        <row r="2640">
          <cell r="AK2640" t="str">
            <v>690-ZU</v>
          </cell>
          <cell r="AL2640" t="str">
            <v>1-0587-志竹&gt;現收</v>
          </cell>
          <cell r="AM2640" t="str">
            <v>1-0587</v>
          </cell>
        </row>
        <row r="2641">
          <cell r="AK2641" t="str">
            <v>AUL-3318</v>
          </cell>
          <cell r="AL2641" t="str">
            <v>1-0469-黃明良&gt;旭東&gt;寄&gt;附發票&gt;附回郵</v>
          </cell>
          <cell r="AM2641" t="str">
            <v>1-0469</v>
          </cell>
        </row>
        <row r="2642">
          <cell r="AK2642" t="str">
            <v>971-Y7</v>
          </cell>
          <cell r="AL2642" t="str">
            <v>1-0019-福雄&gt;寄&gt;附發票&gt;附回郵</v>
          </cell>
          <cell r="AM2642" t="str">
            <v>1-0019</v>
          </cell>
        </row>
        <row r="2643">
          <cell r="AK2643" t="str">
            <v>725-Q9</v>
          </cell>
          <cell r="AL2643" t="str">
            <v>1-0007-宜城&gt;寄&gt;附發票&gt;附回郵</v>
          </cell>
          <cell r="AM2643" t="str">
            <v>1-0007</v>
          </cell>
        </row>
        <row r="2644">
          <cell r="AK2644" t="str">
            <v>KAE-877</v>
          </cell>
          <cell r="AL2644" t="str">
            <v>1-0164-元慶&gt;寄&gt;附發票&gt;附回郵</v>
          </cell>
          <cell r="AM2644" t="str">
            <v>1-0164</v>
          </cell>
        </row>
        <row r="2645">
          <cell r="AK2645" t="str">
            <v>277-MM</v>
          </cell>
          <cell r="AL2645" t="str">
            <v>1-0122-嘉偉&gt;元美&gt;寄&gt;附發票&gt;附回郵</v>
          </cell>
          <cell r="AM2645" t="str">
            <v>1-0122</v>
          </cell>
        </row>
        <row r="2646">
          <cell r="AK2646" t="str">
            <v>板A7</v>
          </cell>
          <cell r="AL2646" t="str">
            <v>1-0162-鎰利&gt;鎰金&gt;鎰加&gt;寄&gt;附發票&gt;2個月匯款</v>
          </cell>
          <cell r="AM2646" t="str">
            <v>1-0162</v>
          </cell>
        </row>
        <row r="2647">
          <cell r="AK2647" t="str">
            <v>3051-FP</v>
          </cell>
          <cell r="AL2647" t="str">
            <v>1-0176-眾信&gt;寄&gt;附發票&gt;附回郵</v>
          </cell>
          <cell r="AM2647" t="str">
            <v>1-0176</v>
          </cell>
        </row>
        <row r="2648">
          <cell r="AK2648" t="str">
            <v>255-V6</v>
          </cell>
          <cell r="AL2648" t="str">
            <v>1-0122-嘉偉&gt;元美&gt;寄&gt;附發票&gt;附回郵</v>
          </cell>
          <cell r="AM2648" t="str">
            <v>1-0122</v>
          </cell>
        </row>
        <row r="2649">
          <cell r="AK2649" t="str">
            <v>6F-06</v>
          </cell>
          <cell r="AL2649" t="str">
            <v>1-0696-永鉅汽車&gt;寄&gt;附發票&gt;附回郵</v>
          </cell>
          <cell r="AM2649" t="str">
            <v>1-0696</v>
          </cell>
        </row>
        <row r="2650">
          <cell r="AK2650" t="str">
            <v>056-EA</v>
          </cell>
          <cell r="AL2650" t="str">
            <v>1-0588-蔡長永(原華)&gt;寄&gt;自結</v>
          </cell>
          <cell r="AM2650" t="str">
            <v>1-0588</v>
          </cell>
        </row>
        <row r="2651">
          <cell r="AK2651" t="str">
            <v>KEA-9191</v>
          </cell>
          <cell r="AL2651" t="str">
            <v>1-0590-電機葆&gt;張正葆&gt;寄&gt;自結</v>
          </cell>
          <cell r="AM2651" t="str">
            <v>1-0590</v>
          </cell>
        </row>
        <row r="2652">
          <cell r="AK2652" t="str">
            <v>0326-PQ</v>
          </cell>
          <cell r="AL2652" t="str">
            <v>1-0566-順彬&gt;寄&gt;附發票&gt;附回郵</v>
          </cell>
          <cell r="AM2652" t="str">
            <v>1-0566</v>
          </cell>
        </row>
        <row r="2653">
          <cell r="AK2653" t="str">
            <v>AFP-8303</v>
          </cell>
          <cell r="AL2653" t="str">
            <v>1-0346-進發&gt;寄&gt;附發票&gt;附回郵</v>
          </cell>
          <cell r="AM2653" t="str">
            <v>1-0346</v>
          </cell>
        </row>
        <row r="2654">
          <cell r="AK2654" t="str">
            <v>KNA-3328</v>
          </cell>
          <cell r="AL2654" t="str">
            <v>1-0608-聯倉&gt;寄&gt;附發票&gt;附回郵</v>
          </cell>
          <cell r="AM2654" t="str">
            <v>1-0608</v>
          </cell>
        </row>
        <row r="2655">
          <cell r="AK2655" t="str">
            <v>HA-772</v>
          </cell>
          <cell r="AL2655" t="str">
            <v>1-0730-中油探採&gt;開估價單&gt;自來結帳開發票&gt;匯款</v>
          </cell>
          <cell r="AM2655" t="str">
            <v>1-0730</v>
          </cell>
        </row>
        <row r="2656">
          <cell r="AK2656" t="str">
            <v>AAH-360</v>
          </cell>
          <cell r="AL2656" t="str">
            <v>1-0137-華鎮環保科技有限公司&gt;寄&gt;匯款</v>
          </cell>
          <cell r="AM2656" t="str">
            <v>1-0137</v>
          </cell>
        </row>
        <row r="2657">
          <cell r="AK2657" t="str">
            <v>AJM-7923</v>
          </cell>
          <cell r="AL2657" t="str">
            <v>1-0180-益勝鷹架&gt;寄&gt;附發票&gt;匯款</v>
          </cell>
          <cell r="AM2657" t="str">
            <v>1-0180</v>
          </cell>
        </row>
        <row r="2658">
          <cell r="AK2658" t="str">
            <v>板82-DF</v>
          </cell>
          <cell r="AL2658" t="str">
            <v>1-0607-(2/2)瑋鎰&gt;寄&gt;附發票&gt;附回郵</v>
          </cell>
          <cell r="AM2658" t="str">
            <v>1-0607</v>
          </cell>
        </row>
        <row r="2659">
          <cell r="AK2659" t="str">
            <v>HAB-3078</v>
          </cell>
          <cell r="AL2659" t="str">
            <v>1-0660-竹新.頂烽&gt;寄&gt;附發票&gt;匯款</v>
          </cell>
          <cell r="AM2659" t="str">
            <v>1-0660</v>
          </cell>
        </row>
        <row r="2660">
          <cell r="AK2660" t="str">
            <v>6617-M9</v>
          </cell>
          <cell r="AL2660" t="str">
            <v>1-0001-全佑</v>
          </cell>
          <cell r="AM2660" t="str">
            <v>1-0001</v>
          </cell>
        </row>
        <row r="2661">
          <cell r="AK2661" t="str">
            <v>49-T5</v>
          </cell>
          <cell r="AL2661" t="str">
            <v>1-0674-翔威.翔鑫&gt;付現&gt;不能簽帳</v>
          </cell>
          <cell r="AM2661" t="str">
            <v>1-0674</v>
          </cell>
        </row>
        <row r="2662">
          <cell r="AK2662" t="str">
            <v>ARQ-5165</v>
          </cell>
          <cell r="AL2662" t="str">
            <v>1-0368-銀城&gt;寄&gt;附發票&gt;附回郵</v>
          </cell>
          <cell r="AM2662" t="str">
            <v>1-0368</v>
          </cell>
        </row>
        <row r="2663">
          <cell r="AK2663" t="str">
            <v>287-U6</v>
          </cell>
          <cell r="AL2663" t="str">
            <v>1-0122-嘉偉&gt;元美&gt;寄&gt;附發票&gt;附回郵</v>
          </cell>
          <cell r="AM2663" t="str">
            <v>1-0122</v>
          </cell>
        </row>
        <row r="2664">
          <cell r="AK2664" t="str">
            <v>F5-967</v>
          </cell>
          <cell r="AL2664" t="str">
            <v>1-0728-中油探採&gt;寄&gt;待通知開發票&gt;一個月匯款&gt;(標案)</v>
          </cell>
          <cell r="AM2664" t="str">
            <v>1-0728</v>
          </cell>
        </row>
        <row r="2665">
          <cell r="AK2665" t="str">
            <v>7M-6473</v>
          </cell>
          <cell r="AL2665" t="str">
            <v>1-0004-(1/3)長增&gt;寄&gt;附發票&gt;匯款&gt;現金價</v>
          </cell>
          <cell r="AM2665" t="str">
            <v>1-0004</v>
          </cell>
        </row>
        <row r="2666">
          <cell r="AK2666" t="str">
            <v>21下巴</v>
          </cell>
          <cell r="AL2666" t="str">
            <v>1-0021-毅和&gt;寄&gt;附發票&gt;附回郵</v>
          </cell>
          <cell r="AM2666" t="str">
            <v>1-0021</v>
          </cell>
        </row>
        <row r="2667">
          <cell r="AK2667" t="str">
            <v>KLD-3587</v>
          </cell>
          <cell r="AL2667" t="str">
            <v>1-0606-(1/2)冠德&gt;寄&gt;附發票&gt;附回郵</v>
          </cell>
          <cell r="AM2667" t="str">
            <v>1-0606</v>
          </cell>
        </row>
        <row r="2668">
          <cell r="AK2668" t="str">
            <v>197-M3</v>
          </cell>
          <cell r="AL2668" t="str">
            <v>1-0315-簡錦郎&gt;松生&gt;寄&gt;附回郵</v>
          </cell>
          <cell r="AM2668" t="str">
            <v>1-0315</v>
          </cell>
        </row>
        <row r="2669">
          <cell r="AK2669" t="str">
            <v>APX-0306</v>
          </cell>
          <cell r="AL2669" t="str">
            <v>1-0214-嘉德技術&gt;寄&gt;附發票&gt;附回郵</v>
          </cell>
          <cell r="AM2669" t="str">
            <v>1-0214</v>
          </cell>
        </row>
        <row r="2670">
          <cell r="AK2670" t="str">
            <v>EH-4293</v>
          </cell>
          <cell r="AL2670" t="str">
            <v>1-0019-福雄&gt;寄&gt;附發票&gt;附回郵</v>
          </cell>
          <cell r="AM2670" t="str">
            <v>1-0019</v>
          </cell>
        </row>
        <row r="2671">
          <cell r="AK2671" t="str">
            <v>AKX-6878</v>
          </cell>
          <cell r="AL2671" t="str">
            <v>1-0042-(1/2)中港砂石&gt;寄&gt;附發票&gt;附回郵</v>
          </cell>
          <cell r="AM2671" t="str">
            <v>1-0042</v>
          </cell>
        </row>
        <row r="2672">
          <cell r="AK2672" t="str">
            <v>941-W9</v>
          </cell>
          <cell r="AL2672" t="str">
            <v>1-0608-聯倉&gt;寄&gt;附發票&gt;附回郵</v>
          </cell>
          <cell r="AM2672" t="str">
            <v>1-0608</v>
          </cell>
        </row>
        <row r="2673">
          <cell r="AK2673" t="str">
            <v>9497-WN</v>
          </cell>
          <cell r="AL2673" t="str">
            <v>1-0531-鋒魁.笠格科技&gt;寄&gt;附發票&gt;匯款(兩個月10號匯)</v>
          </cell>
          <cell r="AM2673" t="str">
            <v>1-0531</v>
          </cell>
        </row>
        <row r="2674">
          <cell r="AK2674" t="str">
            <v>168-堆土機</v>
          </cell>
          <cell r="AL2674" t="str">
            <v>1-0168-永明&gt;寄&gt;親收</v>
          </cell>
          <cell r="AM2674" t="str">
            <v>1-0168</v>
          </cell>
        </row>
        <row r="2675">
          <cell r="AK2675" t="str">
            <v>KEA-9221</v>
          </cell>
          <cell r="AL2675" t="str">
            <v>1-0014-六順(順合)&gt;寄&gt;附發票&gt;附回郵</v>
          </cell>
          <cell r="AM2675" t="str">
            <v>1-0014</v>
          </cell>
        </row>
        <row r="2676">
          <cell r="AK2676" t="str">
            <v>581-下巴</v>
          </cell>
          <cell r="AL2676" t="str">
            <v>1-0581-弘喬&gt;寄&gt;附發票&gt;附回郵</v>
          </cell>
          <cell r="AM2676" t="str">
            <v>1-0581</v>
          </cell>
        </row>
        <row r="2677">
          <cell r="AK2677" t="str">
            <v>KLD-0233</v>
          </cell>
          <cell r="AL2677" t="str">
            <v>1-0731-原皇&gt;原華&gt;國順-昇敏&gt;寄&gt;附發票&gt;附回郵(2個月25號寄票)</v>
          </cell>
          <cell r="AM2677" t="str">
            <v>1-0731</v>
          </cell>
        </row>
        <row r="2678">
          <cell r="AK2678" t="str">
            <v>KLA-3555</v>
          </cell>
          <cell r="AL2678" t="str">
            <v>1-0731-原皇&gt;原華&gt;國順-昇敏&gt;寄&gt;附發票&gt;附回郵(2個月25號寄票)</v>
          </cell>
          <cell r="AM2678" t="str">
            <v>1-0731</v>
          </cell>
        </row>
        <row r="2679">
          <cell r="AK2679" t="str">
            <v>KLA-3536</v>
          </cell>
          <cell r="AL2679" t="str">
            <v>1-0731-原皇&gt;原華&gt;國順-昇敏&gt;寄&gt;附發票&gt;附回郵(2個月25號寄票)</v>
          </cell>
          <cell r="AM2679" t="str">
            <v>1-0731</v>
          </cell>
        </row>
        <row r="2680">
          <cell r="AK2680" t="str">
            <v>KLA-3537</v>
          </cell>
          <cell r="AL2680" t="str">
            <v>1-0731-原皇&gt;原華&gt;國順-昇敏&gt;寄&gt;附發票&gt;附回郵(2個月25號寄票)</v>
          </cell>
          <cell r="AM2680" t="str">
            <v>1-0731</v>
          </cell>
        </row>
        <row r="2681">
          <cell r="AK2681" t="str">
            <v>51-ZZ</v>
          </cell>
          <cell r="AL2681" t="str">
            <v>1-0137-華鎮環保科技有限公司&gt;寄&gt;匯款</v>
          </cell>
          <cell r="AM2681" t="str">
            <v>1-0137</v>
          </cell>
        </row>
        <row r="2682">
          <cell r="AK2682" t="str">
            <v>4298-YM</v>
          </cell>
          <cell r="AL2682" t="str">
            <v>1-0003-榮聯&gt;寄&gt;附發票&gt;附回郵</v>
          </cell>
          <cell r="AM2682" t="str">
            <v>1-0003</v>
          </cell>
        </row>
        <row r="2683">
          <cell r="AK2683" t="str">
            <v>162堆高機</v>
          </cell>
          <cell r="AL2683" t="str">
            <v>1-0162-鎰利&gt;鎰金&gt;鎰加&gt;寄&gt;附發票&gt;2個月匯款</v>
          </cell>
          <cell r="AM2683" t="str">
            <v>1-0162</v>
          </cell>
        </row>
        <row r="2684">
          <cell r="AK2684" t="str">
            <v>319-HE</v>
          </cell>
          <cell r="AL2684" t="str">
            <v>1-0608-聯倉&gt;寄&gt;附發票&gt;附回郵</v>
          </cell>
          <cell r="AM2684" t="str">
            <v>1-0608</v>
          </cell>
        </row>
        <row r="2685">
          <cell r="AK2685" t="str">
            <v>KNA-1233</v>
          </cell>
          <cell r="AL2685" t="str">
            <v>1-0381-越穩(越大)輪胎&gt;寄&gt;匯款</v>
          </cell>
          <cell r="AM2685" t="str">
            <v>1-0381</v>
          </cell>
        </row>
        <row r="2686">
          <cell r="AK2686" t="str">
            <v>RBA-0270</v>
          </cell>
          <cell r="AL2686" t="str">
            <v>1-0711-耕溢&gt;寄&gt;附發票&gt;附回郵</v>
          </cell>
          <cell r="AM2686" t="str">
            <v>1-0711</v>
          </cell>
        </row>
        <row r="2687">
          <cell r="AK2687" t="str">
            <v>296-GC</v>
          </cell>
          <cell r="AL2687" t="str">
            <v>1-0109-東禾修理廠&gt;寄&gt;附發票&gt;附回郵</v>
          </cell>
          <cell r="AM2687" t="str">
            <v>1-0109</v>
          </cell>
        </row>
        <row r="2688">
          <cell r="AK2688" t="str">
            <v>LAG-781</v>
          </cell>
          <cell r="AL2688" t="str">
            <v>1-0733-元智通運-小山豬&gt;寄&gt;附發票&gt;附回郵</v>
          </cell>
          <cell r="AM2688" t="str">
            <v>1-0733</v>
          </cell>
        </row>
        <row r="2689">
          <cell r="AK2689" t="str">
            <v>Y7-2957</v>
          </cell>
          <cell r="AL2689" t="str">
            <v>1-0590-電機葆&gt;張正葆&gt;寄&gt;自結</v>
          </cell>
          <cell r="AM2689" t="str">
            <v>1-0590</v>
          </cell>
        </row>
        <row r="2690">
          <cell r="AK2690" t="str">
            <v>板L6-07-01</v>
          </cell>
          <cell r="AL2690" t="str">
            <v>1-0162-鎰利&gt;鎰金&gt;鎰加&gt;寄&gt;附發票&gt;2個月匯款</v>
          </cell>
          <cell r="AM2690" t="str">
            <v>1-0162</v>
          </cell>
        </row>
        <row r="2691">
          <cell r="AK2691" t="str">
            <v>583-HU</v>
          </cell>
          <cell r="AL2691" t="str">
            <v>1-0608-聯倉&gt;寄&gt;附發票&gt;附回郵</v>
          </cell>
          <cell r="AM2691" t="str">
            <v>1-0608</v>
          </cell>
        </row>
        <row r="2692">
          <cell r="AK2692" t="str">
            <v>HAB-3202</v>
          </cell>
          <cell r="AL2692" t="str">
            <v>1-0725-葉志生&gt;一天&gt;寄&gt;附發票&gt;匯款</v>
          </cell>
          <cell r="AM2692" t="str">
            <v>1-0725</v>
          </cell>
        </row>
        <row r="2693">
          <cell r="AK2693" t="str">
            <v>602-R2</v>
          </cell>
          <cell r="AL2693" t="str">
            <v>1-0547-曹坤霖&gt;寄&gt;自結</v>
          </cell>
          <cell r="AM2693" t="str">
            <v>1-0547</v>
          </cell>
        </row>
        <row r="2694">
          <cell r="AK2694" t="str">
            <v>722-JD</v>
          </cell>
          <cell r="AL2694" t="str">
            <v>1-0606-(1/2)冠德&gt;寄&gt;附發票&gt;附回郵</v>
          </cell>
          <cell r="AM2694" t="str">
            <v>1-0606</v>
          </cell>
        </row>
        <row r="2695">
          <cell r="AK2695">
            <v>2362846</v>
          </cell>
          <cell r="AL2695" t="str">
            <v>1-0565-有利&gt;寄&gt;附發票&gt;附回郵</v>
          </cell>
          <cell r="AM2695" t="str">
            <v>1-0565</v>
          </cell>
        </row>
        <row r="2696">
          <cell r="AK2696" t="str">
            <v>47-DR</v>
          </cell>
          <cell r="AL2696" t="str">
            <v>1-0608-聯倉&gt;寄&gt;附發票&gt;附回郵</v>
          </cell>
          <cell r="AM2696" t="str">
            <v>1-0608</v>
          </cell>
        </row>
        <row r="2697">
          <cell r="AK2697" t="str">
            <v>3A-4896</v>
          </cell>
          <cell r="AL2697" t="str">
            <v>1-0590-電機葆&gt;張正葆&gt;寄&gt;自結</v>
          </cell>
          <cell r="AM2697" t="str">
            <v>1-0590</v>
          </cell>
        </row>
        <row r="2698">
          <cell r="AK2698" t="str">
            <v>5160-N9</v>
          </cell>
          <cell r="AL2698" t="str">
            <v>1-0615-弘陞&gt;寄&gt;自結</v>
          </cell>
          <cell r="AM2698" t="str">
            <v>1-0615</v>
          </cell>
        </row>
        <row r="2699">
          <cell r="AK2699" t="str">
            <v>AAJ-529</v>
          </cell>
          <cell r="AL2699" t="str">
            <v>1-0904-全順環保有限公司(養豬)&gt;寄&gt;附發票&gt;匯款</v>
          </cell>
          <cell r="AM2699" t="str">
            <v>1-0904</v>
          </cell>
        </row>
        <row r="2700">
          <cell r="AK2700" t="str">
            <v>板A5</v>
          </cell>
          <cell r="AL2700" t="str">
            <v>1-0162-鎰利&gt;鎰金&gt;鎰加&gt;寄&gt;附發票&gt;2個月匯款</v>
          </cell>
          <cell r="AM2700" t="str">
            <v>1-0162</v>
          </cell>
        </row>
        <row r="2701">
          <cell r="AK2701" t="str">
            <v>KEA-9266</v>
          </cell>
          <cell r="AL2701" t="str">
            <v>1-0551-久展&gt;寄&gt;附發票&gt;兩個月28號匯款</v>
          </cell>
          <cell r="AM2701" t="str">
            <v>1-0551</v>
          </cell>
        </row>
        <row r="2702">
          <cell r="AK2702" t="str">
            <v>1999-TX</v>
          </cell>
          <cell r="AL2702" t="str">
            <v>1-0031-上和&gt;寄&gt;附發票&gt;附回郵</v>
          </cell>
          <cell r="AM2702" t="str">
            <v>1-0031</v>
          </cell>
        </row>
        <row r="2703">
          <cell r="AK2703" t="str">
            <v>CJ-1646</v>
          </cell>
          <cell r="AL2703" t="str">
            <v>1-0729-中油探採&gt;開估價單&gt;自來結帳開發票&gt;匯款</v>
          </cell>
          <cell r="AM2703" t="str">
            <v>1-0729</v>
          </cell>
        </row>
        <row r="2704">
          <cell r="AK2704" t="str">
            <v>AFN-7582</v>
          </cell>
          <cell r="AL2704" t="str">
            <v>1-0548-題陞&gt;寄&gt;附發票&gt;附回郵</v>
          </cell>
          <cell r="AM2704" t="str">
            <v>1-0548</v>
          </cell>
        </row>
        <row r="2705">
          <cell r="AK2705" t="str">
            <v>RAA-2129</v>
          </cell>
          <cell r="AL2705" t="str">
            <v>1-0415-聯有.統一東京&gt;寄&gt;附發票&gt;附回郵</v>
          </cell>
          <cell r="AM2705" t="str">
            <v>1-0415</v>
          </cell>
        </row>
        <row r="2706">
          <cell r="AK2706" t="str">
            <v>MJ-7241</v>
          </cell>
          <cell r="AL2706" t="str">
            <v>1-0058-鑫能&gt;寄&gt;匯款</v>
          </cell>
          <cell r="AM2706" t="str">
            <v>1-0058</v>
          </cell>
        </row>
        <row r="2707">
          <cell r="AK2707" t="str">
            <v>RBS-3083</v>
          </cell>
          <cell r="AL2707" t="str">
            <v>1-0504-安泰起重&gt;寄&gt;附發票&gt;附回郵</v>
          </cell>
          <cell r="AM2707" t="str">
            <v>1-0504</v>
          </cell>
        </row>
        <row r="2708">
          <cell r="AK2708" t="str">
            <v>板03-BH</v>
          </cell>
          <cell r="AL2708" t="str">
            <v>1-0706-(2/3)福民&gt;寄&gt;附發票&gt;附回郵</v>
          </cell>
          <cell r="AM2708" t="str">
            <v>1-0706</v>
          </cell>
        </row>
        <row r="2709">
          <cell r="AK2709" t="str">
            <v>935-KL</v>
          </cell>
          <cell r="AL2709" t="str">
            <v>1-0608-聯倉&gt;寄&gt;附發票&gt;附回郵</v>
          </cell>
          <cell r="AM2709" t="str">
            <v>1-0608</v>
          </cell>
        </row>
        <row r="2710">
          <cell r="AK2710" t="str">
            <v>57-QC</v>
          </cell>
          <cell r="AL2710" t="str">
            <v>1-0705-(1/3)福瑞&gt;寄&gt;附發票&gt;附回郵</v>
          </cell>
          <cell r="AM2710" t="str">
            <v>1-0705</v>
          </cell>
        </row>
        <row r="2711">
          <cell r="AK2711" t="str">
            <v>2A-7999</v>
          </cell>
          <cell r="AL2711" t="str">
            <v>1-0079-旭中&gt;寄&gt;附發票&gt;附回郵</v>
          </cell>
          <cell r="AM2711" t="str">
            <v>1-0079</v>
          </cell>
        </row>
        <row r="2712">
          <cell r="AK2712" t="str">
            <v>AJM-2720</v>
          </cell>
          <cell r="AL2712" t="str">
            <v>1-0610-恆陽&gt;聯鋮&gt;寄&gt;附發票&gt;附回郵</v>
          </cell>
          <cell r="AM2712" t="str">
            <v>1-0610</v>
          </cell>
        </row>
        <row r="2713">
          <cell r="AK2713" t="str">
            <v>532-Y5</v>
          </cell>
          <cell r="AL2713" t="str">
            <v>1-0194-傅文芳&gt;大砲&gt;一路發拖吊&gt;電&gt;自結</v>
          </cell>
          <cell r="AM2713" t="str">
            <v>1-0194</v>
          </cell>
        </row>
        <row r="2714">
          <cell r="AK2714" t="str">
            <v>68-Z7</v>
          </cell>
          <cell r="AL2714" t="str">
            <v>1-0660-竹新.頂烽&gt;寄&gt;附發票&gt;匯款</v>
          </cell>
          <cell r="AM2714" t="str">
            <v>1-0660</v>
          </cell>
        </row>
        <row r="2715">
          <cell r="AK2715" t="str">
            <v>KLC-6335</v>
          </cell>
          <cell r="AL2715" t="str">
            <v>1-0286-洪鍵忠＞小香港&gt;寄&gt;附回郵</v>
          </cell>
          <cell r="AM2715" t="str">
            <v>1-0286</v>
          </cell>
        </row>
        <row r="2716">
          <cell r="AK2716" t="str">
            <v>板L8-0.7-1</v>
          </cell>
          <cell r="AL2716" t="str">
            <v>1-0162-鎰利&gt;鎰金&gt;鎰加&gt;寄&gt;附發票&gt;2個月匯款</v>
          </cell>
          <cell r="AM2716" t="str">
            <v>1-0162</v>
          </cell>
        </row>
        <row r="2717">
          <cell r="AK2717" t="str">
            <v>AAJ-702</v>
          </cell>
          <cell r="AL2717" t="str">
            <v>1-0180-益勝鷹架&gt;寄&gt;附發票&gt;匯款</v>
          </cell>
          <cell r="AM2717" t="str">
            <v>1-0180</v>
          </cell>
        </row>
        <row r="2718">
          <cell r="AK2718" t="str">
            <v>PH-3838</v>
          </cell>
          <cell r="AL2718" t="str">
            <v>1-0603-邱志銘&gt;寄平信&gt;自結</v>
          </cell>
          <cell r="AM2718" t="str">
            <v>1-0603</v>
          </cell>
        </row>
        <row r="2719">
          <cell r="AK2719" t="str">
            <v>7398-F9</v>
          </cell>
          <cell r="AL2719" t="str">
            <v>1-0563-鳴倫&gt;寄&gt;附發票&gt;附回郵</v>
          </cell>
          <cell r="AM2719" t="str">
            <v>1-0563</v>
          </cell>
        </row>
        <row r="2720">
          <cell r="AK2720" t="str">
            <v>KEC-2072</v>
          </cell>
          <cell r="AL2720" t="str">
            <v>1-0589-汯宸&gt;寄&gt;附發票&gt;一個月匯款</v>
          </cell>
          <cell r="AM2720" t="str">
            <v>1-0589</v>
          </cell>
        </row>
        <row r="2721">
          <cell r="AK2721" t="str">
            <v>523-G5</v>
          </cell>
          <cell r="AL2721" t="str">
            <v>1-0576-弘振&gt;寄&gt;匯款</v>
          </cell>
          <cell r="AM2721" t="str">
            <v>1-0576</v>
          </cell>
        </row>
        <row r="2722">
          <cell r="AK2722" t="str">
            <v>116-Y7</v>
          </cell>
          <cell r="AL2722" t="str">
            <v>1-0004-(1/3)長增&gt;寄&gt;附發票&gt;匯款&gt;現金價</v>
          </cell>
          <cell r="AM2722" t="str">
            <v>1-0004</v>
          </cell>
        </row>
        <row r="2723">
          <cell r="AK2723" t="str">
            <v>AUP-2871</v>
          </cell>
          <cell r="AL2723" t="str">
            <v>1-0080-百巢&gt;寄&gt;附發票&gt;附回郵</v>
          </cell>
          <cell r="AM2723" t="str">
            <v>1-0080</v>
          </cell>
        </row>
        <row r="2724">
          <cell r="AK2724" t="str">
            <v>X6-009</v>
          </cell>
          <cell r="AL2724" t="str">
            <v>1-0608-聯倉&gt;寄&gt;附發票&gt;附回郵</v>
          </cell>
          <cell r="AM2724" t="str">
            <v>1-0608</v>
          </cell>
        </row>
        <row r="2725">
          <cell r="AK2725" t="str">
            <v>701-山貓</v>
          </cell>
          <cell r="AL2725" t="str">
            <v>1-0701-串昌&gt;兑玖開發&gt;寄&gt;附發票&gt;附回郵</v>
          </cell>
          <cell r="AM2725" t="str">
            <v>1-0701</v>
          </cell>
        </row>
        <row r="2726">
          <cell r="AK2726" t="str">
            <v>4718-RE</v>
          </cell>
          <cell r="AL2726" t="str">
            <v>1-0021-毅和&gt;寄&gt;附發票&gt;附回郵</v>
          </cell>
          <cell r="AM2726" t="str">
            <v>1-0021</v>
          </cell>
        </row>
        <row r="2727">
          <cell r="AK2727" t="str">
            <v>31-推土機</v>
          </cell>
          <cell r="AL2727" t="str">
            <v>1-0031-上和&gt;寄&gt;附發票&gt;附回郵</v>
          </cell>
          <cell r="AM2727" t="str">
            <v>1-0031</v>
          </cell>
        </row>
        <row r="2728">
          <cell r="AK2728" t="str">
            <v>149-Y7</v>
          </cell>
          <cell r="AL2728" t="str">
            <v>1-0728-中油探採&gt;寄&gt;待通知開發票&gt;一個月匯款&gt;(標案)</v>
          </cell>
          <cell r="AM2728" t="str">
            <v>1-0728</v>
          </cell>
        </row>
        <row r="2729">
          <cell r="AK2729" t="str">
            <v>RW-762</v>
          </cell>
          <cell r="AL2729" t="str">
            <v>1-0728-中油探採&gt;寄&gt;待通知開發票&gt;一個月匯款&gt;(標案)</v>
          </cell>
          <cell r="AM2729" t="str">
            <v>1-0728</v>
          </cell>
        </row>
        <row r="2730">
          <cell r="AK2730" t="str">
            <v>KLD-3083</v>
          </cell>
          <cell r="AL2730" t="str">
            <v>1-0709-(3/3)金正汽車貨運&gt;寄&gt;附回郵</v>
          </cell>
          <cell r="AM2730" t="str">
            <v>1-0709</v>
          </cell>
        </row>
        <row r="2731">
          <cell r="AK2731" t="str">
            <v>APN-9821</v>
          </cell>
          <cell r="AL2731" t="str">
            <v>1-0019-福雄&gt;寄&gt;附發票&gt;附回郵</v>
          </cell>
          <cell r="AM2731" t="str">
            <v>1-0019</v>
          </cell>
        </row>
        <row r="2732">
          <cell r="AK2732" t="str">
            <v>9138-KEA</v>
          </cell>
          <cell r="AL2732" t="str">
            <v>1-0549-華品&gt;佳上&gt;冠仁&gt;寄&gt;附發票&gt;附回郵</v>
          </cell>
          <cell r="AM2732" t="str">
            <v>1-0549</v>
          </cell>
        </row>
        <row r="2733">
          <cell r="AK2733" t="str">
            <v>KLD-5007</v>
          </cell>
          <cell r="AL2733" t="str">
            <v>1-0608-聯倉&gt;寄&gt;附發票&gt;附回郵</v>
          </cell>
          <cell r="AM2733" t="str">
            <v>1-0608</v>
          </cell>
        </row>
        <row r="2734">
          <cell r="AK2734" t="str">
            <v>380-HE</v>
          </cell>
          <cell r="AL2734" t="str">
            <v>1-0608-聯倉&gt;寄&gt;附發票&gt;附回郵</v>
          </cell>
          <cell r="AM2734" t="str">
            <v>1-0608</v>
          </cell>
        </row>
        <row r="2735">
          <cell r="AK2735" t="str">
            <v>板L6-0.6-1</v>
          </cell>
          <cell r="AL2735" t="str">
            <v>1-0162-鎰利&gt;鎰金&gt;鎰加&gt;寄&gt;附發票&gt;2個月匯款</v>
          </cell>
          <cell r="AM2735" t="str">
            <v>1-0162</v>
          </cell>
        </row>
        <row r="2736">
          <cell r="AK2736" t="str">
            <v>KLD-3603</v>
          </cell>
          <cell r="AL2736" t="str">
            <v>1-0518-魏世郎&gt;寄&gt;匯款</v>
          </cell>
          <cell r="AM2736" t="str">
            <v>1-0518</v>
          </cell>
        </row>
        <row r="2737">
          <cell r="AK2737" t="str">
            <v>186-Y7</v>
          </cell>
          <cell r="AL2737" t="str">
            <v>1-0730-中油探採&gt;開估價單&gt;自來結帳開發票&gt;匯款</v>
          </cell>
          <cell r="AM2737" t="str">
            <v>1-0730</v>
          </cell>
        </row>
        <row r="2738">
          <cell r="AK2738" t="str">
            <v>085-H8</v>
          </cell>
          <cell r="AL2738" t="str">
            <v>1-0733-元智通運-小山豬&gt;寄&gt;附發票&gt;附回郵</v>
          </cell>
          <cell r="AM2738" t="str">
            <v>1-0733</v>
          </cell>
        </row>
        <row r="2739">
          <cell r="AK2739" t="str">
            <v>板16</v>
          </cell>
          <cell r="AL2739" t="str">
            <v>1-0607-(2/2)瑋鎰&gt;寄&gt;附發票&gt;附回郵</v>
          </cell>
          <cell r="AM2739" t="str">
            <v>1-0607</v>
          </cell>
        </row>
        <row r="2740">
          <cell r="AK2740" t="str">
            <v>1389-J8</v>
          </cell>
          <cell r="AL2740" t="str">
            <v>1-0162-鎰利&gt;鎰金&gt;鎰加&gt;寄&gt;附發票&gt;2個月匯款</v>
          </cell>
          <cell r="AM2740" t="str">
            <v>1-0162</v>
          </cell>
        </row>
        <row r="2741">
          <cell r="AK2741" t="str">
            <v>5036-TX</v>
          </cell>
          <cell r="AL2741" t="str">
            <v>1-0320-陳俊華&gt;寄&gt;自結</v>
          </cell>
          <cell r="AM2741" t="str">
            <v>1-0320</v>
          </cell>
        </row>
        <row r="2742">
          <cell r="AK2742" t="str">
            <v>2521-KW</v>
          </cell>
          <cell r="AL2742" t="str">
            <v>1-0069-卓文湧&gt;天頂&gt;寄&gt;自結</v>
          </cell>
          <cell r="AM2742" t="str">
            <v>1-0069</v>
          </cell>
        </row>
        <row r="2743">
          <cell r="AK2743" t="str">
            <v>ARQ-5029</v>
          </cell>
          <cell r="AL2743" t="str">
            <v>1-0548-題陞&gt;寄&gt;附發票&gt;附回郵</v>
          </cell>
          <cell r="AM2743" t="str">
            <v>1-0548</v>
          </cell>
        </row>
        <row r="2744">
          <cell r="AK2744" t="str">
            <v>426-PK</v>
          </cell>
          <cell r="AL2744" t="str">
            <v>1-0607-(2/2)瑋鎰&gt;寄&gt;附發票&gt;附回郵</v>
          </cell>
          <cell r="AM2744" t="str">
            <v>1-0607</v>
          </cell>
        </row>
        <row r="2745">
          <cell r="AK2745" t="str">
            <v>PAA-503</v>
          </cell>
          <cell r="AL2745" t="str">
            <v>1-0702-交通大學&gt;寄&gt;附發票&gt;匯款</v>
          </cell>
          <cell r="AM2745" t="str">
            <v>1-0702</v>
          </cell>
        </row>
        <row r="2746">
          <cell r="AK2746" t="str">
            <v>1930-B6</v>
          </cell>
          <cell r="AL2746" t="str">
            <v>1-0180-益勝鷹架&gt;寄&gt;附發票&gt;匯款</v>
          </cell>
          <cell r="AM2746" t="str">
            <v>1-0180</v>
          </cell>
        </row>
        <row r="2747">
          <cell r="AK2747" t="str">
            <v>ASZ-0751</v>
          </cell>
          <cell r="AL2747" t="str">
            <v>1-0021-毅和&gt;寄&gt;附發票&gt;附回郵</v>
          </cell>
          <cell r="AM2747" t="str">
            <v>1-0021</v>
          </cell>
        </row>
        <row r="2748">
          <cell r="AK2748" t="str">
            <v>QU-923</v>
          </cell>
          <cell r="AL2748" t="str">
            <v>1-0870-陳致佑&gt;電&gt;匯款&gt;自結</v>
          </cell>
          <cell r="AM2748" t="str">
            <v>1-0870</v>
          </cell>
        </row>
        <row r="2749">
          <cell r="AK2749" t="str">
            <v>APZ-6863</v>
          </cell>
          <cell r="AL2749" t="str">
            <v>1-0386-唯辰行&gt;佳佳商行&gt;寄&gt;自結</v>
          </cell>
          <cell r="AM2749" t="str">
            <v>1-0386</v>
          </cell>
        </row>
        <row r="2750">
          <cell r="AK2750" t="str">
            <v>045-KV</v>
          </cell>
          <cell r="AL2750" t="str">
            <v>1-0608-聯倉&gt;寄&gt;附發票&gt;附回郵</v>
          </cell>
          <cell r="AM2750" t="str">
            <v>1-0608</v>
          </cell>
        </row>
        <row r="2751">
          <cell r="AK2751" t="str">
            <v>220-V6</v>
          </cell>
          <cell r="AL2751" t="str">
            <v>1-0735-寶成汽車&gt;寄&gt;附發票&gt;附回郵</v>
          </cell>
          <cell r="AM2751" t="str">
            <v>1-0735</v>
          </cell>
        </row>
        <row r="2752">
          <cell r="AK2752" t="str">
            <v>ASN-6237</v>
          </cell>
          <cell r="AL2752" t="str">
            <v>1-0505-吉和&gt;三義消防隊&gt;寄&gt;附發票&gt;匯款</v>
          </cell>
          <cell r="AM2752" t="str">
            <v>1-0505</v>
          </cell>
        </row>
        <row r="2753">
          <cell r="AK2753" t="str">
            <v>板78-Z7</v>
          </cell>
          <cell r="AL2753" t="str">
            <v>1-0109-東禾修理廠&gt;寄&gt;附發票&gt;附回郵</v>
          </cell>
          <cell r="AM2753" t="str">
            <v>1-0109</v>
          </cell>
        </row>
        <row r="2754">
          <cell r="AK2754" t="str">
            <v>QAE-883</v>
          </cell>
          <cell r="AL2754" t="str">
            <v>1-0608-聯倉&gt;寄&gt;附發票&gt;附回郵</v>
          </cell>
          <cell r="AM2754" t="str">
            <v>1-0608</v>
          </cell>
        </row>
        <row r="2755">
          <cell r="AK2755" t="str">
            <v>板83-2H</v>
          </cell>
          <cell r="AL2755" t="str">
            <v>1-0707-(3/3)福麗&gt;寄&gt;附發票&gt;附回郵</v>
          </cell>
          <cell r="AM2755" t="str">
            <v>1-0707</v>
          </cell>
        </row>
        <row r="2756">
          <cell r="AK2756" t="str">
            <v>AHA-6968</v>
          </cell>
          <cell r="AL2756" t="str">
            <v>1-0162-鎰利&gt;鎰金&gt;鎰加&gt;寄&gt;附發票&gt;2個月匯款</v>
          </cell>
          <cell r="AM2756" t="str">
            <v>1-0162</v>
          </cell>
        </row>
        <row r="2757">
          <cell r="AK2757" t="str">
            <v>RAE-9796</v>
          </cell>
          <cell r="AL2757" t="str">
            <v>1-0118-金昌&gt;寄&gt;附發票&gt;附回郵</v>
          </cell>
          <cell r="AM2757" t="str">
            <v>1-0118</v>
          </cell>
        </row>
        <row r="2758">
          <cell r="AK2758" t="str">
            <v>9170-JW</v>
          </cell>
          <cell r="AL2758" t="str">
            <v>1-0352-永裕豐&gt;松江&gt;寄&gt;附回郵</v>
          </cell>
          <cell r="AM2758" t="str">
            <v>1-0352</v>
          </cell>
        </row>
        <row r="2759">
          <cell r="AK2759" t="str">
            <v>478-VB</v>
          </cell>
          <cell r="AL2759" t="str">
            <v>1-0472-虹銘&gt;寄&gt;附發票&gt;附回郵</v>
          </cell>
          <cell r="AM2759" t="str">
            <v>1-0472</v>
          </cell>
        </row>
        <row r="2760">
          <cell r="AK2760" t="str">
            <v>RBL-5062</v>
          </cell>
          <cell r="AL2760" t="str">
            <v>1-0624-聖麒工程&gt;閎元&gt;永金&gt;寄&gt;附回郵&gt;現金價</v>
          </cell>
          <cell r="AM2760" t="str">
            <v>1-0624</v>
          </cell>
        </row>
        <row r="2761">
          <cell r="AK2761" t="str">
            <v>477-GR</v>
          </cell>
          <cell r="AL2761" t="str">
            <v>1-0608-聯倉&gt;寄&gt;附發票&gt;附回郵</v>
          </cell>
          <cell r="AM2761" t="str">
            <v>1-0608</v>
          </cell>
        </row>
        <row r="2762">
          <cell r="AK2762" t="str">
            <v>KED-2928</v>
          </cell>
          <cell r="AL2762" t="str">
            <v>1-0211-嘉勤紙業&gt;寄&gt;附發票&gt;附回郵</v>
          </cell>
          <cell r="AM2762" t="str">
            <v>1-0211</v>
          </cell>
        </row>
        <row r="2763">
          <cell r="AK2763" t="str">
            <v>76-QD</v>
          </cell>
          <cell r="AL2763" t="str">
            <v>1-0706-(2/3)福民&gt;寄&gt;附發票&gt;附回郵</v>
          </cell>
          <cell r="AM2763" t="str">
            <v>1-0706</v>
          </cell>
        </row>
        <row r="2764">
          <cell r="AK2764" t="str">
            <v>93-N3</v>
          </cell>
          <cell r="AL2764" t="str">
            <v>1-0706-(2/3)福民&gt;寄&gt;附發票&gt;附回郵</v>
          </cell>
          <cell r="AM2764" t="str">
            <v>1-0706</v>
          </cell>
        </row>
        <row r="2765">
          <cell r="AK2765" t="str">
            <v>48-CY</v>
          </cell>
          <cell r="AL2765" t="str">
            <v>1-0674-翔威.翔鑫&gt;付現&gt;不能簽帳</v>
          </cell>
          <cell r="AM2765" t="str">
            <v>1-0674</v>
          </cell>
        </row>
        <row r="2766">
          <cell r="AK2766" t="str">
            <v>591-GY</v>
          </cell>
          <cell r="AL2766" t="str">
            <v>1-0737-逢春汽車交通&gt;寄&gt;附回郵</v>
          </cell>
          <cell r="AM2766" t="str">
            <v>1-0737</v>
          </cell>
        </row>
        <row r="2767">
          <cell r="AK2767" t="str">
            <v>383-GZ</v>
          </cell>
          <cell r="AL2767" t="str">
            <v>1-0737-逢春汽車交通&gt;寄&gt;附回郵</v>
          </cell>
          <cell r="AM2767" t="str">
            <v>1-0737</v>
          </cell>
        </row>
        <row r="2768">
          <cell r="AK2768" t="str">
            <v>9253-KYA</v>
          </cell>
          <cell r="AL2768" t="str">
            <v>1-0725-葉志生&gt;一天&gt;寄&gt;附發票&gt;匯款</v>
          </cell>
          <cell r="AM2768" t="str">
            <v>1-0725</v>
          </cell>
        </row>
        <row r="2769">
          <cell r="AK2769" t="str">
            <v>板A13</v>
          </cell>
          <cell r="AL2769" t="str">
            <v>1-0162-鎰利&gt;鎰金&gt;鎰加&gt;寄&gt;附發票&gt;2個月匯款</v>
          </cell>
          <cell r="AM2769" t="str">
            <v>1-0162</v>
          </cell>
        </row>
        <row r="2770">
          <cell r="AK2770" t="str">
            <v>7U-3919</v>
          </cell>
          <cell r="AL2770" t="str">
            <v>1-0109-東禾修理廠&gt;寄&gt;附發票&gt;附回郵</v>
          </cell>
          <cell r="AM2770" t="str">
            <v>1-0109</v>
          </cell>
        </row>
        <row r="2771">
          <cell r="AK2771" t="str">
            <v>8720-VA</v>
          </cell>
          <cell r="AL2771" t="str">
            <v>1-0276-民景&gt;寄&gt;附發票&gt;附回郵</v>
          </cell>
          <cell r="AM2771" t="str">
            <v>1-0276</v>
          </cell>
        </row>
        <row r="2772">
          <cell r="AK2772" t="str">
            <v>6462-HB</v>
          </cell>
          <cell r="AL2772" t="str">
            <v>1-0328-平順&gt;寄&gt;附發票&gt;附回郵</v>
          </cell>
          <cell r="AM2772" t="str">
            <v>1-0328</v>
          </cell>
        </row>
        <row r="2773">
          <cell r="AK2773" t="str">
            <v>ANF-9198</v>
          </cell>
          <cell r="AL2773" t="str">
            <v>1-0125-源順&gt;寄&gt;附發票&gt;附回郵</v>
          </cell>
          <cell r="AM2773" t="str">
            <v>1-0125</v>
          </cell>
        </row>
        <row r="2774">
          <cell r="AK2774" t="str">
            <v>板450</v>
          </cell>
          <cell r="AL2774" t="str">
            <v>1-0162-鎰利&gt;鎰金&gt;鎰加&gt;寄&gt;附發票&gt;2個月匯款</v>
          </cell>
          <cell r="AM2774" t="str">
            <v>1-0162</v>
          </cell>
        </row>
        <row r="2775">
          <cell r="AK2775" t="str">
            <v>21堆土機</v>
          </cell>
          <cell r="AL2775" t="str">
            <v>1-0021-毅和&gt;寄&gt;附發票&gt;附回郵</v>
          </cell>
          <cell r="AM2775" t="str">
            <v>1-0021</v>
          </cell>
        </row>
        <row r="2776">
          <cell r="AK2776" t="str">
            <v>7119-U2</v>
          </cell>
          <cell r="AL2776" t="str">
            <v>1-0118-金昌&gt;寄&gt;附發票&gt;附回郵</v>
          </cell>
          <cell r="AM2776" t="str">
            <v>1-0118</v>
          </cell>
        </row>
        <row r="2777">
          <cell r="AK2777" t="str">
            <v>ALJ-8657</v>
          </cell>
          <cell r="AL2777" t="str">
            <v>1-0019-福雄&gt;寄&gt;附發票&gt;附回郵</v>
          </cell>
          <cell r="AM2777" t="str">
            <v>1-0019</v>
          </cell>
        </row>
        <row r="2778">
          <cell r="AK2778" t="str">
            <v>KNA-3302</v>
          </cell>
          <cell r="AL2778" t="str">
            <v>1-0608-聯倉&gt;寄&gt;附發票&gt;附回郵</v>
          </cell>
          <cell r="AM2778" t="str">
            <v>1-0608</v>
          </cell>
        </row>
        <row r="2779">
          <cell r="AK2779" t="str">
            <v>AFP-9755</v>
          </cell>
          <cell r="AL2779" t="str">
            <v>1-0738-安林&gt;電&gt;附發票&gt;自結&gt;付現</v>
          </cell>
          <cell r="AM2779" t="str">
            <v>1-0738</v>
          </cell>
        </row>
        <row r="2780">
          <cell r="AK2780" t="str">
            <v>KNA-3396</v>
          </cell>
          <cell r="AL2780" t="str">
            <v>1-0608-聯倉&gt;寄&gt;附發票&gt;附回郵</v>
          </cell>
          <cell r="AM2780" t="str">
            <v>1-0608</v>
          </cell>
        </row>
        <row r="2781">
          <cell r="AK2781" t="str">
            <v>3553-LT</v>
          </cell>
          <cell r="AL2781" t="str">
            <v>1-0053-力璽&gt;寄&gt;匯款</v>
          </cell>
          <cell r="AM2781" t="str">
            <v>1-0053</v>
          </cell>
        </row>
        <row r="2782">
          <cell r="AK2782" t="str">
            <v>687-ZC</v>
          </cell>
          <cell r="AL2782" t="str">
            <v>1-0136-順華&gt;寄&gt;附發票&gt;三個月匯款</v>
          </cell>
          <cell r="AM2782" t="str">
            <v>1-0136</v>
          </cell>
        </row>
        <row r="2783">
          <cell r="AK2783" t="str">
            <v>719-W9</v>
          </cell>
          <cell r="AL2783" t="str">
            <v>1-0260-曾士豪(兩斤)&gt;正欣&gt;寄&gt;匯款</v>
          </cell>
          <cell r="AM2783" t="str">
            <v>1-0260</v>
          </cell>
        </row>
        <row r="2784">
          <cell r="AK2784" t="str">
            <v>3F-7159</v>
          </cell>
          <cell r="AL2784" t="str">
            <v>1-0074-順安&gt;寄&gt;附發票&gt;附回郵</v>
          </cell>
          <cell r="AM2784" t="str">
            <v>1-0074</v>
          </cell>
        </row>
        <row r="2785">
          <cell r="AK2785" t="str">
            <v>ABG-0053</v>
          </cell>
          <cell r="AL2785" t="str">
            <v>1-0354-志祥通運.普惠&gt;寄&gt;附發票&gt;附回郵</v>
          </cell>
          <cell r="AM2785" t="str">
            <v>1-0354</v>
          </cell>
        </row>
        <row r="2786">
          <cell r="AK2786" t="str">
            <v>6515-NA</v>
          </cell>
          <cell r="AL2786" t="str">
            <v>1-0074-順安&gt;寄&gt;附發票&gt;附回郵</v>
          </cell>
          <cell r="AM2786" t="str">
            <v>1-0074</v>
          </cell>
        </row>
        <row r="2787">
          <cell r="AK2787" t="str">
            <v>板73-CJ</v>
          </cell>
          <cell r="AL2787" t="str">
            <v>1-0706-(2/3)福民&gt;寄&gt;附發票&gt;附回郵</v>
          </cell>
          <cell r="AM2787" t="str">
            <v>1-0706</v>
          </cell>
        </row>
        <row r="2788">
          <cell r="AK2788" t="str">
            <v>AHA-6987</v>
          </cell>
          <cell r="AL2788" t="str">
            <v>1-0548-題陞&gt;寄&gt;附發票&gt;附回郵</v>
          </cell>
          <cell r="AM2788" t="str">
            <v>1-0548</v>
          </cell>
        </row>
        <row r="2789">
          <cell r="AK2789" t="str">
            <v>RAE-9732</v>
          </cell>
          <cell r="AL2789" t="str">
            <v>1-0118-金昌&gt;寄&gt;附發票&gt;附回郵</v>
          </cell>
          <cell r="AM2789" t="str">
            <v>1-0118</v>
          </cell>
        </row>
        <row r="2790">
          <cell r="AK2790" t="str">
            <v>728堆高機</v>
          </cell>
          <cell r="AL2790" t="str">
            <v>1-0728-中油探採&gt;寄&gt;待通知開發票&gt;一個月匯款&gt;(標案)</v>
          </cell>
          <cell r="AM2790" t="str">
            <v>1-0728</v>
          </cell>
        </row>
        <row r="2791">
          <cell r="AK2791" t="str">
            <v>KEE-7918</v>
          </cell>
          <cell r="AL2791" t="str">
            <v>1-0352-永裕豐&gt;松江&gt;寄&gt;附回郵</v>
          </cell>
          <cell r="AM2791" t="str">
            <v>1-0352</v>
          </cell>
        </row>
        <row r="2792">
          <cell r="AK2792" t="str">
            <v>AJM-7889</v>
          </cell>
          <cell r="AL2792" t="str">
            <v>1-0202-鍀泰&gt;寄&gt;附發票&gt;附回郵</v>
          </cell>
          <cell r="AM2792" t="str">
            <v>1-0202</v>
          </cell>
        </row>
        <row r="2793">
          <cell r="AK2793" t="str">
            <v>KLE-1151</v>
          </cell>
          <cell r="AL2793" t="str">
            <v>1-0706-(2/3)福民&gt;寄&gt;附發票&gt;附回郵</v>
          </cell>
          <cell r="AM2793" t="str">
            <v>1-0706</v>
          </cell>
        </row>
        <row r="2794">
          <cell r="AK2794" t="str">
            <v>KEA-9387</v>
          </cell>
          <cell r="AL2794" t="str">
            <v>1-0551-久展&gt;寄&gt;附發票&gt;兩個月28號匯款</v>
          </cell>
          <cell r="AM2794" t="str">
            <v>1-0551</v>
          </cell>
        </row>
        <row r="2795">
          <cell r="AK2795" t="str">
            <v>ARA-5999</v>
          </cell>
          <cell r="AL2795" t="str">
            <v>1-0364-弘翔.東大&gt;寄&gt;附發票&gt;附回郵</v>
          </cell>
          <cell r="AM2795" t="str">
            <v>1-0364</v>
          </cell>
        </row>
        <row r="2796">
          <cell r="AK2796" t="str">
            <v>991-W7</v>
          </cell>
          <cell r="AL2796" t="str">
            <v>1-0492-佳能環保&gt;鳳屏&gt;新益慶&gt;寄&gt;附發票&gt;一個月匯款</v>
          </cell>
          <cell r="AM2796" t="str">
            <v>1-0492</v>
          </cell>
        </row>
        <row r="2797">
          <cell r="AK2797" t="str">
            <v>AAG-539</v>
          </cell>
          <cell r="AL2797" t="str">
            <v>1-0589-汯宸&gt;寄&gt;附發票&gt;一個月匯款</v>
          </cell>
          <cell r="AM2797" t="str">
            <v>1-0589</v>
          </cell>
        </row>
        <row r="2798">
          <cell r="AK2798" t="str">
            <v>188-HK</v>
          </cell>
          <cell r="AL2798" t="str">
            <v>1-0030-偉訊(冠軍)&gt;寄&gt;附發票&gt;附回郵</v>
          </cell>
          <cell r="AM2798" t="str">
            <v>1-0030</v>
          </cell>
        </row>
        <row r="2799">
          <cell r="AK2799" t="str">
            <v>QAE-936</v>
          </cell>
          <cell r="AL2799" t="str">
            <v>1-0608-聯倉&gt;寄&gt;附發票&gt;附回郵</v>
          </cell>
          <cell r="AM2799" t="str">
            <v>1-0608</v>
          </cell>
        </row>
        <row r="2800">
          <cell r="AK2800" t="str">
            <v>W5-0382</v>
          </cell>
          <cell r="AL2800" t="str">
            <v>1-0030-偉訊(冠軍)&gt;寄&gt;附發票&gt;附回郵</v>
          </cell>
          <cell r="AM2800" t="str">
            <v>1-0030</v>
          </cell>
        </row>
        <row r="2801">
          <cell r="AK2801" t="str">
            <v>ZA-7999</v>
          </cell>
          <cell r="AL2801" t="str">
            <v>1-0079-旭中&gt;寄&gt;附發票&gt;附回郵</v>
          </cell>
          <cell r="AM2801" t="str">
            <v>1-0079</v>
          </cell>
        </row>
        <row r="2802">
          <cell r="AK2802" t="str">
            <v>ALF-9816</v>
          </cell>
          <cell r="AL2802" t="str">
            <v>1-0370-驊泰&gt;寄&gt;附發票&gt;附回郵</v>
          </cell>
          <cell r="AM2802" t="str">
            <v>1-0370</v>
          </cell>
        </row>
        <row r="2803">
          <cell r="AK2803" t="str">
            <v>板75-JC</v>
          </cell>
          <cell r="AL2803" t="str">
            <v>1-0706-(2/3)福民&gt;寄&gt;附發票&gt;附回郵</v>
          </cell>
          <cell r="AM2803" t="str">
            <v>1-0706</v>
          </cell>
        </row>
        <row r="2804">
          <cell r="AK2804" t="str">
            <v>板61-SM</v>
          </cell>
          <cell r="AL2804" t="str">
            <v>1-0728-中油探採&gt;寄&gt;待通知開發票&gt;一個月匯款&gt;(標案)</v>
          </cell>
          <cell r="AM2804" t="str">
            <v>1-0728</v>
          </cell>
        </row>
        <row r="2805">
          <cell r="AK2805" t="str">
            <v>286-Y3</v>
          </cell>
          <cell r="AL2805" t="str">
            <v>1-0744-力新&gt;寄&gt;匯款&gt;兩個月後16號匯款</v>
          </cell>
          <cell r="AM2805" t="str">
            <v>1-0744</v>
          </cell>
        </row>
        <row r="2806">
          <cell r="AK2806" t="str">
            <v>AHD-6972</v>
          </cell>
          <cell r="AL2806" t="str">
            <v>1-0694-永發&gt;寄&gt;附發票&gt;附回郵</v>
          </cell>
          <cell r="AM2806" t="str">
            <v>1-0694</v>
          </cell>
        </row>
        <row r="2807">
          <cell r="AK2807" t="str">
            <v>AYA-1708</v>
          </cell>
          <cell r="AL2807" t="str">
            <v>1-0109-東禾修理廠&gt;寄&gt;附發票&gt;附回郵</v>
          </cell>
          <cell r="AM2807" t="str">
            <v>1-0109</v>
          </cell>
        </row>
        <row r="2808">
          <cell r="AK2808" t="str">
            <v>板10-YW</v>
          </cell>
          <cell r="AL2808" t="str">
            <v>1-0706-(2/3)福民&gt;寄&gt;附發票&gt;附回郵</v>
          </cell>
          <cell r="AM2808" t="str">
            <v>1-0706</v>
          </cell>
        </row>
        <row r="2809">
          <cell r="AK2809" t="str">
            <v>板16-R2</v>
          </cell>
          <cell r="AL2809" t="str">
            <v>1-0705-(1/3)福瑞&gt;寄&gt;附發票&gt;附回郵</v>
          </cell>
          <cell r="AM2809" t="str">
            <v>1-0705</v>
          </cell>
        </row>
        <row r="2810">
          <cell r="AK2810" t="str">
            <v>KEA-9310</v>
          </cell>
          <cell r="AL2810" t="str">
            <v>1-0053-力璽&gt;寄&gt;匯款</v>
          </cell>
          <cell r="AM2810" t="str">
            <v>1-0053</v>
          </cell>
        </row>
        <row r="2811">
          <cell r="AK2811" t="str">
            <v>KLD-3089</v>
          </cell>
          <cell r="AL2811" t="str">
            <v>1-0521-竹南永德福SCANIA&gt;寄&gt;附發票&gt;2個月後匯款</v>
          </cell>
          <cell r="AM2811" t="str">
            <v>1-0521</v>
          </cell>
        </row>
        <row r="2812">
          <cell r="AK2812" t="str">
            <v>608-JD</v>
          </cell>
          <cell r="AL2812" t="str">
            <v>1-0182-福海&gt;寄&gt;附回郵</v>
          </cell>
          <cell r="AM2812" t="str">
            <v>1-0182</v>
          </cell>
        </row>
        <row r="2813">
          <cell r="AK2813" t="str">
            <v>4615-R2</v>
          </cell>
          <cell r="AL2813" t="str">
            <v>1-0019-福雄&gt;寄&gt;附發票&gt;附回郵</v>
          </cell>
          <cell r="AM2813" t="str">
            <v>1-0019</v>
          </cell>
        </row>
        <row r="2814">
          <cell r="AK2814" t="str">
            <v>838-JD</v>
          </cell>
          <cell r="AL2814" t="str">
            <v>1-0069-卓文湧&gt;天頂&gt;寄&gt;自結</v>
          </cell>
          <cell r="AM2814" t="str">
            <v>1-0069</v>
          </cell>
        </row>
        <row r="2815">
          <cell r="AK2815" t="str">
            <v>11-YN</v>
          </cell>
          <cell r="AL2815" t="str">
            <v>1-0705-(1/3)福瑞&gt;寄&gt;附發票&gt;附回郵</v>
          </cell>
          <cell r="AM2815" t="str">
            <v>1-0705</v>
          </cell>
        </row>
        <row r="2816">
          <cell r="AK2816" t="str">
            <v>71-RV</v>
          </cell>
          <cell r="AL2816" t="str">
            <v>1-0705-(1/3)福瑞&gt;寄&gt;附發票&gt;附回郵</v>
          </cell>
          <cell r="AM2816" t="str">
            <v>1-0705</v>
          </cell>
        </row>
        <row r="2817">
          <cell r="AK2817" t="str">
            <v>板43-HG</v>
          </cell>
          <cell r="AL2817" t="str">
            <v>1-0706-(2/3)福民&gt;寄&gt;附發票&gt;附回郵</v>
          </cell>
          <cell r="AM2817" t="str">
            <v>1-0706</v>
          </cell>
        </row>
        <row r="2818">
          <cell r="AK2818" t="str">
            <v>660-V6</v>
          </cell>
          <cell r="AL2818" t="str">
            <v>1-0745-華宮&gt;現結&gt;附發票</v>
          </cell>
          <cell r="AM2818" t="str">
            <v>1-0745</v>
          </cell>
        </row>
        <row r="2819">
          <cell r="AK2819" t="str">
            <v>KEC-0303</v>
          </cell>
          <cell r="AL2819" t="str">
            <v>1-0194-傅文芳&gt;大砲&gt;一路發拖吊&gt;電&gt;自結</v>
          </cell>
          <cell r="AM2819" t="str">
            <v>1-0194</v>
          </cell>
        </row>
        <row r="2820">
          <cell r="AK2820" t="str">
            <v>2191-FV</v>
          </cell>
          <cell r="AL2820" t="str">
            <v>1-0109-東禾修理廠&gt;寄&gt;附發票&gt;附回郵</v>
          </cell>
          <cell r="AM2820" t="str">
            <v>1-0109</v>
          </cell>
        </row>
        <row r="2821">
          <cell r="AK2821" t="str">
            <v>ABR-0651</v>
          </cell>
          <cell r="AL2821" t="str">
            <v>1-0547-曹坤霖&gt;寄&gt;自結</v>
          </cell>
          <cell r="AM2821" t="str">
            <v>1-0547</v>
          </cell>
        </row>
        <row r="2822">
          <cell r="AK2822" t="str">
            <v>046-SU</v>
          </cell>
          <cell r="AL2822" t="str">
            <v>1-0746-昌義寄＞附回郵＞現金價</v>
          </cell>
          <cell r="AM2822" t="str">
            <v>1-0746</v>
          </cell>
        </row>
        <row r="2823">
          <cell r="AK2823" t="str">
            <v>KLD-6103</v>
          </cell>
          <cell r="AL2823" t="str">
            <v>1-0747-張達慶&gt;佳弘&gt;現結&gt;現金價</v>
          </cell>
          <cell r="AM2823" t="str">
            <v>1-0747</v>
          </cell>
        </row>
        <row r="2824">
          <cell r="AK2824" t="str">
            <v>8V8-XW</v>
          </cell>
          <cell r="AL2824" t="str">
            <v>1-0162-鎰利&gt;鎰金&gt;鎰加&gt;寄&gt;附發票&gt;2個月匯款</v>
          </cell>
          <cell r="AM2824" t="str">
            <v>1-0162</v>
          </cell>
        </row>
        <row r="2825">
          <cell r="AK2825" t="str">
            <v>板63-BB</v>
          </cell>
          <cell r="AL2825" t="str">
            <v>1-0162-鎰利&gt;鎰金&gt;鎰加&gt;寄&gt;附發票&gt;2個月匯款</v>
          </cell>
          <cell r="AM2825" t="str">
            <v>1-0162</v>
          </cell>
        </row>
        <row r="2826">
          <cell r="AK2826" t="str">
            <v>KEE-8156</v>
          </cell>
          <cell r="AL2826" t="str">
            <v>1-0288-台中VOLVO&gt;寄＞附發票＞匯款＞三個月匯款</v>
          </cell>
          <cell r="AM2826" t="str">
            <v>1-0288</v>
          </cell>
        </row>
        <row r="2827">
          <cell r="AK2827" t="str">
            <v>B6-QE</v>
          </cell>
          <cell r="AL2827" t="str">
            <v>1-0187-啟成&gt;寄&gt;附發票&gt;附回郵</v>
          </cell>
          <cell r="AM2827" t="str">
            <v>1-0187</v>
          </cell>
        </row>
        <row r="2828">
          <cell r="AK2828" t="str">
            <v>AAJ-871</v>
          </cell>
          <cell r="AL2828" t="str">
            <v>1-0368-銀城&gt;寄&gt;附發票&gt;附回郵</v>
          </cell>
          <cell r="AM2828" t="str">
            <v>1-0368</v>
          </cell>
        </row>
        <row r="2829">
          <cell r="AK2829" t="str">
            <v>EKA-0930</v>
          </cell>
          <cell r="AL2829" t="str">
            <v>1-0725-葉志生&gt;一天&gt;寄&gt;附發票&gt;匯款</v>
          </cell>
          <cell r="AM2829" t="str">
            <v>1-0725</v>
          </cell>
        </row>
        <row r="2830">
          <cell r="AK2830" t="str">
            <v>910-TV</v>
          </cell>
          <cell r="AL2830" t="str">
            <v>1-0079-旭中&gt;寄&gt;附發票&gt;附回郵</v>
          </cell>
          <cell r="AM2830" t="str">
            <v>1-0079</v>
          </cell>
        </row>
        <row r="2831">
          <cell r="AK2831" t="str">
            <v>板83-3A</v>
          </cell>
          <cell r="AL2831" t="str">
            <v>1-0473-台灣肥料&gt;寄&gt;附發票&gt;兩個月底匯款</v>
          </cell>
          <cell r="AM2831" t="str">
            <v>1-0473</v>
          </cell>
        </row>
        <row r="2832">
          <cell r="AK2832" t="str">
            <v>KLD-0088</v>
          </cell>
          <cell r="AL2832" t="str">
            <v>1-0753-永貞VOLVO&gt;永傳汽車&gt;寄＞附發票＞附回郵＞附定位數據</v>
          </cell>
          <cell r="AM2832" t="str">
            <v>1-0753</v>
          </cell>
        </row>
        <row r="2833">
          <cell r="AK2833" t="str">
            <v>KLA-3538</v>
          </cell>
          <cell r="AL2833" t="str">
            <v>1-0731-原皇&gt;原華&gt;國順-昇敏&gt;寄&gt;附發票&gt;附回郵(2個月25號寄票)</v>
          </cell>
          <cell r="AM2833" t="str">
            <v>1-0731</v>
          </cell>
        </row>
        <row r="2834">
          <cell r="AK2834" t="str">
            <v>KD-0233</v>
          </cell>
          <cell r="AL2834" t="str">
            <v>1-0731-原皇&gt;原華&gt;國順-昇敏&gt;寄&gt;附發票&gt;附回郵(2個月25號寄票)</v>
          </cell>
          <cell r="AM2834" t="str">
            <v>1-0731</v>
          </cell>
        </row>
        <row r="2835">
          <cell r="AK2835" t="str">
            <v>7379-NA</v>
          </cell>
          <cell r="AL2835" t="str">
            <v>1-0074-順安&gt;寄&gt;附發票&gt;附回郵</v>
          </cell>
          <cell r="AM2835" t="str">
            <v>1-0074</v>
          </cell>
        </row>
        <row r="2836">
          <cell r="AK2836" t="str">
            <v>691-EE</v>
          </cell>
          <cell r="AL2836" t="str">
            <v>1-0122-嘉偉&gt;元美&gt;寄&gt;附發票&gt;附回郵</v>
          </cell>
          <cell r="AM2836" t="str">
            <v>1-0122</v>
          </cell>
        </row>
        <row r="2837">
          <cell r="AK2837" t="str">
            <v>KEK-8205</v>
          </cell>
          <cell r="AL2837" t="str">
            <v>1-0879-鴻源企業&gt;寄平信&gt;附發票&gt;自結</v>
          </cell>
          <cell r="AM2837" t="str">
            <v>1-0879</v>
          </cell>
        </row>
        <row r="2838">
          <cell r="AK2838" t="str">
            <v>板28-5G</v>
          </cell>
          <cell r="AL2838" t="str">
            <v>1-0707-(3/3)福麗&gt;寄&gt;附發票&gt;附回郵</v>
          </cell>
          <cell r="AM2838" t="str">
            <v>1-0707</v>
          </cell>
        </row>
        <row r="2839">
          <cell r="AK2839" t="str">
            <v>板30-5G</v>
          </cell>
          <cell r="AL2839" t="str">
            <v>1-0707-(3/3)福麗&gt;寄&gt;附發票&gt;附回郵</v>
          </cell>
          <cell r="AM2839" t="str">
            <v>1-0707</v>
          </cell>
        </row>
        <row r="2840">
          <cell r="AK2840" t="str">
            <v>548-VS</v>
          </cell>
          <cell r="AL2840" t="str">
            <v>1-0619-永兆豐&gt;寄&gt;附發票&gt;附回郵</v>
          </cell>
          <cell r="AM2840" t="str">
            <v>1-0619</v>
          </cell>
        </row>
        <row r="2841">
          <cell r="AK2841" t="str">
            <v>板53-GC</v>
          </cell>
          <cell r="AL2841" t="str">
            <v>1-0303-江正榮＞阿妙-永慶&gt;寄&gt;自結</v>
          </cell>
          <cell r="AM2841" t="str">
            <v>1-0303</v>
          </cell>
        </row>
        <row r="2842">
          <cell r="AK2842" t="str">
            <v>KLC-5717</v>
          </cell>
          <cell r="AL2842" t="str">
            <v>1-0288-台中VOLVO&gt;寄＞附發票＞匯款＞三個月匯款</v>
          </cell>
          <cell r="AM2842" t="str">
            <v>1-0288</v>
          </cell>
        </row>
        <row r="2843">
          <cell r="AK2843" t="str">
            <v>ALF-0995</v>
          </cell>
          <cell r="AL2843" t="str">
            <v>1-0060-源鴻&gt;寄&gt;親收</v>
          </cell>
          <cell r="AM2843" t="str">
            <v>1-0060</v>
          </cell>
        </row>
        <row r="2844">
          <cell r="AK2844" t="str">
            <v>AYA-3705</v>
          </cell>
          <cell r="AL2844" t="str">
            <v>1-0109-東禾修理廠&gt;寄&gt;附發票&gt;附回郵</v>
          </cell>
          <cell r="AM2844" t="str">
            <v>1-0109</v>
          </cell>
        </row>
        <row r="2845">
          <cell r="AK2845" t="str">
            <v>板Z7-42</v>
          </cell>
          <cell r="AL2845" t="str">
            <v>1-0162-鎰利&gt;鎰金&gt;鎰加&gt;寄&gt;附發票&gt;2個月匯款</v>
          </cell>
          <cell r="AM2845" t="str">
            <v>1-0162</v>
          </cell>
        </row>
        <row r="2846">
          <cell r="AK2846">
            <v>2578705</v>
          </cell>
          <cell r="AL2846" t="str">
            <v>1-0303-江正榮＞阿妙-永慶&gt;寄&gt;自結</v>
          </cell>
          <cell r="AM2846" t="str">
            <v>1-0303</v>
          </cell>
        </row>
        <row r="2847">
          <cell r="AK2847" t="str">
            <v>板417</v>
          </cell>
          <cell r="AL2847" t="str">
            <v>1-0162-鎰利&gt;鎰金&gt;鎰加&gt;寄&gt;附發票&gt;2個月匯款</v>
          </cell>
          <cell r="AM2847" t="str">
            <v>1-0162</v>
          </cell>
        </row>
        <row r="2848">
          <cell r="AK2848" t="str">
            <v>板A3</v>
          </cell>
          <cell r="AL2848" t="str">
            <v>1-0162-鎰利&gt;鎰金&gt;鎰加&gt;寄&gt;附發票&gt;2個月匯款</v>
          </cell>
          <cell r="AM2848" t="str">
            <v>1-0162</v>
          </cell>
        </row>
        <row r="2849">
          <cell r="AK2849" t="str">
            <v>761-U8</v>
          </cell>
          <cell r="AL2849" t="str">
            <v>1-0122-嘉偉&gt;元美&gt;寄&gt;附發票&gt;附回郵</v>
          </cell>
          <cell r="AM2849" t="str">
            <v>1-0122</v>
          </cell>
        </row>
        <row r="2850">
          <cell r="AK2850" t="str">
            <v>66-WY</v>
          </cell>
          <cell r="AL2850" t="str">
            <v>1-0226-昶宏&gt;寄&gt;附回郵</v>
          </cell>
          <cell r="AM2850" t="str">
            <v>1-0226</v>
          </cell>
        </row>
        <row r="2851">
          <cell r="AK2851" t="str">
            <v>AVC-3591</v>
          </cell>
          <cell r="AL2851" t="str">
            <v>1-0109-東禾修理廠&gt;寄&gt;附發票&gt;附回郵</v>
          </cell>
          <cell r="AM2851" t="str">
            <v>1-0109</v>
          </cell>
        </row>
        <row r="2852">
          <cell r="AK2852" t="str">
            <v>KLD-0623</v>
          </cell>
          <cell r="AL2852" t="str">
            <v>1-0109-東禾修理廠&gt;寄&gt;附發票&gt;附回郵</v>
          </cell>
          <cell r="AM2852" t="str">
            <v>1-0109</v>
          </cell>
        </row>
        <row r="2853">
          <cell r="AK2853" t="str">
            <v>549-BW</v>
          </cell>
          <cell r="AL2853" t="str">
            <v>1-0725-葉志生&gt;一天&gt;寄&gt;附發票&gt;匯款</v>
          </cell>
          <cell r="AM2853" t="str">
            <v>1-0725</v>
          </cell>
        </row>
        <row r="2854">
          <cell r="AK2854" t="str">
            <v>ABG-6755</v>
          </cell>
          <cell r="AL2854" t="str">
            <v>1-0109-東禾修理廠&gt;寄&gt;附發票&gt;附回郵</v>
          </cell>
          <cell r="AM2854" t="str">
            <v>1-0109</v>
          </cell>
        </row>
        <row r="2855">
          <cell r="AK2855" t="str">
            <v>下把</v>
          </cell>
          <cell r="AL2855" t="str">
            <v>1-0054-(1/2)美聖&gt;寄&gt;附發票&gt;附回郵</v>
          </cell>
          <cell r="AM2855" t="str">
            <v>1-0054</v>
          </cell>
        </row>
        <row r="2856">
          <cell r="AK2856" t="str">
            <v>ANX-9560</v>
          </cell>
          <cell r="AL2856" t="str">
            <v>1-0751-楊家霖&gt;霖森園爇&gt;寄&gt;現結</v>
          </cell>
          <cell r="AM2856" t="str">
            <v>1-0751</v>
          </cell>
        </row>
        <row r="2857">
          <cell r="AK2857" t="str">
            <v>K4-2985</v>
          </cell>
          <cell r="AL2857" t="str">
            <v>1-0751-楊家霖&gt;霖森園爇&gt;寄&gt;現結</v>
          </cell>
          <cell r="AM2857" t="str">
            <v>1-0751</v>
          </cell>
        </row>
        <row r="2858">
          <cell r="AK2858" t="str">
            <v>8K-818</v>
          </cell>
          <cell r="AL2858" t="str">
            <v>1-0303-江正榮＞阿妙-永慶&gt;寄&gt;自結</v>
          </cell>
          <cell r="AM2858" t="str">
            <v>1-0303</v>
          </cell>
        </row>
        <row r="2859">
          <cell r="AK2859" t="str">
            <v>板53-Z8</v>
          </cell>
          <cell r="AL2859" t="str">
            <v>1-0137-華鎮環保科技有限公司&gt;寄&gt;匯款</v>
          </cell>
          <cell r="AM2859" t="str">
            <v>1-0137</v>
          </cell>
        </row>
        <row r="2860">
          <cell r="AK2860" t="str">
            <v>AKJ-1213</v>
          </cell>
          <cell r="AL2860" t="str">
            <v>1-0583-天大&gt;陳秋枝&gt;寄&gt;自結</v>
          </cell>
          <cell r="AM2860" t="str">
            <v>1-0583</v>
          </cell>
        </row>
        <row r="2861">
          <cell r="AK2861" t="str">
            <v>APX-9273</v>
          </cell>
          <cell r="AL2861" t="str">
            <v>1-0003-榮聯&gt;寄&gt;附發票&gt;附回郵</v>
          </cell>
          <cell r="AM2861" t="str">
            <v>1-0003</v>
          </cell>
        </row>
        <row r="2862">
          <cell r="AK2862" t="str">
            <v>880-Q8</v>
          </cell>
          <cell r="AL2862" t="str">
            <v>1-0056-寬輾&gt;寄&gt;附回郵(1/3)</v>
          </cell>
          <cell r="AM2862" t="str">
            <v>1-0056</v>
          </cell>
        </row>
        <row r="2863">
          <cell r="AK2863" t="str">
            <v>358-Q8</v>
          </cell>
          <cell r="AL2863" t="str">
            <v>1-0381-越穩(越大)輪胎&gt;寄&gt;匯款</v>
          </cell>
          <cell r="AM2863" t="str">
            <v>1-0381</v>
          </cell>
        </row>
        <row r="2864">
          <cell r="AK2864" t="str">
            <v>ACD-3191</v>
          </cell>
          <cell r="AL2864" t="str">
            <v>1-0646-許丘銘&gt;電&gt;付現</v>
          </cell>
          <cell r="AM2864" t="str">
            <v>1-0646</v>
          </cell>
        </row>
        <row r="2865">
          <cell r="AK2865" t="str">
            <v>0318-T5</v>
          </cell>
          <cell r="AL2865" t="str">
            <v>1-0109-東禾修理廠&gt;寄&gt;附發票&gt;附回郵</v>
          </cell>
          <cell r="AM2865" t="str">
            <v>1-0109</v>
          </cell>
        </row>
        <row r="2866">
          <cell r="AK2866" t="str">
            <v>RAE-9806</v>
          </cell>
          <cell r="AL2866" t="str">
            <v>1-0118-金昌&gt;寄&gt;附發票&gt;附回郵</v>
          </cell>
          <cell r="AM2866" t="str">
            <v>1-0118</v>
          </cell>
        </row>
        <row r="2867">
          <cell r="AK2867" t="str">
            <v>7471-VS</v>
          </cell>
          <cell r="AL2867" t="str">
            <v>1-0150-老劉&gt;寄&gt;附發票&gt;自結</v>
          </cell>
          <cell r="AM2867" t="str">
            <v>1-0150</v>
          </cell>
        </row>
        <row r="2868">
          <cell r="AK2868" t="str">
            <v>205-QE</v>
          </cell>
          <cell r="AL2868" t="str">
            <v>1-0565-有利&gt;寄&gt;附發票&gt;附回郵</v>
          </cell>
          <cell r="AM2868" t="str">
            <v>1-0565</v>
          </cell>
        </row>
        <row r="2869">
          <cell r="AK2869" t="str">
            <v>M5-6348</v>
          </cell>
          <cell r="AL2869" t="str">
            <v>1-0004-(1/3)長增&gt;寄&gt;附發票&gt;匯款&gt;現金價</v>
          </cell>
          <cell r="AM2869" t="str">
            <v>1-0004</v>
          </cell>
        </row>
        <row r="2870">
          <cell r="AK2870" t="str">
            <v>625-HU</v>
          </cell>
          <cell r="AL2870" t="str">
            <v>1-0608-聯倉&gt;寄&gt;附發票&gt;附回郵</v>
          </cell>
          <cell r="AM2870" t="str">
            <v>1-0608</v>
          </cell>
        </row>
        <row r="2871">
          <cell r="AK2871" t="str">
            <v>板72-RV</v>
          </cell>
          <cell r="AL2871" t="str">
            <v>1-0707-(3/3)福麗&gt;寄&gt;附發票&gt;附回郵</v>
          </cell>
          <cell r="AM2871" t="str">
            <v>1-0707</v>
          </cell>
        </row>
        <row r="2872">
          <cell r="AK2872" t="str">
            <v>5378-KNA</v>
          </cell>
          <cell r="AL2872" t="str">
            <v>1-0398-天文.坤成&gt;寄&gt;附發票&gt;附回郵</v>
          </cell>
          <cell r="AM2872" t="str">
            <v>1-0398</v>
          </cell>
        </row>
        <row r="2873">
          <cell r="AK2873" t="str">
            <v>908-JB</v>
          </cell>
          <cell r="AL2873" t="str">
            <v>1-0546-慈揚&gt;賴進烈&gt;寄&gt;1個月15號匯款</v>
          </cell>
          <cell r="AM2873" t="str">
            <v>1-0546</v>
          </cell>
        </row>
        <row r="2874">
          <cell r="AK2874" t="str">
            <v>板99-DN</v>
          </cell>
          <cell r="AL2874" t="str">
            <v>1-0399-銘旺&gt;寄&gt;附發票&gt;附回郵</v>
          </cell>
          <cell r="AM2874" t="str">
            <v>1-0399</v>
          </cell>
        </row>
        <row r="2875">
          <cell r="AK2875" t="str">
            <v>板92-M6</v>
          </cell>
          <cell r="AL2875" t="str">
            <v>1-0606-(1/2)冠德&gt;寄&gt;附發票&gt;附回郵</v>
          </cell>
          <cell r="AM2875" t="str">
            <v>1-0606</v>
          </cell>
        </row>
        <row r="2876">
          <cell r="AK2876" t="str">
            <v>板MV-77</v>
          </cell>
          <cell r="AL2876" t="str">
            <v>1-0606-(1/2)冠德&gt;寄&gt;附發票&gt;附回郵</v>
          </cell>
          <cell r="AM2876" t="str">
            <v>1-0606</v>
          </cell>
        </row>
        <row r="2877">
          <cell r="AK2877" t="str">
            <v>ARH-1889</v>
          </cell>
          <cell r="AL2877" t="str">
            <v>1-0624-聖麒工程&gt;閎元&gt;永金&gt;寄&gt;附回郵&gt;現金價</v>
          </cell>
          <cell r="AM2877" t="str">
            <v>1-0624</v>
          </cell>
        </row>
        <row r="2878">
          <cell r="AK2878" t="str">
            <v>6H-6910</v>
          </cell>
          <cell r="AL2878" t="str">
            <v>1-0646-許丘銘&gt;電&gt;付現</v>
          </cell>
          <cell r="AM2878" t="str">
            <v>1-0646</v>
          </cell>
        </row>
        <row r="2879">
          <cell r="AK2879" t="str">
            <v>8562-U2</v>
          </cell>
          <cell r="AL2879" t="str">
            <v>1-0060-源鴻&gt;寄&gt;親收</v>
          </cell>
          <cell r="AM2879" t="str">
            <v>1-0060</v>
          </cell>
        </row>
        <row r="2880">
          <cell r="AK2880" t="str">
            <v>KLB-0592</v>
          </cell>
          <cell r="AL2880" t="str">
            <v>1-0736-盛鋐開發&gt;旺佶&gt;寄&gt;附發票&gt;1個月匯款</v>
          </cell>
          <cell r="AM2880" t="str">
            <v>1-0736</v>
          </cell>
        </row>
        <row r="2881">
          <cell r="AK2881" t="str">
            <v>AYA-2822</v>
          </cell>
          <cell r="AL2881" t="str">
            <v>1-0060-源鴻&gt;寄&gt;親收</v>
          </cell>
          <cell r="AM2881" t="str">
            <v>1-0060</v>
          </cell>
        </row>
        <row r="2882">
          <cell r="AK2882" t="str">
            <v>067-HE</v>
          </cell>
          <cell r="AL2882" t="str">
            <v>1-0608-聯倉&gt;寄&gt;附發票&gt;附回郵</v>
          </cell>
          <cell r="AM2882" t="str">
            <v>1-0608</v>
          </cell>
        </row>
        <row r="2883">
          <cell r="AK2883" t="str">
            <v>KLD-3726</v>
          </cell>
          <cell r="AL2883" t="str">
            <v>1-0521-竹南永德福SCANIA&gt;寄&gt;附發票&gt;2個月後匯款</v>
          </cell>
          <cell r="AM2883" t="str">
            <v>1-0521</v>
          </cell>
        </row>
        <row r="2884">
          <cell r="AK2884" t="str">
            <v>8362-W6</v>
          </cell>
          <cell r="AL2884" t="str">
            <v>1-0074-順安&gt;寄&gt;附發票&gt;附回郵</v>
          </cell>
          <cell r="AM2884" t="str">
            <v>1-0074</v>
          </cell>
        </row>
        <row r="2885">
          <cell r="AK2885" t="str">
            <v>878-X3</v>
          </cell>
          <cell r="AL2885" t="str">
            <v>1-0844-日中&gt;自結&gt;</v>
          </cell>
          <cell r="AM2885" t="str">
            <v>1-0844</v>
          </cell>
        </row>
        <row r="2886">
          <cell r="AK2886" t="str">
            <v>QAE-985</v>
          </cell>
          <cell r="AL2886" t="str">
            <v>1-0804-峰宸&gt;豪新&gt;電&gt;自結(刷卡含稅)</v>
          </cell>
          <cell r="AM2886" t="str">
            <v>1-0804</v>
          </cell>
        </row>
        <row r="2887">
          <cell r="AK2887" t="str">
            <v>LAC-229</v>
          </cell>
          <cell r="AL2887" t="str">
            <v>1-0844-日中&gt;自結&gt;</v>
          </cell>
          <cell r="AM2887" t="str">
            <v>1-0844</v>
          </cell>
        </row>
        <row r="2888">
          <cell r="AK2888" t="str">
            <v>323-W6</v>
          </cell>
          <cell r="AL2888" t="str">
            <v>1-0727-鐘有鈿 &gt;連升&gt;正峰&gt;嘉順&gt;寄&gt;附回郵</v>
          </cell>
          <cell r="AM2888" t="str">
            <v>1-0727</v>
          </cell>
        </row>
        <row r="2889">
          <cell r="AK2889" t="str">
            <v>625-Q2</v>
          </cell>
          <cell r="AL2889" t="str">
            <v>1-0829-台興炭酸&gt;長泰氣體&gt;寄&gt;附發票&gt;附回郵</v>
          </cell>
          <cell r="AM2889" t="str">
            <v>1-0829</v>
          </cell>
        </row>
        <row r="2890">
          <cell r="AK2890" t="str">
            <v>866-M7</v>
          </cell>
          <cell r="AL2890" t="str">
            <v>1-0540-聯興&gt;葉秀禮&gt;寄平信&gt;自結</v>
          </cell>
          <cell r="AM2890" t="str">
            <v>1-0540</v>
          </cell>
        </row>
        <row r="2891">
          <cell r="AK2891" t="str">
            <v>KLA-97</v>
          </cell>
          <cell r="AL2891" t="str">
            <v>1-0047-(2/4)鴻安&gt;寄&gt;附發票&gt;附回郵</v>
          </cell>
          <cell r="AM2891" t="str">
            <v>1-0047</v>
          </cell>
        </row>
        <row r="2892">
          <cell r="AK2892" t="str">
            <v>027-TT</v>
          </cell>
          <cell r="AL2892" t="str">
            <v>1-0591-羅正宏&gt;寄&gt;自結</v>
          </cell>
          <cell r="AM2892" t="str">
            <v>1-0591</v>
          </cell>
        </row>
        <row r="2893">
          <cell r="AK2893" t="str">
            <v>AAJ-525</v>
          </cell>
          <cell r="AL2893" t="str">
            <v>1-0728-中油探採&gt;寄&gt;待通知開發票&gt;一個月匯款&gt;(標案)</v>
          </cell>
          <cell r="AM2893" t="str">
            <v>1-0728</v>
          </cell>
        </row>
        <row r="2894">
          <cell r="AK2894" t="str">
            <v>KLB-8936</v>
          </cell>
          <cell r="AL2894" t="str">
            <v>1-0303-江正榮＞阿妙-永慶&gt;寄&gt;自結</v>
          </cell>
          <cell r="AM2894" t="str">
            <v>1-0303</v>
          </cell>
        </row>
        <row r="2895">
          <cell r="AK2895" t="str">
            <v>APP-3360</v>
          </cell>
          <cell r="AL2895" t="str">
            <v>1-0632-長源新竹&gt;寄＞附發票＞三個月匯款</v>
          </cell>
          <cell r="AM2895" t="str">
            <v>1-0632</v>
          </cell>
        </row>
        <row r="2896">
          <cell r="AK2896" t="str">
            <v>7561-TW</v>
          </cell>
          <cell r="AL2896" t="str">
            <v>1-0363-廣霖配管&gt;寄&gt;附發票&gt;附回郵</v>
          </cell>
          <cell r="AM2896" t="str">
            <v>1-0363</v>
          </cell>
        </row>
        <row r="2897">
          <cell r="AK2897" t="str">
            <v>533-X3</v>
          </cell>
          <cell r="AL2897" t="str">
            <v>1-0754-萬長春&gt;大吉交通&gt;寄＞自結&gt;現金價</v>
          </cell>
          <cell r="AM2897" t="str">
            <v>1-0754</v>
          </cell>
        </row>
        <row r="2898">
          <cell r="AK2898" t="str">
            <v>81-DS</v>
          </cell>
          <cell r="AL2898" t="str">
            <v>1-0754-萬長春&gt;大吉交通&gt;寄＞自結&gt;現金價</v>
          </cell>
          <cell r="AM2898" t="str">
            <v>1-0754</v>
          </cell>
        </row>
        <row r="2899">
          <cell r="AK2899" t="str">
            <v>697-X3</v>
          </cell>
          <cell r="AL2899" t="str">
            <v>1-0260-曾士豪(兩斤)&gt;正欣&gt;寄&gt;匯款</v>
          </cell>
          <cell r="AM2899" t="str">
            <v>1-0260</v>
          </cell>
        </row>
        <row r="2900">
          <cell r="AK2900" t="str">
            <v>AJM-8902</v>
          </cell>
          <cell r="AL2900" t="str">
            <v>1-0138-栗合興&gt;栗安&gt;寄&gt;附發票&gt;三個月匯款</v>
          </cell>
          <cell r="AM2900" t="str">
            <v>1-0138</v>
          </cell>
        </row>
        <row r="2901">
          <cell r="AK2901" t="str">
            <v>0251-ALF</v>
          </cell>
          <cell r="AL2901" t="str">
            <v>1-0146-佳億塑膠&gt;寄&gt;附發票&gt;附回郵</v>
          </cell>
          <cell r="AM2901" t="str">
            <v>1-0146</v>
          </cell>
        </row>
        <row r="2902">
          <cell r="AK2902" t="str">
            <v>V6-2046</v>
          </cell>
          <cell r="AL2902" t="str">
            <v>1-0143-劉邦禹&gt;寄平信&gt;自結</v>
          </cell>
          <cell r="AM2902" t="str">
            <v>1-0143</v>
          </cell>
        </row>
        <row r="2903">
          <cell r="AK2903" t="str">
            <v>AFP-7733</v>
          </cell>
          <cell r="AL2903" t="str">
            <v>1-0286-洪鍵忠＞小香港&gt;寄&gt;附回郵</v>
          </cell>
          <cell r="AM2903" t="str">
            <v>1-0286</v>
          </cell>
        </row>
        <row r="2904">
          <cell r="AK2904" t="str">
            <v>152-Q2</v>
          </cell>
          <cell r="AL2904" t="str">
            <v>1-0328-平順&gt;寄&gt;附發票&gt;附回郵</v>
          </cell>
          <cell r="AM2904" t="str">
            <v>1-0328</v>
          </cell>
        </row>
        <row r="2905">
          <cell r="AK2905" t="str">
            <v>板36</v>
          </cell>
          <cell r="AL2905" t="str">
            <v>1-0607-(2/2)瑋鎰&gt;寄&gt;附發票&gt;附回郵</v>
          </cell>
          <cell r="AM2905" t="str">
            <v>1-0607</v>
          </cell>
        </row>
        <row r="2906">
          <cell r="AK2906" t="str">
            <v>7712-FE</v>
          </cell>
          <cell r="AL2906" t="str">
            <v>1-0060-源鴻&gt;寄&gt;親收</v>
          </cell>
          <cell r="AM2906" t="str">
            <v>1-0060</v>
          </cell>
        </row>
        <row r="2907">
          <cell r="AK2907" t="str">
            <v>AUP-2685</v>
          </cell>
          <cell r="AL2907" t="str">
            <v>1-0429-協成輪胎&gt;寄&gt;附發票&gt;附回郵</v>
          </cell>
          <cell r="AM2907" t="str">
            <v>1-0429</v>
          </cell>
        </row>
        <row r="2908">
          <cell r="AK2908" t="str">
            <v>ATW-1888</v>
          </cell>
          <cell r="AL2908" t="str">
            <v>1-0019-福雄&gt;寄&gt;附發票&gt;附回郵</v>
          </cell>
          <cell r="AM2908" t="str">
            <v>1-0019</v>
          </cell>
        </row>
        <row r="2909">
          <cell r="AK2909" t="str">
            <v>US-990</v>
          </cell>
          <cell r="AL2909" t="str">
            <v>1-0668-陳鈺蓁.福聖&gt;寄&gt;附發票&gt;一個月匯款</v>
          </cell>
          <cell r="AM2909" t="str">
            <v>1-0668</v>
          </cell>
        </row>
        <row r="2910">
          <cell r="AK2910" t="str">
            <v>AVP-2685</v>
          </cell>
          <cell r="AL2910" t="str">
            <v>1-0429-協成輪胎&gt;寄&gt;附發票&gt;附回郵</v>
          </cell>
          <cell r="AM2910" t="str">
            <v>1-0429</v>
          </cell>
        </row>
        <row r="2911">
          <cell r="AK2911" t="str">
            <v>AHA-1018</v>
          </cell>
          <cell r="AL2911" t="str">
            <v>1-0054-(1/2)美聖&gt;寄&gt;附發票&gt;附回郵</v>
          </cell>
          <cell r="AM2911" t="str">
            <v>1-0054</v>
          </cell>
        </row>
        <row r="2912">
          <cell r="AK2912" t="str">
            <v>AAJ-798</v>
          </cell>
          <cell r="AL2912" t="str">
            <v>1-0180-益勝鷹架&gt;寄&gt;附發票&gt;匯款</v>
          </cell>
          <cell r="AM2912" t="str">
            <v>1-0180</v>
          </cell>
        </row>
        <row r="2913">
          <cell r="AK2913" t="str">
            <v>RAQ-1060</v>
          </cell>
          <cell r="AL2913" t="str">
            <v>1-0180-益勝鷹架&gt;寄&gt;附發票&gt;匯款</v>
          </cell>
          <cell r="AM2913" t="str">
            <v>1-0180</v>
          </cell>
        </row>
        <row r="2914">
          <cell r="AK2914" t="str">
            <v>板26-ZK</v>
          </cell>
          <cell r="AL2914" t="str">
            <v>1-0701-串昌&gt;兑玖開發&gt;寄&gt;附發票&gt;附回郵</v>
          </cell>
          <cell r="AM2914" t="str">
            <v>1-0701</v>
          </cell>
        </row>
        <row r="2915">
          <cell r="AK2915" t="str">
            <v>板209-R9</v>
          </cell>
          <cell r="AL2915" t="str">
            <v>1-0701-串昌&gt;兑玖開發&gt;寄&gt;附發票&gt;附回郵</v>
          </cell>
          <cell r="AM2915" t="str">
            <v>1-0701</v>
          </cell>
        </row>
        <row r="2916">
          <cell r="AK2916" t="str">
            <v>7P-0487</v>
          </cell>
          <cell r="AL2916" t="str">
            <v>1-0590-電機葆&gt;張正葆&gt;寄&gt;自結</v>
          </cell>
          <cell r="AM2916" t="str">
            <v>1-0590</v>
          </cell>
        </row>
        <row r="2917">
          <cell r="AK2917" t="str">
            <v>KAB-5603</v>
          </cell>
          <cell r="AL2917" t="str">
            <v>1-0745-華宮&gt;現結&gt;附發票</v>
          </cell>
          <cell r="AM2917" t="str">
            <v>1-0745</v>
          </cell>
        </row>
        <row r="2918">
          <cell r="AK2918" t="str">
            <v>RBL-5856</v>
          </cell>
          <cell r="AL2918" t="str">
            <v>1-0581-弘喬&gt;寄&gt;附發票&gt;附回郵</v>
          </cell>
          <cell r="AM2918" t="str">
            <v>1-0581</v>
          </cell>
        </row>
        <row r="2919">
          <cell r="AK2919" t="str">
            <v>8435-NU</v>
          </cell>
          <cell r="AL2919" t="str">
            <v>1-0079-旭中&gt;寄&gt;附發票&gt;附回郵</v>
          </cell>
          <cell r="AM2919" t="str">
            <v>1-0079</v>
          </cell>
        </row>
        <row r="2920">
          <cell r="AK2920" t="str">
            <v>板98-DF</v>
          </cell>
          <cell r="AL2920" t="str">
            <v>1-0607-(2/2)瑋鎰&gt;寄&gt;附發票&gt;附回郵</v>
          </cell>
          <cell r="AM2920" t="str">
            <v>1-0607</v>
          </cell>
        </row>
        <row r="2921">
          <cell r="AK2921" t="str">
            <v>2H-2423</v>
          </cell>
          <cell r="AL2921" t="str">
            <v>1-0109-東禾修理廠&gt;寄&gt;附發票&gt;附回郵</v>
          </cell>
          <cell r="AM2921" t="str">
            <v>1-0109</v>
          </cell>
        </row>
        <row r="2922">
          <cell r="AK2922" t="str">
            <v>580-X5</v>
          </cell>
          <cell r="AL2922" t="str">
            <v>1-0707-(3/3)福麗&gt;寄&gt;附發票&gt;附回郵</v>
          </cell>
          <cell r="AM2922" t="str">
            <v>1-0707</v>
          </cell>
        </row>
        <row r="2923">
          <cell r="AK2923" t="str">
            <v>板73-RV</v>
          </cell>
          <cell r="AL2923" t="str">
            <v>1-0706-(2/3)福民&gt;寄&gt;附發票&gt;附回郵</v>
          </cell>
          <cell r="AM2923" t="str">
            <v>1-0706</v>
          </cell>
        </row>
        <row r="2924">
          <cell r="AK2924" t="str">
            <v>RBL-5063</v>
          </cell>
          <cell r="AL2924" t="str">
            <v>1-0624-聖麒工程&gt;閎元&gt;永金&gt;寄&gt;附回郵&gt;現金價</v>
          </cell>
          <cell r="AM2924" t="str">
            <v>1-0624</v>
          </cell>
        </row>
        <row r="2925">
          <cell r="AK2925" t="str">
            <v>296-Q2</v>
          </cell>
          <cell r="AL2925" t="str">
            <v>1-0660-竹新.頂烽&gt;寄&gt;附發票&gt;匯款</v>
          </cell>
          <cell r="AM2925" t="str">
            <v>1-0660</v>
          </cell>
        </row>
        <row r="2926">
          <cell r="AK2926" t="str">
            <v>905-JB</v>
          </cell>
          <cell r="AL2926" t="str">
            <v>1-0469-黃明良&gt;旭東&gt;寄&gt;附發票&gt;附回郵</v>
          </cell>
          <cell r="AM2926" t="str">
            <v>1-0469</v>
          </cell>
        </row>
        <row r="2927">
          <cell r="AK2927" t="str">
            <v>867-KL</v>
          </cell>
          <cell r="AL2927" t="str">
            <v>1-0756-興達隆&gt;明正&gt;寄&gt;匯款</v>
          </cell>
          <cell r="AM2927" t="str">
            <v>1-0756</v>
          </cell>
        </row>
        <row r="2928">
          <cell r="AK2928" t="str">
            <v>031-X3</v>
          </cell>
          <cell r="AL2928" t="str">
            <v>1-0736-盛鋐開發&gt;旺佶&gt;寄&gt;附發票&gt;1個月匯款</v>
          </cell>
          <cell r="AM2928" t="str">
            <v>1-0736</v>
          </cell>
        </row>
        <row r="2929">
          <cell r="AK2929" t="str">
            <v>ARQ-6208</v>
          </cell>
          <cell r="AL2929" t="str">
            <v>1-0757-金漢營造有限公司&gt;寄&gt;附發票&gt;一個月匯款</v>
          </cell>
          <cell r="AM2929" t="str">
            <v>1-0757</v>
          </cell>
        </row>
        <row r="2930">
          <cell r="AK2930" t="str">
            <v>KLD-3777</v>
          </cell>
          <cell r="AL2930" t="str">
            <v>1-0046-(1/4)鴻阜&gt;寄&gt;附發票&gt;附回郵</v>
          </cell>
          <cell r="AM2930" t="str">
            <v>1-0046</v>
          </cell>
        </row>
        <row r="2931">
          <cell r="AK2931" t="str">
            <v>4066-N5</v>
          </cell>
          <cell r="AL2931" t="str">
            <v>1-0729-中油探採&gt;開估價單&gt;自來結帳開發票&gt;匯款</v>
          </cell>
          <cell r="AM2931" t="str">
            <v>1-0729</v>
          </cell>
        </row>
        <row r="2932">
          <cell r="AK2932" t="str">
            <v>4073-N5</v>
          </cell>
          <cell r="AL2932" t="str">
            <v>1-0728-中油探採&gt;寄&gt;待通知開發票&gt;一個月匯款&gt;(標案)</v>
          </cell>
          <cell r="AM2932" t="str">
            <v>1-0728</v>
          </cell>
        </row>
        <row r="2933">
          <cell r="AK2933" t="str">
            <v>RAQ-9357</v>
          </cell>
          <cell r="AL2933" t="str">
            <v>1-0711-耕溢&gt;寄&gt;附發票&gt;附回郵</v>
          </cell>
          <cell r="AM2933" t="str">
            <v>1-0711</v>
          </cell>
        </row>
        <row r="2934">
          <cell r="AK2934" t="str">
            <v>RCB-6005</v>
          </cell>
          <cell r="AL2934" t="str">
            <v>1-0759-黃建鴻&gt;阿呆弟&gt;&gt;黑仔&gt;金鈺&gt;寄&gt;自結</v>
          </cell>
          <cell r="AM2934" t="str">
            <v>1-0759</v>
          </cell>
        </row>
        <row r="2935">
          <cell r="AK2935" t="str">
            <v>RAA-0867</v>
          </cell>
          <cell r="AL2935" t="str">
            <v>1-0759-黃建鴻&gt;阿呆弟&gt;&gt;黑仔&gt;金鈺&gt;寄&gt;自結</v>
          </cell>
          <cell r="AM2935" t="str">
            <v>1-0759</v>
          </cell>
        </row>
        <row r="2936">
          <cell r="AK2936" t="str">
            <v>KLB-0158</v>
          </cell>
          <cell r="AL2936" t="str">
            <v>1-0736-盛鋐開發&gt;旺佶&gt;寄&gt;附發票&gt;1個月匯款</v>
          </cell>
          <cell r="AM2936" t="str">
            <v>1-0736</v>
          </cell>
        </row>
        <row r="2937">
          <cell r="AK2937" t="str">
            <v>KLA-8816</v>
          </cell>
          <cell r="AL2937" t="str">
            <v>1-0608-聯倉&gt;寄&gt;附發票&gt;附回郵</v>
          </cell>
          <cell r="AM2937" t="str">
            <v>1-0608</v>
          </cell>
        </row>
        <row r="2938">
          <cell r="AK2938" t="str">
            <v>KLD-3801</v>
          </cell>
          <cell r="AL2938" t="str">
            <v>1-0136-順華&gt;寄&gt;附發票&gt;三個月匯款</v>
          </cell>
          <cell r="AM2938" t="str">
            <v>1-0136</v>
          </cell>
        </row>
        <row r="2939">
          <cell r="AK2939" t="str">
            <v>KLD-3800</v>
          </cell>
          <cell r="AL2939" t="str">
            <v>1-0136-順華&gt;寄&gt;附發票&gt;三個月匯款</v>
          </cell>
          <cell r="AM2939" t="str">
            <v>1-0136</v>
          </cell>
        </row>
        <row r="2940">
          <cell r="AK2940" t="str">
            <v>LAJ-501</v>
          </cell>
          <cell r="AL2940" t="str">
            <v>1-0540-聯興&gt;葉秀禮&gt;寄平信&gt;自結</v>
          </cell>
          <cell r="AM2940" t="str">
            <v>1-0540</v>
          </cell>
        </row>
        <row r="2941">
          <cell r="AK2941" t="str">
            <v>KEA-9532</v>
          </cell>
          <cell r="AL2941" t="str">
            <v>1-0492-佳能環保&gt;鳳屏&gt;新益慶&gt;寄&gt;附發票&gt;一個月匯款</v>
          </cell>
          <cell r="AM2941" t="str">
            <v>1-0492</v>
          </cell>
        </row>
        <row r="2942">
          <cell r="AK2942" t="str">
            <v>ATP-9678</v>
          </cell>
          <cell r="AL2942" t="str">
            <v>1-0492-佳能環保&gt;鳳屏&gt;新益慶&gt;寄&gt;附發票&gt;一個月匯款</v>
          </cell>
          <cell r="AM2942" t="str">
            <v>1-0492</v>
          </cell>
        </row>
        <row r="2943">
          <cell r="AK2943" t="str">
            <v>149-BB</v>
          </cell>
          <cell r="AL2943" t="str">
            <v>1-0179-竤星企業社&gt;寄&gt;附發票&gt;自結&gt;勿電</v>
          </cell>
          <cell r="AM2943" t="str">
            <v>1-0179</v>
          </cell>
        </row>
        <row r="2944">
          <cell r="AK2944" t="str">
            <v>908-H9</v>
          </cell>
          <cell r="AL2944" t="str">
            <v>1-0800-寬輾&gt;寄&gt;自結(2/3)</v>
          </cell>
          <cell r="AM2944" t="str">
            <v>1-0800</v>
          </cell>
        </row>
        <row r="2945">
          <cell r="AK2945" t="str">
            <v>331-W8</v>
          </cell>
          <cell r="AL2945" t="str">
            <v>1-0800-寬輾&gt;寄&gt;自結(2/3)</v>
          </cell>
          <cell r="AM2945" t="str">
            <v>1-0800</v>
          </cell>
        </row>
        <row r="2946">
          <cell r="AK2946" t="str">
            <v>KLD-3730</v>
          </cell>
          <cell r="AL2946" t="str">
            <v>1-0606-(1/2)冠德&gt;寄&gt;附發票&gt;附回郵</v>
          </cell>
          <cell r="AM2946" t="str">
            <v>1-0606</v>
          </cell>
        </row>
        <row r="2947">
          <cell r="AK2947" t="str">
            <v>330-Y7</v>
          </cell>
          <cell r="AL2947" t="str">
            <v>1-0472-虹銘&gt;寄&gt;附發票&gt;附回郵</v>
          </cell>
          <cell r="AM2947" t="str">
            <v>1-0472</v>
          </cell>
        </row>
        <row r="2948">
          <cell r="AK2948" t="str">
            <v>AHD-5880</v>
          </cell>
          <cell r="AL2948" t="str">
            <v>1-0053-力璽&gt;寄&gt;匯款</v>
          </cell>
          <cell r="AM2948" t="str">
            <v>1-0053</v>
          </cell>
        </row>
        <row r="2949">
          <cell r="AK2949" t="str">
            <v>5669-TX</v>
          </cell>
          <cell r="AL2949" t="str">
            <v>1-0060-源鴻&gt;寄&gt;親收</v>
          </cell>
          <cell r="AM2949" t="str">
            <v>1-0060</v>
          </cell>
        </row>
        <row r="2950">
          <cell r="AK2950" t="str">
            <v>AHH-8153</v>
          </cell>
          <cell r="AL2950" t="str">
            <v>1-0615-弘陞&gt;寄&gt;自結</v>
          </cell>
          <cell r="AM2950" t="str">
            <v>1-0615</v>
          </cell>
        </row>
        <row r="2951">
          <cell r="AK2951" t="str">
            <v>ASN-6935</v>
          </cell>
          <cell r="AL2951" t="str">
            <v>1-0060-源鴻&gt;寄&gt;親收</v>
          </cell>
          <cell r="AM2951" t="str">
            <v>1-0060</v>
          </cell>
        </row>
        <row r="2952">
          <cell r="AK2952" t="str">
            <v>365-TK</v>
          </cell>
          <cell r="AL2952" t="str">
            <v>1-0496-啟德&gt;寄&gt;附發票&gt;附回郵</v>
          </cell>
          <cell r="AM2952" t="str">
            <v>1-0496</v>
          </cell>
        </row>
        <row r="2953">
          <cell r="AK2953" t="str">
            <v>AUX-1657</v>
          </cell>
          <cell r="AL2953" t="str">
            <v>1-0752-弘貹&gt;寄＞附回郵＞現金價</v>
          </cell>
          <cell r="AM2953" t="str">
            <v>1-0752</v>
          </cell>
        </row>
        <row r="2954">
          <cell r="AK2954" t="str">
            <v>HAA-3103</v>
          </cell>
          <cell r="AL2954" t="str">
            <v>1-0473-台灣肥料&gt;寄&gt;附發票&gt;兩個月底匯款</v>
          </cell>
          <cell r="AM2954" t="str">
            <v>1-0473</v>
          </cell>
        </row>
        <row r="2955">
          <cell r="AK2955" t="str">
            <v>ALQ-6096</v>
          </cell>
          <cell r="AL2955" t="str">
            <v>1-0767-鑫豪食品&gt;鐘湧鈞&gt;鐘添丁&gt;寄&gt;附發票&gt;附回郵</v>
          </cell>
          <cell r="AM2955" t="str">
            <v>1-0767</v>
          </cell>
        </row>
        <row r="2956">
          <cell r="AK2956" t="str">
            <v>9959-YW</v>
          </cell>
          <cell r="AL2956" t="str">
            <v>1-0767-鑫豪食品&gt;鐘湧鈞&gt;鐘添丁&gt;寄&gt;附發票&gt;附回郵</v>
          </cell>
          <cell r="AM2956" t="str">
            <v>1-0767</v>
          </cell>
        </row>
        <row r="2957">
          <cell r="AK2957" t="str">
            <v>8318-HN</v>
          </cell>
          <cell r="AL2957" t="str">
            <v>1-0767-鑫豪食品&gt;鐘湧鈞&gt;鐘添丁&gt;寄&gt;附發票&gt;附回郵</v>
          </cell>
          <cell r="AM2957" t="str">
            <v>1-0767</v>
          </cell>
        </row>
        <row r="2958">
          <cell r="AK2958" t="str">
            <v>AUF-2339</v>
          </cell>
          <cell r="AL2958" t="str">
            <v>1-0767-鑫豪食品&gt;鐘湧鈞&gt;鐘添丁&gt;寄&gt;附發票&gt;附回郵</v>
          </cell>
          <cell r="AM2958" t="str">
            <v>1-0767</v>
          </cell>
        </row>
        <row r="2959">
          <cell r="AK2959" t="str">
            <v>KEA-9039</v>
          </cell>
          <cell r="AL2959" t="str">
            <v>1-0767-鑫豪食品&gt;鐘湧鈞&gt;鐘添丁&gt;寄&gt;附發票&gt;附回郵</v>
          </cell>
          <cell r="AM2959" t="str">
            <v>1-0767</v>
          </cell>
        </row>
        <row r="2960">
          <cell r="AK2960" t="str">
            <v>693-Q2</v>
          </cell>
          <cell r="AL2960" t="str">
            <v>1-0767-鑫豪食品&gt;鐘湧鈞&gt;鐘添丁&gt;寄&gt;附發票&gt;附回郵</v>
          </cell>
          <cell r="AM2960" t="str">
            <v>1-0767</v>
          </cell>
        </row>
        <row r="2961">
          <cell r="AK2961" t="str">
            <v>9F-988</v>
          </cell>
          <cell r="AL2961" t="str">
            <v>1-0767-鑫豪食品&gt;鐘湧鈞&gt;鐘添丁&gt;寄&gt;附發票&gt;附回郵</v>
          </cell>
          <cell r="AM2961" t="str">
            <v>1-0767</v>
          </cell>
        </row>
        <row r="2962">
          <cell r="AK2962" t="str">
            <v>Q7-136</v>
          </cell>
          <cell r="AL2962" t="str">
            <v>1-0767-鑫豪食品&gt;鐘湧鈞&gt;鐘添丁&gt;寄&gt;附發票&gt;附回郵</v>
          </cell>
          <cell r="AM2962" t="str">
            <v>1-0767</v>
          </cell>
        </row>
        <row r="2963">
          <cell r="AK2963" t="str">
            <v>550-Y7</v>
          </cell>
          <cell r="AL2963" t="str">
            <v>1-0473-台灣肥料&gt;寄&gt;附發票&gt;兩個月底匯款</v>
          </cell>
          <cell r="AM2963" t="str">
            <v>1-0473</v>
          </cell>
        </row>
        <row r="2964">
          <cell r="AK2964" t="str">
            <v>636-HE</v>
          </cell>
          <cell r="AL2964" t="str">
            <v>1-0260-曾士豪(兩斤)&gt;正欣&gt;寄&gt;匯款</v>
          </cell>
          <cell r="AM2964" t="str">
            <v>1-0260</v>
          </cell>
        </row>
        <row r="2965">
          <cell r="AK2965" t="str">
            <v>990-H9</v>
          </cell>
          <cell r="AL2965" t="str">
            <v>1-0260-曾士豪(兩斤)&gt;正欣&gt;寄&gt;匯款</v>
          </cell>
          <cell r="AM2965" t="str">
            <v>1-0260</v>
          </cell>
        </row>
        <row r="2966">
          <cell r="AK2966" t="str">
            <v>893-Q8</v>
          </cell>
          <cell r="AL2966" t="str">
            <v>1-0260-曾士豪(兩斤)&gt;正欣&gt;寄&gt;匯款</v>
          </cell>
          <cell r="AM2966" t="str">
            <v>1-0260</v>
          </cell>
        </row>
        <row r="2967">
          <cell r="AK2967" t="str">
            <v>215-Q7</v>
          </cell>
          <cell r="AL2967" t="str">
            <v>1-0260-曾士豪(兩斤)&gt;正欣&gt;寄&gt;匯款</v>
          </cell>
          <cell r="AM2967" t="str">
            <v>1-0260</v>
          </cell>
        </row>
        <row r="2968">
          <cell r="AK2968" t="str">
            <v>LHJ-731</v>
          </cell>
          <cell r="AL2968" t="str">
            <v>1-0260-曾士豪(兩斤)&gt;正欣&gt;寄&gt;匯款</v>
          </cell>
          <cell r="AM2968" t="str">
            <v>1-0260</v>
          </cell>
        </row>
        <row r="2969">
          <cell r="AK2969" t="str">
            <v>807-ZD</v>
          </cell>
          <cell r="AL2969" t="str">
            <v>1-0260-曾士豪(兩斤)&gt;正欣&gt;寄&gt;匯款</v>
          </cell>
          <cell r="AM2969" t="str">
            <v>1-0260</v>
          </cell>
        </row>
        <row r="2970">
          <cell r="AK2970" t="str">
            <v>241-TY</v>
          </cell>
          <cell r="AL2970" t="str">
            <v>1-0711-耕溢&gt;寄&gt;附發票&gt;附回郵</v>
          </cell>
          <cell r="AM2970" t="str">
            <v>1-0711</v>
          </cell>
        </row>
        <row r="2971">
          <cell r="AK2971" t="str">
            <v>AST-5065</v>
          </cell>
          <cell r="AL2971" t="str">
            <v>1-0079-旭中&gt;寄&gt;附發票&gt;附回郵</v>
          </cell>
          <cell r="AM2971" t="str">
            <v>1-0079</v>
          </cell>
        </row>
        <row r="2972">
          <cell r="AK2972" t="str">
            <v>KLA-8179</v>
          </cell>
          <cell r="AL2972" t="str">
            <v>1-0819-(2/2)捷順&gt;寄&gt;附發票&gt;三個月匯款</v>
          </cell>
          <cell r="AM2972" t="str">
            <v>1-0819</v>
          </cell>
        </row>
        <row r="2973">
          <cell r="AK2973" t="str">
            <v>KLC-3821</v>
          </cell>
          <cell r="AL2973" t="str">
            <v>1-0706-(2/3)福民&gt;寄&gt;附發票&gt;附回郵</v>
          </cell>
          <cell r="AM2973" t="str">
            <v>1-0706</v>
          </cell>
        </row>
        <row r="2974">
          <cell r="AK2974" t="str">
            <v>KLC-3787</v>
          </cell>
          <cell r="AL2974" t="str">
            <v>1-0706-(2/3)福民&gt;寄&gt;附發票&gt;附回郵</v>
          </cell>
          <cell r="AM2974" t="str">
            <v>1-0706</v>
          </cell>
        </row>
        <row r="2975">
          <cell r="AK2975" t="str">
            <v>KLC-5279</v>
          </cell>
          <cell r="AL2975" t="str">
            <v>1-0706-(2/3)福民&gt;寄&gt;附發票&gt;附回郵</v>
          </cell>
          <cell r="AM2975" t="str">
            <v>1-0706</v>
          </cell>
        </row>
        <row r="2976">
          <cell r="AK2976" t="str">
            <v>板09-GQ</v>
          </cell>
          <cell r="AL2976" t="str">
            <v>1-0706-(2/3)福民&gt;寄&gt;附發票&gt;附回郵</v>
          </cell>
          <cell r="AM2976" t="str">
            <v>1-0706</v>
          </cell>
        </row>
        <row r="2977">
          <cell r="AK2977" t="str">
            <v>板10-GQ</v>
          </cell>
          <cell r="AL2977" t="str">
            <v>1-0706-(2/3)福民&gt;寄&gt;附發票&gt;附回郵</v>
          </cell>
          <cell r="AM2977" t="str">
            <v>1-0706</v>
          </cell>
        </row>
        <row r="2978">
          <cell r="AK2978" t="str">
            <v>板16-GT</v>
          </cell>
          <cell r="AL2978" t="str">
            <v>1-0706-(2/3)福民&gt;寄&gt;附發票&gt;附回郵</v>
          </cell>
          <cell r="AM2978" t="str">
            <v>1-0706</v>
          </cell>
        </row>
        <row r="2979">
          <cell r="AK2979" t="str">
            <v>板17-RV</v>
          </cell>
          <cell r="AL2979" t="str">
            <v>1-0706-(2/3)福民&gt;寄&gt;附發票&gt;附回郵</v>
          </cell>
          <cell r="AM2979" t="str">
            <v>1-0706</v>
          </cell>
        </row>
        <row r="2980">
          <cell r="AK2980" t="str">
            <v>板22-CH</v>
          </cell>
          <cell r="AL2980" t="str">
            <v>1-0706-(2/3)福民&gt;寄&gt;附發票&gt;附回郵</v>
          </cell>
          <cell r="AM2980" t="str">
            <v>1-0706</v>
          </cell>
        </row>
        <row r="2981">
          <cell r="AK2981" t="str">
            <v>板27-YU</v>
          </cell>
          <cell r="AL2981" t="str">
            <v>1-0706-(2/3)福民&gt;寄&gt;附發票&gt;附回郵</v>
          </cell>
          <cell r="AM2981" t="str">
            <v>1-0706</v>
          </cell>
        </row>
        <row r="2982">
          <cell r="AK2982" t="str">
            <v>板39-MS</v>
          </cell>
          <cell r="AL2982" t="str">
            <v>1-0706-(2/3)福民&gt;寄&gt;附發票&gt;附回郵</v>
          </cell>
          <cell r="AM2982" t="str">
            <v>1-0706</v>
          </cell>
        </row>
        <row r="2983">
          <cell r="AK2983" t="str">
            <v>板42-HG</v>
          </cell>
          <cell r="AL2983" t="str">
            <v>1-0706-(2/3)福民&gt;寄&gt;附發票&gt;附回郵</v>
          </cell>
          <cell r="AM2983" t="str">
            <v>1-0706</v>
          </cell>
        </row>
        <row r="2984">
          <cell r="AK2984" t="str">
            <v>板52-VS</v>
          </cell>
          <cell r="AL2984" t="str">
            <v>1-0706-(2/3)福民&gt;寄&gt;附發票&gt;附回郵</v>
          </cell>
          <cell r="AM2984" t="str">
            <v>1-0706</v>
          </cell>
        </row>
        <row r="2985">
          <cell r="AK2985" t="str">
            <v>板56-VS</v>
          </cell>
          <cell r="AL2985" t="str">
            <v>1-0706-(2/3)福民&gt;寄&gt;附發票&gt;附回郵</v>
          </cell>
          <cell r="AM2985" t="str">
            <v>1-0706</v>
          </cell>
        </row>
        <row r="2986">
          <cell r="AK2986" t="str">
            <v>板75-CJ</v>
          </cell>
          <cell r="AL2986" t="str">
            <v>1-0706-(2/3)福民&gt;寄&gt;附發票&gt;附回郵</v>
          </cell>
          <cell r="AM2986" t="str">
            <v>1-0706</v>
          </cell>
        </row>
        <row r="2987">
          <cell r="AK2987" t="str">
            <v>板75-RV</v>
          </cell>
          <cell r="AL2987" t="str">
            <v>1-0706-(2/3)福民&gt;寄&gt;附發票&gt;附回郵</v>
          </cell>
          <cell r="AM2987" t="str">
            <v>1-0706</v>
          </cell>
        </row>
        <row r="2988">
          <cell r="AK2988" t="str">
            <v>板8S-48</v>
          </cell>
          <cell r="AL2988" t="str">
            <v>1-0706-(2/3)福民&gt;寄&gt;附發票&gt;附回郵</v>
          </cell>
          <cell r="AM2988" t="str">
            <v>1-0706</v>
          </cell>
        </row>
        <row r="2989">
          <cell r="AK2989" t="str">
            <v>板HK-210</v>
          </cell>
          <cell r="AL2989" t="str">
            <v>1-0706-(2/3)福民&gt;寄&gt;附發票&gt;附回郵</v>
          </cell>
          <cell r="AM2989" t="str">
            <v>1-0706</v>
          </cell>
        </row>
        <row r="2990">
          <cell r="AK2990" t="str">
            <v>HK-752</v>
          </cell>
          <cell r="AL2990" t="str">
            <v>1-0706-(2/3)福民&gt;寄&gt;附發票&gt;附回郵</v>
          </cell>
          <cell r="AM2990" t="str">
            <v>1-0706</v>
          </cell>
        </row>
        <row r="2991">
          <cell r="AK2991" t="str">
            <v>板HK-787</v>
          </cell>
          <cell r="AL2991" t="str">
            <v>1-0706-(2/3)福民&gt;寄&gt;附發票&gt;附回郵</v>
          </cell>
          <cell r="AM2991" t="str">
            <v>1-0706</v>
          </cell>
        </row>
        <row r="2992">
          <cell r="AK2992" t="str">
            <v>板HK-789</v>
          </cell>
          <cell r="AL2992" t="str">
            <v>1-0706-(2/3)福民&gt;寄&gt;附發票&gt;附回郵</v>
          </cell>
          <cell r="AM2992" t="str">
            <v>1-0706</v>
          </cell>
        </row>
        <row r="2993">
          <cell r="AK2993" t="str">
            <v>板J3-78</v>
          </cell>
          <cell r="AL2993" t="str">
            <v>1-0706-(2/3)福民&gt;寄&gt;附發票&gt;附回郵</v>
          </cell>
          <cell r="AM2993" t="str">
            <v>1-0706</v>
          </cell>
        </row>
        <row r="2994">
          <cell r="AK2994" t="str">
            <v>NN-21</v>
          </cell>
          <cell r="AL2994" t="str">
            <v>1-0706-(2/3)福民&gt;寄&gt;附發票&gt;附回郵</v>
          </cell>
          <cell r="AM2994" t="str">
            <v>1-0706</v>
          </cell>
        </row>
        <row r="2995">
          <cell r="AK2995" t="str">
            <v>板NV-32</v>
          </cell>
          <cell r="AL2995" t="str">
            <v>1-0706-(2/3)福民&gt;寄&gt;附發票&gt;附回郵</v>
          </cell>
          <cell r="AM2995" t="str">
            <v>1-0706</v>
          </cell>
        </row>
        <row r="2996">
          <cell r="AK2996" t="str">
            <v>板NV-35</v>
          </cell>
          <cell r="AL2996" t="str">
            <v>1-0706-(2/3)福民&gt;寄&gt;附發票&gt;附回郵</v>
          </cell>
          <cell r="AM2996" t="str">
            <v>1-0706</v>
          </cell>
        </row>
        <row r="2997">
          <cell r="AK2997" t="str">
            <v>R4-86</v>
          </cell>
          <cell r="AL2997" t="str">
            <v>1-0706-(2/3)福民&gt;寄&gt;附發票&gt;附回郵</v>
          </cell>
          <cell r="AM2997" t="str">
            <v>1-0706</v>
          </cell>
        </row>
        <row r="2998">
          <cell r="AK2998" t="str">
            <v>T8-13</v>
          </cell>
          <cell r="AL2998" t="str">
            <v>1-0706-(2/3)福民&gt;寄&gt;附發票&gt;附回郵</v>
          </cell>
          <cell r="AM2998" t="str">
            <v>1-0706</v>
          </cell>
        </row>
        <row r="2999">
          <cell r="AK2999" t="str">
            <v>KLC-3727</v>
          </cell>
          <cell r="AL2999" t="str">
            <v>1-0705-(1/3)福瑞&gt;寄&gt;附發票&gt;附回郵</v>
          </cell>
          <cell r="AM2999" t="str">
            <v>1-0705</v>
          </cell>
        </row>
        <row r="3000">
          <cell r="AK3000" t="str">
            <v>083-H8</v>
          </cell>
          <cell r="AL3000" t="str">
            <v>1-0705-(1/3)福瑞&gt;寄&gt;附發票&gt;附回郵</v>
          </cell>
          <cell r="AM3000" t="str">
            <v>1-0705</v>
          </cell>
        </row>
        <row r="3001">
          <cell r="AK3001" t="str">
            <v>KLE-0863</v>
          </cell>
          <cell r="AL3001" t="str">
            <v>1-0705-(1/3)福瑞&gt;寄&gt;附發票&gt;附回郵</v>
          </cell>
          <cell r="AM3001" t="str">
            <v>1-0705</v>
          </cell>
        </row>
        <row r="3002">
          <cell r="AK3002" t="str">
            <v>板16-RZ</v>
          </cell>
          <cell r="AL3002" t="str">
            <v>1-0705-(1/3)福瑞&gt;寄&gt;附發票&gt;附回郵</v>
          </cell>
          <cell r="AM3002" t="str">
            <v>1-0705</v>
          </cell>
        </row>
        <row r="3003">
          <cell r="AK3003" t="str">
            <v>板22-RZ</v>
          </cell>
          <cell r="AL3003" t="str">
            <v>1-0705-(1/3)福瑞&gt;寄&gt;附發票&gt;附回郵</v>
          </cell>
          <cell r="AM3003" t="str">
            <v>1-0705</v>
          </cell>
        </row>
        <row r="3004">
          <cell r="AK3004" t="str">
            <v>板25-YU</v>
          </cell>
          <cell r="AL3004" t="str">
            <v>1-0705-(1/3)福瑞&gt;寄&gt;附發票&gt;附回郵</v>
          </cell>
          <cell r="AM3004" t="str">
            <v>1-0705</v>
          </cell>
        </row>
        <row r="3005">
          <cell r="AK3005" t="str">
            <v>板29-VR</v>
          </cell>
          <cell r="AL3005" t="str">
            <v>1-0705-(1/3)福瑞&gt;寄&gt;附發票&gt;附回郵</v>
          </cell>
          <cell r="AM3005" t="str">
            <v>1-0705</v>
          </cell>
        </row>
        <row r="3006">
          <cell r="AK3006" t="str">
            <v>板30-VR</v>
          </cell>
          <cell r="AL3006" t="str">
            <v>1-0705-(1/3)福瑞&gt;寄&gt;附發票&gt;附回郵</v>
          </cell>
          <cell r="AM3006" t="str">
            <v>1-0705</v>
          </cell>
        </row>
        <row r="3007">
          <cell r="AK3007" t="str">
            <v>板31-VR</v>
          </cell>
          <cell r="AL3007" t="str">
            <v>1-0705-(1/3)福瑞&gt;寄&gt;附發票&gt;附回郵</v>
          </cell>
          <cell r="AM3007" t="str">
            <v>1-0705</v>
          </cell>
        </row>
        <row r="3008">
          <cell r="AK3008" t="str">
            <v>板41-YR</v>
          </cell>
          <cell r="AL3008" t="str">
            <v>1-0705-(1/3)福瑞&gt;寄&gt;附發票&gt;附回郵</v>
          </cell>
          <cell r="AM3008" t="str">
            <v>1-0705</v>
          </cell>
        </row>
        <row r="3009">
          <cell r="AK3009" t="str">
            <v>50-3G</v>
          </cell>
          <cell r="AL3009" t="str">
            <v>1-0705-(1/3)福瑞&gt;寄&gt;附發票&gt;附回郵</v>
          </cell>
          <cell r="AM3009" t="str">
            <v>1-0705</v>
          </cell>
        </row>
        <row r="3010">
          <cell r="AK3010" t="str">
            <v>78-2H</v>
          </cell>
          <cell r="AL3010" t="str">
            <v>1-0705-(1/3)福瑞&gt;寄&gt;附發票&gt;附回郵</v>
          </cell>
          <cell r="AM3010" t="str">
            <v>1-0705</v>
          </cell>
        </row>
        <row r="3011">
          <cell r="AK3011" t="str">
            <v>83-RU</v>
          </cell>
          <cell r="AL3011" t="str">
            <v>1-0705-(1/3)福瑞&gt;寄&gt;附發票&gt;附回郵</v>
          </cell>
          <cell r="AM3011" t="str">
            <v>1-0705</v>
          </cell>
        </row>
        <row r="3012">
          <cell r="AK3012" t="str">
            <v>HK-211</v>
          </cell>
          <cell r="AL3012" t="str">
            <v>1-0705-(1/3)福瑞&gt;寄&gt;附發票&gt;附回郵</v>
          </cell>
          <cell r="AM3012" t="str">
            <v>1-0705</v>
          </cell>
        </row>
        <row r="3013">
          <cell r="AK3013" t="str">
            <v>板HK-518</v>
          </cell>
          <cell r="AL3013" t="str">
            <v>1-0705-(1/3)福瑞&gt;寄&gt;附發票&gt;附回郵</v>
          </cell>
          <cell r="AM3013" t="str">
            <v>1-0705</v>
          </cell>
        </row>
        <row r="3014">
          <cell r="AK3014" t="str">
            <v>板HK-579</v>
          </cell>
          <cell r="AL3014" t="str">
            <v>1-0705-(1/3)福瑞&gt;寄&gt;附發票&gt;附回郵</v>
          </cell>
          <cell r="AM3014" t="str">
            <v>1-0705</v>
          </cell>
        </row>
        <row r="3015">
          <cell r="AK3015" t="str">
            <v>板HK-765</v>
          </cell>
          <cell r="AL3015" t="str">
            <v>1-0705-(1/3)福瑞&gt;寄&gt;附發票&gt;附回郵</v>
          </cell>
          <cell r="AM3015" t="str">
            <v>1-0705</v>
          </cell>
        </row>
        <row r="3016">
          <cell r="AK3016" t="str">
            <v>579-X5</v>
          </cell>
          <cell r="AL3016" t="str">
            <v>1-0707-(3/3)福麗&gt;寄&gt;附發票&gt;附回郵</v>
          </cell>
          <cell r="AM3016" t="str">
            <v>1-0707</v>
          </cell>
        </row>
        <row r="3017">
          <cell r="AK3017" t="str">
            <v>KNA-5529</v>
          </cell>
          <cell r="AL3017" t="str">
            <v>1-0777-怡隆&gt;自結</v>
          </cell>
          <cell r="AM3017" t="str">
            <v>1-0777</v>
          </cell>
        </row>
        <row r="3018">
          <cell r="AK3018" t="str">
            <v>05-BH</v>
          </cell>
          <cell r="AL3018" t="str">
            <v>1-0707-(3/3)福麗&gt;寄&gt;附發票&gt;附回郵</v>
          </cell>
          <cell r="AM3018" t="str">
            <v>1-0707</v>
          </cell>
        </row>
        <row r="3019">
          <cell r="AK3019" t="str">
            <v>79-8G</v>
          </cell>
          <cell r="AL3019" t="str">
            <v>1-0707-(3/3)福麗&gt;寄&gt;附發票&gt;附回郵</v>
          </cell>
          <cell r="AM3019" t="str">
            <v>1-0707</v>
          </cell>
        </row>
        <row r="3020">
          <cell r="AK3020" t="str">
            <v>82-2H</v>
          </cell>
          <cell r="AL3020" t="str">
            <v>1-0707-(3/3)福麗&gt;寄&gt;附發票&gt;附回郵</v>
          </cell>
          <cell r="AM3020" t="str">
            <v>1-0707</v>
          </cell>
        </row>
        <row r="3021">
          <cell r="AK3021" t="str">
            <v>板HK-501</v>
          </cell>
          <cell r="AL3021" t="str">
            <v>1-0707-(3/3)福麗&gt;寄&gt;附發票&gt;附回郵</v>
          </cell>
          <cell r="AM3021" t="str">
            <v>1-0707</v>
          </cell>
        </row>
        <row r="3022">
          <cell r="AK3022" t="str">
            <v>板HK-790</v>
          </cell>
          <cell r="AL3022" t="str">
            <v>1-0707-(3/3)福麗&gt;寄&gt;附發票&gt;附回郵</v>
          </cell>
          <cell r="AM3022" t="str">
            <v>1-0707</v>
          </cell>
        </row>
        <row r="3023">
          <cell r="AK3023" t="str">
            <v>2269-SE</v>
          </cell>
          <cell r="AL3023" t="str">
            <v>1-0707-(3/3)福麗&gt;寄&gt;附發票&gt;附回郵</v>
          </cell>
          <cell r="AM3023" t="str">
            <v>1-0707</v>
          </cell>
        </row>
        <row r="3024">
          <cell r="AK3024" t="str">
            <v>AQA-3192</v>
          </cell>
          <cell r="AL3024" t="str">
            <v>1-0706-(2/3)福民&gt;寄&gt;附發票&gt;附回郵</v>
          </cell>
          <cell r="AM3024" t="str">
            <v>1-0706</v>
          </cell>
        </row>
        <row r="3025">
          <cell r="AK3025" t="str">
            <v>KLB-1338</v>
          </cell>
          <cell r="AL3025" t="str">
            <v>1-0705-(1/3)福瑞&gt;寄&gt;附發票&gt;附回郵</v>
          </cell>
          <cell r="AM3025" t="str">
            <v>1-0705</v>
          </cell>
        </row>
        <row r="3026">
          <cell r="AK3026" t="str">
            <v>40-YR</v>
          </cell>
          <cell r="AL3026" t="str">
            <v>1-0705-(1/3)福瑞&gt;寄&gt;附發票&gt;附回郵</v>
          </cell>
          <cell r="AM3026" t="str">
            <v>1-0705</v>
          </cell>
        </row>
        <row r="3027">
          <cell r="AK3027" t="str">
            <v>971-R5</v>
          </cell>
          <cell r="AL3027" t="str">
            <v>1-0803-格立&gt;寄&gt;附回郵</v>
          </cell>
          <cell r="AM3027" t="str">
            <v>1-0803</v>
          </cell>
        </row>
        <row r="3028">
          <cell r="AK3028" t="str">
            <v>KLD-3082</v>
          </cell>
          <cell r="AL3028" t="str">
            <v>1-0709-(3/3)金正汽車貨運&gt;寄&gt;附回郵</v>
          </cell>
          <cell r="AM3028" t="str">
            <v>1-0709</v>
          </cell>
        </row>
        <row r="3029">
          <cell r="AK3029" t="str">
            <v>KAE-955</v>
          </cell>
          <cell r="AL3029" t="str">
            <v>1-0122-嘉偉&gt;元美&gt;寄&gt;附發票&gt;附回郵</v>
          </cell>
          <cell r="AM3029" t="str">
            <v>1-0122</v>
          </cell>
        </row>
        <row r="3030">
          <cell r="AK3030" t="str">
            <v>532-Y7</v>
          </cell>
          <cell r="AL3030" t="str">
            <v>1-0728-中油探採&gt;寄&gt;待通知開發票&gt;一個月匯款&gt;(標案)</v>
          </cell>
          <cell r="AM3030" t="str">
            <v>1-0728</v>
          </cell>
        </row>
        <row r="3031">
          <cell r="AK3031" t="str">
            <v>403-VB</v>
          </cell>
          <cell r="AL3031" t="str">
            <v>1-0195-宏昌&gt;寄&gt;附回郵</v>
          </cell>
          <cell r="AM3031" t="str">
            <v>1-0195</v>
          </cell>
        </row>
        <row r="3032">
          <cell r="AK3032" t="str">
            <v>板79-8G</v>
          </cell>
          <cell r="AL3032" t="str">
            <v>1-0707-(3/3)福麗&gt;寄&gt;附發票&gt;附回郵</v>
          </cell>
          <cell r="AM3032" t="str">
            <v>1-0707</v>
          </cell>
        </row>
        <row r="3033">
          <cell r="AK3033" t="str">
            <v>RAQ-9212</v>
          </cell>
          <cell r="AL3033" t="str">
            <v>1-0711-耕溢&gt;寄&gt;附發票&gt;附回郵</v>
          </cell>
          <cell r="AM3033" t="str">
            <v>1-0711</v>
          </cell>
        </row>
        <row r="3034">
          <cell r="AK3034" t="str">
            <v>951-JD</v>
          </cell>
          <cell r="AL3034" t="str">
            <v>1-0606-(1/2)冠德&gt;寄&gt;附發票&gt;附回郵</v>
          </cell>
          <cell r="AM3034" t="str">
            <v>1-0606</v>
          </cell>
        </row>
        <row r="3035">
          <cell r="AK3035" t="str">
            <v>817-W8</v>
          </cell>
          <cell r="AL3035" t="str">
            <v>1-0210-葉水發&gt;志松&gt;寄平信&gt;自結</v>
          </cell>
          <cell r="AM3035" t="str">
            <v>1-0210</v>
          </cell>
        </row>
        <row r="3036">
          <cell r="AK3036" t="str">
            <v>板02-BH</v>
          </cell>
          <cell r="AL3036" t="str">
            <v>1-0707-(3/3)福麗&gt;寄&gt;附發票&gt;附回郵</v>
          </cell>
          <cell r="AM3036" t="str">
            <v>1-0707</v>
          </cell>
        </row>
        <row r="3037">
          <cell r="AK3037" t="str">
            <v>025-UN</v>
          </cell>
          <cell r="AL3037" t="str">
            <v>1-0809-佶鼎科技&gt;寄&gt;匯款</v>
          </cell>
          <cell r="AM3037" t="str">
            <v>1-0809</v>
          </cell>
        </row>
        <row r="3038">
          <cell r="AK3038" t="str">
            <v>565-VN</v>
          </cell>
          <cell r="AL3038" t="str">
            <v>1-0809-佶鼎科技&gt;寄&gt;匯款</v>
          </cell>
          <cell r="AM3038" t="str">
            <v>1-0809</v>
          </cell>
        </row>
        <row r="3039">
          <cell r="AK3039" t="str">
            <v>802-VN</v>
          </cell>
          <cell r="AL3039" t="str">
            <v>1-0809-佶鼎科技&gt;寄&gt;匯款</v>
          </cell>
          <cell r="AM3039" t="str">
            <v>1-0809</v>
          </cell>
        </row>
        <row r="3040">
          <cell r="AK3040" t="str">
            <v>AAH-930</v>
          </cell>
          <cell r="AL3040" t="str">
            <v>1-0809-佶鼎科技&gt;寄&gt;匯款</v>
          </cell>
          <cell r="AM3040" t="str">
            <v>1-0809</v>
          </cell>
        </row>
        <row r="3041">
          <cell r="AK3041" t="str">
            <v>336-UN</v>
          </cell>
          <cell r="AL3041" t="str">
            <v>1-0809-佶鼎科技&gt;寄&gt;匯款</v>
          </cell>
          <cell r="AM3041" t="str">
            <v>1-0809</v>
          </cell>
        </row>
        <row r="3042">
          <cell r="AK3042" t="str">
            <v>566-VN</v>
          </cell>
          <cell r="AL3042" t="str">
            <v>1-0809-佶鼎科技&gt;寄&gt;匯款</v>
          </cell>
          <cell r="AM3042" t="str">
            <v>1-0809</v>
          </cell>
        </row>
        <row r="3043">
          <cell r="AK3043" t="str">
            <v>806-VA</v>
          </cell>
          <cell r="AL3043" t="str">
            <v>1-0809-佶鼎科技&gt;寄&gt;匯款</v>
          </cell>
          <cell r="AM3043" t="str">
            <v>1-0809</v>
          </cell>
        </row>
        <row r="3044">
          <cell r="AK3044" t="str">
            <v>HAA-3597</v>
          </cell>
          <cell r="AL3044" t="str">
            <v>1-0809-佶鼎科技&gt;寄&gt;匯款</v>
          </cell>
          <cell r="AM3044" t="str">
            <v>1-0809</v>
          </cell>
        </row>
        <row r="3045">
          <cell r="AK3045" t="str">
            <v>36-BH</v>
          </cell>
          <cell r="AL3045" t="str">
            <v>1-0809-佶鼎科技&gt;寄&gt;匯款</v>
          </cell>
          <cell r="AM3045" t="str">
            <v>1-0809</v>
          </cell>
        </row>
        <row r="3046">
          <cell r="AK3046" t="str">
            <v>679-VN</v>
          </cell>
          <cell r="AL3046" t="str">
            <v>1-0809-佶鼎科技&gt;寄&gt;匯款</v>
          </cell>
          <cell r="AM3046" t="str">
            <v>1-0809</v>
          </cell>
        </row>
        <row r="3047">
          <cell r="AK3047" t="str">
            <v>87-7H</v>
          </cell>
          <cell r="AL3047" t="str">
            <v>1-0809-佶鼎科技&gt;寄&gt;匯款</v>
          </cell>
          <cell r="AM3047" t="str">
            <v>1-0809</v>
          </cell>
        </row>
        <row r="3048">
          <cell r="AK3048" t="str">
            <v>KEA-3051</v>
          </cell>
          <cell r="AL3048" t="str">
            <v>1-0809-佶鼎科技&gt;寄&gt;匯款</v>
          </cell>
          <cell r="AM3048" t="str">
            <v>1-0809</v>
          </cell>
        </row>
        <row r="3049">
          <cell r="AK3049" t="str">
            <v>40-ZK</v>
          </cell>
          <cell r="AL3049" t="str">
            <v>1-0809-佶鼎科技&gt;寄&gt;匯款</v>
          </cell>
          <cell r="AM3049" t="str">
            <v>1-0809</v>
          </cell>
        </row>
        <row r="3050">
          <cell r="AK3050" t="str">
            <v>680-VN</v>
          </cell>
          <cell r="AL3050" t="str">
            <v>1-0809-佶鼎科技&gt;寄&gt;匯款</v>
          </cell>
          <cell r="AM3050" t="str">
            <v>1-0809</v>
          </cell>
        </row>
        <row r="3051">
          <cell r="AK3051" t="str">
            <v>87-ES</v>
          </cell>
          <cell r="AL3051" t="str">
            <v>1-0809-佶鼎科技&gt;寄&gt;匯款</v>
          </cell>
          <cell r="AM3051" t="str">
            <v>1-0809</v>
          </cell>
        </row>
        <row r="3052">
          <cell r="AK3052" t="str">
            <v>KEA-8575</v>
          </cell>
          <cell r="AL3052" t="str">
            <v>1-0809-佶鼎科技&gt;寄&gt;匯款</v>
          </cell>
          <cell r="AM3052" t="str">
            <v>1-0809</v>
          </cell>
        </row>
        <row r="3053">
          <cell r="AK3053" t="str">
            <v>896-R9</v>
          </cell>
          <cell r="AL3053" t="str">
            <v>1-0809-佶鼎科技&gt;寄&gt;匯款</v>
          </cell>
          <cell r="AM3053" t="str">
            <v>1-0809</v>
          </cell>
        </row>
        <row r="3054">
          <cell r="AK3054" t="str">
            <v>KEE-2957</v>
          </cell>
          <cell r="AL3054" t="str">
            <v>1-0809-佶鼎科技&gt;寄&gt;匯款</v>
          </cell>
          <cell r="AM3054" t="str">
            <v>1-0809</v>
          </cell>
        </row>
        <row r="3055">
          <cell r="AK3055" t="str">
            <v>KED-2357</v>
          </cell>
          <cell r="AL3055" t="str">
            <v>1-0589-汯宸&gt;寄&gt;附發票&gt;一個月匯款</v>
          </cell>
          <cell r="AM3055" t="str">
            <v>1-0589</v>
          </cell>
        </row>
        <row r="3056">
          <cell r="AK3056" t="str">
            <v>KLD-3729</v>
          </cell>
          <cell r="AL3056" t="str">
            <v>1-0606-(1/2)冠德&gt;寄&gt;附發票&gt;附回郵</v>
          </cell>
          <cell r="AM3056" t="str">
            <v>1-0606</v>
          </cell>
        </row>
        <row r="3057">
          <cell r="AK3057" t="str">
            <v>板41-JT</v>
          </cell>
          <cell r="AL3057" t="str">
            <v>1-0162-鎰利&gt;鎰金&gt;鎰加&gt;寄&gt;附發票&gt;2個月匯款</v>
          </cell>
          <cell r="AM3057" t="str">
            <v>1-0162</v>
          </cell>
        </row>
        <row r="3058">
          <cell r="AK3058" t="str">
            <v>715-GY</v>
          </cell>
          <cell r="AL3058" t="str">
            <v>1-0608-聯倉&gt;寄&gt;附發票&gt;附回郵</v>
          </cell>
          <cell r="AM3058" t="str">
            <v>1-0608</v>
          </cell>
        </row>
        <row r="3059">
          <cell r="AK3059" t="str">
            <v>KLD-3085</v>
          </cell>
          <cell r="AL3059" t="str">
            <v>1-0709-(3/3)金正汽車貨運&gt;寄&gt;附回郵</v>
          </cell>
          <cell r="AM3059" t="str">
            <v>1-0709</v>
          </cell>
        </row>
        <row r="3060">
          <cell r="AK3060" t="str">
            <v>KLD-3770</v>
          </cell>
          <cell r="AL3060" t="str">
            <v>1-0022-台新&gt;寄&gt;附發票&gt;兩個月25號匯款</v>
          </cell>
          <cell r="AM3060" t="str">
            <v>1-0022</v>
          </cell>
        </row>
        <row r="3061">
          <cell r="AK3061" t="str">
            <v>4186-KF</v>
          </cell>
          <cell r="AL3061" t="str">
            <v>1-0499-弘隆&gt;寄&gt;附回郵</v>
          </cell>
          <cell r="AM3061" t="str">
            <v>1-0499</v>
          </cell>
        </row>
        <row r="3062">
          <cell r="AK3062" t="str">
            <v>KLA-9613</v>
          </cell>
          <cell r="AL3062" t="str">
            <v>1-0668-陳鈺蓁.福聖&gt;寄&gt;附發票&gt;一個月匯款</v>
          </cell>
          <cell r="AM3062" t="str">
            <v>1-0668</v>
          </cell>
        </row>
        <row r="3063">
          <cell r="AK3063" t="str">
            <v>845-KU</v>
          </cell>
          <cell r="AL3063" t="str">
            <v>1-0744-力新&gt;寄&gt;匯款&gt;兩個月後16號匯款</v>
          </cell>
          <cell r="AM3063" t="str">
            <v>1-0744</v>
          </cell>
        </row>
        <row r="3064">
          <cell r="AK3064" t="str">
            <v>957-5A</v>
          </cell>
          <cell r="AL3064" t="str">
            <v>1-0175-莊人傑&gt;寄平信&gt;附發票＞自結</v>
          </cell>
          <cell r="AM3064" t="str">
            <v>1-0175</v>
          </cell>
        </row>
        <row r="3065">
          <cell r="AK3065" t="str">
            <v>KLD-3752</v>
          </cell>
          <cell r="AL3065" t="str">
            <v>1-0162-鎰利&gt;鎰金&gt;鎰加&gt;寄&gt;附發票&gt;2個月匯款</v>
          </cell>
          <cell r="AM3065" t="str">
            <v>1-0162</v>
          </cell>
        </row>
        <row r="3066">
          <cell r="AK3066" t="str">
            <v>KEG-8535</v>
          </cell>
          <cell r="AL3066" t="str">
            <v>1-0815-(3/4)鴻阜建材&gt;寄&gt;附發票&gt;附回郵</v>
          </cell>
          <cell r="AM3066" t="str">
            <v>1-0815</v>
          </cell>
        </row>
        <row r="3067">
          <cell r="AK3067" t="str">
            <v>KEG-8515</v>
          </cell>
          <cell r="AL3067" t="str">
            <v>1-0816-(4/4)和毅建材&gt;寄&gt;附發票&gt;附回郵</v>
          </cell>
          <cell r="AM3067" t="str">
            <v>1-0816</v>
          </cell>
        </row>
        <row r="3068">
          <cell r="AK3068" t="str">
            <v>KEG-8517</v>
          </cell>
          <cell r="AL3068" t="str">
            <v>1-0816-(4/4)和毅建材&gt;寄&gt;附發票&gt;附回郵</v>
          </cell>
          <cell r="AM3068" t="str">
            <v>1-0816</v>
          </cell>
        </row>
        <row r="3069">
          <cell r="AK3069" t="str">
            <v>KEG-8521</v>
          </cell>
          <cell r="AL3069" t="str">
            <v>1-0816-(4/4)和毅建材&gt;寄&gt;附發票&gt;附回郵</v>
          </cell>
          <cell r="AM3069" t="str">
            <v>1-0816</v>
          </cell>
        </row>
        <row r="3070">
          <cell r="AK3070" t="str">
            <v>KLD-3727</v>
          </cell>
          <cell r="AL3070" t="str">
            <v>1-0047-(2/4)鴻安&gt;寄&gt;附發票&gt;附回郵</v>
          </cell>
          <cell r="AM3070" t="str">
            <v>1-0047</v>
          </cell>
        </row>
        <row r="3071">
          <cell r="AK3071" t="str">
            <v>KLD-3728</v>
          </cell>
          <cell r="AL3071" t="str">
            <v>1-0047-(2/4)鴻安&gt;寄&gt;附發票&gt;附回郵</v>
          </cell>
          <cell r="AM3071" t="str">
            <v>1-0047</v>
          </cell>
        </row>
        <row r="3072">
          <cell r="AK3072" t="str">
            <v>KLD-3737</v>
          </cell>
          <cell r="AL3072" t="str">
            <v>1-0047-(2/4)鴻安&gt;寄&gt;附發票&gt;附回郵</v>
          </cell>
          <cell r="AM3072" t="str">
            <v>1-0047</v>
          </cell>
        </row>
        <row r="3073">
          <cell r="AK3073" t="str">
            <v>KLF-8001</v>
          </cell>
          <cell r="AL3073" t="str">
            <v>1-0047-(2/4)鴻安&gt;寄&gt;附發票&gt;附回郵</v>
          </cell>
          <cell r="AM3073" t="str">
            <v>1-0047</v>
          </cell>
        </row>
        <row r="3074">
          <cell r="AK3074" t="str">
            <v>KLD-3753</v>
          </cell>
          <cell r="AL3074" t="str">
            <v>1-0047-(2/4)鴻安&gt;寄&gt;附發票&gt;附回郵</v>
          </cell>
          <cell r="AM3074" t="str">
            <v>1-0047</v>
          </cell>
        </row>
        <row r="3075">
          <cell r="AK3075" t="str">
            <v>KEA-8990</v>
          </cell>
          <cell r="AL3075" t="str">
            <v>1-0813-峻源&gt;寄&gt;附發票&gt;匯款</v>
          </cell>
          <cell r="AM3075" t="str">
            <v>1-0813</v>
          </cell>
        </row>
        <row r="3076">
          <cell r="AK3076" t="str">
            <v>KLD-3762</v>
          </cell>
          <cell r="AL3076" t="str">
            <v>1-0004-(1/3)長增&gt;寄&gt;附發票&gt;匯款&gt;現金價</v>
          </cell>
          <cell r="AM3076" t="str">
            <v>1-0004</v>
          </cell>
        </row>
        <row r="3077">
          <cell r="AK3077" t="str">
            <v>KED-2286</v>
          </cell>
          <cell r="AL3077" t="str">
            <v>1-0589-汯宸&gt;寄&gt;附發票&gt;一個月匯款</v>
          </cell>
          <cell r="AM3077" t="str">
            <v>1-0589</v>
          </cell>
        </row>
        <row r="3078">
          <cell r="AK3078" t="str">
            <v>板R4-86</v>
          </cell>
          <cell r="AL3078" t="str">
            <v>1-0706-(2/3)福民&gt;寄&gt;附發票&gt;附回郵</v>
          </cell>
          <cell r="AM3078" t="str">
            <v>1-0706</v>
          </cell>
        </row>
        <row r="3079">
          <cell r="AK3079" t="str">
            <v>KLD-3828</v>
          </cell>
          <cell r="AL3079" t="str">
            <v>1-0606-(1/2)冠德&gt;寄&gt;附發票&gt;附回郵</v>
          </cell>
          <cell r="AM3079" t="str">
            <v>1-0606</v>
          </cell>
        </row>
        <row r="3080">
          <cell r="AK3080" t="str">
            <v>板78-2H</v>
          </cell>
          <cell r="AL3080" t="str">
            <v>1-0705-(1/3)福瑞&gt;寄&gt;附發票&gt;附回郵</v>
          </cell>
          <cell r="AM3080" t="str">
            <v>1-0705</v>
          </cell>
        </row>
        <row r="3081">
          <cell r="AK3081" t="str">
            <v>KEC-2096</v>
          </cell>
          <cell r="AL3081" t="str">
            <v>1-0589-汯宸&gt;寄&gt;附發票&gt;一個月匯款</v>
          </cell>
          <cell r="AM3081" t="str">
            <v>1-0589</v>
          </cell>
        </row>
        <row r="3082">
          <cell r="AK3082" t="str">
            <v>KED-2195</v>
          </cell>
          <cell r="AL3082" t="str">
            <v>1-0364-弘翔.東大&gt;寄&gt;附發票&gt;附回郵</v>
          </cell>
          <cell r="AM3082" t="str">
            <v>1-0364</v>
          </cell>
        </row>
        <row r="3083">
          <cell r="AK3083" t="str">
            <v>AWM-7399</v>
          </cell>
          <cell r="AL3083" t="str">
            <v>1-0566-順彬&gt;寄&gt;附發票&gt;附回郵</v>
          </cell>
          <cell r="AM3083" t="str">
            <v>1-0566</v>
          </cell>
        </row>
        <row r="3084">
          <cell r="AK3084" t="str">
            <v>KEG-8560</v>
          </cell>
          <cell r="AL3084" t="str">
            <v>1-0816-(4/4)和毅建材&gt;寄&gt;附發票&gt;附回郵</v>
          </cell>
          <cell r="AM3084" t="str">
            <v>1-0816</v>
          </cell>
        </row>
        <row r="3085">
          <cell r="AK3085" t="str">
            <v>KEG-8561</v>
          </cell>
          <cell r="AL3085" t="str">
            <v>1-0815-(3/4)鴻阜建材&gt;寄&gt;附發票&gt;附回郵</v>
          </cell>
          <cell r="AM3085" t="str">
            <v>1-0815</v>
          </cell>
        </row>
        <row r="3086">
          <cell r="AK3086" t="str">
            <v>KEG-8562</v>
          </cell>
          <cell r="AL3086" t="str">
            <v>1-0815-(3/4)鴻阜建材&gt;寄&gt;附發票&gt;附回郵</v>
          </cell>
          <cell r="AM3086" t="str">
            <v>1-0815</v>
          </cell>
        </row>
        <row r="3087">
          <cell r="AK3087" t="str">
            <v>KLD-3769</v>
          </cell>
          <cell r="AL3087" t="str">
            <v>1-0022-台新&gt;寄&gt;附發票&gt;兩個月25號匯款</v>
          </cell>
          <cell r="AM3087" t="str">
            <v>1-0022</v>
          </cell>
        </row>
        <row r="3088">
          <cell r="AK3088" t="str">
            <v>板71-RV</v>
          </cell>
          <cell r="AL3088" t="str">
            <v>1-0705-(1/3)福瑞&gt;寄&gt;附發票&gt;附回郵</v>
          </cell>
          <cell r="AM3088" t="str">
            <v>1-0705</v>
          </cell>
        </row>
        <row r="3089">
          <cell r="AK3089" t="str">
            <v>KLD-3831</v>
          </cell>
          <cell r="AL3089" t="str">
            <v>1-0606-(1/2)冠德&gt;寄&gt;附發票&gt;附回郵</v>
          </cell>
          <cell r="AM3089" t="str">
            <v>1-0606</v>
          </cell>
        </row>
        <row r="3090">
          <cell r="AK3090" t="str">
            <v>板05-7G</v>
          </cell>
          <cell r="AL3090" t="str">
            <v>1-0707-(3/3)福麗&gt;寄&gt;附發票&gt;附回郵</v>
          </cell>
          <cell r="AM3090" t="str">
            <v>1-0707</v>
          </cell>
        </row>
        <row r="3091">
          <cell r="AK3091" t="str">
            <v>板HK-260</v>
          </cell>
          <cell r="AL3091" t="str">
            <v>1-0706-(2/3)福民&gt;寄&gt;附發票&gt;附回郵</v>
          </cell>
          <cell r="AM3091" t="str">
            <v>1-0706</v>
          </cell>
        </row>
        <row r="3092">
          <cell r="AK3092" t="str">
            <v>125-ZY</v>
          </cell>
          <cell r="AL3092" t="str">
            <v>1-0578-(1/2)捷盛&gt;寄&gt;附發票&gt;3個月匯款</v>
          </cell>
          <cell r="AM3092" t="str">
            <v>1-0578</v>
          </cell>
        </row>
        <row r="3093">
          <cell r="AK3093" t="str">
            <v>366-ZY</v>
          </cell>
          <cell r="AL3093" t="str">
            <v>1-0578-(1/2)捷盛&gt;寄&gt;附發票&gt;3個月匯款</v>
          </cell>
          <cell r="AM3093" t="str">
            <v>1-0578</v>
          </cell>
        </row>
        <row r="3094">
          <cell r="AK3094" t="str">
            <v>480-ZY</v>
          </cell>
          <cell r="AL3094" t="str">
            <v>1-0578-(1/2)捷盛&gt;寄&gt;附發票&gt;3個月匯款</v>
          </cell>
          <cell r="AM3094" t="str">
            <v>1-0578</v>
          </cell>
        </row>
        <row r="3095">
          <cell r="AK3095" t="str">
            <v>LAG-317</v>
          </cell>
          <cell r="AL3095" t="str">
            <v>1-0817-(2/2)捷順&gt;寄&gt;附發票&gt;三個月匯款</v>
          </cell>
          <cell r="AM3095" t="str">
            <v>1-0817</v>
          </cell>
        </row>
        <row r="3096">
          <cell r="AK3096" t="str">
            <v>LAG-315</v>
          </cell>
          <cell r="AL3096" t="str">
            <v>1-0817-(2/2)捷順&gt;寄&gt;附發票&gt;三個月匯款</v>
          </cell>
          <cell r="AM3096" t="str">
            <v>1-0817</v>
          </cell>
        </row>
        <row r="3097">
          <cell r="AK3097" t="str">
            <v>LAG-313</v>
          </cell>
          <cell r="AL3097" t="str">
            <v>1-0817-(2/2)捷順&gt;寄&gt;附發票&gt;三個月匯款</v>
          </cell>
          <cell r="AM3097" t="str">
            <v>1-0817</v>
          </cell>
        </row>
        <row r="3098">
          <cell r="AK3098" t="str">
            <v>LAG-316</v>
          </cell>
          <cell r="AL3098" t="str">
            <v>1-0817-(2/2)捷順&gt;寄&gt;附發票&gt;三個月匯款</v>
          </cell>
          <cell r="AM3098" t="str">
            <v>1-0817</v>
          </cell>
        </row>
        <row r="3099">
          <cell r="AK3099" t="str">
            <v>010-G6</v>
          </cell>
          <cell r="AL3099" t="str">
            <v>1-0817-(2/2)捷順&gt;寄&gt;附發票&gt;三個月匯款</v>
          </cell>
          <cell r="AM3099" t="str">
            <v>1-0817</v>
          </cell>
        </row>
        <row r="3100">
          <cell r="AK3100" t="str">
            <v>KLC-5625</v>
          </cell>
          <cell r="AL3100" t="str">
            <v>1-0706-(2/3)福民&gt;寄&gt;附發票&gt;附回郵</v>
          </cell>
          <cell r="AM3100" t="str">
            <v>1-0706</v>
          </cell>
        </row>
        <row r="3101">
          <cell r="AK3101" t="str">
            <v>979-V6</v>
          </cell>
          <cell r="AL3101" t="str">
            <v>1-0483-火炎山&gt;寄&gt;附發票&gt;附回郵</v>
          </cell>
          <cell r="AM3101" t="str">
            <v>1-0483</v>
          </cell>
        </row>
        <row r="3102">
          <cell r="AK3102" t="str">
            <v>147-YV</v>
          </cell>
          <cell r="AL3102" t="str">
            <v>1-0579-(1/2)捷盛&gt;寄&gt;附發票&gt;3個月匯款</v>
          </cell>
          <cell r="AM3102" t="str">
            <v>1-0579</v>
          </cell>
        </row>
        <row r="3103">
          <cell r="AK3103" t="str">
            <v>148-YV</v>
          </cell>
          <cell r="AL3103" t="str">
            <v>1-0579-(1/2)捷盛&gt;寄&gt;附發票&gt;3個月匯款</v>
          </cell>
          <cell r="AM3103" t="str">
            <v>1-0579</v>
          </cell>
        </row>
        <row r="3104">
          <cell r="AK3104" t="str">
            <v>149-YV</v>
          </cell>
          <cell r="AL3104" t="str">
            <v>1-0579-(1/2)捷盛&gt;寄&gt;附發票&gt;3個月匯款</v>
          </cell>
          <cell r="AM3104" t="str">
            <v>1-0579</v>
          </cell>
        </row>
        <row r="3105">
          <cell r="AK3105" t="str">
            <v>152-YV</v>
          </cell>
          <cell r="AL3105" t="str">
            <v>1-0579-(1/2)捷盛&gt;寄&gt;附發票&gt;3個月匯款</v>
          </cell>
          <cell r="AM3105" t="str">
            <v>1-0579</v>
          </cell>
        </row>
        <row r="3106">
          <cell r="AK3106" t="str">
            <v>072-G6</v>
          </cell>
          <cell r="AL3106" t="str">
            <v>1-0818-(2/2)捷順&gt;寄&gt;附發票&gt;三個月匯款</v>
          </cell>
          <cell r="AM3106" t="str">
            <v>1-0818</v>
          </cell>
        </row>
        <row r="3107">
          <cell r="AK3107" t="str">
            <v>KLE-3922</v>
          </cell>
          <cell r="AL3107" t="str">
            <v>1-0818-(2/2)捷順&gt;寄&gt;附發票&gt;三個月匯款</v>
          </cell>
          <cell r="AM3107" t="str">
            <v>1-0818</v>
          </cell>
        </row>
        <row r="3108">
          <cell r="AK3108" t="str">
            <v>KLE-3923</v>
          </cell>
          <cell r="AL3108" t="str">
            <v>1-0818-(2/2)捷順&gt;寄&gt;附發票&gt;三個月匯款</v>
          </cell>
          <cell r="AM3108" t="str">
            <v>1-0818</v>
          </cell>
        </row>
        <row r="3109">
          <cell r="AK3109" t="str">
            <v>KLE-3935</v>
          </cell>
          <cell r="AL3109" t="str">
            <v>1-0818-(2/2)捷順&gt;寄&gt;附發票&gt;三個月匯款</v>
          </cell>
          <cell r="AM3109" t="str">
            <v>1-0818</v>
          </cell>
        </row>
        <row r="3110">
          <cell r="AK3110" t="str">
            <v>KLE-3936</v>
          </cell>
          <cell r="AL3110" t="str">
            <v>1-0818-(2/2)捷順&gt;寄&gt;附發票&gt;三個月匯款</v>
          </cell>
          <cell r="AM3110" t="str">
            <v>1-0818</v>
          </cell>
        </row>
        <row r="3111">
          <cell r="AK3111" t="str">
            <v>620-3B</v>
          </cell>
          <cell r="AL3111" t="str">
            <v>1-0818-(2/2)捷順&gt;寄&gt;附發票&gt;三個月匯款</v>
          </cell>
          <cell r="AM3111" t="str">
            <v>1-0818</v>
          </cell>
        </row>
        <row r="3112">
          <cell r="AK3112" t="str">
            <v>KLD-3100</v>
          </cell>
          <cell r="AL3112" t="str">
            <v>1-0798-興連貨運&gt;寄&gt;附發票&gt;1個月匯款</v>
          </cell>
          <cell r="AM3112" t="str">
            <v>1-0798</v>
          </cell>
        </row>
        <row r="3113">
          <cell r="AK3113" t="str">
            <v>KNA-3236</v>
          </cell>
          <cell r="AL3113" t="str">
            <v>1-0756-興達隆&gt;明正&gt;寄&gt;匯款</v>
          </cell>
          <cell r="AM3113" t="str">
            <v>1-0756</v>
          </cell>
        </row>
        <row r="3114">
          <cell r="AK3114" t="str">
            <v>565-JF</v>
          </cell>
          <cell r="AL3114" t="str">
            <v>1-0740-顏川貴&gt;未稅&gt;寄&gt;自結</v>
          </cell>
          <cell r="AM3114" t="str">
            <v>1-0740</v>
          </cell>
        </row>
        <row r="3115">
          <cell r="AK3115" t="str">
            <v>QAE-336</v>
          </cell>
          <cell r="AL3115" t="str">
            <v>1-0804-峰宸&gt;豪新&gt;電&gt;自結(刷卡含稅)</v>
          </cell>
          <cell r="AM3115" t="str">
            <v>1-0804</v>
          </cell>
        </row>
        <row r="3116">
          <cell r="AK3116" t="str">
            <v>板09-3G</v>
          </cell>
          <cell r="AL3116" t="str">
            <v>1-0707-(3/3)福麗&gt;寄&gt;附發票&gt;附回郵</v>
          </cell>
          <cell r="AM3116" t="str">
            <v>1-0707</v>
          </cell>
        </row>
        <row r="3117">
          <cell r="AK3117" t="str">
            <v>557-R3</v>
          </cell>
          <cell r="AL3117" t="str">
            <v>1-0810-六統交通股份有限公司&gt;寄&gt;附發票</v>
          </cell>
          <cell r="AM3117" t="str">
            <v>1-0810</v>
          </cell>
        </row>
        <row r="3118">
          <cell r="AK3118" t="str">
            <v>980-V6</v>
          </cell>
          <cell r="AL3118" t="str">
            <v>1-0483-火炎山&gt;寄&gt;附發票&gt;附回郵</v>
          </cell>
          <cell r="AM3118" t="str">
            <v>1-0483</v>
          </cell>
        </row>
        <row r="3119">
          <cell r="AK3119" t="str">
            <v>189-V6</v>
          </cell>
          <cell r="AL3119" t="str">
            <v>1-0394-宸羽&gt;寄&gt;親收</v>
          </cell>
          <cell r="AM3119" t="str">
            <v>1-0394</v>
          </cell>
        </row>
        <row r="3120">
          <cell r="AK3120" t="str">
            <v>059-Q8</v>
          </cell>
          <cell r="AL3120" t="str">
            <v>1-0658-順同&gt;尚泰行.弘舜&gt;寄&gt;附發票&gt;附回郵</v>
          </cell>
          <cell r="AM3120" t="str">
            <v>1-0658</v>
          </cell>
        </row>
        <row r="3121">
          <cell r="AK3121" t="str">
            <v>板82-2H</v>
          </cell>
          <cell r="AL3121" t="str">
            <v>1-0707-(3/3)福麗&gt;寄&gt;附發票&gt;附回郵</v>
          </cell>
          <cell r="AM3121" t="str">
            <v>1-0707</v>
          </cell>
        </row>
        <row r="3122">
          <cell r="AK3122" t="str">
            <v>KEG-5198</v>
          </cell>
          <cell r="AL3122" t="str">
            <v>1-0023-楊育茹&gt;拓隆&gt;廣丞&gt;寄&gt;附發票&gt;附回郵</v>
          </cell>
          <cell r="AM3122" t="str">
            <v>1-0023</v>
          </cell>
        </row>
        <row r="3123">
          <cell r="AK3123" t="str">
            <v>板11-3G</v>
          </cell>
          <cell r="AL3123" t="str">
            <v>1-0707-(3/3)福麗&gt;寄&gt;附發票&gt;附回郵</v>
          </cell>
          <cell r="AM3123" t="str">
            <v>1-0707</v>
          </cell>
        </row>
        <row r="3124">
          <cell r="AK3124" t="str">
            <v>KEA-9566</v>
          </cell>
          <cell r="AL3124" t="str">
            <v>1-0194-傅文芳&gt;大砲&gt;一路發拖吊&gt;電&gt;自結</v>
          </cell>
          <cell r="AM3124" t="str">
            <v>1-0194</v>
          </cell>
        </row>
        <row r="3125">
          <cell r="AK3125" t="str">
            <v>9F-222</v>
          </cell>
          <cell r="AL3125" t="str">
            <v>1-0276-民景&gt;寄&gt;附發票&gt;附回郵</v>
          </cell>
          <cell r="AM3125" t="str">
            <v>1-0276</v>
          </cell>
        </row>
        <row r="3126">
          <cell r="AK3126" t="str">
            <v>102-Y7</v>
          </cell>
          <cell r="AL3126" t="str">
            <v>1-0768-正順環保&gt;高富榮&gt;寄&gt;附發票&gt;附回郵</v>
          </cell>
          <cell r="AM3126" t="str">
            <v>1-0768</v>
          </cell>
        </row>
        <row r="3127">
          <cell r="AK3127" t="str">
            <v>板83-RU</v>
          </cell>
          <cell r="AL3127" t="str">
            <v>1-0705-(1/3)福瑞&gt;寄&gt;附發票&gt;附回郵</v>
          </cell>
          <cell r="AM3127" t="str">
            <v>1-0705</v>
          </cell>
        </row>
        <row r="3128">
          <cell r="AK3128" t="str">
            <v>KLD-3829</v>
          </cell>
          <cell r="AL3128" t="str">
            <v>1-0606-(1/2)冠德&gt;寄&gt;附發票&gt;附回郵</v>
          </cell>
          <cell r="AM3128" t="str">
            <v>1-0606</v>
          </cell>
        </row>
        <row r="3129">
          <cell r="AK3129" t="str">
            <v>633-WF</v>
          </cell>
          <cell r="AL3129" t="str">
            <v>1-0702-交通大學&gt;寄&gt;附發票&gt;匯款</v>
          </cell>
          <cell r="AM3129" t="str">
            <v>1-0702</v>
          </cell>
        </row>
        <row r="3130">
          <cell r="AK3130" t="str">
            <v>KLD-3756</v>
          </cell>
          <cell r="AL3130" t="str">
            <v>1-0546-慈揚&gt;賴進烈&gt;寄&gt;1個月15號匯款</v>
          </cell>
          <cell r="AM3130" t="str">
            <v>1-0546</v>
          </cell>
        </row>
        <row r="3131">
          <cell r="AK3131" t="str">
            <v>KLD-3773</v>
          </cell>
          <cell r="AL3131" t="str">
            <v>1-0022-台新&gt;寄&gt;附發票&gt;兩個月25號匯款</v>
          </cell>
          <cell r="AM3131" t="str">
            <v>1-0022</v>
          </cell>
        </row>
        <row r="3132">
          <cell r="AK3132" t="str">
            <v>ASE-9112</v>
          </cell>
          <cell r="AL3132" t="str">
            <v>1-0833-名基工程有限公司&gt;寄&gt;匯款(隔月底匯款)</v>
          </cell>
          <cell r="AM3132" t="str">
            <v>1-0833</v>
          </cell>
        </row>
        <row r="3133">
          <cell r="AK3133" t="str">
            <v>AAJ-623</v>
          </cell>
          <cell r="AL3133" t="str">
            <v>1-0368-銀城&gt;寄&gt;附發票&gt;附回郵</v>
          </cell>
          <cell r="AM3133" t="str">
            <v>1-0368</v>
          </cell>
        </row>
        <row r="3134">
          <cell r="AK3134" t="str">
            <v>KAE-867</v>
          </cell>
          <cell r="AL3134" t="str">
            <v>1-0164-元慶&gt;寄&gt;附發票&gt;附回郵</v>
          </cell>
          <cell r="AM3134" t="str">
            <v>1-0164</v>
          </cell>
        </row>
        <row r="3135">
          <cell r="AK3135" t="str">
            <v>KEG-6108</v>
          </cell>
          <cell r="AL3135" t="str">
            <v>1-0811-(2/2)宜群企業&gt;寄&gt;附發票&gt;附回郵</v>
          </cell>
          <cell r="AM3135" t="str">
            <v>1-0811</v>
          </cell>
        </row>
        <row r="3136">
          <cell r="AK3136" t="str">
            <v>KEA-9522</v>
          </cell>
          <cell r="AL3136" t="str">
            <v>1-0194-傅文芳&gt;大砲&gt;一路發拖吊&gt;電&gt;自結</v>
          </cell>
          <cell r="AM3136" t="str">
            <v>1-0194</v>
          </cell>
        </row>
        <row r="3137">
          <cell r="AK3137" t="str">
            <v>877-TK</v>
          </cell>
          <cell r="AL3137" t="str">
            <v>1-0021-毅和&gt;寄&gt;附發票&gt;附回郵</v>
          </cell>
          <cell r="AM3137" t="str">
            <v>1-0021</v>
          </cell>
        </row>
        <row r="3138">
          <cell r="AK3138" t="str">
            <v>288-AJ</v>
          </cell>
          <cell r="AL3138" t="str">
            <v>1-0303-江正榮＞阿妙-永慶&gt;寄&gt;自結</v>
          </cell>
          <cell r="AM3138" t="str">
            <v>1-0303</v>
          </cell>
        </row>
        <row r="3139">
          <cell r="AK3139" t="str">
            <v>KEC-2366</v>
          </cell>
          <cell r="AL3139" t="str">
            <v>1-0023-楊育茹&gt;拓隆&gt;廣丞&gt;寄&gt;附發票&gt;附回郵</v>
          </cell>
          <cell r="AM3139" t="str">
            <v>1-0023</v>
          </cell>
        </row>
        <row r="3140">
          <cell r="AK3140" t="str">
            <v>KLC-5879</v>
          </cell>
          <cell r="AL3140" t="str">
            <v>1-0352-永裕豐&gt;松江&gt;寄&gt;附回郵</v>
          </cell>
          <cell r="AM3140" t="str">
            <v>1-0352</v>
          </cell>
        </row>
        <row r="3141">
          <cell r="AK3141" t="str">
            <v>618-2Y</v>
          </cell>
          <cell r="AL3141" t="str">
            <v>1-0857-王建昇&gt;寄</v>
          </cell>
          <cell r="AM3141" t="str">
            <v>1-0857</v>
          </cell>
        </row>
        <row r="3142">
          <cell r="AK3142" t="str">
            <v>AKY-8516</v>
          </cell>
          <cell r="AL3142" t="str">
            <v>1-0766-聯鑫通運&gt;銘鑫物流&gt;聯準企業社&gt;謝惠錦&gt;寄&gt;附發票&gt;附回郵</v>
          </cell>
          <cell r="AM3142" t="str">
            <v>1-0766</v>
          </cell>
        </row>
        <row r="3143">
          <cell r="AK3143" t="str">
            <v>KEA-9055</v>
          </cell>
          <cell r="AL3143" t="str">
            <v>1-0773-寬裕&gt;李寬裕&gt;寄&gt;附發票&gt;附回郵</v>
          </cell>
          <cell r="AM3143" t="str">
            <v>1-0773</v>
          </cell>
        </row>
        <row r="3144">
          <cell r="AK3144" t="str">
            <v>978-X3</v>
          </cell>
          <cell r="AL3144" t="str">
            <v>1-0844-日中&gt;自結&gt;</v>
          </cell>
          <cell r="AM3144" t="str">
            <v>1-0844</v>
          </cell>
        </row>
        <row r="3145">
          <cell r="AK3145" t="str">
            <v>LAD-372</v>
          </cell>
          <cell r="AL3145" t="str">
            <v>1-0844-日中&gt;自結&gt;</v>
          </cell>
          <cell r="AM3145" t="str">
            <v>1-0844</v>
          </cell>
        </row>
        <row r="3146">
          <cell r="AK3146" t="str">
            <v>703-WW</v>
          </cell>
          <cell r="AL3146" t="str">
            <v>1-0347-仁德&gt;寄&gt;附發票&gt;附回郵</v>
          </cell>
          <cell r="AM3146" t="str">
            <v>1-0347</v>
          </cell>
        </row>
        <row r="3147">
          <cell r="AK3147" t="str">
            <v>KLD-3891</v>
          </cell>
          <cell r="AL3147" t="str">
            <v>1-0162-鎰利&gt;鎰金&gt;鎰加&gt;寄&gt;附發票&gt;2個月匯款</v>
          </cell>
          <cell r="AM3147" t="str">
            <v>1-0162</v>
          </cell>
        </row>
        <row r="3148">
          <cell r="AK3148" t="str">
            <v>890-5A</v>
          </cell>
          <cell r="AL3148" t="str">
            <v>1-0162-鎰利&gt;鎰金&gt;鎰加&gt;寄&gt;附發票&gt;2個月匯款</v>
          </cell>
          <cell r="AM3148" t="str">
            <v>1-0162</v>
          </cell>
        </row>
        <row r="3149">
          <cell r="AK3149" t="str">
            <v>LAC-237</v>
          </cell>
          <cell r="AL3149" t="str">
            <v>1-0844-日中&gt;自結&gt;</v>
          </cell>
          <cell r="AM3149" t="str">
            <v>1-0844</v>
          </cell>
        </row>
        <row r="3150">
          <cell r="AK3150" t="str">
            <v>607-Q2</v>
          </cell>
          <cell r="AL3150" t="str">
            <v>1-0768-正順環保&gt;高富榮&gt;寄&gt;附發票&gt;附回郵</v>
          </cell>
          <cell r="AM3150" t="str">
            <v>1-0768</v>
          </cell>
        </row>
        <row r="3151">
          <cell r="AK3151" t="str">
            <v>605-V9</v>
          </cell>
          <cell r="AL3151" t="str">
            <v>1-0320-陳俊華&gt;寄&gt;自結</v>
          </cell>
          <cell r="AM3151" t="str">
            <v>1-0320</v>
          </cell>
        </row>
        <row r="3152">
          <cell r="AK3152" t="str">
            <v>849-EE</v>
          </cell>
          <cell r="AL3152" t="str">
            <v>1-0347-仁德&gt;寄&gt;附發票&gt;附回郵</v>
          </cell>
          <cell r="AM3152" t="str">
            <v>1-0347</v>
          </cell>
        </row>
        <row r="3153">
          <cell r="AK3153" t="str">
            <v>板68-6H</v>
          </cell>
          <cell r="AL3153" t="str">
            <v>1-0768-正順環保&gt;高富榮&gt;寄&gt;附發票&gt;附回郵</v>
          </cell>
          <cell r="AM3153" t="str">
            <v>1-0768</v>
          </cell>
        </row>
        <row r="3154">
          <cell r="AK3154" t="str">
            <v>KEG-6126</v>
          </cell>
          <cell r="AL3154" t="str">
            <v>1-0768-正順環保&gt;高富榮&gt;寄&gt;附發票&gt;附回郵</v>
          </cell>
          <cell r="AM3154" t="str">
            <v>1-0768</v>
          </cell>
        </row>
        <row r="3155">
          <cell r="AK3155" t="str">
            <v>板55-PR</v>
          </cell>
          <cell r="AL3155" t="str">
            <v>1-0608-聯倉&gt;寄&gt;附發票&gt;附回郵</v>
          </cell>
          <cell r="AM3155" t="str">
            <v>1-0608</v>
          </cell>
        </row>
        <row r="3156">
          <cell r="AK3156" t="str">
            <v>APR-5062</v>
          </cell>
          <cell r="AL3156" t="str">
            <v>1-0053-力璽&gt;寄&gt;匯款</v>
          </cell>
          <cell r="AM3156" t="str">
            <v>1-0053</v>
          </cell>
        </row>
        <row r="3157">
          <cell r="AK3157" t="str">
            <v>KLB-3829</v>
          </cell>
          <cell r="AL3157" t="str">
            <v>1-0606-(1/2)冠德&gt;寄&gt;附發票&gt;附回郵</v>
          </cell>
          <cell r="AM3157" t="str">
            <v>1-0606</v>
          </cell>
        </row>
        <row r="3158">
          <cell r="AK3158" t="str">
            <v>780-HF</v>
          </cell>
          <cell r="AL3158" t="str">
            <v>1-0136-順華&gt;寄&gt;附發票&gt;三個月匯款</v>
          </cell>
          <cell r="AM3158" t="str">
            <v>1-0136</v>
          </cell>
        </row>
        <row r="3159">
          <cell r="AK3159" t="str">
            <v>0290-C7</v>
          </cell>
          <cell r="AL3159" t="str">
            <v>1-0789-品源車業&gt;寄&gt;附回郵</v>
          </cell>
          <cell r="AM3159" t="str">
            <v>1-0789</v>
          </cell>
        </row>
        <row r="3160">
          <cell r="AK3160" t="str">
            <v>LAG-886</v>
          </cell>
          <cell r="AL3160" t="str">
            <v>1-0870-陳致佑&gt;電&gt;匯款&gt;自結</v>
          </cell>
          <cell r="AM3160" t="str">
            <v>1-0870</v>
          </cell>
        </row>
        <row r="3161">
          <cell r="AK3161" t="str">
            <v>KEA-9615</v>
          </cell>
          <cell r="AL3161" t="str">
            <v>1-0473-台灣肥料&gt;寄&gt;附發票&gt;兩個月底匯款</v>
          </cell>
          <cell r="AM3161" t="str">
            <v>1-0473</v>
          </cell>
        </row>
        <row r="3162">
          <cell r="AK3162" t="str">
            <v>板HAB-3293</v>
          </cell>
          <cell r="AL3162" t="str">
            <v>1-0473-台灣肥料&gt;寄&gt;附發票&gt;兩個月底匯款</v>
          </cell>
          <cell r="AM3162" t="str">
            <v>1-0473</v>
          </cell>
        </row>
        <row r="3163">
          <cell r="AK3163" t="str">
            <v>KLD-0572</v>
          </cell>
          <cell r="AL3163" t="str">
            <v>1-0844-日中&gt;自結&gt;</v>
          </cell>
          <cell r="AM3163" t="str">
            <v>1-0844</v>
          </cell>
        </row>
        <row r="3164">
          <cell r="AK3164" t="str">
            <v>KEA-9397</v>
          </cell>
          <cell r="AL3164" t="str">
            <v>1-0368-銀城&gt;寄&gt;附發票&gt;附回郵</v>
          </cell>
          <cell r="AM3164" t="str">
            <v>1-0368</v>
          </cell>
        </row>
        <row r="3165">
          <cell r="AK3165" t="str">
            <v>KEG-6292</v>
          </cell>
          <cell r="AL3165" t="str">
            <v>1-0549-華品&gt;佳上&gt;冠仁&gt;寄&gt;附發票&gt;附回郵</v>
          </cell>
          <cell r="AM3165" t="str">
            <v>1-0549</v>
          </cell>
        </row>
        <row r="3166">
          <cell r="AK3166" t="str">
            <v>KLF-1073</v>
          </cell>
          <cell r="AL3166" t="str">
            <v>1-0334-廣寶&gt;環亞&gt;正大&gt;寄&gt;附回郵&gt;1個月後匯款</v>
          </cell>
          <cell r="AM3166" t="str">
            <v>1-0334</v>
          </cell>
        </row>
        <row r="3167">
          <cell r="AK3167" t="str">
            <v>AVM-8076</v>
          </cell>
          <cell r="AL3167" t="str">
            <v>1-0765-高雄空廚&gt;寄&gt;附發票&gt;2個月匯款</v>
          </cell>
          <cell r="AM3167" t="str">
            <v>1-0765</v>
          </cell>
        </row>
        <row r="3168">
          <cell r="AK3168" t="str">
            <v>KLA-2199</v>
          </cell>
          <cell r="AL3168" t="str">
            <v>1-0334-廣寶&gt;環亞&gt;正大&gt;寄&gt;附回郵&gt;1個月後匯款</v>
          </cell>
          <cell r="AM3168" t="str">
            <v>1-0334</v>
          </cell>
        </row>
        <row r="3169">
          <cell r="AK3169" t="str">
            <v>KEB-0826</v>
          </cell>
          <cell r="AL3169" t="str">
            <v>1-0039-來大&gt;景森&gt;寄&gt;附發票&gt;附回郵</v>
          </cell>
          <cell r="AM3169" t="str">
            <v>1-0039</v>
          </cell>
        </row>
        <row r="3170">
          <cell r="AK3170" t="str">
            <v>FAD-279</v>
          </cell>
          <cell r="AL3170" t="str">
            <v>1-0122-嘉偉&gt;元美&gt;寄&gt;附發票&gt;附回郵</v>
          </cell>
          <cell r="AM3170" t="str">
            <v>1-0122</v>
          </cell>
        </row>
        <row r="3171">
          <cell r="AK3171" t="str">
            <v>993-KM</v>
          </cell>
          <cell r="AL3171" t="str">
            <v>1-0145-鄭光良&gt;寄&gt;自結</v>
          </cell>
          <cell r="AM3171" t="str">
            <v>1-0145</v>
          </cell>
        </row>
        <row r="3172">
          <cell r="AK3172" t="str">
            <v>948-TD</v>
          </cell>
          <cell r="AL3172" t="str">
            <v>1-0159-吉星建材&gt;寄&gt;附發票&gt;匯款</v>
          </cell>
          <cell r="AM3172" t="str">
            <v>1-0159</v>
          </cell>
        </row>
        <row r="3173">
          <cell r="AK3173" t="str">
            <v>板HK-302</v>
          </cell>
          <cell r="AL3173" t="str">
            <v>1-0844-日中&gt;自結&gt;</v>
          </cell>
          <cell r="AM3173" t="str">
            <v>1-0844</v>
          </cell>
        </row>
        <row r="3174">
          <cell r="AK3174" t="str">
            <v>板HC-299</v>
          </cell>
          <cell r="AL3174" t="str">
            <v>1-0844-日中&gt;自結&gt;</v>
          </cell>
          <cell r="AM3174" t="str">
            <v>1-0844</v>
          </cell>
        </row>
        <row r="3175">
          <cell r="AK3175" t="str">
            <v>板JK-300</v>
          </cell>
          <cell r="AL3175" t="str">
            <v>1-0844-日中&gt;自結&gt;</v>
          </cell>
          <cell r="AM3175" t="str">
            <v>1-0844</v>
          </cell>
        </row>
        <row r="3176">
          <cell r="AK3176" t="str">
            <v>板28-JB</v>
          </cell>
          <cell r="AL3176" t="str">
            <v>1-0844-日中&gt;自結&gt;</v>
          </cell>
          <cell r="AM3176" t="str">
            <v>1-0844</v>
          </cell>
        </row>
        <row r="3177">
          <cell r="AK3177" t="str">
            <v>AAJ-807</v>
          </cell>
          <cell r="AL3177" t="str">
            <v>1-0863-久正企業社&gt;南成&gt;寄&gt;自結</v>
          </cell>
          <cell r="AM3177" t="str">
            <v>1-0863</v>
          </cell>
        </row>
        <row r="3178">
          <cell r="AK3178" t="str">
            <v>KEE-2103</v>
          </cell>
          <cell r="AL3178" t="str">
            <v>1-0589-汯宸&gt;寄&gt;附發票&gt;一個月匯款</v>
          </cell>
          <cell r="AM3178" t="str">
            <v>1-0589</v>
          </cell>
        </row>
        <row r="3179">
          <cell r="AK3179" t="str">
            <v>KEG-6155</v>
          </cell>
          <cell r="AL3179" t="str">
            <v>1-0549-華品&gt;佳上&gt;冠仁&gt;寄&gt;附發票&gt;附回郵</v>
          </cell>
          <cell r="AM3179" t="str">
            <v>1-0549</v>
          </cell>
        </row>
        <row r="3180">
          <cell r="AK3180" t="str">
            <v>KLD-3827</v>
          </cell>
          <cell r="AL3180" t="str">
            <v>1-0606-(1/2)冠德&gt;寄&gt;附發票&gt;附回郵</v>
          </cell>
          <cell r="AM3180" t="str">
            <v>1-0606</v>
          </cell>
        </row>
        <row r="3181">
          <cell r="AK3181" t="str">
            <v>BAE-5658</v>
          </cell>
          <cell r="AL3181" t="str">
            <v>1-0834-富成輪胎行&gt;寄&gt;附發票&gt;附回郵</v>
          </cell>
          <cell r="AM3181" t="str">
            <v>1-0834</v>
          </cell>
        </row>
        <row r="3182">
          <cell r="AK3182" t="str">
            <v>KLF-0700</v>
          </cell>
          <cell r="AL3182" t="str">
            <v>1-0844-日中&gt;自結&gt;</v>
          </cell>
          <cell r="AM3182" t="str">
            <v>1-0844</v>
          </cell>
        </row>
        <row r="3183">
          <cell r="AK3183" t="str">
            <v>1000-EN</v>
          </cell>
          <cell r="AL3183" t="str">
            <v>1-0513-百飛.最安逸.天朝&gt;寄&gt;附發票&gt;自結</v>
          </cell>
          <cell r="AM3183" t="str">
            <v>1-0513</v>
          </cell>
        </row>
        <row r="3184">
          <cell r="AK3184" t="str">
            <v>BAT-3399</v>
          </cell>
          <cell r="AL3184" t="str">
            <v>1-0566-順彬&gt;寄&gt;附發票&gt;附回郵</v>
          </cell>
          <cell r="AM3184" t="str">
            <v>1-0566</v>
          </cell>
        </row>
        <row r="3185">
          <cell r="AK3185" t="str">
            <v>6H-7857</v>
          </cell>
          <cell r="AL3185" t="str">
            <v>1-0060-源鴻&gt;寄&gt;親收</v>
          </cell>
          <cell r="AM3185" t="str">
            <v>1-0060</v>
          </cell>
        </row>
        <row r="3186">
          <cell r="AK3186" t="str">
            <v>BCG-0857</v>
          </cell>
          <cell r="AL3186" t="str">
            <v>1-0624-聖麒工程&gt;閎元&gt;永金&gt;寄&gt;附回郵&gt;現金價</v>
          </cell>
          <cell r="AM3186" t="str">
            <v>1-0624</v>
          </cell>
        </row>
        <row r="3187">
          <cell r="AK3187" t="str">
            <v>KLF-0800</v>
          </cell>
          <cell r="AL3187" t="str">
            <v>1-0844-日中&gt;自結&gt;</v>
          </cell>
          <cell r="AM3187" t="str">
            <v>1-0844</v>
          </cell>
        </row>
        <row r="3188">
          <cell r="AK3188" t="str">
            <v>726-JC</v>
          </cell>
          <cell r="AL3188" t="str">
            <v>1-0022-台新&gt;寄&gt;附發票&gt;兩個月25號匯款</v>
          </cell>
          <cell r="AM3188" t="str">
            <v>1-0022</v>
          </cell>
        </row>
        <row r="3189">
          <cell r="AK3189" t="str">
            <v>板B1</v>
          </cell>
          <cell r="AL3189" t="str">
            <v>1-0162-鎰利&gt;鎰金&gt;鎰加&gt;寄&gt;附發票&gt;2個月匯款</v>
          </cell>
          <cell r="AM3189" t="str">
            <v>1-0162</v>
          </cell>
        </row>
        <row r="3190">
          <cell r="AK3190" t="str">
            <v>板L12-0.9-1</v>
          </cell>
          <cell r="AL3190" t="str">
            <v>1-0162-鎰利&gt;鎰金&gt;鎰加&gt;寄&gt;附發票&gt;2個月匯款</v>
          </cell>
          <cell r="AM3190" t="str">
            <v>1-0162</v>
          </cell>
        </row>
        <row r="3191">
          <cell r="AK3191" t="str">
            <v>KEA-9655</v>
          </cell>
          <cell r="AL3191" t="str">
            <v>1-0551-久展&gt;寄&gt;附發票&gt;兩個月28號匯款</v>
          </cell>
          <cell r="AM3191" t="str">
            <v>1-0551</v>
          </cell>
        </row>
        <row r="3192">
          <cell r="AK3192" t="str">
            <v>板23-CH</v>
          </cell>
          <cell r="AL3192" t="str">
            <v>1-0706-(2/3)福民&gt;寄&gt;附發票&gt;附回郵</v>
          </cell>
          <cell r="AM3192" t="str">
            <v>1-0706</v>
          </cell>
        </row>
        <row r="3193">
          <cell r="AK3193" t="str">
            <v>299-BL</v>
          </cell>
          <cell r="AL3193" t="str">
            <v>1-0856-發彩環保&gt;弘力&gt;寄&gt;附發票&gt;附回郵</v>
          </cell>
          <cell r="AM3193" t="str">
            <v>1-0856</v>
          </cell>
        </row>
        <row r="3194">
          <cell r="AK3194" t="str">
            <v>926-V6</v>
          </cell>
          <cell r="AL3194" t="str">
            <v>1-0347-仁德&gt;寄&gt;附發票&gt;附回郵</v>
          </cell>
          <cell r="AM3194" t="str">
            <v>1-0347</v>
          </cell>
        </row>
        <row r="3195">
          <cell r="AK3195" t="str">
            <v>KLE-2007</v>
          </cell>
          <cell r="AL3195" t="str">
            <v>1-0766-聯鑫通運&gt;銘鑫物流&gt;聯準企業社&gt;謝惠錦&gt;寄&gt;附發票&gt;附回郵</v>
          </cell>
          <cell r="AM3195" t="str">
            <v>1-0766</v>
          </cell>
        </row>
        <row r="3196">
          <cell r="AK3196" t="str">
            <v>LAF-395</v>
          </cell>
          <cell r="AL3196" t="str">
            <v>1-0798-興連貨運&gt;寄&gt;附發票&gt;1個月匯款</v>
          </cell>
          <cell r="AM3196" t="str">
            <v>1-0798</v>
          </cell>
        </row>
        <row r="3197">
          <cell r="AK3197" t="str">
            <v>Q7-5622</v>
          </cell>
          <cell r="AL3197" t="str">
            <v>1-0065-台澄&gt;郭董&gt;寄&gt;老闆親收</v>
          </cell>
          <cell r="AM3197" t="str">
            <v>1-0065</v>
          </cell>
        </row>
        <row r="3198">
          <cell r="AK3198" t="str">
            <v>AVK-0857</v>
          </cell>
          <cell r="AL3198" t="str">
            <v>1-0671-和鑫肉品&gt;電聯&gt;自結</v>
          </cell>
          <cell r="AM3198" t="str">
            <v>1-0671</v>
          </cell>
        </row>
        <row r="3199">
          <cell r="AK3199" t="str">
            <v>8326-YK</v>
          </cell>
          <cell r="AL3199" t="str">
            <v>1-0276-民景&gt;寄&gt;附發票&gt;附回郵</v>
          </cell>
          <cell r="AM3199" t="str">
            <v>1-0276</v>
          </cell>
        </row>
        <row r="3200">
          <cell r="AK3200" t="str">
            <v>0875-YU</v>
          </cell>
          <cell r="AL3200" t="str">
            <v>1-0492-佳能環保&gt;鳳屏&gt;新益慶&gt;寄&gt;附發票&gt;一個月匯款</v>
          </cell>
          <cell r="AM3200" t="str">
            <v>1-0492</v>
          </cell>
        </row>
        <row r="3201">
          <cell r="AK3201" t="str">
            <v>KEE-2279</v>
          </cell>
          <cell r="AL3201" t="str">
            <v>1-0492-佳能環保&gt;鳳屏&gt;新益慶&gt;寄&gt;附發票&gt;一個月匯款</v>
          </cell>
          <cell r="AM3201" t="str">
            <v>1-0492</v>
          </cell>
        </row>
        <row r="3202">
          <cell r="AK3202" t="str">
            <v>417-X5</v>
          </cell>
          <cell r="AL3202" t="str">
            <v>1-0766-聯鑫通運&gt;銘鑫物流&gt;聯準企業社&gt;謝惠錦&gt;寄&gt;附發票&gt;附回郵</v>
          </cell>
          <cell r="AM3202" t="str">
            <v>1-0766</v>
          </cell>
        </row>
        <row r="3203">
          <cell r="AK3203" t="str">
            <v>KEA-9282</v>
          </cell>
          <cell r="AL3203" t="str">
            <v>1-0549-華品&gt;佳上&gt;冠仁&gt;寄&gt;附發票&gt;附回郵</v>
          </cell>
          <cell r="AM3203" t="str">
            <v>1-0549</v>
          </cell>
        </row>
        <row r="3204">
          <cell r="AK3204" t="str">
            <v>板L9-0.4-1</v>
          </cell>
          <cell r="AL3204" t="str">
            <v>1-0162-鎰利&gt;鎰金&gt;鎰加&gt;寄&gt;附發票&gt;2個月匯款</v>
          </cell>
          <cell r="AM3204" t="str">
            <v>1-0162</v>
          </cell>
        </row>
        <row r="3205">
          <cell r="AK3205" t="str">
            <v>421-W8</v>
          </cell>
          <cell r="AL3205" t="str">
            <v>1-0766-聯鑫通運&gt;銘鑫物流&gt;聯準企業社&gt;謝惠錦&gt;寄&gt;附發票&gt;附回郵</v>
          </cell>
          <cell r="AM3205" t="str">
            <v>1-0766</v>
          </cell>
        </row>
        <row r="3206">
          <cell r="AK3206" t="str">
            <v>KEC-2250</v>
          </cell>
          <cell r="AL3206" t="str">
            <v>1-0019-福雄&gt;寄&gt;附發票&gt;附回郵</v>
          </cell>
          <cell r="AM3206" t="str">
            <v>1-0019</v>
          </cell>
        </row>
        <row r="3207">
          <cell r="AK3207" t="str">
            <v>KLA-8593</v>
          </cell>
          <cell r="AL3207" t="str">
            <v>1-0608-聯倉&gt;寄&gt;附發票&gt;附回郵</v>
          </cell>
          <cell r="AM3207" t="str">
            <v>1-0608</v>
          </cell>
        </row>
        <row r="3208">
          <cell r="AK3208" t="str">
            <v>板51-PR</v>
          </cell>
          <cell r="AL3208" t="str">
            <v>1-0608-聯倉&gt;寄&gt;附發票&gt;附回郵</v>
          </cell>
          <cell r="AM3208" t="str">
            <v>1-0608</v>
          </cell>
        </row>
        <row r="3209">
          <cell r="AK3209" t="str">
            <v>KLB-5678</v>
          </cell>
          <cell r="AL3209" t="str">
            <v>1-0882-峻泰汽車&gt;峻榮交通&gt;禎翊汽車&gt;寄&gt;附回郵</v>
          </cell>
          <cell r="AM3209" t="str">
            <v>1-0882</v>
          </cell>
        </row>
        <row r="3210">
          <cell r="AK3210" t="str">
            <v>KLB-5996</v>
          </cell>
          <cell r="AL3210" t="str">
            <v>1-0882-峻泰汽車&gt;峻榮交通&gt;禎翊汽車&gt;寄&gt;附回郵</v>
          </cell>
          <cell r="AM3210" t="str">
            <v>1-0882</v>
          </cell>
        </row>
        <row r="3211">
          <cell r="AK3211" t="str">
            <v>977-ZU</v>
          </cell>
          <cell r="AL3211" t="str">
            <v>1-0882-峻泰汽車&gt;峻榮交通&gt;禎翊汽車&gt;寄&gt;附回郵</v>
          </cell>
          <cell r="AM3211" t="str">
            <v>1-0882</v>
          </cell>
        </row>
        <row r="3212">
          <cell r="AK3212" t="str">
            <v>KED-2073</v>
          </cell>
          <cell r="AL3212" t="str">
            <v>1-0902-詠吉&gt;國鉅&gt;寄&gt;附發票&gt;附回郵</v>
          </cell>
          <cell r="AM3212" t="str">
            <v>1-0902</v>
          </cell>
        </row>
        <row r="3213">
          <cell r="AK3213" t="str">
            <v>946-ZX</v>
          </cell>
          <cell r="AL3213" t="str">
            <v>1-0882-峻泰汽車&gt;峻榮交通&gt;禎翊汽車&gt;寄&gt;附回郵</v>
          </cell>
          <cell r="AM3213" t="str">
            <v>1-0882</v>
          </cell>
        </row>
        <row r="3214">
          <cell r="AK3214" t="str">
            <v>470-X7</v>
          </cell>
          <cell r="AL3214" t="str">
            <v>1-0882-峻泰汽車&gt;峻榮交通&gt;禎翊汽車&gt;寄&gt;附回郵</v>
          </cell>
          <cell r="AM3214" t="str">
            <v>1-0882</v>
          </cell>
        </row>
        <row r="3215">
          <cell r="AK3215" t="str">
            <v>KEE-6633</v>
          </cell>
          <cell r="AL3215" t="str">
            <v>1-0882-峻泰汽車&gt;峻榮交通&gt;禎翊汽車&gt;寄&gt;附回郵</v>
          </cell>
          <cell r="AM3215" t="str">
            <v>1-0882</v>
          </cell>
        </row>
        <row r="3216">
          <cell r="AK3216" t="str">
            <v>8856-GM</v>
          </cell>
          <cell r="AL3216" t="str">
            <v>1-0882-峻泰汽車&gt;峻榮交通&gt;禎翊汽車&gt;寄&gt;附回郵</v>
          </cell>
          <cell r="AM3216" t="str">
            <v>1-0882</v>
          </cell>
        </row>
        <row r="3217">
          <cell r="AK3217" t="str">
            <v>521-X2</v>
          </cell>
          <cell r="AL3217" t="str">
            <v>1-0882-峻泰汽車&gt;峻榮交通&gt;禎翊汽車&gt;寄&gt;附回郵</v>
          </cell>
          <cell r="AM3217" t="str">
            <v>1-0882</v>
          </cell>
        </row>
        <row r="3218">
          <cell r="AK3218" t="str">
            <v>KEG-6565</v>
          </cell>
          <cell r="AL3218" t="str">
            <v>1-0031-上和&gt;寄&gt;附發票&gt;附回郵</v>
          </cell>
          <cell r="AM3218" t="str">
            <v>1-0031</v>
          </cell>
        </row>
        <row r="3219">
          <cell r="AK3219" t="str">
            <v>KEG-6110</v>
          </cell>
          <cell r="AL3219" t="str">
            <v>1-0811-(2/2)宜群企業&gt;寄&gt;附發票&gt;附回郵</v>
          </cell>
          <cell r="AM3219" t="str">
            <v>1-0811</v>
          </cell>
        </row>
        <row r="3220">
          <cell r="AK3220" t="str">
            <v>3688-S6</v>
          </cell>
          <cell r="AL3220" t="str">
            <v>1-0211-嘉勤紙業&gt;寄&gt;附發票&gt;附回郵</v>
          </cell>
          <cell r="AM3220" t="str">
            <v>1-0211</v>
          </cell>
        </row>
        <row r="3221">
          <cell r="AK3221" t="str">
            <v>BBA-3753</v>
          </cell>
          <cell r="AL3221" t="str">
            <v>1-0211-嘉勤紙業&gt;寄&gt;附發票&gt;附回郵</v>
          </cell>
          <cell r="AM3221" t="str">
            <v>1-0211</v>
          </cell>
        </row>
        <row r="3222">
          <cell r="AK3222" t="str">
            <v>KLF-0659</v>
          </cell>
          <cell r="AL3222" t="str">
            <v>1-0844-日中&gt;自結&gt;</v>
          </cell>
          <cell r="AM3222" t="str">
            <v>1-0844</v>
          </cell>
        </row>
        <row r="3223">
          <cell r="AK3223" t="str">
            <v>2F-8177</v>
          </cell>
          <cell r="AL3223" t="str">
            <v>1-0789-品源車業&gt;寄&gt;附回郵</v>
          </cell>
          <cell r="AM3223" t="str">
            <v>1-0789</v>
          </cell>
        </row>
        <row r="3224">
          <cell r="AK3224" t="str">
            <v>516-JD</v>
          </cell>
          <cell r="AL3224" t="str">
            <v>1-0496-啟德&gt;寄&gt;附發票&gt;附回郵</v>
          </cell>
          <cell r="AM3224" t="str">
            <v>1-0496</v>
          </cell>
        </row>
        <row r="3225">
          <cell r="AK3225" t="str">
            <v>BCR-2070</v>
          </cell>
          <cell r="AL3225" t="str">
            <v>1-0624-聖麒工程&gt;閎元&gt;永金&gt;寄&gt;附回郵&gt;現金價</v>
          </cell>
          <cell r="AM3225" t="str">
            <v>1-0624</v>
          </cell>
        </row>
        <row r="3226">
          <cell r="AK3226" t="str">
            <v>KLF-0661</v>
          </cell>
          <cell r="AL3226" t="str">
            <v>1-0844-日中&gt;自結&gt;</v>
          </cell>
          <cell r="AM3226" t="str">
            <v>1-0844</v>
          </cell>
        </row>
        <row r="3227">
          <cell r="AK3227" t="str">
            <v>KLF-0660</v>
          </cell>
          <cell r="AL3227" t="str">
            <v>1-0844-日中&gt;自結&gt;</v>
          </cell>
          <cell r="AM3227" t="str">
            <v>1-0844</v>
          </cell>
        </row>
        <row r="3228">
          <cell r="AK3228" t="str">
            <v>KLF-0707</v>
          </cell>
          <cell r="AL3228" t="str">
            <v>1-0844-日中&gt;自結&gt;</v>
          </cell>
          <cell r="AM3228" t="str">
            <v>1-0844</v>
          </cell>
        </row>
        <row r="3229">
          <cell r="AK3229" t="str">
            <v>板33</v>
          </cell>
          <cell r="AL3229" t="str">
            <v>1-0607-(2/2)瑋鎰&gt;寄&gt;附發票&gt;附回郵</v>
          </cell>
          <cell r="AM3229" t="str">
            <v>1-0607</v>
          </cell>
        </row>
        <row r="3230">
          <cell r="AK3230" t="str">
            <v>板69-RN</v>
          </cell>
          <cell r="AL3230" t="str">
            <v>1-0546-慈揚&gt;賴進烈&gt;寄&gt;1個月15號匯款</v>
          </cell>
          <cell r="AM3230" t="str">
            <v>1-0546</v>
          </cell>
        </row>
        <row r="3231">
          <cell r="AK3231" t="str">
            <v>868-W7</v>
          </cell>
          <cell r="AL3231" t="str">
            <v>1-0844-日中&gt;自結&gt;</v>
          </cell>
          <cell r="AM3231" t="str">
            <v>1-0844</v>
          </cell>
        </row>
        <row r="3232">
          <cell r="AK3232" t="str">
            <v>KEG-9002</v>
          </cell>
          <cell r="AL3232" t="str">
            <v>1-0623-卓蘭許秋田&gt;溪底田&gt;語恩企業社&gt;寄&gt;親收</v>
          </cell>
          <cell r="AM3232" t="str">
            <v>1-0623</v>
          </cell>
        </row>
        <row r="3233">
          <cell r="AK3233" t="str">
            <v>887-5A</v>
          </cell>
          <cell r="AL3233" t="str">
            <v>1-0162-鎰利&gt;鎰金&gt;鎰加&gt;寄&gt;附發票&gt;2個月匯款</v>
          </cell>
          <cell r="AM3233" t="str">
            <v>1-0162</v>
          </cell>
        </row>
        <row r="3234">
          <cell r="AK3234" t="str">
            <v>898-5A</v>
          </cell>
          <cell r="AL3234" t="str">
            <v>1-0162-鎰利&gt;鎰金&gt;鎰加&gt;寄&gt;附發票&gt;2個月匯款</v>
          </cell>
          <cell r="AM3234" t="str">
            <v>1-0162</v>
          </cell>
        </row>
        <row r="3235">
          <cell r="AK3235" t="str">
            <v>068-Q8</v>
          </cell>
          <cell r="AL3235" t="str">
            <v>1-0658-順同&gt;尚泰行.弘舜&gt;寄&gt;附發票&gt;附回郵</v>
          </cell>
          <cell r="AM3235" t="str">
            <v>1-0658</v>
          </cell>
        </row>
        <row r="3236">
          <cell r="AK3236" t="str">
            <v>7160-KX</v>
          </cell>
          <cell r="AL3236" t="str">
            <v>1-0060-源鴻&gt;寄&gt;親收</v>
          </cell>
          <cell r="AM3236" t="str">
            <v>1-0060</v>
          </cell>
        </row>
        <row r="3237">
          <cell r="AK3237" t="str">
            <v>APC-1860</v>
          </cell>
          <cell r="AL3237" t="str">
            <v>1-0589-汯宸&gt;寄&gt;附發票&gt;一個月匯款</v>
          </cell>
          <cell r="AM3237" t="str">
            <v>1-0589</v>
          </cell>
        </row>
        <row r="3238">
          <cell r="AK3238" t="str">
            <v>281-WZ</v>
          </cell>
          <cell r="AL3238" t="str">
            <v>1-0164-元慶&gt;寄&gt;附發票&gt;附回郵</v>
          </cell>
          <cell r="AM3238" t="str">
            <v>1-0164</v>
          </cell>
        </row>
        <row r="3239">
          <cell r="AK3239" t="str">
            <v>KLD-3592</v>
          </cell>
          <cell r="AL3239" t="str">
            <v>1-0606-(1/2)冠德&gt;寄&gt;附發票&gt;附回郵</v>
          </cell>
          <cell r="AM3239" t="str">
            <v>1-0606</v>
          </cell>
        </row>
        <row r="3240">
          <cell r="AK3240" t="str">
            <v>板16-ZK</v>
          </cell>
          <cell r="AL3240" t="str">
            <v>1-0701-串昌&gt;兑玖開發&gt;寄&gt;附發票&gt;附回郵</v>
          </cell>
          <cell r="AM3240" t="str">
            <v>1-0701</v>
          </cell>
        </row>
        <row r="3241">
          <cell r="AK3241" t="str">
            <v>2428-KF</v>
          </cell>
          <cell r="AL3241" t="str">
            <v>1-0886-鼎紘&gt;付現</v>
          </cell>
          <cell r="AM3241" t="str">
            <v>1-0886</v>
          </cell>
        </row>
        <row r="3242">
          <cell r="AK3242" t="str">
            <v>AUP-9333</v>
          </cell>
          <cell r="AL3242" t="str">
            <v>1-0886-鼎紘&gt;付現</v>
          </cell>
          <cell r="AM3242" t="str">
            <v>1-0886</v>
          </cell>
        </row>
        <row r="3243">
          <cell r="AK3243" t="str">
            <v>AUP-9860</v>
          </cell>
          <cell r="AL3243" t="str">
            <v>1-0886-鼎紘&gt;付現</v>
          </cell>
          <cell r="AM3243" t="str">
            <v>1-0886</v>
          </cell>
        </row>
        <row r="3244">
          <cell r="AK3244" t="str">
            <v>0778-U5</v>
          </cell>
          <cell r="AL3244" t="str">
            <v>1-0886-鼎紘&gt;付現</v>
          </cell>
          <cell r="AM3244" t="str">
            <v>1-0886</v>
          </cell>
        </row>
        <row r="3245">
          <cell r="AK3245" t="str">
            <v>ABR-3999</v>
          </cell>
          <cell r="AL3245" t="str">
            <v>1-0886-鼎紘&gt;付現</v>
          </cell>
          <cell r="AM3245" t="str">
            <v>1-0886</v>
          </cell>
        </row>
        <row r="3246">
          <cell r="AK3246" t="str">
            <v>AKN-5990</v>
          </cell>
          <cell r="AL3246" t="str">
            <v>1-0886-鼎紘&gt;付現</v>
          </cell>
          <cell r="AM3246" t="str">
            <v>1-0886</v>
          </cell>
        </row>
        <row r="3247">
          <cell r="AK3247" t="str">
            <v>ALQ-1022</v>
          </cell>
          <cell r="AL3247" t="str">
            <v>1-0886-鼎紘&gt;付現</v>
          </cell>
          <cell r="AM3247" t="str">
            <v>1-0886</v>
          </cell>
        </row>
        <row r="3248">
          <cell r="AK3248" t="str">
            <v>2200-D3</v>
          </cell>
          <cell r="AL3248" t="str">
            <v>1-0886-鼎紘&gt;付現</v>
          </cell>
          <cell r="AM3248" t="str">
            <v>1-0886</v>
          </cell>
        </row>
        <row r="3249">
          <cell r="AK3249" t="str">
            <v>APX-6702</v>
          </cell>
          <cell r="AL3249" t="str">
            <v>1-0386-唯辰行&gt;佳佳商行&gt;寄&gt;自結</v>
          </cell>
          <cell r="AM3249" t="str">
            <v>1-0386</v>
          </cell>
        </row>
        <row r="3250">
          <cell r="AK3250" t="str">
            <v>KLF-0678</v>
          </cell>
          <cell r="AL3250" t="str">
            <v>1-0844-日中&gt;自結&gt;</v>
          </cell>
          <cell r="AM3250" t="str">
            <v>1-0844</v>
          </cell>
        </row>
        <row r="3251">
          <cell r="AK3251" t="str">
            <v>KEG-6325</v>
          </cell>
          <cell r="AL3251" t="str">
            <v>1-0549-華品&gt;佳上&gt;冠仁&gt;寄&gt;附發票&gt;附回郵</v>
          </cell>
          <cell r="AM3251" t="str">
            <v>1-0549</v>
          </cell>
        </row>
        <row r="3252">
          <cell r="AK3252" t="str">
            <v>968-Q2</v>
          </cell>
          <cell r="AL3252" t="str">
            <v>1-0257-古肇魁＞阿奎伯&gt;利汯&gt;電&gt;自結</v>
          </cell>
          <cell r="AM3252" t="str">
            <v>1-0257</v>
          </cell>
        </row>
        <row r="3253">
          <cell r="AK3253" t="str">
            <v>066-S2</v>
          </cell>
          <cell r="AL3253" t="str">
            <v>1-0548-題陞&gt;寄&gt;附發票&gt;附回郵</v>
          </cell>
          <cell r="AM3253" t="str">
            <v>1-0548</v>
          </cell>
        </row>
        <row r="3254">
          <cell r="AK3254" t="str">
            <v>AKK-2953</v>
          </cell>
          <cell r="AL3254" t="str">
            <v>1-0499-弘隆&gt;寄&gt;附回郵</v>
          </cell>
          <cell r="AM3254" t="str">
            <v>1-0499</v>
          </cell>
        </row>
        <row r="3255">
          <cell r="AK3255" t="str">
            <v>LAG-776</v>
          </cell>
          <cell r="AL3255" t="str">
            <v>1-0657-統順&gt;寄&gt;附發票&gt;附回郵</v>
          </cell>
          <cell r="AM3255" t="str">
            <v>1-0657</v>
          </cell>
        </row>
        <row r="3256">
          <cell r="AK3256" t="str">
            <v>KLE-2953</v>
          </cell>
          <cell r="AL3256" t="str">
            <v>1-0022-台新&gt;寄&gt;附發票&gt;兩個月25號匯款</v>
          </cell>
          <cell r="AM3256" t="str">
            <v>1-0022</v>
          </cell>
        </row>
        <row r="3257">
          <cell r="AK3257" t="str">
            <v>KEA-9162</v>
          </cell>
          <cell r="AL3257" t="str">
            <v>1-0080-百巢&gt;寄&gt;附發票&gt;附回郵</v>
          </cell>
          <cell r="AM3257" t="str">
            <v>1-0080</v>
          </cell>
        </row>
        <row r="3258">
          <cell r="AK3258" t="str">
            <v>板76-QD</v>
          </cell>
          <cell r="AL3258" t="str">
            <v>1-0706-(2/3)福民&gt;寄&gt;附發票&gt;附回郵</v>
          </cell>
          <cell r="AM3258" t="str">
            <v>1-0706</v>
          </cell>
        </row>
        <row r="3259">
          <cell r="AK3259" t="str">
            <v>KLF-0777</v>
          </cell>
          <cell r="AL3259" t="str">
            <v>1-0844-日中&gt;自結&gt;</v>
          </cell>
          <cell r="AM3259" t="str">
            <v>1-0844</v>
          </cell>
        </row>
        <row r="3260">
          <cell r="AK3260" t="str">
            <v>805-M7</v>
          </cell>
          <cell r="AL3260" t="str">
            <v>1-0540-聯興&gt;葉秀禮&gt;寄平信&gt;自結</v>
          </cell>
          <cell r="AM3260" t="str">
            <v>1-0540</v>
          </cell>
        </row>
        <row r="3261">
          <cell r="AK3261" t="str">
            <v>176-X5</v>
          </cell>
          <cell r="AL3261" t="str">
            <v>1-0705-(1/3)福瑞&gt;寄&gt;附發票&gt;附回郵</v>
          </cell>
          <cell r="AM3261" t="str">
            <v>1-0705</v>
          </cell>
        </row>
        <row r="3262">
          <cell r="AK3262" t="str">
            <v>KLF-1837</v>
          </cell>
          <cell r="AL3262" t="str">
            <v>1-0706-(2/3)福民&gt;寄&gt;附發票&gt;附回郵</v>
          </cell>
          <cell r="AM3262" t="str">
            <v>1-0706</v>
          </cell>
        </row>
        <row r="3263">
          <cell r="AK3263" t="str">
            <v>KLF-1607</v>
          </cell>
          <cell r="AL3263" t="str">
            <v>1-0707-(3/3)福麗&gt;寄&gt;附發票&gt;附回郵</v>
          </cell>
          <cell r="AM3263" t="str">
            <v>1-0707</v>
          </cell>
        </row>
        <row r="3264">
          <cell r="AK3264" t="str">
            <v>KLF-1773</v>
          </cell>
          <cell r="AL3264" t="str">
            <v>1-0707-(3/3)福麗&gt;寄&gt;附發票&gt;附回郵</v>
          </cell>
          <cell r="AM3264" t="str">
            <v>1-0707</v>
          </cell>
        </row>
        <row r="3265">
          <cell r="AK3265" t="str">
            <v>板HBA-9518</v>
          </cell>
          <cell r="AL3265" t="str">
            <v>1-0706-(2/3)福民&gt;寄&gt;附發票&gt;附回郵</v>
          </cell>
          <cell r="AM3265" t="str">
            <v>1-0706</v>
          </cell>
        </row>
        <row r="3266">
          <cell r="AK3266" t="str">
            <v>KLD-3808</v>
          </cell>
          <cell r="AL3266" t="str">
            <v>1-0859-捷發貨運&gt;寄&gt;附發票&gt;附回郵</v>
          </cell>
          <cell r="AM3266" t="str">
            <v>1-0859</v>
          </cell>
        </row>
        <row r="3267">
          <cell r="AK3267" t="str">
            <v>KLE-1298</v>
          </cell>
          <cell r="AL3267" t="str">
            <v>1-0859-捷發貨運&gt;寄&gt;附發票&gt;附回郵</v>
          </cell>
          <cell r="AM3267" t="str">
            <v>1-0859</v>
          </cell>
        </row>
        <row r="3268">
          <cell r="AK3268" t="str">
            <v>KLF-0857</v>
          </cell>
          <cell r="AL3268" t="str">
            <v>1-0844-日中&gt;自結&gt;</v>
          </cell>
          <cell r="AM3268" t="str">
            <v>1-0844</v>
          </cell>
        </row>
        <row r="3269">
          <cell r="AK3269" t="str">
            <v>AAB-680</v>
          </cell>
          <cell r="AL3269" t="str">
            <v>1-0856-發彩環保&gt;弘力&gt;寄&gt;附發票&gt;附回郵</v>
          </cell>
          <cell r="AM3269" t="str">
            <v>1-0856</v>
          </cell>
        </row>
        <row r="3270">
          <cell r="AK3270" t="str">
            <v>AXN-5172</v>
          </cell>
          <cell r="AL3270" t="str">
            <v>1-0904-全順環保有限公司(養豬)&gt;寄&gt;附發票&gt;匯款</v>
          </cell>
          <cell r="AM3270" t="str">
            <v>1-0904</v>
          </cell>
        </row>
        <row r="3271">
          <cell r="AK3271" t="str">
            <v>713-UW</v>
          </cell>
          <cell r="AL3271" t="str">
            <v>1-0904-全順環保有限公司(養豬)&gt;寄&gt;附發票&gt;匯款</v>
          </cell>
          <cell r="AM3271" t="str">
            <v>1-0904</v>
          </cell>
        </row>
        <row r="3272">
          <cell r="AK3272" t="str">
            <v>M7-2769</v>
          </cell>
          <cell r="AL3272" t="str">
            <v>1-0904-全順環保有限公司(養豬)&gt;寄&gt;附發票&gt;匯款</v>
          </cell>
          <cell r="AM3272" t="str">
            <v>1-0904</v>
          </cell>
        </row>
        <row r="3273">
          <cell r="AK3273" t="str">
            <v>KLA-9676</v>
          </cell>
          <cell r="AL3273" t="str">
            <v>1-0905-黃耀祖&gt;恆誼化工&gt;嘉盛&gt;志鈞&gt;寄&gt;附回郵</v>
          </cell>
          <cell r="AM3273" t="str">
            <v>1-0905</v>
          </cell>
        </row>
        <row r="3274">
          <cell r="AK3274" t="str">
            <v>KLF-0325</v>
          </cell>
          <cell r="AL3274" t="str">
            <v>1-0022-台新&gt;寄&gt;附發票&gt;兩個月25號匯款</v>
          </cell>
          <cell r="AM3274" t="str">
            <v>1-0022</v>
          </cell>
        </row>
        <row r="3275">
          <cell r="AK3275" t="str">
            <v>KEE-9128</v>
          </cell>
          <cell r="AL3275" t="str">
            <v>1-0352-永裕豐&gt;松江&gt;寄&gt;附回郵</v>
          </cell>
          <cell r="AM3275" t="str">
            <v>1-0352</v>
          </cell>
        </row>
        <row r="3276">
          <cell r="AK3276" t="str">
            <v>板26</v>
          </cell>
          <cell r="AL3276" t="str">
            <v>1-0607-(2/2)瑋鎰&gt;寄&gt;附發票&gt;附回郵</v>
          </cell>
          <cell r="AM3276" t="str">
            <v>1-0607</v>
          </cell>
        </row>
        <row r="3277">
          <cell r="AK3277" t="str">
            <v>KLF-0770</v>
          </cell>
          <cell r="AL3277" t="str">
            <v>1-0844-日中&gt;自結&gt;</v>
          </cell>
          <cell r="AM3277" t="str">
            <v>1-0844</v>
          </cell>
        </row>
        <row r="3278">
          <cell r="AK3278" t="str">
            <v>187-Q2</v>
          </cell>
          <cell r="AL3278" t="str">
            <v>1-0906-宏星環保&gt;電&gt;自結</v>
          </cell>
          <cell r="AM3278" t="str">
            <v>1-0906</v>
          </cell>
        </row>
        <row r="3279">
          <cell r="AK3279" t="str">
            <v>KLE-2088</v>
          </cell>
          <cell r="AL3279" t="str">
            <v>1-0766-聯鑫通運&gt;銘鑫物流&gt;聯準企業社&gt;謝惠錦&gt;寄&gt;附發票&gt;附回郵</v>
          </cell>
          <cell r="AM3279" t="str">
            <v>1-0766</v>
          </cell>
        </row>
        <row r="3280">
          <cell r="AK3280" t="str">
            <v>KEA-9176</v>
          </cell>
          <cell r="AL3280" t="str">
            <v>1-0031-上和&gt;寄&gt;附發票&gt;附回郵</v>
          </cell>
          <cell r="AM3280" t="str">
            <v>1-0031</v>
          </cell>
        </row>
        <row r="3281">
          <cell r="AK3281" t="str">
            <v>KEF-0857</v>
          </cell>
          <cell r="AL3281" t="str">
            <v>1-0844-日中&gt;自結&gt;</v>
          </cell>
          <cell r="AM3281" t="str">
            <v>1-0844</v>
          </cell>
        </row>
        <row r="3282">
          <cell r="AK3282" t="str">
            <v>板12-K9</v>
          </cell>
          <cell r="AL3282" t="str">
            <v>1-0399-銘旺&gt;寄&gt;附發票&gt;附回郵</v>
          </cell>
          <cell r="AM3282" t="str">
            <v>1-0399</v>
          </cell>
        </row>
        <row r="3283">
          <cell r="AK3283" t="str">
            <v>KLE-6028</v>
          </cell>
          <cell r="AL3283" t="str">
            <v>1-0736-盛鋐開發&gt;旺佶&gt;寄&gt;附發票&gt;1個月匯款</v>
          </cell>
          <cell r="AM3283" t="str">
            <v>1-0736</v>
          </cell>
        </row>
        <row r="3284">
          <cell r="AK3284" t="str">
            <v>QU-996</v>
          </cell>
          <cell r="AL3284" t="str">
            <v>1-0766-聯鑫通運&gt;銘鑫物流&gt;聯準企業社&gt;謝惠錦&gt;寄&gt;附發票&gt;附回郵</v>
          </cell>
          <cell r="AM3284" t="str">
            <v>1-0766</v>
          </cell>
        </row>
        <row r="3285">
          <cell r="AK3285" t="str">
            <v>697-W9</v>
          </cell>
          <cell r="AL3285" t="str">
            <v>1-0766-聯鑫通運&gt;銘鑫物流&gt;聯準企業社&gt;謝惠錦&gt;寄&gt;附發票&gt;附回郵</v>
          </cell>
          <cell r="AM3285" t="str">
            <v>1-0766</v>
          </cell>
        </row>
        <row r="3286">
          <cell r="AK3286" t="str">
            <v>161-R2</v>
          </cell>
          <cell r="AL3286" t="str">
            <v>1-0766-聯鑫通運&gt;銘鑫物流&gt;聯準企業社&gt;謝惠錦&gt;寄&gt;附發票&gt;附回郵</v>
          </cell>
          <cell r="AM3286" t="str">
            <v>1-0766</v>
          </cell>
        </row>
        <row r="3287">
          <cell r="AK3287" t="str">
            <v>CX-R36</v>
          </cell>
          <cell r="AL3287" t="str">
            <v>1-0766-聯鑫通運&gt;銘鑫物流&gt;聯準企業社&gt;謝惠錦&gt;寄&gt;附發票&gt;附回郵</v>
          </cell>
          <cell r="AM3287" t="str">
            <v>1-0766</v>
          </cell>
        </row>
        <row r="3288">
          <cell r="AK3288" t="str">
            <v>KLA-8378</v>
          </cell>
          <cell r="AL3288" t="str">
            <v>1-0766-聯鑫通運&gt;銘鑫物流&gt;聯準企業社&gt;謝惠錦&gt;寄&gt;附發票&gt;附回郵</v>
          </cell>
          <cell r="AM3288" t="str">
            <v>1-0766</v>
          </cell>
        </row>
        <row r="3289">
          <cell r="AK3289" t="str">
            <v>598-ZU</v>
          </cell>
          <cell r="AL3289" t="str">
            <v>1-0766-聯鑫通運&gt;銘鑫物流&gt;聯準企業社&gt;謝惠錦&gt;寄&gt;附發票&gt;附回郵</v>
          </cell>
          <cell r="AM3289" t="str">
            <v>1-0766</v>
          </cell>
        </row>
        <row r="3290">
          <cell r="AK3290" t="str">
            <v>LAF-583</v>
          </cell>
          <cell r="AL3290" t="str">
            <v>1-0766-聯鑫通運&gt;銘鑫物流&gt;聯準企業社&gt;謝惠錦&gt;寄&gt;附發票&gt;附回郵</v>
          </cell>
          <cell r="AM3290" t="str">
            <v>1-0766</v>
          </cell>
        </row>
        <row r="3291">
          <cell r="AK3291" t="str">
            <v>KLE-2168</v>
          </cell>
          <cell r="AL3291" t="str">
            <v>1-0766-聯鑫通運&gt;銘鑫物流&gt;聯準企業社&gt;謝惠錦&gt;寄&gt;附發票&gt;附回郵</v>
          </cell>
          <cell r="AM3291" t="str">
            <v>1-0766</v>
          </cell>
        </row>
        <row r="3292">
          <cell r="AK3292" t="str">
            <v>KLE-2169</v>
          </cell>
          <cell r="AL3292" t="str">
            <v>1-0766-聯鑫通運&gt;銘鑫物流&gt;聯準企業社&gt;謝惠錦&gt;寄&gt;附發票&gt;附回郵</v>
          </cell>
          <cell r="AM3292" t="str">
            <v>1-0766</v>
          </cell>
        </row>
        <row r="3293">
          <cell r="AK3293" t="str">
            <v>KLE-2228</v>
          </cell>
          <cell r="AL3293" t="str">
            <v>1-0766-聯鑫通運&gt;銘鑫物流&gt;聯準企業社&gt;謝惠錦&gt;寄&gt;附發票&gt;附回郵</v>
          </cell>
          <cell r="AM3293" t="str">
            <v>1-0766</v>
          </cell>
        </row>
        <row r="3294">
          <cell r="AK3294" t="str">
            <v>KLE-2229</v>
          </cell>
          <cell r="AL3294" t="str">
            <v>1-0766-聯鑫通運&gt;銘鑫物流&gt;聯準企業社&gt;謝惠錦&gt;寄&gt;附發票&gt;附回郵</v>
          </cell>
          <cell r="AM3294" t="str">
            <v>1-0766</v>
          </cell>
        </row>
        <row r="3295">
          <cell r="AK3295" t="str">
            <v>712-W9</v>
          </cell>
          <cell r="AL3295" t="str">
            <v>1-0766-聯鑫通運&gt;銘鑫物流&gt;聯準企業社&gt;謝惠錦&gt;寄&gt;附發票&gt;附回郵</v>
          </cell>
          <cell r="AM3295" t="str">
            <v>1-0766</v>
          </cell>
        </row>
        <row r="3296">
          <cell r="AK3296" t="str">
            <v>122-GR</v>
          </cell>
          <cell r="AL3296" t="str">
            <v>1-0766-聯鑫通運&gt;銘鑫物流&gt;聯準企業社&gt;謝惠錦&gt;寄&gt;附發票&gt;附回郵</v>
          </cell>
          <cell r="AM3296" t="str">
            <v>1-0766</v>
          </cell>
        </row>
        <row r="3297">
          <cell r="AK3297" t="str">
            <v>HN-229</v>
          </cell>
          <cell r="AL3297" t="str">
            <v>1-0766-聯鑫通運&gt;銘鑫物流&gt;聯準企業社&gt;謝惠錦&gt;寄&gt;附發票&gt;附回郵</v>
          </cell>
          <cell r="AM3297" t="str">
            <v>1-0766</v>
          </cell>
        </row>
        <row r="3298">
          <cell r="AK3298" t="str">
            <v>262-3B</v>
          </cell>
          <cell r="AL3298" t="str">
            <v>1-0766-聯鑫通運&gt;銘鑫物流&gt;聯準企業社&gt;謝惠錦&gt;寄&gt;附發票&gt;附回郵</v>
          </cell>
          <cell r="AM3298" t="str">
            <v>1-0766</v>
          </cell>
        </row>
        <row r="3299">
          <cell r="AK3299" t="str">
            <v>220-3B</v>
          </cell>
          <cell r="AL3299" t="str">
            <v>1-0766-聯鑫通運&gt;銘鑫物流&gt;聯準企業社&gt;謝惠錦&gt;寄&gt;附發票&gt;附回郵</v>
          </cell>
          <cell r="AM3299" t="str">
            <v>1-0766</v>
          </cell>
        </row>
        <row r="3300">
          <cell r="AK3300" t="str">
            <v>221-3B</v>
          </cell>
          <cell r="AL3300" t="str">
            <v>1-0766-聯鑫通運&gt;銘鑫物流&gt;聯準企業社&gt;謝惠錦&gt;寄&gt;附發票&gt;附回郵</v>
          </cell>
          <cell r="AM3300" t="str">
            <v>1-0766</v>
          </cell>
        </row>
        <row r="3301">
          <cell r="AK3301" t="str">
            <v>260-3B</v>
          </cell>
          <cell r="AL3301" t="str">
            <v>1-0766-聯鑫通運&gt;銘鑫物流&gt;聯準企業社&gt;謝惠錦&gt;寄&gt;附發票&gt;附回郵</v>
          </cell>
          <cell r="AM3301" t="str">
            <v>1-0766</v>
          </cell>
        </row>
        <row r="3302">
          <cell r="AK3302" t="str">
            <v>AMY-5926</v>
          </cell>
          <cell r="AL3302" t="str">
            <v>1-0766-聯鑫通運&gt;銘鑫物流&gt;聯準企業社&gt;謝惠錦&gt;寄&gt;附發票&gt;附回郵</v>
          </cell>
          <cell r="AM3302" t="str">
            <v>1-0766</v>
          </cell>
        </row>
        <row r="3303">
          <cell r="AK3303" t="str">
            <v>KLD-3688</v>
          </cell>
          <cell r="AL3303" t="str">
            <v>1-0891-陳朝正&gt;志鈞&gt;寄&gt;自結</v>
          </cell>
          <cell r="AM3303" t="str">
            <v>1-0891</v>
          </cell>
        </row>
        <row r="3304">
          <cell r="AK3304" t="str">
            <v>AAH-162</v>
          </cell>
          <cell r="AL3304" t="str">
            <v>1-0029-聖統環保</v>
          </cell>
          <cell r="AM3304" t="str">
            <v>1-0029</v>
          </cell>
        </row>
        <row r="3305">
          <cell r="AK3305" t="str">
            <v>KLE-0659</v>
          </cell>
          <cell r="AL3305" t="str">
            <v>1-0844-日中&gt;自結&gt;</v>
          </cell>
          <cell r="AM3305" t="str">
            <v>1-0844</v>
          </cell>
        </row>
        <row r="3306">
          <cell r="AK3306" t="str">
            <v>AAJ-999</v>
          </cell>
          <cell r="AL3306" t="str">
            <v>1-0863-久正企業社&gt;南成&gt;寄&gt;自結</v>
          </cell>
          <cell r="AM3306" t="str">
            <v>1-0863</v>
          </cell>
        </row>
        <row r="3307">
          <cell r="AK3307" t="str">
            <v>KEG-6507</v>
          </cell>
          <cell r="AL3307" t="str">
            <v>1-0549-華品&gt;佳上&gt;冠仁&gt;寄&gt;附發票&gt;附回郵</v>
          </cell>
          <cell r="AM3307" t="str">
            <v>1-0549</v>
          </cell>
        </row>
        <row r="3308">
          <cell r="AK3308" t="str">
            <v>KLF-0851</v>
          </cell>
          <cell r="AL3308" t="str">
            <v>1-0844-日中&gt;自結&gt;</v>
          </cell>
          <cell r="AM3308" t="str">
            <v>1-0844</v>
          </cell>
        </row>
        <row r="3309">
          <cell r="AK3309" t="str">
            <v>896-5A</v>
          </cell>
          <cell r="AL3309" t="str">
            <v>1-0162-鎰利&gt;鎰金&gt;鎰加&gt;寄&gt;附發票&gt;2個月匯款</v>
          </cell>
          <cell r="AM3309" t="str">
            <v>1-0162</v>
          </cell>
        </row>
        <row r="3310">
          <cell r="AK3310" t="str">
            <v>BEW-0956</v>
          </cell>
          <cell r="AL3310" t="str">
            <v>1-0001-全佑</v>
          </cell>
          <cell r="AM3310" t="str">
            <v>1-0001</v>
          </cell>
        </row>
        <row r="3311">
          <cell r="AK3311" t="str">
            <v>927-5A</v>
          </cell>
          <cell r="AL3311" t="str">
            <v>1-0373-三詠&gt;源松&gt;華都&gt;寄&gt;自結</v>
          </cell>
          <cell r="AM3311" t="str">
            <v>1-0373</v>
          </cell>
        </row>
        <row r="3312">
          <cell r="AK3312" t="str">
            <v>L12-0.9-3</v>
          </cell>
          <cell r="AL3312" t="str">
            <v>1-0162-鎰利&gt;鎰金&gt;鎰加&gt;寄&gt;附發票&gt;2個月匯款</v>
          </cell>
          <cell r="AM3312" t="str">
            <v>1-0162</v>
          </cell>
        </row>
        <row r="3313">
          <cell r="AK3313" t="str">
            <v>板63-Z8</v>
          </cell>
          <cell r="AL3313" t="str">
            <v>1-0549-華品&gt;佳上&gt;冠仁&gt;寄&gt;附發票&gt;附回郵</v>
          </cell>
          <cell r="AM3313" t="str">
            <v>1-0549</v>
          </cell>
        </row>
        <row r="3314">
          <cell r="AK3314" t="str">
            <v>板AA-910</v>
          </cell>
          <cell r="AL3314" t="str">
            <v>1-0549-華品&gt;佳上&gt;冠仁&gt;寄&gt;附發票&gt;附回郵</v>
          </cell>
          <cell r="AM3314" t="str">
            <v>1-0549</v>
          </cell>
        </row>
        <row r="3315">
          <cell r="AK3315" t="str">
            <v>KLC-2199</v>
          </cell>
          <cell r="AL3315" t="str">
            <v>1-0334-廣寶&gt;環亞&gt;正大&gt;寄&gt;附回郵&gt;1個月後匯款</v>
          </cell>
          <cell r="AM3315" t="str">
            <v>1-0334</v>
          </cell>
        </row>
        <row r="3316">
          <cell r="AK3316" t="str">
            <v>板AA-911</v>
          </cell>
          <cell r="AL3316" t="str">
            <v>1-0549-華品&gt;佳上&gt;冠仁&gt;寄&gt;附發票&gt;附回郵</v>
          </cell>
          <cell r="AM3316" t="str">
            <v>1-0549</v>
          </cell>
        </row>
        <row r="3317">
          <cell r="AK3317" t="str">
            <v>046-ZC</v>
          </cell>
          <cell r="AL3317" t="str">
            <v>1-0373-三詠&gt;源松&gt;華都&gt;寄&gt;自結</v>
          </cell>
          <cell r="AM3317" t="str">
            <v>1-0373</v>
          </cell>
        </row>
        <row r="3318">
          <cell r="AK3318" t="str">
            <v>AAH-281</v>
          </cell>
          <cell r="AL3318" t="str">
            <v>1-0804-峰宸&gt;豪新&gt;電&gt;自結(刷卡含稅)</v>
          </cell>
          <cell r="AM3318" t="str">
            <v>1-0804</v>
          </cell>
        </row>
        <row r="3319">
          <cell r="AK3319" t="str">
            <v>031-NN</v>
          </cell>
          <cell r="AL3319" t="str">
            <v>1-0446-全家福&gt;寄&gt;附發票&gt;二個月匯款</v>
          </cell>
          <cell r="AM3319" t="str">
            <v>1-0446</v>
          </cell>
        </row>
        <row r="3320">
          <cell r="AK3320" t="str">
            <v>993-KN</v>
          </cell>
          <cell r="AL3320" t="str">
            <v>1-0145-鄭光良&gt;寄&gt;自結</v>
          </cell>
          <cell r="AM3320" t="str">
            <v>1-0145</v>
          </cell>
        </row>
        <row r="3321">
          <cell r="AK3321" t="str">
            <v>296-RM</v>
          </cell>
          <cell r="AL3321" t="str">
            <v>1-0497-偉全&gt;現結&gt;附發票</v>
          </cell>
          <cell r="AM3321" t="str">
            <v>1-0497</v>
          </cell>
        </row>
        <row r="3322">
          <cell r="AK3322" t="str">
            <v>RBZ-2226</v>
          </cell>
          <cell r="AL3322" t="str">
            <v>1-0782-佳業&gt;尚煜&gt;自結</v>
          </cell>
          <cell r="AM3322" t="str">
            <v>1-0782</v>
          </cell>
        </row>
        <row r="3323">
          <cell r="AK3323" t="str">
            <v>KLC-6056</v>
          </cell>
          <cell r="AL3323" t="str">
            <v>1-0103-何文光&gt;鴻富&gt;電&gt;匯款</v>
          </cell>
          <cell r="AM3323" t="str">
            <v>1-0103</v>
          </cell>
        </row>
        <row r="3324">
          <cell r="AK3324" t="str">
            <v>KEG-6651</v>
          </cell>
          <cell r="AL3324" t="str">
            <v>1-0364-弘翔.東大&gt;寄&gt;附發票&gt;附回郵</v>
          </cell>
          <cell r="AM3324" t="str">
            <v>1-0364</v>
          </cell>
        </row>
        <row r="3325">
          <cell r="AK3325" t="str">
            <v>板28-YP</v>
          </cell>
          <cell r="AL3325" t="str">
            <v>1-0606-(1/2)冠德&gt;寄&gt;附發票&gt;附回郵</v>
          </cell>
          <cell r="AM3325" t="str">
            <v>1-0606</v>
          </cell>
        </row>
        <row r="3326">
          <cell r="AK3326" t="str">
            <v>KLF-8092</v>
          </cell>
          <cell r="AL3326" t="str">
            <v>1-0303-江正榮＞阿妙-永慶&gt;寄&gt;自結</v>
          </cell>
          <cell r="AM3326" t="str">
            <v>1-0303</v>
          </cell>
        </row>
        <row r="3327">
          <cell r="AK3327" t="str">
            <v>板L7-1.0-3</v>
          </cell>
          <cell r="AL3327" t="str">
            <v>1-0162-鎰利&gt;鎰金&gt;鎰加&gt;寄&gt;附發票&gt;2個月匯款</v>
          </cell>
          <cell r="AM3327" t="str">
            <v>1-0162</v>
          </cell>
        </row>
        <row r="3328">
          <cell r="AK3328" t="str">
            <v>KEC-2222</v>
          </cell>
          <cell r="AL3328" t="str">
            <v>1-0589-汯宸&gt;寄&gt;附發票&gt;一個月匯款</v>
          </cell>
          <cell r="AM3328" t="str">
            <v>1-0589</v>
          </cell>
        </row>
        <row r="3329">
          <cell r="AK3329" t="str">
            <v>板HAA-3226</v>
          </cell>
          <cell r="AL3329" t="str">
            <v>1-0589-汯宸&gt;寄&gt;附發票&gt;一個月匯款</v>
          </cell>
          <cell r="AM3329" t="str">
            <v>1-0589</v>
          </cell>
        </row>
        <row r="3330">
          <cell r="AK3330" t="str">
            <v>677-M5</v>
          </cell>
          <cell r="AL3330" t="str">
            <v>1-0232-鴻鑫&gt;寄&gt;附回郵</v>
          </cell>
          <cell r="AM3330" t="str">
            <v>1-0232</v>
          </cell>
        </row>
        <row r="3331">
          <cell r="AK3331" t="str">
            <v>板90-PV</v>
          </cell>
          <cell r="AL3331" t="str">
            <v>1-0496-啟德&gt;寄&gt;附發票&gt;附回郵</v>
          </cell>
          <cell r="AM3331" t="str">
            <v>1-0496</v>
          </cell>
        </row>
        <row r="3332">
          <cell r="AK3332" t="str">
            <v>板77-AS</v>
          </cell>
          <cell r="AL3332" t="str">
            <v>1-0496-啟德&gt;寄&gt;附發票&gt;附回郵</v>
          </cell>
          <cell r="AM3332" t="str">
            <v>1-0496</v>
          </cell>
        </row>
        <row r="3333">
          <cell r="AK3333" t="str">
            <v>板20-K9</v>
          </cell>
          <cell r="AL3333" t="str">
            <v>1-0496-啟德&gt;寄&gt;附發票&gt;附回郵</v>
          </cell>
          <cell r="AM3333" t="str">
            <v>1-0496</v>
          </cell>
        </row>
        <row r="3334">
          <cell r="AK3334" t="str">
            <v>板21-K9</v>
          </cell>
          <cell r="AL3334" t="str">
            <v>1-0496-啟德&gt;寄&gt;附發票&gt;附回郵</v>
          </cell>
          <cell r="AM3334" t="str">
            <v>1-0496</v>
          </cell>
        </row>
        <row r="3335">
          <cell r="AK3335" t="str">
            <v>093-X5</v>
          </cell>
          <cell r="AL3335" t="str">
            <v>1-0475-有勝&gt;寄&gt;附發票&gt;附回郵</v>
          </cell>
          <cell r="AM3335" t="str">
            <v>1-0475</v>
          </cell>
        </row>
        <row r="3336">
          <cell r="AK3336" t="str">
            <v>KLB-8563</v>
          </cell>
          <cell r="AL3336" t="str">
            <v>1-0798-興連貨運&gt;寄&gt;附發票&gt;1個月匯款</v>
          </cell>
          <cell r="AM3336" t="str">
            <v>1-0798</v>
          </cell>
        </row>
        <row r="3337">
          <cell r="AK3337" t="str">
            <v>3902-N5</v>
          </cell>
          <cell r="AL3337" t="str">
            <v>1-0694-永發&gt;寄&gt;附發票&gt;附回郵</v>
          </cell>
          <cell r="AM3337" t="str">
            <v>1-0694</v>
          </cell>
        </row>
        <row r="3338">
          <cell r="AK3338" t="str">
            <v>KEG-6660</v>
          </cell>
          <cell r="AL3338" t="str">
            <v>1-0549-華品&gt;佳上&gt;冠仁&gt;寄&gt;附發票&gt;附回郵</v>
          </cell>
          <cell r="AM3338" t="str">
            <v>1-0549</v>
          </cell>
        </row>
        <row r="3339">
          <cell r="AK3339" t="str">
            <v>060-Q8</v>
          </cell>
          <cell r="AL3339" t="str">
            <v>1-0658-順同&gt;尚泰行.弘舜&gt;寄&gt;附發票&gt;附回郵</v>
          </cell>
          <cell r="AM3339" t="str">
            <v>1-0658</v>
          </cell>
        </row>
        <row r="3340">
          <cell r="AK3340" t="str">
            <v>KEG-6279</v>
          </cell>
          <cell r="AL3340" t="str">
            <v>1-0492-佳能環保&gt;鳳屏&gt;新益慶&gt;寄&gt;附發票&gt;一個月匯款</v>
          </cell>
          <cell r="AM3340" t="str">
            <v>1-0492</v>
          </cell>
        </row>
        <row r="3341">
          <cell r="AK3341" t="str">
            <v>KLF-8090</v>
          </cell>
          <cell r="AL3341" t="str">
            <v>1-0280-呂世維(阿魯米)&gt;寄&gt;附回郵</v>
          </cell>
          <cell r="AM3341" t="str">
            <v>1-0280</v>
          </cell>
        </row>
        <row r="3342">
          <cell r="AK3342" t="str">
            <v>板82-ZK</v>
          </cell>
          <cell r="AL3342" t="str">
            <v>1-0031-上和&gt;寄&gt;附發票&gt;附回郵</v>
          </cell>
          <cell r="AM3342" t="str">
            <v>1-0031</v>
          </cell>
        </row>
        <row r="3343">
          <cell r="AK3343" t="str">
            <v>880-GP</v>
          </cell>
          <cell r="AL3343" t="str">
            <v>1-0546-慈揚&gt;賴進烈&gt;寄&gt;1個月15號匯款</v>
          </cell>
          <cell r="AM3343" t="str">
            <v>1-0546</v>
          </cell>
        </row>
        <row r="3344">
          <cell r="AK3344" t="str">
            <v>板22</v>
          </cell>
          <cell r="AL3344" t="str">
            <v>1-0607-(2/2)瑋鎰&gt;寄&gt;附發票&gt;附回郵</v>
          </cell>
          <cell r="AM3344" t="str">
            <v>1-0607</v>
          </cell>
        </row>
        <row r="3345">
          <cell r="AK3345" t="str">
            <v>KLE-3850</v>
          </cell>
          <cell r="AL3345" t="str">
            <v>1-0580-(1/2)捷盛&gt;寄&gt;附發票&gt;3個月匯款</v>
          </cell>
          <cell r="AM3345" t="str">
            <v>1-0580</v>
          </cell>
        </row>
        <row r="3346">
          <cell r="AK3346" t="str">
            <v>RW-916</v>
          </cell>
          <cell r="AL3346" t="str">
            <v>1-0879-鴻源企業&gt;寄平信&gt;附發票&gt;自結</v>
          </cell>
          <cell r="AM3346" t="str">
            <v>1-0879</v>
          </cell>
        </row>
        <row r="3347">
          <cell r="AK3347" t="str">
            <v>9972-L7</v>
          </cell>
          <cell r="AL3347" t="str">
            <v>1-0741-炎益行&gt;寄＞自結&gt;現金價</v>
          </cell>
          <cell r="AM3347" t="str">
            <v>1-0741</v>
          </cell>
        </row>
        <row r="3348">
          <cell r="AK3348" t="str">
            <v>3850-B6</v>
          </cell>
          <cell r="AL3348" t="str">
            <v>1-0022-台新&gt;寄&gt;附發票&gt;兩個月25號匯款</v>
          </cell>
          <cell r="AM3348" t="str">
            <v>1-0022</v>
          </cell>
        </row>
        <row r="3349">
          <cell r="AK3349" t="str">
            <v>板92-6H</v>
          </cell>
          <cell r="AL3349" t="str">
            <v>1-0589-汯宸&gt;寄&gt;附發票&gt;一個月匯款</v>
          </cell>
          <cell r="AM3349" t="str">
            <v>1-0589</v>
          </cell>
        </row>
        <row r="3350">
          <cell r="AK3350" t="str">
            <v>KLF-0338</v>
          </cell>
          <cell r="AL3350" t="str">
            <v>1-0260-曾士豪(兩斤)&gt;正欣&gt;寄&gt;匯款</v>
          </cell>
          <cell r="AM3350" t="str">
            <v>1-0260</v>
          </cell>
        </row>
        <row r="3351">
          <cell r="AK3351" t="str">
            <v>KEA-9572</v>
          </cell>
          <cell r="AL3351" t="str">
            <v>1-0502-光超建材&gt;寄&gt;附發票&gt;附回郵</v>
          </cell>
          <cell r="AM3351" t="str">
            <v>1-0502</v>
          </cell>
        </row>
        <row r="3352">
          <cell r="AK3352" t="str">
            <v>487-Y7</v>
          </cell>
          <cell r="AL3352" t="str">
            <v>1-0505-吉和&gt;三義消防隊&gt;寄&gt;附發票&gt;匯款</v>
          </cell>
          <cell r="AM3352" t="str">
            <v>1-0505</v>
          </cell>
        </row>
        <row r="3353">
          <cell r="AK3353" t="str">
            <v>586-X5</v>
          </cell>
          <cell r="AL3353" t="str">
            <v>1-0707-(3/3)福麗&gt;寄&gt;附發票&gt;附回郵</v>
          </cell>
          <cell r="AM3353" t="str">
            <v>1-0707</v>
          </cell>
        </row>
        <row r="3354">
          <cell r="AK3354" t="str">
            <v>906-W8</v>
          </cell>
          <cell r="AL3354" t="str">
            <v>1-0004-(1/3)長增&gt;寄&gt;附發票&gt;匯款&gt;現金價</v>
          </cell>
          <cell r="AM3354" t="str">
            <v>1-0004</v>
          </cell>
        </row>
        <row r="3355">
          <cell r="AK3355" t="str">
            <v>KEA-931</v>
          </cell>
          <cell r="AL3355" t="str">
            <v>1-0449-園區&gt;寄&gt;附發票&gt;附回郵</v>
          </cell>
          <cell r="AM3355" t="str">
            <v>1-0449</v>
          </cell>
        </row>
        <row r="3356">
          <cell r="AK3356" t="str">
            <v>0225-VW</v>
          </cell>
          <cell r="AL3356" t="str">
            <v>1-0056-寬輾&gt;寄&gt;附回郵(1/3)</v>
          </cell>
          <cell r="AM3356" t="str">
            <v>1-0056</v>
          </cell>
        </row>
        <row r="3357">
          <cell r="AK3357" t="str">
            <v>946-KN</v>
          </cell>
          <cell r="AL3357" t="str">
            <v>1-0798-興連貨運&gt;寄&gt;附發票&gt;1個月匯款</v>
          </cell>
          <cell r="AM3357" t="str">
            <v>1-0798</v>
          </cell>
        </row>
        <row r="3358">
          <cell r="AK3358" t="str">
            <v>KEG-5633</v>
          </cell>
          <cell r="AL3358" t="str">
            <v>1-0179-竤星企業社&gt;寄&gt;附發票&gt;自結&gt;勿電</v>
          </cell>
          <cell r="AM3358" t="str">
            <v>1-0179</v>
          </cell>
        </row>
        <row r="3359">
          <cell r="AK3359" t="str">
            <v>KEG-5631</v>
          </cell>
          <cell r="AL3359" t="str">
            <v>1-0179-竤星企業社&gt;寄&gt;附發票&gt;自結&gt;勿電</v>
          </cell>
          <cell r="AM3359" t="str">
            <v>1-0179</v>
          </cell>
        </row>
        <row r="3360">
          <cell r="AK3360" t="str">
            <v>KEG-5635</v>
          </cell>
          <cell r="AL3360" t="str">
            <v>1-0179-竤星企業社&gt;寄&gt;附發票&gt;自結&gt;勿電</v>
          </cell>
          <cell r="AM3360" t="str">
            <v>1-0179</v>
          </cell>
        </row>
        <row r="3361">
          <cell r="AK3361" t="str">
            <v>HS-N31</v>
          </cell>
          <cell r="AL3361" t="str">
            <v>1-0733-元智通運-小山豬&gt;寄&gt;附發票&gt;附回郵</v>
          </cell>
          <cell r="AM3361" t="str">
            <v>1-0733</v>
          </cell>
        </row>
        <row r="3362">
          <cell r="AK3362" t="str">
            <v>KAE-988</v>
          </cell>
          <cell r="AL3362" t="str">
            <v>1-0164-元慶&gt;寄&gt;附發票&gt;附回郵</v>
          </cell>
          <cell r="AM3362" t="str">
            <v>1-0164</v>
          </cell>
        </row>
        <row r="3363">
          <cell r="AK3363" t="str">
            <v>KLF-8198</v>
          </cell>
          <cell r="AL3363" t="str">
            <v>1-0260-曾士豪(兩斤)&gt;正欣&gt;寄&gt;匯款</v>
          </cell>
          <cell r="AM3363" t="str">
            <v>1-0260</v>
          </cell>
        </row>
        <row r="3364">
          <cell r="AK3364" t="str">
            <v>L12-0.9-10</v>
          </cell>
          <cell r="AL3364" t="str">
            <v>1-0162-鎰利&gt;鎰金&gt;鎰加&gt;寄&gt;附發票&gt;2個月匯款</v>
          </cell>
          <cell r="AM3364" t="str">
            <v>1-0162</v>
          </cell>
        </row>
        <row r="3365">
          <cell r="AK3365" t="str">
            <v>BBY-0857</v>
          </cell>
          <cell r="AL3365" t="str">
            <v>1-0671-和鑫肉品&gt;電聯&gt;自結</v>
          </cell>
          <cell r="AM3365" t="str">
            <v>1-0671</v>
          </cell>
        </row>
        <row r="3366">
          <cell r="AK3366" t="str">
            <v>KLF-8185</v>
          </cell>
          <cell r="AL3366" t="str">
            <v>1-0519-謝志明&gt;電&gt;自結&gt;匯款0218250．0503740.</v>
          </cell>
          <cell r="AM3366" t="str">
            <v>1-0519</v>
          </cell>
        </row>
        <row r="3367">
          <cell r="AK3367" t="str">
            <v>896-JD</v>
          </cell>
          <cell r="AL3367" t="str">
            <v>1-0905-黃耀祖&gt;恆誼化工&gt;嘉盛&gt;志鈞&gt;寄&gt;附回郵</v>
          </cell>
          <cell r="AM3367" t="str">
            <v>1-0905</v>
          </cell>
        </row>
        <row r="3368">
          <cell r="AK3368" t="str">
            <v>878-Q8</v>
          </cell>
          <cell r="AL3368" t="str">
            <v>1-0334-廣寶&gt;環亞&gt;正大&gt;寄&gt;附回郵&gt;1個月後匯款</v>
          </cell>
          <cell r="AM3368" t="str">
            <v>1-0334</v>
          </cell>
        </row>
        <row r="3369">
          <cell r="AK3369" t="str">
            <v>AWZ-3602</v>
          </cell>
          <cell r="AL3369" t="str">
            <v>1-0499-弘隆&gt;寄&gt;附回郵</v>
          </cell>
          <cell r="AM3369" t="str">
            <v>1-0499</v>
          </cell>
        </row>
        <row r="3370">
          <cell r="AK3370" t="str">
            <v>KLE-0997</v>
          </cell>
          <cell r="AL3370" t="str">
            <v>1-0780-易陽&gt;財石砂石&gt;寄&gt;附發票&gt;附回郵</v>
          </cell>
          <cell r="AM3370" t="str">
            <v>1-0780</v>
          </cell>
        </row>
        <row r="3371">
          <cell r="AK3371" t="str">
            <v>KLF-0998</v>
          </cell>
          <cell r="AL3371" t="str">
            <v>1-0022-台新&gt;寄&gt;附發票&gt;兩個月25號匯款</v>
          </cell>
          <cell r="AM3371" t="str">
            <v>1-0022</v>
          </cell>
        </row>
        <row r="3372">
          <cell r="AK3372" t="str">
            <v>板12-0.9-10</v>
          </cell>
          <cell r="AL3372" t="str">
            <v>1-0162-鎰利&gt;鎰金&gt;鎰加&gt;寄&gt;附發票&gt;2個月匯款</v>
          </cell>
          <cell r="AM3372" t="str">
            <v>1-0162</v>
          </cell>
        </row>
        <row r="3373">
          <cell r="AK3373" t="str">
            <v>板93-YK</v>
          </cell>
          <cell r="AL3373" t="str">
            <v>1-0533-元智&gt;余文盛&gt;菜瓜布&gt;電&gt;自結</v>
          </cell>
          <cell r="AM3373" t="str">
            <v>1-0533</v>
          </cell>
        </row>
        <row r="3374">
          <cell r="AK3374" t="str">
            <v>KEA-1178</v>
          </cell>
          <cell r="AL3374" t="str">
            <v>1-0214-嘉德技術&gt;寄&gt;附發票&gt;附回郵</v>
          </cell>
          <cell r="AM3374" t="str">
            <v>1-0214</v>
          </cell>
        </row>
        <row r="3375">
          <cell r="AK3375" t="str">
            <v>E8-2290</v>
          </cell>
          <cell r="AL3375" t="str">
            <v>1-0590-電機葆&gt;張正葆&gt;寄&gt;自結</v>
          </cell>
          <cell r="AM3375" t="str">
            <v>1-0590</v>
          </cell>
        </row>
        <row r="3376">
          <cell r="AK3376" t="str">
            <v>ABN-9207</v>
          </cell>
          <cell r="AL3376" t="str">
            <v>1-0738-安林&gt;電&gt;附發票&gt;自結&gt;付現</v>
          </cell>
          <cell r="AM3376" t="str">
            <v>1-0738</v>
          </cell>
        </row>
        <row r="3377">
          <cell r="AK3377" t="str">
            <v>KLF-0658</v>
          </cell>
          <cell r="AL3377" t="str">
            <v>1-0571-賴鼎龍&gt;菱揚&gt;酒空&gt;寄&gt;自結</v>
          </cell>
          <cell r="AM3377" t="str">
            <v>1-0571</v>
          </cell>
        </row>
        <row r="3378">
          <cell r="AK3378" t="str">
            <v>855-V6</v>
          </cell>
          <cell r="AL3378" t="str">
            <v>1-0164-元慶&gt;寄&gt;附發票&gt;附回郵</v>
          </cell>
          <cell r="AM3378" t="str">
            <v>1-0164</v>
          </cell>
        </row>
        <row r="3379">
          <cell r="AK3379" t="str">
            <v>KEG-6260</v>
          </cell>
          <cell r="AL3379" t="str">
            <v>1-0460-榮興&gt;寄&gt;附發票&gt;附回郵</v>
          </cell>
          <cell r="AM3379" t="str">
            <v>1-0460</v>
          </cell>
        </row>
        <row r="3380">
          <cell r="AK3380" t="str">
            <v>166-RR</v>
          </cell>
          <cell r="AL3380" t="str">
            <v>1-0347-仁德&gt;寄&gt;附發票&gt;附回郵</v>
          </cell>
          <cell r="AM3380" t="str">
            <v>1-0347</v>
          </cell>
        </row>
        <row r="3381">
          <cell r="AK3381" t="str">
            <v>0697-YM</v>
          </cell>
          <cell r="AL3381" t="str">
            <v>1-0594-景明&gt;寄&gt;附發票&gt;三個月匯款</v>
          </cell>
          <cell r="AM3381" t="str">
            <v>1-0594</v>
          </cell>
        </row>
        <row r="3382">
          <cell r="AK3382" t="str">
            <v>806-V6</v>
          </cell>
          <cell r="AL3382" t="str">
            <v>1-0347-仁德&gt;寄&gt;附發票&gt;附回郵</v>
          </cell>
          <cell r="AM3382" t="str">
            <v>1-0347</v>
          </cell>
        </row>
        <row r="3383">
          <cell r="AK3383" t="str">
            <v>KLF-8176</v>
          </cell>
          <cell r="AL3383" t="str">
            <v>1-0759-黃建鴻&gt;阿呆弟&gt;&gt;黑仔&gt;金鈺&gt;寄&gt;自結</v>
          </cell>
          <cell r="AM3383" t="str">
            <v>1-0759</v>
          </cell>
        </row>
        <row r="3384">
          <cell r="AK3384" t="str">
            <v>KLF-2285</v>
          </cell>
          <cell r="AL3384" t="str">
            <v>1-0736-盛鋐開發&gt;旺佶&gt;寄&gt;附發票&gt;1個月匯款</v>
          </cell>
          <cell r="AM3384" t="str">
            <v>1-0736</v>
          </cell>
        </row>
        <row r="3385">
          <cell r="AK3385" t="str">
            <v>028-R9</v>
          </cell>
          <cell r="AL3385" t="str">
            <v>1-0902-詠吉&gt;國鉅&gt;寄&gt;附發票&gt;附回郵</v>
          </cell>
          <cell r="AM3385" t="str">
            <v>1-0902</v>
          </cell>
        </row>
        <row r="3386">
          <cell r="AK3386" t="str">
            <v>KLF-1636</v>
          </cell>
          <cell r="AL3386" t="str">
            <v>1-0043-(2/2)和泰&gt;寄&gt;附發票&gt;附回郵</v>
          </cell>
          <cell r="AM3386" t="str">
            <v>1-0043</v>
          </cell>
        </row>
        <row r="3387">
          <cell r="AK3387" t="str">
            <v>板41-RV</v>
          </cell>
          <cell r="AL3387" t="str">
            <v>1-0705-(1/3)福瑞&gt;寄&gt;附發票&gt;附回郵</v>
          </cell>
          <cell r="AM3387" t="str">
            <v>1-0705</v>
          </cell>
        </row>
        <row r="3388">
          <cell r="AK3388" t="str">
            <v>KLF-2189</v>
          </cell>
          <cell r="AL3388" t="str">
            <v>1-0736-盛鋐開發&gt;旺佶&gt;寄&gt;附發票&gt;1個月匯款</v>
          </cell>
          <cell r="AM3388" t="str">
            <v>1-0736</v>
          </cell>
        </row>
        <row r="3389">
          <cell r="AK3389" t="str">
            <v>318-QP</v>
          </cell>
          <cell r="AL3389" t="str">
            <v>1-0893-高金星&gt;中區拖吊&gt;電&gt;自結</v>
          </cell>
          <cell r="AM3389" t="str">
            <v>1-0893</v>
          </cell>
        </row>
        <row r="3390">
          <cell r="AK3390" t="str">
            <v>KLF-8881</v>
          </cell>
          <cell r="AL3390" t="str">
            <v>1-0540-聯興&gt;葉秀禮&gt;寄平信&gt;自結</v>
          </cell>
          <cell r="AM3390" t="str">
            <v>1-0540</v>
          </cell>
        </row>
        <row r="3391">
          <cell r="AK3391" t="str">
            <v>KLF-8138</v>
          </cell>
          <cell r="AL3391" t="str">
            <v>1-0046-(1/4)鴻阜&gt;寄&gt;附發票&gt;附回郵</v>
          </cell>
          <cell r="AM3391" t="str">
            <v>1-0046</v>
          </cell>
        </row>
        <row r="3392">
          <cell r="AK3392" t="str">
            <v>板25-QD</v>
          </cell>
          <cell r="AL3392" t="str">
            <v>1-0706-(2/3)福民&gt;寄&gt;附發票&gt;附回郵</v>
          </cell>
          <cell r="AM3392" t="str">
            <v>1-0706</v>
          </cell>
        </row>
        <row r="3393">
          <cell r="AK3393" t="str">
            <v>KEE-2219</v>
          </cell>
          <cell r="AL3393" t="str">
            <v>1-0711-耕溢&gt;寄&gt;附發票&gt;附回郵</v>
          </cell>
          <cell r="AM3393" t="str">
            <v>1-0711</v>
          </cell>
        </row>
        <row r="3394">
          <cell r="AK3394" t="str">
            <v>板82-BH</v>
          </cell>
          <cell r="AL3394" t="str">
            <v>1-0546-慈揚&gt;賴進烈&gt;寄&gt;1個月15號匯款</v>
          </cell>
          <cell r="AM3394" t="str">
            <v>1-0546</v>
          </cell>
        </row>
        <row r="3395">
          <cell r="AK3395" t="str">
            <v>483-M7</v>
          </cell>
          <cell r="AL3395" t="str">
            <v>1-0706-(2/3)福民&gt;寄&gt;附發票&gt;附回郵</v>
          </cell>
          <cell r="AM3395" t="str">
            <v>1-0706</v>
          </cell>
        </row>
        <row r="3396">
          <cell r="AK3396" t="str">
            <v>KLD-7089</v>
          </cell>
          <cell r="AL3396" t="str">
            <v>1-0073-李志文&gt;龍秀&gt;裕嘉&gt;寄平信&gt;自結</v>
          </cell>
          <cell r="AM3396" t="str">
            <v>1-0073</v>
          </cell>
        </row>
        <row r="3397">
          <cell r="AK3397" t="str">
            <v>771-TZ</v>
          </cell>
          <cell r="AL3397" t="str">
            <v>1-0058-鑫能&gt;寄&gt;匯款</v>
          </cell>
          <cell r="AM3397" t="str">
            <v>1-0058</v>
          </cell>
        </row>
        <row r="3398">
          <cell r="AK3398" t="str">
            <v>板51-ZZ</v>
          </cell>
          <cell r="AL3398" t="str">
            <v>1-0137-華鎮環保科技有限公司&gt;寄&gt;匯款</v>
          </cell>
          <cell r="AM3398" t="str">
            <v>1-0137</v>
          </cell>
        </row>
        <row r="3399">
          <cell r="AK3399" t="str">
            <v>板28-ZK</v>
          </cell>
          <cell r="AL3399" t="str">
            <v>1-0137-華鎮環保科技有限公司&gt;寄&gt;匯款</v>
          </cell>
          <cell r="AM3399" t="str">
            <v>1-0137</v>
          </cell>
        </row>
        <row r="3400">
          <cell r="AK3400" t="str">
            <v>板78-8G</v>
          </cell>
          <cell r="AL3400" t="str">
            <v>1-0707-(3/3)福麗&gt;寄&gt;附發票&gt;附回郵</v>
          </cell>
          <cell r="AM3400" t="str">
            <v>1-0707</v>
          </cell>
        </row>
        <row r="3401">
          <cell r="AK3401" t="str">
            <v>KEG-5663</v>
          </cell>
          <cell r="AL3401" t="str">
            <v>1-0137-華鎮環保科技有限公司&gt;寄&gt;匯款</v>
          </cell>
          <cell r="AM3401" t="str">
            <v>1-0137</v>
          </cell>
        </row>
        <row r="3402">
          <cell r="AK3402" t="str">
            <v>KEG-6111</v>
          </cell>
          <cell r="AL3402" t="str">
            <v>1-0811-(2/2)宜群企業&gt;寄&gt;附發票&gt;附回郵</v>
          </cell>
          <cell r="AM3402" t="str">
            <v>1-0811</v>
          </cell>
        </row>
        <row r="3403">
          <cell r="AK3403" t="str">
            <v>KLA-2029</v>
          </cell>
          <cell r="AL3403" t="str">
            <v>1-0334-廣寶&gt;環亞&gt;正大&gt;寄&gt;附回郵&gt;1個月後匯款</v>
          </cell>
          <cell r="AM3403" t="str">
            <v>1-0334</v>
          </cell>
        </row>
        <row r="3404">
          <cell r="AK3404" t="str">
            <v>0923-U5</v>
          </cell>
          <cell r="AL3404" t="str">
            <v>1-0214-嘉德技術&gt;寄&gt;附發票&gt;附回郵</v>
          </cell>
          <cell r="AM3404" t="str">
            <v>1-0214</v>
          </cell>
        </row>
        <row r="3405">
          <cell r="AK3405" t="str">
            <v>KEK-8037</v>
          </cell>
          <cell r="AL3405" t="str">
            <v>1-0364-弘翔.東大&gt;寄&gt;附發票&gt;附回郵</v>
          </cell>
          <cell r="AM3405" t="str">
            <v>1-0364</v>
          </cell>
        </row>
        <row r="3406">
          <cell r="AK3406" t="str">
            <v>295-RW</v>
          </cell>
          <cell r="AL3406" t="str">
            <v>1-0790-上海興彩色印刷股份有限公司&gt;寄&gt;附發票&gt;附回郵</v>
          </cell>
          <cell r="AM3406" t="str">
            <v>1-0790</v>
          </cell>
        </row>
        <row r="3407">
          <cell r="AK3407" t="str">
            <v>209-R9</v>
          </cell>
          <cell r="AL3407" t="str">
            <v>1-0701-串昌&gt;兑玖開發&gt;寄&gt;附發票&gt;附回郵</v>
          </cell>
          <cell r="AM3407" t="str">
            <v>1-0701</v>
          </cell>
        </row>
        <row r="3408">
          <cell r="AK3408" t="str">
            <v>板12-Z7</v>
          </cell>
          <cell r="AL3408" t="str">
            <v>1-0701-串昌&gt;兑玖開發&gt;寄&gt;附發票&gt;附回郵</v>
          </cell>
          <cell r="AM3408" t="str">
            <v>1-0701</v>
          </cell>
        </row>
        <row r="3409">
          <cell r="AK3409" t="str">
            <v>KLD-0699</v>
          </cell>
          <cell r="AL3409" t="str">
            <v>1-0624-聖麒工程&gt;閎元&gt;永金&gt;寄&gt;附回郵&gt;現金價</v>
          </cell>
          <cell r="AM3409" t="str">
            <v>1-0624</v>
          </cell>
        </row>
        <row r="3410">
          <cell r="AK3410" t="str">
            <v>KEG-5388</v>
          </cell>
          <cell r="AL3410" t="str">
            <v>1-0814-順運&gt;附發票&gt;附回郵</v>
          </cell>
          <cell r="AM3410" t="str">
            <v>1-0814</v>
          </cell>
        </row>
        <row r="3411">
          <cell r="AK3411" t="str">
            <v>632-WF</v>
          </cell>
          <cell r="AL3411" t="str">
            <v>1-0702-交通大學&gt;寄&gt;附發票&gt;匯款</v>
          </cell>
          <cell r="AM3411" t="str">
            <v>1-0702</v>
          </cell>
        </row>
        <row r="3412">
          <cell r="AK3412" t="str">
            <v>893-5A</v>
          </cell>
          <cell r="AL3412" t="str">
            <v>1-0607-(2/2)瑋鎰&gt;寄&gt;附發票&gt;附回郵</v>
          </cell>
          <cell r="AM3412" t="str">
            <v>1-0607</v>
          </cell>
        </row>
        <row r="3413">
          <cell r="AK3413" t="str">
            <v>板58-Z7</v>
          </cell>
          <cell r="AL3413" t="str">
            <v>1-0589-汯宸&gt;寄&gt;附發票&gt;一個月匯款</v>
          </cell>
          <cell r="AM3413" t="str">
            <v>1-0589</v>
          </cell>
        </row>
        <row r="3414">
          <cell r="AK3414" t="str">
            <v>826-HF</v>
          </cell>
          <cell r="AL3414" t="str">
            <v>1-0821-順華(賣蛋)&gt;付現</v>
          </cell>
          <cell r="AM3414" t="str">
            <v>1-0821</v>
          </cell>
        </row>
        <row r="3415">
          <cell r="AK3415" t="str">
            <v>KEK-2881</v>
          </cell>
          <cell r="AL3415" t="str">
            <v>1-0179-竤星企業社&gt;寄&gt;附發票&gt;自結&gt;勿電</v>
          </cell>
          <cell r="AM3415" t="str">
            <v>1-0179</v>
          </cell>
        </row>
        <row r="3416">
          <cell r="AK3416" t="str">
            <v>543-RW</v>
          </cell>
          <cell r="AL3416" t="str">
            <v>1-0265-鴻鈞&gt;寄&gt;附發票&gt;2個月匯款</v>
          </cell>
          <cell r="AM3416" t="str">
            <v>1-0265</v>
          </cell>
        </row>
        <row r="3417">
          <cell r="AK3417" t="str">
            <v>865-ZC</v>
          </cell>
          <cell r="AL3417" t="str">
            <v>1-0691-高金水&gt;寄&gt;匯款:林澤滄&gt;拒絕往來戶</v>
          </cell>
          <cell r="AM3417" t="str">
            <v>1-0691</v>
          </cell>
        </row>
        <row r="3418">
          <cell r="AK3418" t="str">
            <v>813-W8</v>
          </cell>
          <cell r="AL3418" t="str">
            <v>1-0313-蘇煥淇&gt;冠德&gt;寄&gt;附發票&gt;匯款</v>
          </cell>
          <cell r="AM3418" t="str">
            <v>1-0313</v>
          </cell>
        </row>
        <row r="3419">
          <cell r="AK3419" t="str">
            <v>KLA-9507</v>
          </cell>
          <cell r="AL3419" t="str">
            <v>1-0313-蘇煥淇&gt;冠德&gt;寄&gt;附發票&gt;匯款</v>
          </cell>
          <cell r="AM3419" t="str">
            <v>1-0313</v>
          </cell>
        </row>
        <row r="3420">
          <cell r="AK3420" t="str">
            <v>KLD-5799</v>
          </cell>
          <cell r="AL3420" t="str">
            <v>1-0823-博鴻通運有限公司&gt;寄&gt;匯款</v>
          </cell>
          <cell r="AM3420" t="str">
            <v>1-0823</v>
          </cell>
        </row>
        <row r="3421">
          <cell r="AK3421" t="str">
            <v>555-W9</v>
          </cell>
          <cell r="AL3421" t="str">
            <v>1-0334-廣寶&gt;環亞&gt;正大&gt;寄&gt;附回郵&gt;1個月後匯款</v>
          </cell>
          <cell r="AM3421" t="str">
            <v>1-0334</v>
          </cell>
        </row>
        <row r="3422">
          <cell r="AK3422" t="str">
            <v>KEK-2882</v>
          </cell>
          <cell r="AL3422" t="str">
            <v>1-0179-竤星企業社&gt;寄&gt;附發票&gt;自結&gt;勿電</v>
          </cell>
          <cell r="AM3422" t="str">
            <v>1-0179</v>
          </cell>
        </row>
        <row r="3423">
          <cell r="AK3423" t="str">
            <v>KLA-5677</v>
          </cell>
          <cell r="AL3423" t="str">
            <v>1-0260-曾士豪(兩斤)&gt;正欣&gt;寄&gt;匯款</v>
          </cell>
          <cell r="AM3423" t="str">
            <v>1-0260</v>
          </cell>
        </row>
        <row r="3424">
          <cell r="AK3424" t="str">
            <v>KEG-6115</v>
          </cell>
          <cell r="AL3424" t="str">
            <v>1-0125-源順&gt;寄&gt;附發票&gt;附回郵</v>
          </cell>
          <cell r="AM3424" t="str">
            <v>1-0125</v>
          </cell>
        </row>
        <row r="3425">
          <cell r="AK3425" t="str">
            <v>BCB-6003</v>
          </cell>
          <cell r="AL3425" t="str">
            <v>1-0741-炎益行&gt;寄＞自結&gt;現金價</v>
          </cell>
          <cell r="AM3425" t="str">
            <v>1-0741</v>
          </cell>
        </row>
        <row r="3426">
          <cell r="AK3426" t="str">
            <v>KEG-6566</v>
          </cell>
          <cell r="AL3426" t="str">
            <v>1-0768-正順環保&gt;高富榮&gt;寄&gt;附發票&gt;附回郵</v>
          </cell>
          <cell r="AM3426" t="str">
            <v>1-0768</v>
          </cell>
        </row>
        <row r="3427">
          <cell r="AK3427" t="str">
            <v>KLF-8178</v>
          </cell>
          <cell r="AL3427" t="str">
            <v>1-0260-曾士豪(兩斤)&gt;正欣&gt;寄&gt;匯款</v>
          </cell>
          <cell r="AM3427" t="str">
            <v>1-0260</v>
          </cell>
        </row>
        <row r="3428">
          <cell r="AK3428" t="str">
            <v>3251-DX</v>
          </cell>
          <cell r="AL3428" t="str">
            <v>1-0615-弘陞&gt;寄&gt;自結</v>
          </cell>
          <cell r="AM3428" t="str">
            <v>1-0615</v>
          </cell>
        </row>
        <row r="3429">
          <cell r="AK3429" t="str">
            <v>Q7-502</v>
          </cell>
          <cell r="AL3429" t="str">
            <v>1-0826-文雄行環保&gt;寄&gt;附發票&gt;匯款</v>
          </cell>
          <cell r="AM3429" t="str">
            <v>1-0826</v>
          </cell>
        </row>
        <row r="3430">
          <cell r="AK3430" t="str">
            <v>RW-965</v>
          </cell>
          <cell r="AL3430" t="str">
            <v>1-0826-文雄行環保&gt;寄&gt;附發票&gt;匯款</v>
          </cell>
          <cell r="AM3430" t="str">
            <v>1-0826</v>
          </cell>
        </row>
        <row r="3431">
          <cell r="AK3431" t="str">
            <v>KLF-8208</v>
          </cell>
          <cell r="AL3431" t="str">
            <v>1-0210-葉水發&gt;志松&gt;寄平信&gt;自結</v>
          </cell>
          <cell r="AM3431" t="str">
            <v>1-0210</v>
          </cell>
        </row>
        <row r="3432">
          <cell r="AK3432" t="str">
            <v>575-Y5</v>
          </cell>
          <cell r="AL3432" t="str">
            <v>1-0049-欣晏&gt;寄&gt;匯款</v>
          </cell>
          <cell r="AM3432" t="str">
            <v>1-0049</v>
          </cell>
        </row>
        <row r="3433">
          <cell r="AK3433" t="str">
            <v>KAC-268</v>
          </cell>
          <cell r="AL3433" t="str">
            <v>1-0118-金昌&gt;寄&gt;附發票&gt;附回郵</v>
          </cell>
          <cell r="AM3433" t="str">
            <v>1-0118</v>
          </cell>
        </row>
        <row r="3434">
          <cell r="AK3434" t="str">
            <v>812-V6</v>
          </cell>
          <cell r="AL3434" t="str">
            <v>1-0827-裕鑫通運&gt;(黑豬叔叔)&gt;寄&gt;自結</v>
          </cell>
          <cell r="AM3434" t="str">
            <v>1-0827</v>
          </cell>
        </row>
        <row r="3435">
          <cell r="AK3435" t="str">
            <v>KLF-1179</v>
          </cell>
          <cell r="AL3435" t="str">
            <v>1-0260-曾士豪(兩斤)&gt;正欣&gt;寄&gt;匯款</v>
          </cell>
          <cell r="AM3435" t="str">
            <v>1-0260</v>
          </cell>
        </row>
        <row r="3436">
          <cell r="AK3436" t="str">
            <v>258-R9</v>
          </cell>
          <cell r="AL3436" t="str">
            <v>1-0589-汯宸&gt;寄&gt;附發票&gt;一個月匯款</v>
          </cell>
          <cell r="AM3436" t="str">
            <v>1-0589</v>
          </cell>
        </row>
        <row r="3437">
          <cell r="AK3437" t="str">
            <v>KLA-5357</v>
          </cell>
          <cell r="AL3437" t="str">
            <v>1-0519-謝志明&gt;電&gt;自結&gt;匯款0218250．0503740.</v>
          </cell>
          <cell r="AM3437" t="str">
            <v>1-0519</v>
          </cell>
        </row>
        <row r="3438">
          <cell r="AK3438" t="str">
            <v>553-RW</v>
          </cell>
          <cell r="AL3438" t="str">
            <v>1-0829-台興炭酸&gt;長泰氣體&gt;寄&gt;附發票&gt;附回郵</v>
          </cell>
          <cell r="AM3438" t="str">
            <v>1-0829</v>
          </cell>
        </row>
        <row r="3439">
          <cell r="AK3439" t="str">
            <v>496-RN</v>
          </cell>
          <cell r="AL3439" t="str">
            <v>1-0829-台興炭酸&gt;長泰氣體&gt;寄&gt;附發票&gt;附回郵</v>
          </cell>
          <cell r="AM3439" t="str">
            <v>1-0829</v>
          </cell>
        </row>
        <row r="3440">
          <cell r="AK3440" t="str">
            <v>KLA-5081</v>
          </cell>
          <cell r="AL3440" t="str">
            <v>1-0519-謝志明&gt;電&gt;自結&gt;匯款0218250．0503740.</v>
          </cell>
          <cell r="AM3440" t="str">
            <v>1-0519</v>
          </cell>
        </row>
        <row r="3441">
          <cell r="AK3441" t="str">
            <v>436-EE</v>
          </cell>
          <cell r="AL3441" t="str">
            <v>1-0122-嘉偉&gt;元美&gt;寄&gt;附發票&gt;附回郵</v>
          </cell>
          <cell r="AM3441" t="str">
            <v>1-0122</v>
          </cell>
        </row>
        <row r="3442">
          <cell r="AK3442" t="str">
            <v>KLF-0355</v>
          </cell>
          <cell r="AL3442" t="str">
            <v>1-0482-楊詩雅&gt;寄&gt;匯款</v>
          </cell>
          <cell r="AM3442" t="str">
            <v>1-0482</v>
          </cell>
        </row>
        <row r="3443">
          <cell r="AK3443" t="str">
            <v>KLF-8162</v>
          </cell>
          <cell r="AL3443" t="str">
            <v>1-0802-尚好&gt;寄&gt;附發票&gt;附回郵</v>
          </cell>
          <cell r="AM3443" t="str">
            <v>1-0802</v>
          </cell>
        </row>
        <row r="3444">
          <cell r="AK3444" t="str">
            <v>板HAB-5825</v>
          </cell>
          <cell r="AL3444" t="str">
            <v>1-0549-華品&gt;佳上&gt;冠仁&gt;寄&gt;附發票&gt;附回郵</v>
          </cell>
          <cell r="AM3444" t="str">
            <v>1-0549</v>
          </cell>
        </row>
        <row r="3445">
          <cell r="AK3445" t="str">
            <v>0111-R7</v>
          </cell>
          <cell r="AL3445" t="str">
            <v>1-0597-佳明玻璃&gt;寄&gt;附回郵</v>
          </cell>
          <cell r="AM3445" t="str">
            <v>1-0597</v>
          </cell>
        </row>
        <row r="3446">
          <cell r="AK3446" t="str">
            <v>KAE-609</v>
          </cell>
          <cell r="AL3446" t="str">
            <v>1-0457-合正&gt;寄平信&gt;自結</v>
          </cell>
          <cell r="AM3446" t="str">
            <v>1-0457</v>
          </cell>
        </row>
        <row r="3447">
          <cell r="AK3447" t="str">
            <v>KEH-6086</v>
          </cell>
          <cell r="AL3447" t="str">
            <v>1-0831-真毅營造&gt;展慶營造&gt;付現</v>
          </cell>
          <cell r="AM3447" t="str">
            <v>1-0831</v>
          </cell>
        </row>
        <row r="3448">
          <cell r="AK3448" t="str">
            <v>KLJ-1789</v>
          </cell>
          <cell r="AL3448" t="str">
            <v>1-0433-紘洋&gt;寄&gt;附發票&gt;附回郵</v>
          </cell>
          <cell r="AM3448" t="str">
            <v>1-0433</v>
          </cell>
        </row>
        <row r="3449">
          <cell r="AK3449" t="str">
            <v>KLE-3597</v>
          </cell>
          <cell r="AL3449" t="str">
            <v>1-0832-林銀龍&gt;寄&gt;付現&gt;刷卡</v>
          </cell>
          <cell r="AM3449" t="str">
            <v>1-0832</v>
          </cell>
        </row>
        <row r="3450">
          <cell r="AK3450" t="str">
            <v>KLA-2039</v>
          </cell>
          <cell r="AL3450" t="str">
            <v>1-0334-廣寶&gt;環亞&gt;正大&gt;寄&gt;附回郵&gt;1個月後匯款</v>
          </cell>
          <cell r="AM3450" t="str">
            <v>1-0334</v>
          </cell>
        </row>
        <row r="3451">
          <cell r="AK3451" t="str">
            <v>960-TZ</v>
          </cell>
          <cell r="AL3451" t="str">
            <v>1-0790-上海興彩色印刷股份有限公司&gt;寄&gt;附發票&gt;附回郵</v>
          </cell>
          <cell r="AM3451" t="str">
            <v>1-0790</v>
          </cell>
        </row>
        <row r="3452">
          <cell r="AK3452" t="str">
            <v>218-W2</v>
          </cell>
          <cell r="AL3452" t="str">
            <v>1-0164-元慶&gt;寄&gt;附發票&gt;附回郵</v>
          </cell>
          <cell r="AM3452" t="str">
            <v>1-0164</v>
          </cell>
        </row>
        <row r="3453">
          <cell r="AK3453" t="str">
            <v>282-W2</v>
          </cell>
          <cell r="AL3453" t="str">
            <v>1-0122-嘉偉&gt;元美&gt;寄&gt;附發票&gt;附回郵</v>
          </cell>
          <cell r="AM3453" t="str">
            <v>1-0122</v>
          </cell>
        </row>
        <row r="3454">
          <cell r="AK3454" t="str">
            <v>KLD-3999</v>
          </cell>
          <cell r="AL3454" t="str">
            <v>1-0260-曾士豪(兩斤)&gt;正欣&gt;寄&gt;匯款</v>
          </cell>
          <cell r="AM3454" t="str">
            <v>1-0260</v>
          </cell>
        </row>
        <row r="3455">
          <cell r="AK3455" t="str">
            <v>RBC-6370</v>
          </cell>
          <cell r="AL3455" t="str">
            <v>1-0835-匯豐汽車股份有限公司&gt;寄&gt;匯款</v>
          </cell>
          <cell r="AM3455" t="str">
            <v>1-0835</v>
          </cell>
        </row>
        <row r="3456">
          <cell r="AK3456" t="str">
            <v>KLG-5779</v>
          </cell>
          <cell r="AL3456" t="str">
            <v>1-0492-佳能環保&gt;鳳屏&gt;新益慶&gt;寄&gt;附發票&gt;一個月匯款</v>
          </cell>
          <cell r="AM3456" t="str">
            <v>1-0492</v>
          </cell>
        </row>
        <row r="3457">
          <cell r="AK3457" t="str">
            <v>BCK-2917</v>
          </cell>
          <cell r="AL3457" t="str">
            <v>1-0753-永貞VOLVO&gt;永傳汽車&gt;寄＞附發票＞附回郵＞附定位數據</v>
          </cell>
          <cell r="AM3457" t="str">
            <v>1-0753</v>
          </cell>
        </row>
        <row r="3458">
          <cell r="AK3458" t="str">
            <v>670-Y7</v>
          </cell>
          <cell r="AL3458" t="str">
            <v>1-0231-建龍&gt;寄&gt;附發票&gt;附回郵</v>
          </cell>
          <cell r="AM3458" t="str">
            <v>1-0231</v>
          </cell>
        </row>
        <row r="3459">
          <cell r="AK3459" t="str">
            <v>KLG-2795</v>
          </cell>
          <cell r="AL3459" t="str">
            <v>1-0844-日中&gt;自結&gt;</v>
          </cell>
          <cell r="AM3459" t="str">
            <v>1-0844</v>
          </cell>
        </row>
        <row r="3460">
          <cell r="AK3460" t="str">
            <v>KLF-0999</v>
          </cell>
          <cell r="AL3460" t="str">
            <v>1-0022-台新&gt;寄&gt;附發票&gt;兩個月25號匯款</v>
          </cell>
          <cell r="AM3460" t="str">
            <v>1-0022</v>
          </cell>
        </row>
        <row r="3461">
          <cell r="AK3461" t="str">
            <v>板32-AC</v>
          </cell>
          <cell r="AL3461" t="str">
            <v>1-0175-莊人傑&gt;寄平信&gt;附發票＞自結</v>
          </cell>
          <cell r="AM3461" t="str">
            <v>1-0175</v>
          </cell>
        </row>
        <row r="3462">
          <cell r="AK3462" t="str">
            <v>KLD-0622</v>
          </cell>
          <cell r="AL3462" t="str">
            <v>1-0839-合勝交通&gt;電&gt;付現</v>
          </cell>
          <cell r="AM3462" t="str">
            <v>1-0839</v>
          </cell>
        </row>
        <row r="3463">
          <cell r="AK3463" t="str">
            <v>OQ-250</v>
          </cell>
          <cell r="AL3463" t="str">
            <v>1-0839-合勝交通&gt;電&gt;付現</v>
          </cell>
          <cell r="AM3463" t="str">
            <v>1-0839</v>
          </cell>
        </row>
        <row r="3464">
          <cell r="AK3464" t="str">
            <v>823-TK</v>
          </cell>
          <cell r="AL3464" t="str">
            <v>1-0829-台興炭酸&gt;長泰氣體&gt;寄&gt;附發票&gt;附回郵</v>
          </cell>
          <cell r="AM3464" t="str">
            <v>1-0829</v>
          </cell>
        </row>
        <row r="3465">
          <cell r="AK3465" t="str">
            <v>986-V9</v>
          </cell>
          <cell r="AL3465" t="str">
            <v>1-0394-宸羽&gt;寄&gt;親收</v>
          </cell>
          <cell r="AM3465" t="str">
            <v>1-0394</v>
          </cell>
        </row>
        <row r="3466">
          <cell r="AK3466" t="str">
            <v>KLC-0999</v>
          </cell>
          <cell r="AL3466" t="str">
            <v>1-0834-富成輪胎行&gt;寄&gt;附發票&gt;附回郵</v>
          </cell>
          <cell r="AM3466" t="str">
            <v>1-0834</v>
          </cell>
        </row>
        <row r="3467">
          <cell r="AK3467" t="str">
            <v>KEG-6173</v>
          </cell>
          <cell r="AL3467" t="str">
            <v>1-0802-尚好&gt;寄&gt;附發票&gt;附回郵</v>
          </cell>
          <cell r="AM3467" t="str">
            <v>1-0802</v>
          </cell>
        </row>
        <row r="3468">
          <cell r="AK3468" t="str">
            <v>KEE-2017</v>
          </cell>
          <cell r="AL3468" t="str">
            <v>1-0802-尚好&gt;寄&gt;附發票&gt;附回郵</v>
          </cell>
          <cell r="AM3468" t="str">
            <v>1-0802</v>
          </cell>
        </row>
        <row r="3469">
          <cell r="AK3469" t="str">
            <v>KEE-2016</v>
          </cell>
          <cell r="AL3469" t="str">
            <v>1-0802-尚好&gt;寄&gt;附發票&gt;附回郵</v>
          </cell>
          <cell r="AM3469" t="str">
            <v>1-0802</v>
          </cell>
        </row>
        <row r="3470">
          <cell r="AK3470" t="str">
            <v>6962-UT</v>
          </cell>
          <cell r="AL3470" t="str">
            <v>1-0548-題陞&gt;寄&gt;附發票&gt;附回郵</v>
          </cell>
          <cell r="AM3470" t="str">
            <v>1-0548</v>
          </cell>
        </row>
        <row r="3471">
          <cell r="AK3471" t="str">
            <v>KLD-3990</v>
          </cell>
          <cell r="AL3471" t="str">
            <v>1-0518-魏世郎&gt;寄&gt;匯款</v>
          </cell>
          <cell r="AM3471" t="str">
            <v>1-0518</v>
          </cell>
        </row>
        <row r="3472">
          <cell r="AK3472" t="str">
            <v>KLF-8085</v>
          </cell>
          <cell r="AL3472" t="str">
            <v>1-0843-志鈞&gt;付現</v>
          </cell>
          <cell r="AM3472" t="str">
            <v>1-0843</v>
          </cell>
        </row>
        <row r="3473">
          <cell r="AK3473" t="str">
            <v>KEA-9567</v>
          </cell>
          <cell r="AL3473" t="str">
            <v>1-0026-太原氣體&gt;寄&gt;附發票&gt;附回郵</v>
          </cell>
          <cell r="AM3473" t="str">
            <v>1-0026</v>
          </cell>
        </row>
        <row r="3474">
          <cell r="AK3474" t="str">
            <v>APA-5057</v>
          </cell>
          <cell r="AL3474" t="str">
            <v>1-0615-弘陞&gt;寄&gt;自結</v>
          </cell>
          <cell r="AM3474" t="str">
            <v>1-0615</v>
          </cell>
        </row>
        <row r="3475">
          <cell r="AK3475" t="str">
            <v>BFB-8675</v>
          </cell>
          <cell r="AL3475" t="str">
            <v>1-0806-永大建材&gt;寄&gt;附發票&gt;匯款</v>
          </cell>
          <cell r="AM3475" t="str">
            <v>1-0806</v>
          </cell>
        </row>
        <row r="3476">
          <cell r="AK3476" t="str">
            <v>121-Q2</v>
          </cell>
          <cell r="AL3476" t="str">
            <v>1-0846-久立美興業股份有限公司&gt;寄&gt;附發票&gt;附回郵</v>
          </cell>
          <cell r="AM3476" t="str">
            <v>1-0846</v>
          </cell>
        </row>
        <row r="3477">
          <cell r="AK3477" t="str">
            <v>7593-F5</v>
          </cell>
          <cell r="AL3477" t="str">
            <v>1-0846-久立美興業股份有限公司&gt;寄&gt;附發票&gt;附回郵</v>
          </cell>
          <cell r="AM3477" t="str">
            <v>1-0846</v>
          </cell>
        </row>
        <row r="3478">
          <cell r="AK3478" t="str">
            <v>KLD-3209</v>
          </cell>
          <cell r="AL3478" t="str">
            <v>1-0798-興連貨運&gt;寄&gt;附發票&gt;1個月匯款</v>
          </cell>
          <cell r="AM3478" t="str">
            <v>1-0798</v>
          </cell>
        </row>
        <row r="3479">
          <cell r="AK3479" t="str">
            <v>320-Y7</v>
          </cell>
          <cell r="AL3479" t="str">
            <v>1-0328-平順&gt;寄&gt;附發票&gt;附回郵</v>
          </cell>
          <cell r="AM3479" t="str">
            <v>1-0328</v>
          </cell>
        </row>
        <row r="3480">
          <cell r="AK3480" t="str">
            <v>KLG-2793</v>
          </cell>
          <cell r="AL3480" t="str">
            <v>1-0844-日中&gt;自結&gt;</v>
          </cell>
          <cell r="AM3480" t="str">
            <v>1-0844</v>
          </cell>
        </row>
        <row r="3481">
          <cell r="AK3481" t="str">
            <v>KLA-5287</v>
          </cell>
          <cell r="AL3481" t="str">
            <v>1-0661-泰華通運&gt;寄&gt;附發票&gt;附回郵</v>
          </cell>
          <cell r="AM3481" t="str">
            <v>1-0661</v>
          </cell>
        </row>
        <row r="3482">
          <cell r="AK3482" t="str">
            <v>AAJ-606</v>
          </cell>
          <cell r="AL3482" t="str">
            <v>1-0021-毅和&gt;寄&gt;附發票&gt;附回郵</v>
          </cell>
          <cell r="AM3482" t="str">
            <v>1-0021</v>
          </cell>
        </row>
        <row r="3483">
          <cell r="AK3483" t="str">
            <v>板MV-76</v>
          </cell>
          <cell r="AL3483" t="str">
            <v>1-0607-(2/2)瑋鎰&gt;寄&gt;附發票&gt;附回郵</v>
          </cell>
          <cell r="AM3483" t="str">
            <v>1-0607</v>
          </cell>
        </row>
        <row r="3484">
          <cell r="AK3484" t="str">
            <v>KEG-8032</v>
          </cell>
          <cell r="AL3484" t="str">
            <v>1-0849-錦有企業有限公司&gt;寄&gt;附發票&gt;匯款</v>
          </cell>
          <cell r="AM3484" t="str">
            <v>1-0849</v>
          </cell>
        </row>
        <row r="3485">
          <cell r="AK3485" t="str">
            <v>232-SF</v>
          </cell>
          <cell r="AL3485" t="str">
            <v>1-0831-真毅營造&gt;展慶營造&gt;付現</v>
          </cell>
          <cell r="AM3485" t="str">
            <v>1-0831</v>
          </cell>
        </row>
        <row r="3486">
          <cell r="AK3486" t="str">
            <v>板HBA-9662</v>
          </cell>
          <cell r="AL3486" t="str">
            <v>1-0706-(2/3)福民&gt;寄&gt;附發票&gt;附回郵</v>
          </cell>
          <cell r="AM3486" t="str">
            <v>1-0706</v>
          </cell>
        </row>
        <row r="3487">
          <cell r="AK3487" t="str">
            <v>497-ZY</v>
          </cell>
          <cell r="AL3487" t="str">
            <v>1-0819-(2/2)捷順&gt;寄&gt;附發票&gt;三個月匯款</v>
          </cell>
          <cell r="AM3487" t="str">
            <v>1-0819</v>
          </cell>
        </row>
        <row r="3488">
          <cell r="AK3488" t="str">
            <v>KEK-3009</v>
          </cell>
          <cell r="AL3488" t="str">
            <v>1-0658-順同&gt;尚泰行.弘舜&gt;寄&gt;附發票&gt;附回郵</v>
          </cell>
          <cell r="AM3488" t="str">
            <v>1-0658</v>
          </cell>
        </row>
        <row r="3489">
          <cell r="AK3489" t="str">
            <v>KLF-8279</v>
          </cell>
          <cell r="AL3489" t="str">
            <v>1-0022-台新&gt;寄&gt;附發票&gt;兩個月25號匯款</v>
          </cell>
          <cell r="AM3489" t="str">
            <v>1-0022</v>
          </cell>
        </row>
        <row r="3490">
          <cell r="AK3490" t="str">
            <v>KLG-2200</v>
          </cell>
          <cell r="AL3490" t="str">
            <v>1-0807-鴻金輪胎行(泰金)&gt;寄&gt;附發票&gt;附回郵</v>
          </cell>
          <cell r="AM3490" t="str">
            <v>1-0807</v>
          </cell>
        </row>
        <row r="3491">
          <cell r="AK3491" t="str">
            <v>QAE-567</v>
          </cell>
          <cell r="AL3491" t="str">
            <v>1-0804-峰宸&gt;豪新&gt;電&gt;自結(刷卡含稅)</v>
          </cell>
          <cell r="AM3491" t="str">
            <v>1-0804</v>
          </cell>
        </row>
        <row r="3492">
          <cell r="AK3492" t="str">
            <v>780-Y7</v>
          </cell>
          <cell r="AL3492" t="str">
            <v>1-0489-晉翌&gt;寄&gt;附發票&gt;附回郵</v>
          </cell>
          <cell r="AM3492" t="str">
            <v>1-0489</v>
          </cell>
        </row>
        <row r="3493">
          <cell r="AK3493" t="str">
            <v>KLC-5511</v>
          </cell>
          <cell r="AL3493" t="str">
            <v>1-0855-展曳&gt;寄&gt;匯款</v>
          </cell>
          <cell r="AM3493" t="str">
            <v>1-0855</v>
          </cell>
        </row>
        <row r="3494">
          <cell r="AK3494" t="str">
            <v>KLD-0658</v>
          </cell>
          <cell r="AL3494" t="str">
            <v>1-0571-賴鼎龍&gt;菱揚&gt;酒空&gt;寄&gt;自結</v>
          </cell>
          <cell r="AM3494" t="str">
            <v>1-0571</v>
          </cell>
        </row>
        <row r="3495">
          <cell r="AK3495" t="str">
            <v>KEJ-8338</v>
          </cell>
          <cell r="AL3495" t="str">
            <v>1-0519-謝志明&gt;電&gt;自結&gt;匯款0218250．0503740.</v>
          </cell>
          <cell r="AM3495" t="str">
            <v>1-0519</v>
          </cell>
        </row>
        <row r="3496">
          <cell r="AK3496" t="str">
            <v>499-Q8</v>
          </cell>
          <cell r="AL3496" t="str">
            <v>1-0819-(2/2)捷順&gt;寄&gt;附發票&gt;三個月匯款</v>
          </cell>
          <cell r="AM3496" t="str">
            <v>1-0819</v>
          </cell>
        </row>
        <row r="3497">
          <cell r="AK3497" t="str">
            <v>F3-769</v>
          </cell>
          <cell r="AL3497" t="str">
            <v>1-0829-台興炭酸&gt;長泰氣體&gt;寄&gt;附發票&gt;附回郵</v>
          </cell>
          <cell r="AM3497" t="str">
            <v>1-0829</v>
          </cell>
        </row>
        <row r="3498">
          <cell r="AK3498" t="str">
            <v>KLD-3772</v>
          </cell>
          <cell r="AL3498" t="str">
            <v>1-0022-台新&gt;寄&gt;附發票&gt;兩個月25號匯款</v>
          </cell>
          <cell r="AM3498" t="str">
            <v>1-0022</v>
          </cell>
        </row>
        <row r="3499">
          <cell r="AK3499" t="str">
            <v>KEG-6072</v>
          </cell>
          <cell r="AL3499" t="str">
            <v>1-0858-中天&gt;順業&gt;寄&gt;附發票&gt;附回郵&gt;老闆說先不催帳</v>
          </cell>
          <cell r="AM3499" t="str">
            <v>1-0858</v>
          </cell>
        </row>
        <row r="3500">
          <cell r="AK3500" t="str">
            <v>KLA-2229</v>
          </cell>
          <cell r="AL3500" t="str">
            <v>1-0705-(1/3)福瑞&gt;寄&gt;附發票&gt;附回郵</v>
          </cell>
          <cell r="AM3500" t="str">
            <v>1-0705</v>
          </cell>
        </row>
        <row r="3501">
          <cell r="AK3501" t="str">
            <v>KLF-8099</v>
          </cell>
          <cell r="AL3501" t="str">
            <v>1-0046-(1/4)鴻阜&gt;寄&gt;附發票&gt;附回郵</v>
          </cell>
          <cell r="AM3501" t="str">
            <v>1-0046</v>
          </cell>
        </row>
        <row r="3502">
          <cell r="AK3502" t="str">
            <v>KNA-3633</v>
          </cell>
          <cell r="AL3502" t="str">
            <v>1-0152-藝豐&gt;寄&gt;附發票</v>
          </cell>
          <cell r="AM3502" t="str">
            <v>1-0152</v>
          </cell>
        </row>
        <row r="3503">
          <cell r="AK3503" t="str">
            <v>AAH-151</v>
          </cell>
          <cell r="AL3503" t="str">
            <v>1-0658-順同&gt;尚泰行.弘舜&gt;寄&gt;附發票&gt;附回郵</v>
          </cell>
          <cell r="AM3503" t="str">
            <v>1-0658</v>
          </cell>
        </row>
        <row r="3504">
          <cell r="AK3504" t="str">
            <v>KLF-8662</v>
          </cell>
          <cell r="AL3504" t="str">
            <v>1-0882-峻泰汽車&gt;峻榮交通&gt;禎翊汽車&gt;寄&gt;附回郵</v>
          </cell>
          <cell r="AM3504" t="str">
            <v>1-0882</v>
          </cell>
        </row>
        <row r="3505">
          <cell r="AK3505" t="str">
            <v>KEJ-8161</v>
          </cell>
          <cell r="AL3505" t="str">
            <v>1-0519-謝志明&gt;電&gt;自結&gt;匯款0218250．0503740.</v>
          </cell>
          <cell r="AM3505" t="str">
            <v>1-0519</v>
          </cell>
        </row>
        <row r="3506">
          <cell r="AK3506" t="str">
            <v>KLA-5268</v>
          </cell>
          <cell r="AL3506" t="str">
            <v>1-0661-泰華通運&gt;寄&gt;附發票&gt;附回郵</v>
          </cell>
          <cell r="AM3506" t="str">
            <v>1-0661</v>
          </cell>
        </row>
        <row r="3507">
          <cell r="AK3507" t="str">
            <v>KEG-6659</v>
          </cell>
          <cell r="AL3507" t="str">
            <v>1-0549-華品&gt;佳上&gt;冠仁&gt;寄&gt;附發票&gt;附回郵</v>
          </cell>
          <cell r="AM3507" t="str">
            <v>1-0549</v>
          </cell>
        </row>
        <row r="3508">
          <cell r="AK3508" t="str">
            <v>541-AP</v>
          </cell>
          <cell r="AL3508" t="str">
            <v>1-0315-簡錦郎&gt;松生&gt;寄&gt;附回郵</v>
          </cell>
          <cell r="AM3508" t="str">
            <v>1-0315</v>
          </cell>
        </row>
        <row r="3509">
          <cell r="AK3509" t="str">
            <v>319-V6</v>
          </cell>
          <cell r="AL3509" t="str">
            <v>1-0122-嘉偉&gt;元美&gt;寄&gt;附發票&gt;附回郵</v>
          </cell>
          <cell r="AM3509" t="str">
            <v>1-0122</v>
          </cell>
        </row>
        <row r="3510">
          <cell r="AK3510" t="str">
            <v>473-VN</v>
          </cell>
          <cell r="AL3510" t="str">
            <v>1-0865-儒鴻(溪州廠)&gt;寄&gt;附發票&gt;2個月匯款</v>
          </cell>
          <cell r="AM3510" t="str">
            <v>1-0865</v>
          </cell>
        </row>
        <row r="3511">
          <cell r="AK3511" t="str">
            <v>198-V6</v>
          </cell>
          <cell r="AL3511" t="str">
            <v>1-0122-嘉偉&gt;元美&gt;寄&gt;附發票&gt;附回郵</v>
          </cell>
          <cell r="AM3511" t="str">
            <v>1-0122</v>
          </cell>
        </row>
        <row r="3512">
          <cell r="AK3512" t="str">
            <v>KEG-6678</v>
          </cell>
          <cell r="AL3512" t="str">
            <v>1-0215-慶豐金紙&gt;盈順&gt;寄&gt;附回郵</v>
          </cell>
          <cell r="AM3512" t="str">
            <v>1-0215</v>
          </cell>
        </row>
        <row r="3513">
          <cell r="AK3513" t="str">
            <v>ABH-0375</v>
          </cell>
          <cell r="AL3513" t="str">
            <v>1-0122-嘉偉&gt;元美&gt;寄&gt;附發票&gt;附回郵</v>
          </cell>
          <cell r="AM3513" t="str">
            <v>1-0122</v>
          </cell>
        </row>
        <row r="3514">
          <cell r="AK3514" t="str">
            <v>ALJ-6778</v>
          </cell>
          <cell r="AL3514" t="str">
            <v>1-0484-世鑫營造&gt;寄&gt;附發票&gt;2個月匯款</v>
          </cell>
          <cell r="AM3514" t="str">
            <v>1-0484</v>
          </cell>
        </row>
        <row r="3515">
          <cell r="AK3515" t="str">
            <v>KLJ-9178</v>
          </cell>
          <cell r="AL3515" t="str">
            <v>1-0260-曾士豪(兩斤)&gt;正欣&gt;寄&gt;匯款</v>
          </cell>
          <cell r="AM3515" t="str">
            <v>1-0260</v>
          </cell>
        </row>
        <row r="3516">
          <cell r="AK3516" t="str">
            <v>BS-408</v>
          </cell>
          <cell r="AL3516" t="str">
            <v>1-0416-竹南鎮公所&gt;寄&gt;附發票&gt;附回郵</v>
          </cell>
          <cell r="AM3516" t="str">
            <v>1-0416</v>
          </cell>
        </row>
        <row r="3517">
          <cell r="AK3517" t="str">
            <v>7751-TX</v>
          </cell>
          <cell r="AL3517" t="str">
            <v>1-0416-竹南鎮公所&gt;寄&gt;附發票&gt;附回郵</v>
          </cell>
          <cell r="AM3517" t="str">
            <v>1-0416</v>
          </cell>
        </row>
        <row r="3518">
          <cell r="AK3518" t="str">
            <v>7921-B6</v>
          </cell>
          <cell r="AL3518" t="str">
            <v>1-0416-竹南鎮公所&gt;寄&gt;附發票&gt;附回郵</v>
          </cell>
          <cell r="AM3518" t="str">
            <v>1-0416</v>
          </cell>
        </row>
        <row r="3519">
          <cell r="AK3519" t="str">
            <v>KEE-2030</v>
          </cell>
          <cell r="AL3519" t="str">
            <v>1-0416-竹南鎮公所&gt;寄&gt;附發票&gt;附回郵</v>
          </cell>
          <cell r="AM3519" t="str">
            <v>1-0416</v>
          </cell>
        </row>
        <row r="3520">
          <cell r="AK3520" t="str">
            <v>ATB-3871</v>
          </cell>
          <cell r="AL3520" t="str">
            <v>1-0416-竹南鎮公所&gt;寄&gt;附發票&gt;附回郵</v>
          </cell>
          <cell r="AM3520" t="str">
            <v>1-0416</v>
          </cell>
        </row>
        <row r="3521">
          <cell r="AK3521" t="str">
            <v>4450-B6</v>
          </cell>
          <cell r="AL3521" t="str">
            <v>1-0416-竹南鎮公所&gt;寄&gt;附發票&gt;附回郵</v>
          </cell>
          <cell r="AM3521" t="str">
            <v>1-0416</v>
          </cell>
        </row>
        <row r="3522">
          <cell r="AK3522" t="str">
            <v>KLG-3109</v>
          </cell>
          <cell r="AL3522" t="str">
            <v>1-0844-日中&gt;自結&gt;</v>
          </cell>
          <cell r="AM3522" t="str">
            <v>1-0844</v>
          </cell>
        </row>
        <row r="3523">
          <cell r="AK3523" t="str">
            <v>BBW-2062</v>
          </cell>
          <cell r="AL3523" t="str">
            <v>1-0215-慶豐金紙&gt;盈順&gt;寄&gt;附回郵</v>
          </cell>
          <cell r="AM3523" t="str">
            <v>1-0215</v>
          </cell>
        </row>
        <row r="3524">
          <cell r="AK3524" t="str">
            <v>793-TK</v>
          </cell>
          <cell r="AL3524" t="str">
            <v>1-0861-泰升紙器有限公司&gt;寄&gt;附發票&gt;附回郵</v>
          </cell>
          <cell r="AM3524" t="str">
            <v>1-0861</v>
          </cell>
        </row>
        <row r="3525">
          <cell r="AK3525" t="str">
            <v>AAJ-969</v>
          </cell>
          <cell r="AL3525" t="str">
            <v>1-0867-祥峰衛生行&gt;寄&gt;附發票&gt;自結</v>
          </cell>
          <cell r="AM3525" t="str">
            <v>1-0867</v>
          </cell>
        </row>
        <row r="3526">
          <cell r="AK3526" t="str">
            <v>KEA-9679</v>
          </cell>
          <cell r="AL3526" t="str">
            <v>1-0867-祥峰衛生行&gt;寄&gt;附發票&gt;自結</v>
          </cell>
          <cell r="AM3526" t="str">
            <v>1-0867</v>
          </cell>
        </row>
        <row r="3527">
          <cell r="AK3527" t="str">
            <v>AHQ-8566</v>
          </cell>
          <cell r="AL3527" t="str">
            <v>1-0867-祥峰衛生行&gt;寄&gt;附發票&gt;自結</v>
          </cell>
          <cell r="AM3527" t="str">
            <v>1-0867</v>
          </cell>
        </row>
        <row r="3528">
          <cell r="AK3528" t="str">
            <v>KEG-6537</v>
          </cell>
          <cell r="AL3528" t="str">
            <v>1-0867-祥峰衛生行&gt;寄&gt;附發票&gt;自結</v>
          </cell>
          <cell r="AM3528" t="str">
            <v>1-0867</v>
          </cell>
        </row>
        <row r="3529">
          <cell r="AK3529" t="str">
            <v>968-RS</v>
          </cell>
          <cell r="AL3529" t="str">
            <v>1-0497-偉全&gt;現結&gt;附發票</v>
          </cell>
          <cell r="AM3529" t="str">
            <v>1-0497</v>
          </cell>
        </row>
        <row r="3530">
          <cell r="AK3530" t="str">
            <v>920-VN</v>
          </cell>
          <cell r="AL3530" t="str">
            <v>1-0346-進發&gt;寄&gt;附發票&gt;附回郵</v>
          </cell>
          <cell r="AM3530" t="str">
            <v>1-0346</v>
          </cell>
        </row>
        <row r="3531">
          <cell r="AK3531" t="str">
            <v>KLF-8101</v>
          </cell>
          <cell r="AL3531" t="str">
            <v>1-0869-詹兆智&gt;電&gt;自結</v>
          </cell>
          <cell r="AM3531" t="str">
            <v>1-0869</v>
          </cell>
        </row>
        <row r="3532">
          <cell r="AK3532" t="str">
            <v>KEK-3058</v>
          </cell>
          <cell r="AL3532" t="str">
            <v>1-0179-竤星企業社&gt;寄&gt;附發票&gt;自結&gt;勿電</v>
          </cell>
          <cell r="AM3532" t="str">
            <v>1-0179</v>
          </cell>
        </row>
        <row r="3533">
          <cell r="AK3533" t="str">
            <v>KAB-0861</v>
          </cell>
          <cell r="AL3533" t="str">
            <v>1-0118-金昌&gt;寄&gt;附發票&gt;附回郵</v>
          </cell>
          <cell r="AM3533" t="str">
            <v>1-0118</v>
          </cell>
        </row>
        <row r="3534">
          <cell r="AK3534" t="str">
            <v>KEK-0388</v>
          </cell>
          <cell r="AL3534" t="str">
            <v>1-0303-江正榮＞阿妙-永慶&gt;寄&gt;自結</v>
          </cell>
          <cell r="AM3534" t="str">
            <v>1-0303</v>
          </cell>
        </row>
        <row r="3535">
          <cell r="AK3535" t="str">
            <v>KLG-2981</v>
          </cell>
          <cell r="AL3535" t="str">
            <v>1-0844-日中&gt;自結&gt;</v>
          </cell>
          <cell r="AM3535" t="str">
            <v>1-0844</v>
          </cell>
        </row>
        <row r="3536">
          <cell r="AK3536" t="str">
            <v>KEK-8081</v>
          </cell>
          <cell r="AL3536" t="str">
            <v>1-0871-乾通企業社&gt;寄&gt;匯款</v>
          </cell>
          <cell r="AM3536" t="str">
            <v>1-0871</v>
          </cell>
        </row>
        <row r="3537">
          <cell r="AK3537" t="str">
            <v>KLG-2978</v>
          </cell>
          <cell r="AL3537" t="str">
            <v>1-0844-日中&gt;自結&gt;</v>
          </cell>
          <cell r="AM3537" t="str">
            <v>1-0844</v>
          </cell>
        </row>
        <row r="3538">
          <cell r="AK3538" t="str">
            <v>KLD-3111</v>
          </cell>
          <cell r="AL3538" t="str">
            <v>1-0871-乾通企業社&gt;寄&gt;匯款</v>
          </cell>
          <cell r="AM3538" t="str">
            <v>1-0871</v>
          </cell>
        </row>
        <row r="3539">
          <cell r="AK3539" t="str">
            <v>760-Y7</v>
          </cell>
          <cell r="AL3539" t="str">
            <v>1-0231-建龍&gt;寄&gt;附發票&gt;附回郵</v>
          </cell>
          <cell r="AM3539" t="str">
            <v>1-0231</v>
          </cell>
        </row>
        <row r="3540">
          <cell r="AK3540" t="str">
            <v>AYE-6281</v>
          </cell>
          <cell r="AL3540" t="str">
            <v>1-0465-原新金屬&gt;寄&gt;附發票&gt;附回郵</v>
          </cell>
          <cell r="AM3540" t="str">
            <v>1-0465</v>
          </cell>
        </row>
        <row r="3541">
          <cell r="AK3541" t="str">
            <v>KLG-2796</v>
          </cell>
          <cell r="AL3541" t="str">
            <v>1-0844-日中&gt;自結&gt;</v>
          </cell>
          <cell r="AM3541" t="str">
            <v>1-0844</v>
          </cell>
        </row>
        <row r="3542">
          <cell r="AK3542" t="str">
            <v>KLJ-9123</v>
          </cell>
          <cell r="AL3542" t="str">
            <v>1-0103-何文光&gt;鴻富&gt;電&gt;匯款</v>
          </cell>
          <cell r="AM3542" t="str">
            <v>1-0103</v>
          </cell>
        </row>
        <row r="3543">
          <cell r="AK3543" t="str">
            <v>KLA-1688</v>
          </cell>
          <cell r="AL3543" t="str">
            <v>1-0873-運祥工程行-寄&gt;匯款</v>
          </cell>
          <cell r="AM3543" t="str">
            <v>1-0873</v>
          </cell>
        </row>
        <row r="3544">
          <cell r="AK3544" t="str">
            <v>975-5A</v>
          </cell>
          <cell r="AL3544" t="str">
            <v>1-0607-(2/2)瑋鎰&gt;寄&gt;附發票&gt;附回郵</v>
          </cell>
          <cell r="AM3544" t="str">
            <v>1-0607</v>
          </cell>
        </row>
        <row r="3545">
          <cell r="AK3545" t="str">
            <v>KLG-3111</v>
          </cell>
          <cell r="AL3545" t="str">
            <v>1-0844-日中&gt;自結&gt;</v>
          </cell>
          <cell r="AM3545" t="str">
            <v>1-0844</v>
          </cell>
        </row>
        <row r="3546">
          <cell r="AK3546" t="str">
            <v>AYE-6271</v>
          </cell>
          <cell r="AL3546" t="str">
            <v>1-0465-原新金屬&gt;寄&gt;附發票&gt;附回郵</v>
          </cell>
          <cell r="AM3546" t="str">
            <v>1-0465</v>
          </cell>
        </row>
        <row r="3547">
          <cell r="AK3547" t="str">
            <v>KEK-8592</v>
          </cell>
          <cell r="AL3547" t="str">
            <v>1-0021-毅和&gt;寄&gt;附發票&gt;附回郵</v>
          </cell>
          <cell r="AM3547" t="str">
            <v>1-0021</v>
          </cell>
        </row>
        <row r="3548">
          <cell r="AK3548" t="str">
            <v>KEA-9139</v>
          </cell>
          <cell r="AL3548" t="str">
            <v>1-0255-優泥&gt;寄&gt;附發票&gt;附回郵</v>
          </cell>
          <cell r="AM3548" t="str">
            <v>1-0255</v>
          </cell>
        </row>
        <row r="3549">
          <cell r="AK3549" t="str">
            <v>KLJ-9166</v>
          </cell>
          <cell r="AL3549" t="str">
            <v>1-0905-黃耀祖&gt;恆誼化工&gt;嘉盛&gt;志鈞&gt;寄&gt;附回郵</v>
          </cell>
          <cell r="AM3549" t="str">
            <v>1-0905</v>
          </cell>
        </row>
        <row r="3550">
          <cell r="AK3550" t="str">
            <v>KAA-3287</v>
          </cell>
          <cell r="AL3550" t="str">
            <v>1-0122-嘉偉&gt;元美&gt;寄&gt;附發票&gt;附回郵</v>
          </cell>
          <cell r="AM3550" t="str">
            <v>1-0122</v>
          </cell>
        </row>
        <row r="3551">
          <cell r="AK3551" t="str">
            <v>KLA-5055</v>
          </cell>
          <cell r="AL3551" t="str">
            <v>1-0661-泰華通運&gt;寄&gt;附發票&gt;附回郵</v>
          </cell>
          <cell r="AM3551" t="str">
            <v>1-0661</v>
          </cell>
        </row>
        <row r="3552">
          <cell r="AK3552" t="str">
            <v>板26-VR</v>
          </cell>
          <cell r="AL3552" t="str">
            <v>1-0706-(2/3)福民&gt;寄&gt;附發票&gt;附回郵</v>
          </cell>
          <cell r="AM3552" t="str">
            <v>1-0706</v>
          </cell>
        </row>
        <row r="3553">
          <cell r="AK3553" t="str">
            <v>KEG-5779</v>
          </cell>
          <cell r="AL3553" t="str">
            <v>1-0492-佳能環保&gt;鳳屏&gt;新益慶&gt;寄&gt;附發票&gt;一個月匯款</v>
          </cell>
          <cell r="AM3553" t="str">
            <v>1-0492</v>
          </cell>
        </row>
        <row r="3554">
          <cell r="AK3554" t="str">
            <v>BCC-3803</v>
          </cell>
          <cell r="AL3554" t="str">
            <v>1-0711-耕溢&gt;寄&gt;附發票&gt;附回郵</v>
          </cell>
          <cell r="AM3554" t="str">
            <v>1-0711</v>
          </cell>
        </row>
        <row r="3555">
          <cell r="AK3555" t="str">
            <v>103-X5</v>
          </cell>
          <cell r="AL3555" t="str">
            <v>1-0706-(2/3)福民&gt;寄&gt;附發票&gt;附回郵</v>
          </cell>
          <cell r="AM3555" t="str">
            <v>1-0706</v>
          </cell>
        </row>
        <row r="3556">
          <cell r="AK3556" t="str">
            <v>板HBA-9698</v>
          </cell>
          <cell r="AL3556" t="str">
            <v>1-0707-(3/3)福麗&gt;寄&gt;附發票&gt;附回郵</v>
          </cell>
          <cell r="AM3556" t="str">
            <v>1-0707</v>
          </cell>
        </row>
        <row r="3557">
          <cell r="AK3557" t="str">
            <v>KEA-9537</v>
          </cell>
          <cell r="AL3557" t="str">
            <v>1-0708-久久環保&gt;寄&gt;附回郵&gt;附發票</v>
          </cell>
          <cell r="AM3557" t="str">
            <v>1-0708</v>
          </cell>
        </row>
        <row r="3558">
          <cell r="AK3558" t="str">
            <v>KLG-3110</v>
          </cell>
          <cell r="AL3558" t="str">
            <v>1-0844-日中&gt;自結&gt;</v>
          </cell>
          <cell r="AM3558" t="str">
            <v>1-0844</v>
          </cell>
        </row>
        <row r="3559">
          <cell r="AK3559" t="str">
            <v>KLJ-9097</v>
          </cell>
          <cell r="AL3559" t="str">
            <v>1-0877-金鈺交通&gt;寄&gt;附回郵(3/3)</v>
          </cell>
          <cell r="AM3559" t="str">
            <v>1-0877</v>
          </cell>
        </row>
        <row r="3560">
          <cell r="AK3560" t="str">
            <v>KLJ-6537</v>
          </cell>
          <cell r="AL3560" t="str">
            <v>1-0303-江正榮＞阿妙-永慶&gt;寄&gt;自結</v>
          </cell>
          <cell r="AM3560" t="str">
            <v>1-0303</v>
          </cell>
        </row>
        <row r="3561">
          <cell r="AK3561" t="str">
            <v>KEK-3555</v>
          </cell>
          <cell r="AL3561" t="str">
            <v>1-0856-發彩環保&gt;弘力&gt;寄&gt;附發票&gt;附回郵</v>
          </cell>
          <cell r="AM3561" t="str">
            <v>1-0856</v>
          </cell>
        </row>
        <row r="3562">
          <cell r="AK3562" t="str">
            <v>258-VB</v>
          </cell>
          <cell r="AL3562" t="str">
            <v>1-0861-泰升紙器有限公司&gt;寄&gt;附發票&gt;附回郵</v>
          </cell>
          <cell r="AM3562" t="str">
            <v>1-0861</v>
          </cell>
        </row>
        <row r="3563">
          <cell r="AK3563" t="str">
            <v>KLD-3902</v>
          </cell>
          <cell r="AL3563" t="str">
            <v>1-0040-久大&gt;寄&gt;附回郵</v>
          </cell>
          <cell r="AM3563" t="str">
            <v>1-0040</v>
          </cell>
        </row>
        <row r="3564">
          <cell r="AK3564" t="str">
            <v>KLF-8172</v>
          </cell>
          <cell r="AL3564" t="str">
            <v>1-0519-謝志明&gt;電&gt;自結&gt;匯款0218250．0503740.</v>
          </cell>
          <cell r="AM3564" t="str">
            <v>1-0519</v>
          </cell>
        </row>
        <row r="3565">
          <cell r="AK3565" t="str">
            <v>140-Q2</v>
          </cell>
          <cell r="AL3565" t="str">
            <v>1-0328-平順&gt;寄&gt;附發票&gt;附回郵</v>
          </cell>
          <cell r="AM3565" t="str">
            <v>1-0328</v>
          </cell>
        </row>
        <row r="3566">
          <cell r="AK3566" t="str">
            <v>板9H-57</v>
          </cell>
          <cell r="AL3566" t="str">
            <v>1-0607-(2/2)瑋鎰&gt;寄&gt;附發票&gt;附回郵</v>
          </cell>
          <cell r="AM3566" t="str">
            <v>1-0607</v>
          </cell>
        </row>
        <row r="3567">
          <cell r="AK3567" t="str">
            <v>018-BS</v>
          </cell>
          <cell r="AL3567" t="str">
            <v>1-0856-發彩環保&gt;弘力&gt;寄&gt;附發票&gt;附回郵</v>
          </cell>
          <cell r="AM3567" t="str">
            <v>1-0856</v>
          </cell>
        </row>
        <row r="3568">
          <cell r="AK3568" t="str">
            <v>KED-2250</v>
          </cell>
          <cell r="AL3568" t="str">
            <v>1-0379-崴武&gt;寄&gt;附發票&gt;附回郵</v>
          </cell>
          <cell r="AM3568" t="str">
            <v>1-0379</v>
          </cell>
        </row>
        <row r="3569">
          <cell r="AK3569" t="str">
            <v>648-H8</v>
          </cell>
          <cell r="AL3569" t="str">
            <v>1-0571-賴鼎龍&gt;菱揚&gt;酒空&gt;寄&gt;自結</v>
          </cell>
          <cell r="AM3569" t="str">
            <v>1-0571</v>
          </cell>
        </row>
        <row r="3570">
          <cell r="AK3570" t="str">
            <v>KEG-5853</v>
          </cell>
          <cell r="AL3570" t="str">
            <v>1-0625-(2/3)永矩(卡車)&gt;寄&gt;附發票&gt;附回郵</v>
          </cell>
          <cell r="AM3570" t="str">
            <v>1-0625</v>
          </cell>
        </row>
        <row r="3571">
          <cell r="AK3571" t="str">
            <v>LAJ-575</v>
          </cell>
          <cell r="AL3571" t="str">
            <v>1-0706-(2/3)福民&gt;寄&gt;附發票&gt;附回郵</v>
          </cell>
          <cell r="AM3571" t="str">
            <v>1-0706</v>
          </cell>
        </row>
        <row r="3572">
          <cell r="AK3572" t="str">
            <v>板28-QD</v>
          </cell>
          <cell r="AL3572" t="str">
            <v>1-0706-(2/3)福民&gt;寄&gt;附發票&gt;附回郵</v>
          </cell>
          <cell r="AM3572" t="str">
            <v>1-0706</v>
          </cell>
        </row>
        <row r="3573">
          <cell r="AK3573" t="str">
            <v>293-KS</v>
          </cell>
          <cell r="AL3573" t="str">
            <v>1-0661-泰華通運&gt;寄&gt;附發票&gt;附回郵</v>
          </cell>
          <cell r="AM3573" t="str">
            <v>1-0661</v>
          </cell>
        </row>
        <row r="3574">
          <cell r="AK3574" t="str">
            <v>KAA-3322</v>
          </cell>
          <cell r="AL3574" t="str">
            <v>1-0347-仁德&gt;寄&gt;附發票&gt;附回郵</v>
          </cell>
          <cell r="AM3574" t="str">
            <v>1-0347</v>
          </cell>
        </row>
        <row r="3575">
          <cell r="AK3575" t="str">
            <v>KEG-6398</v>
          </cell>
          <cell r="AL3575" t="str">
            <v>1-0368-銀城&gt;寄&gt;附發票&gt;附回郵</v>
          </cell>
          <cell r="AM3575" t="str">
            <v>1-0368</v>
          </cell>
        </row>
        <row r="3576">
          <cell r="AK3576" t="str">
            <v>KEA-9023</v>
          </cell>
          <cell r="AL3576" t="str">
            <v>1-0023-楊育茹&gt;拓隆&gt;廣丞&gt;寄&gt;附發票&gt;附回郵</v>
          </cell>
          <cell r="AM3576" t="str">
            <v>1-0023</v>
          </cell>
        </row>
        <row r="3577">
          <cell r="AK3577" t="str">
            <v>KLD-5878</v>
          </cell>
          <cell r="AL3577" t="str">
            <v>1-0608-聯倉&gt;寄&gt;附發票&gt;附回郵</v>
          </cell>
          <cell r="AM3577" t="str">
            <v>1-0608</v>
          </cell>
        </row>
        <row r="3578">
          <cell r="AK3578" t="str">
            <v>RY-969</v>
          </cell>
          <cell r="AL3578" t="str">
            <v>1-0838-嘉盛汽車&gt;寄&gt;附發票&gt;附回郵</v>
          </cell>
          <cell r="AM3578" t="str">
            <v>1-0838</v>
          </cell>
        </row>
        <row r="3579">
          <cell r="AK3579" t="str">
            <v>KAA-3329</v>
          </cell>
          <cell r="AL3579" t="str">
            <v>1-0118-金昌&gt;寄&gt;附發票&gt;附回郵</v>
          </cell>
          <cell r="AM3579" t="str">
            <v>1-0118</v>
          </cell>
        </row>
        <row r="3580">
          <cell r="AK3580" t="str">
            <v>179-VS</v>
          </cell>
          <cell r="AL3580" t="str">
            <v>1-0534-輝煌.金仕&gt;新棋興&gt;小額不寄&gt;自結</v>
          </cell>
          <cell r="AM3580" t="str">
            <v>1-0534</v>
          </cell>
        </row>
        <row r="3581">
          <cell r="AK3581" t="str">
            <v>4769-T6</v>
          </cell>
          <cell r="AL3581" t="str">
            <v>1-0524-馬董&gt;親送收</v>
          </cell>
          <cell r="AM3581" t="str">
            <v>1-0524</v>
          </cell>
        </row>
        <row r="3582">
          <cell r="AK3582" t="str">
            <v>板HAA-6578</v>
          </cell>
          <cell r="AL3582" t="str">
            <v>1-0023-楊育茹&gt;拓隆&gt;廣丞&gt;寄&gt;附發票&gt;附回郵</v>
          </cell>
          <cell r="AM3582" t="str">
            <v>1-0023</v>
          </cell>
        </row>
        <row r="3583">
          <cell r="AK3583" t="str">
            <v>KLF-8079</v>
          </cell>
          <cell r="AL3583" t="str">
            <v>1-0047-(2/4)鴻安&gt;寄&gt;附發票&gt;附回郵</v>
          </cell>
          <cell r="AM3583" t="str">
            <v>1-0047</v>
          </cell>
        </row>
        <row r="3584">
          <cell r="AK3584" t="str">
            <v>807-V6</v>
          </cell>
          <cell r="AL3584" t="str">
            <v>1-0347-仁德&gt;寄&gt;附發票&gt;附回郵</v>
          </cell>
          <cell r="AM3584" t="str">
            <v>1-0347</v>
          </cell>
        </row>
        <row r="3585">
          <cell r="AK3585" t="str">
            <v>KLA-5053</v>
          </cell>
          <cell r="AL3585" t="str">
            <v>1-0661-泰華通運&gt;寄&gt;附發票&gt;附回郵</v>
          </cell>
          <cell r="AM3585" t="str">
            <v>1-0661</v>
          </cell>
        </row>
        <row r="3586">
          <cell r="AK3586" t="str">
            <v>KLA-5286</v>
          </cell>
          <cell r="AL3586" t="str">
            <v>1-0661-泰華通運&gt;寄&gt;附發票&gt;附回郵</v>
          </cell>
          <cell r="AM3586" t="str">
            <v>1-0661</v>
          </cell>
        </row>
        <row r="3587">
          <cell r="AL3587" t="str"/>
          <cell r="AM3587">
            <v>0</v>
          </cell>
        </row>
        <row r="3588">
          <cell r="AL3588" t="str"/>
          <cell r="AM3588">
            <v>0</v>
          </cell>
        </row>
        <row r="3589">
          <cell r="AL3589" t="str"/>
          <cell r="AM3589">
            <v>0</v>
          </cell>
        </row>
        <row r="3590">
          <cell r="AL3590" t="str"/>
          <cell r="AM3590">
            <v>0</v>
          </cell>
        </row>
        <row r="3591">
          <cell r="AL3591" t="str"/>
          <cell r="AM3591">
            <v>0</v>
          </cell>
        </row>
        <row r="3592">
          <cell r="AL3592" t="str"/>
          <cell r="AM3592">
            <v>0</v>
          </cell>
        </row>
        <row r="3593">
          <cell r="AL3593" t="str"/>
          <cell r="AM3593">
            <v>0</v>
          </cell>
        </row>
        <row r="3594">
          <cell r="AL3594" t="str"/>
          <cell r="AM3594">
            <v>0</v>
          </cell>
        </row>
        <row r="3595">
          <cell r="AL3595" t="str"/>
          <cell r="AM3595">
            <v>0</v>
          </cell>
        </row>
        <row r="3596">
          <cell r="AL3596" t="str"/>
          <cell r="AM3596">
            <v>0</v>
          </cell>
        </row>
        <row r="3597">
          <cell r="AL3597" t="str"/>
          <cell r="AM3597">
            <v>0</v>
          </cell>
        </row>
        <row r="3598">
          <cell r="AL3598" t="str"/>
          <cell r="AM3598">
            <v>0</v>
          </cell>
        </row>
        <row r="3599">
          <cell r="AL3599" t="str"/>
          <cell r="AM3599">
            <v>0</v>
          </cell>
        </row>
        <row r="3600">
          <cell r="AL3600" t="str"/>
          <cell r="AM3600">
            <v>0</v>
          </cell>
        </row>
        <row r="3601">
          <cell r="AL3601" t="str"/>
          <cell r="AM3601">
            <v>0</v>
          </cell>
        </row>
        <row r="3602">
          <cell r="AL3602" t="str"/>
          <cell r="AM3602">
            <v>0</v>
          </cell>
        </row>
        <row r="3603">
          <cell r="AL3603" t="str"/>
          <cell r="AM3603">
            <v>0</v>
          </cell>
        </row>
        <row r="3604">
          <cell r="AL3604" t="str"/>
          <cell r="AM3604">
            <v>0</v>
          </cell>
        </row>
        <row r="3605">
          <cell r="AL3605" t="str"/>
          <cell r="AM3605">
            <v>0</v>
          </cell>
        </row>
        <row r="3606">
          <cell r="AL3606" t="str"/>
          <cell r="AM3606">
            <v>0</v>
          </cell>
        </row>
        <row r="3607">
          <cell r="AL3607" t="str"/>
          <cell r="AM3607">
            <v>0</v>
          </cell>
        </row>
        <row r="3608">
          <cell r="AL3608" t="str"/>
          <cell r="AM3608">
            <v>0</v>
          </cell>
        </row>
        <row r="3609">
          <cell r="AL3609" t="str"/>
          <cell r="AM3609">
            <v>0</v>
          </cell>
        </row>
        <row r="3610">
          <cell r="AL3610" t="str"/>
          <cell r="AM3610">
            <v>0</v>
          </cell>
        </row>
        <row r="3611">
          <cell r="AL3611" t="str"/>
          <cell r="AM3611">
            <v>0</v>
          </cell>
        </row>
        <row r="3612">
          <cell r="AL3612" t="str"/>
          <cell r="AM3612">
            <v>0</v>
          </cell>
        </row>
        <row r="3613">
          <cell r="AL3613" t="str"/>
          <cell r="AM3613">
            <v>0</v>
          </cell>
        </row>
        <row r="3614">
          <cell r="AL3614" t="str"/>
          <cell r="AM3614">
            <v>0</v>
          </cell>
        </row>
        <row r="3615">
          <cell r="AL3615" t="str"/>
          <cell r="AM3615">
            <v>0</v>
          </cell>
        </row>
        <row r="3616">
          <cell r="AL3616" t="str"/>
          <cell r="AM3616">
            <v>0</v>
          </cell>
        </row>
        <row r="3617">
          <cell r="AL3617" t="str"/>
          <cell r="AM3617">
            <v>0</v>
          </cell>
        </row>
        <row r="3618">
          <cell r="AL3618" t="str"/>
          <cell r="AM3618">
            <v>0</v>
          </cell>
        </row>
        <row r="3619">
          <cell r="AL3619" t="str"/>
          <cell r="AM3619">
            <v>0</v>
          </cell>
        </row>
        <row r="3620">
          <cell r="AL3620" t="str"/>
          <cell r="AM3620">
            <v>0</v>
          </cell>
        </row>
        <row r="3621">
          <cell r="AL3621" t="str"/>
          <cell r="AM3621">
            <v>0</v>
          </cell>
        </row>
        <row r="3622">
          <cell r="AL3622" t="str"/>
          <cell r="AM3622">
            <v>0</v>
          </cell>
        </row>
        <row r="3623">
          <cell r="AL3623" t="str"/>
          <cell r="AM3623">
            <v>0</v>
          </cell>
        </row>
        <row r="3624">
          <cell r="AL3624" t="str"/>
          <cell r="AM3624">
            <v>0</v>
          </cell>
        </row>
        <row r="3625">
          <cell r="AL3625" t="str"/>
          <cell r="AM3625">
            <v>0</v>
          </cell>
        </row>
        <row r="3626">
          <cell r="AL3626" t="str"/>
          <cell r="AM3626">
            <v>0</v>
          </cell>
        </row>
        <row r="3627">
          <cell r="AL3627" t="str"/>
          <cell r="AM3627">
            <v>0</v>
          </cell>
        </row>
        <row r="3628">
          <cell r="AL3628" t="str"/>
          <cell r="AM3628">
            <v>0</v>
          </cell>
        </row>
        <row r="3629">
          <cell r="AL3629" t="str"/>
          <cell r="AM3629">
            <v>0</v>
          </cell>
        </row>
        <row r="3630">
          <cell r="AL3630" t="str"/>
          <cell r="AM3630">
            <v>0</v>
          </cell>
        </row>
        <row r="3631">
          <cell r="AL3631" t="str"/>
          <cell r="AM3631">
            <v>0</v>
          </cell>
        </row>
        <row r="3632">
          <cell r="AL3632" t="str"/>
          <cell r="AM3632">
            <v>0</v>
          </cell>
        </row>
        <row r="3633">
          <cell r="AL3633" t="str"/>
          <cell r="AM3633">
            <v>0</v>
          </cell>
        </row>
        <row r="3634">
          <cell r="AL3634" t="str"/>
          <cell r="AM3634">
            <v>0</v>
          </cell>
        </row>
        <row r="3635">
          <cell r="AL3635" t="str"/>
          <cell r="AM3635">
            <v>0</v>
          </cell>
        </row>
        <row r="3636">
          <cell r="AL3636" t="str"/>
          <cell r="AM3636">
            <v>0</v>
          </cell>
        </row>
        <row r="3637">
          <cell r="AL3637" t="str"/>
          <cell r="AM3637">
            <v>0</v>
          </cell>
        </row>
        <row r="3638">
          <cell r="AL3638" t="str"/>
          <cell r="AM3638">
            <v>0</v>
          </cell>
        </row>
        <row r="3639">
          <cell r="AL3639" t="str"/>
          <cell r="AM3639">
            <v>0</v>
          </cell>
        </row>
        <row r="3640">
          <cell r="AL3640" t="str"/>
          <cell r="AM3640">
            <v>0</v>
          </cell>
        </row>
        <row r="3641">
          <cell r="AL3641" t="str"/>
          <cell r="AM3641">
            <v>0</v>
          </cell>
        </row>
        <row r="3642">
          <cell r="AL3642" t="str"/>
          <cell r="AM3642">
            <v>0</v>
          </cell>
        </row>
        <row r="3643">
          <cell r="AL3643" t="str"/>
          <cell r="AM3643">
            <v>0</v>
          </cell>
        </row>
        <row r="3644">
          <cell r="AL3644" t="str"/>
          <cell r="AM3644">
            <v>0</v>
          </cell>
        </row>
        <row r="3645">
          <cell r="AL3645" t="str"/>
          <cell r="AM3645">
            <v>0</v>
          </cell>
        </row>
        <row r="3646">
          <cell r="AL3646" t="str"/>
          <cell r="AM3646">
            <v>0</v>
          </cell>
        </row>
        <row r="3647">
          <cell r="AL3647" t="str"/>
          <cell r="AM3647">
            <v>0</v>
          </cell>
        </row>
        <row r="3648">
          <cell r="AL3648" t="str"/>
          <cell r="AM3648">
            <v>0</v>
          </cell>
        </row>
        <row r="3649">
          <cell r="AL3649" t="str"/>
          <cell r="AM3649">
            <v>0</v>
          </cell>
        </row>
        <row r="3650">
          <cell r="AL3650" t="str"/>
          <cell r="AM3650">
            <v>0</v>
          </cell>
        </row>
        <row r="3651">
          <cell r="AL3651" t="str"/>
          <cell r="AM3651">
            <v>0</v>
          </cell>
        </row>
        <row r="3652">
          <cell r="AL3652" t="str"/>
          <cell r="AM3652">
            <v>0</v>
          </cell>
        </row>
        <row r="3653">
          <cell r="AL3653" t="str"/>
          <cell r="AM3653">
            <v>0</v>
          </cell>
        </row>
        <row r="3654">
          <cell r="AL3654" t="str"/>
          <cell r="AM3654">
            <v>0</v>
          </cell>
        </row>
        <row r="3655">
          <cell r="AL3655" t="str"/>
          <cell r="AM3655">
            <v>0</v>
          </cell>
        </row>
        <row r="3656">
          <cell r="AL3656" t="str"/>
          <cell r="AM3656">
            <v>0</v>
          </cell>
        </row>
        <row r="3657">
          <cell r="AL3657" t="str"/>
          <cell r="AM3657">
            <v>0</v>
          </cell>
        </row>
        <row r="3658">
          <cell r="AL3658" t="str"/>
          <cell r="AM3658">
            <v>0</v>
          </cell>
        </row>
        <row r="3659">
          <cell r="AL3659" t="str"/>
          <cell r="AM3659">
            <v>0</v>
          </cell>
        </row>
        <row r="3660">
          <cell r="AL3660" t="str"/>
          <cell r="AM3660">
            <v>0</v>
          </cell>
        </row>
        <row r="3661">
          <cell r="AL3661" t="str"/>
          <cell r="AM3661">
            <v>0</v>
          </cell>
        </row>
        <row r="3662">
          <cell r="AL3662" t="str"/>
          <cell r="AM3662">
            <v>0</v>
          </cell>
        </row>
        <row r="3663">
          <cell r="AL3663" t="str"/>
          <cell r="AM3663">
            <v>0</v>
          </cell>
        </row>
        <row r="3664">
          <cell r="AL3664" t="str"/>
          <cell r="AM3664">
            <v>0</v>
          </cell>
        </row>
        <row r="3665">
          <cell r="AL3665" t="str"/>
          <cell r="AM3665">
            <v>0</v>
          </cell>
        </row>
        <row r="3666">
          <cell r="AL3666" t="str"/>
          <cell r="AM3666">
            <v>0</v>
          </cell>
        </row>
        <row r="3667">
          <cell r="AL3667" t="str"/>
          <cell r="AM3667">
            <v>0</v>
          </cell>
        </row>
        <row r="3668">
          <cell r="AL3668" t="str"/>
          <cell r="AM3668">
            <v>0</v>
          </cell>
        </row>
        <row r="3669">
          <cell r="AL3669" t="str"/>
          <cell r="AM3669">
            <v>0</v>
          </cell>
        </row>
        <row r="3670">
          <cell r="AL3670" t="str"/>
          <cell r="AM3670">
            <v>0</v>
          </cell>
        </row>
        <row r="3671">
          <cell r="AL3671" t="str"/>
          <cell r="AM3671">
            <v>0</v>
          </cell>
        </row>
        <row r="3672">
          <cell r="AL3672" t="str"/>
          <cell r="AM3672">
            <v>0</v>
          </cell>
        </row>
        <row r="3673">
          <cell r="AL3673" t="str"/>
          <cell r="AM3673">
            <v>0</v>
          </cell>
        </row>
        <row r="3674">
          <cell r="AL3674" t="str"/>
          <cell r="AM3674">
            <v>0</v>
          </cell>
        </row>
        <row r="3675">
          <cell r="AL3675" t="str"/>
          <cell r="AM3675">
            <v>0</v>
          </cell>
        </row>
        <row r="3676">
          <cell r="AL3676" t="str"/>
          <cell r="AM3676">
            <v>0</v>
          </cell>
        </row>
        <row r="3677">
          <cell r="AL3677" t="str"/>
          <cell r="AM3677">
            <v>0</v>
          </cell>
        </row>
        <row r="3678">
          <cell r="AL3678" t="str"/>
          <cell r="AM3678">
            <v>0</v>
          </cell>
        </row>
        <row r="3679">
          <cell r="AL3679" t="str"/>
          <cell r="AM3679">
            <v>0</v>
          </cell>
        </row>
        <row r="3680">
          <cell r="AL3680" t="str"/>
          <cell r="AM3680">
            <v>0</v>
          </cell>
        </row>
        <row r="3681">
          <cell r="AL3681" t="str"/>
          <cell r="AM3681">
            <v>0</v>
          </cell>
        </row>
        <row r="3682">
          <cell r="AL3682" t="str"/>
          <cell r="AM3682">
            <v>0</v>
          </cell>
        </row>
        <row r="3683">
          <cell r="AL3683" t="str"/>
          <cell r="AM3683">
            <v>0</v>
          </cell>
        </row>
        <row r="3684">
          <cell r="AL3684" t="str"/>
          <cell r="AM3684">
            <v>0</v>
          </cell>
        </row>
        <row r="3685">
          <cell r="AL3685" t="str"/>
          <cell r="AM3685">
            <v>0</v>
          </cell>
        </row>
        <row r="3686">
          <cell r="AL3686" t="str"/>
          <cell r="AM3686">
            <v>0</v>
          </cell>
        </row>
        <row r="3687">
          <cell r="AL3687" t="str"/>
          <cell r="AM3687">
            <v>0</v>
          </cell>
        </row>
        <row r="3688">
          <cell r="AL3688" t="str"/>
          <cell r="AM3688">
            <v>0</v>
          </cell>
        </row>
        <row r="3689">
          <cell r="AL3689" t="str"/>
          <cell r="AM3689">
            <v>0</v>
          </cell>
        </row>
        <row r="3690">
          <cell r="AL3690" t="str"/>
          <cell r="AM3690">
            <v>0</v>
          </cell>
        </row>
        <row r="3691">
          <cell r="AL3691" t="str"/>
          <cell r="AM3691">
            <v>0</v>
          </cell>
        </row>
        <row r="3692">
          <cell r="AL3692" t="str"/>
          <cell r="AM3692">
            <v>0</v>
          </cell>
        </row>
        <row r="3693">
          <cell r="AL3693" t="str"/>
          <cell r="AM3693">
            <v>0</v>
          </cell>
        </row>
        <row r="3694">
          <cell r="AL3694" t="str"/>
          <cell r="AM3694">
            <v>0</v>
          </cell>
        </row>
        <row r="3695">
          <cell r="AL3695" t="str"/>
          <cell r="AM3695">
            <v>0</v>
          </cell>
        </row>
        <row r="3696">
          <cell r="AL3696" t="str"/>
          <cell r="AM3696">
            <v>0</v>
          </cell>
        </row>
        <row r="3697">
          <cell r="AL3697" t="str"/>
          <cell r="AM3697">
            <v>0</v>
          </cell>
        </row>
        <row r="3698">
          <cell r="AL3698" t="str"/>
          <cell r="AM3698">
            <v>0</v>
          </cell>
        </row>
        <row r="3699">
          <cell r="AL3699" t="str"/>
          <cell r="AM3699">
            <v>0</v>
          </cell>
        </row>
        <row r="3700">
          <cell r="AL3700" t="str"/>
          <cell r="AM3700">
            <v>0</v>
          </cell>
        </row>
        <row r="3701">
          <cell r="AL3701" t="str"/>
          <cell r="AM3701">
            <v>0</v>
          </cell>
        </row>
        <row r="3702">
          <cell r="AL3702" t="str"/>
          <cell r="AM3702">
            <v>0</v>
          </cell>
        </row>
        <row r="3703">
          <cell r="AL3703" t="str"/>
          <cell r="AM3703">
            <v>0</v>
          </cell>
        </row>
        <row r="3704">
          <cell r="AL3704" t="str"/>
          <cell r="AM3704">
            <v>0</v>
          </cell>
        </row>
        <row r="3705">
          <cell r="AL3705" t="str"/>
          <cell r="AM3705">
            <v>0</v>
          </cell>
        </row>
        <row r="3706">
          <cell r="AL3706" t="str"/>
          <cell r="AM3706">
            <v>0</v>
          </cell>
        </row>
        <row r="3707">
          <cell r="AL3707" t="str"/>
          <cell r="AM3707">
            <v>0</v>
          </cell>
        </row>
        <row r="3708">
          <cell r="AL3708" t="str"/>
          <cell r="AM3708">
            <v>0</v>
          </cell>
        </row>
        <row r="3709">
          <cell r="AL3709" t="str"/>
          <cell r="AM3709">
            <v>0</v>
          </cell>
        </row>
        <row r="3710">
          <cell r="AL3710" t="str"/>
          <cell r="AM3710">
            <v>0</v>
          </cell>
        </row>
        <row r="3711">
          <cell r="AL3711" t="str"/>
          <cell r="AM3711">
            <v>0</v>
          </cell>
        </row>
        <row r="3712">
          <cell r="AL3712" t="str"/>
          <cell r="AM3712">
            <v>0</v>
          </cell>
        </row>
        <row r="3713">
          <cell r="AL3713" t="str"/>
          <cell r="AM3713">
            <v>0</v>
          </cell>
        </row>
        <row r="3714">
          <cell r="AL3714" t="str"/>
          <cell r="AM3714">
            <v>0</v>
          </cell>
        </row>
        <row r="3715">
          <cell r="AL3715" t="str"/>
          <cell r="AM3715">
            <v>0</v>
          </cell>
        </row>
        <row r="3716">
          <cell r="AL3716" t="str"/>
          <cell r="AM3716">
            <v>0</v>
          </cell>
        </row>
        <row r="3717">
          <cell r="AL3717" t="str"/>
          <cell r="AM3717">
            <v>0</v>
          </cell>
        </row>
        <row r="3718">
          <cell r="AL3718" t="str"/>
          <cell r="AM3718">
            <v>0</v>
          </cell>
        </row>
        <row r="3719">
          <cell r="AL3719" t="str"/>
          <cell r="AM3719">
            <v>0</v>
          </cell>
        </row>
        <row r="3720">
          <cell r="AL3720" t="str"/>
          <cell r="AM3720">
            <v>0</v>
          </cell>
        </row>
        <row r="3721">
          <cell r="AL3721" t="str"/>
          <cell r="AM3721">
            <v>0</v>
          </cell>
        </row>
        <row r="3722">
          <cell r="AL3722" t="str"/>
          <cell r="AM3722">
            <v>0</v>
          </cell>
        </row>
        <row r="3723">
          <cell r="AL3723" t="str"/>
          <cell r="AM3723">
            <v>0</v>
          </cell>
        </row>
        <row r="3724">
          <cell r="AL3724" t="str"/>
          <cell r="AM3724">
            <v>0</v>
          </cell>
        </row>
        <row r="3725">
          <cell r="AL3725" t="str"/>
          <cell r="AM3725">
            <v>0</v>
          </cell>
        </row>
        <row r="3726">
          <cell r="AL3726" t="str"/>
          <cell r="AM3726">
            <v>0</v>
          </cell>
        </row>
        <row r="3727">
          <cell r="AL3727" t="str"/>
          <cell r="AM3727">
            <v>0</v>
          </cell>
        </row>
        <row r="3728">
          <cell r="AL3728" t="str"/>
          <cell r="AM3728">
            <v>0</v>
          </cell>
        </row>
        <row r="3729">
          <cell r="AL3729" t="str"/>
          <cell r="AM3729">
            <v>0</v>
          </cell>
        </row>
        <row r="3730">
          <cell r="AL3730" t="str"/>
          <cell r="AM3730">
            <v>0</v>
          </cell>
        </row>
        <row r="3731">
          <cell r="AL3731" t="str"/>
          <cell r="AM3731">
            <v>0</v>
          </cell>
        </row>
        <row r="3732">
          <cell r="AL3732" t="str"/>
          <cell r="AM3732">
            <v>0</v>
          </cell>
        </row>
        <row r="3733">
          <cell r="AL3733" t="str"/>
          <cell r="AM3733">
            <v>0</v>
          </cell>
        </row>
        <row r="3734">
          <cell r="AL3734" t="str"/>
          <cell r="AM3734">
            <v>0</v>
          </cell>
        </row>
        <row r="3735">
          <cell r="AL3735" t="str"/>
          <cell r="AM3735">
            <v>0</v>
          </cell>
        </row>
        <row r="3736">
          <cell r="AL3736" t="str"/>
          <cell r="AM3736">
            <v>0</v>
          </cell>
        </row>
        <row r="3737">
          <cell r="AL3737" t="str"/>
          <cell r="AM3737">
            <v>0</v>
          </cell>
        </row>
        <row r="3738">
          <cell r="AL3738" t="str"/>
          <cell r="AM3738">
            <v>0</v>
          </cell>
        </row>
        <row r="3739">
          <cell r="AL3739" t="str"/>
          <cell r="AM3739">
            <v>0</v>
          </cell>
        </row>
        <row r="3740">
          <cell r="AL3740" t="str"/>
          <cell r="AM3740">
            <v>0</v>
          </cell>
        </row>
        <row r="3741">
          <cell r="AL3741" t="str"/>
          <cell r="AM3741">
            <v>0</v>
          </cell>
        </row>
        <row r="3742">
          <cell r="AL3742" t="str"/>
          <cell r="AM3742">
            <v>0</v>
          </cell>
        </row>
        <row r="3743">
          <cell r="AL3743" t="str"/>
          <cell r="AM3743">
            <v>0</v>
          </cell>
        </row>
        <row r="3744">
          <cell r="AL3744" t="str"/>
          <cell r="AM3744">
            <v>0</v>
          </cell>
        </row>
        <row r="3745">
          <cell r="AL3745" t="str"/>
          <cell r="AM3745">
            <v>0</v>
          </cell>
        </row>
        <row r="3746">
          <cell r="AL3746" t="str"/>
          <cell r="AM3746">
            <v>0</v>
          </cell>
        </row>
        <row r="3747">
          <cell r="AL3747" t="str"/>
          <cell r="AM3747">
            <v>0</v>
          </cell>
        </row>
        <row r="3748">
          <cell r="AL3748" t="str"/>
          <cell r="AM3748">
            <v>0</v>
          </cell>
        </row>
        <row r="3749">
          <cell r="AL3749" t="str"/>
          <cell r="AM3749">
            <v>0</v>
          </cell>
        </row>
        <row r="3750">
          <cell r="AL3750" t="str"/>
          <cell r="AM3750">
            <v>0</v>
          </cell>
        </row>
        <row r="3751">
          <cell r="AL3751" t="str"/>
          <cell r="AM3751">
            <v>0</v>
          </cell>
        </row>
        <row r="3752">
          <cell r="AL3752" t="str"/>
          <cell r="AM3752">
            <v>0</v>
          </cell>
        </row>
        <row r="3753">
          <cell r="AL3753" t="str"/>
          <cell r="AM3753">
            <v>0</v>
          </cell>
        </row>
        <row r="3754">
          <cell r="AL3754" t="str"/>
          <cell r="AM3754">
            <v>0</v>
          </cell>
        </row>
        <row r="3755">
          <cell r="AL3755" t="str"/>
          <cell r="AM3755">
            <v>0</v>
          </cell>
        </row>
        <row r="3756">
          <cell r="AL3756" t="str"/>
          <cell r="AM3756">
            <v>0</v>
          </cell>
        </row>
        <row r="3757">
          <cell r="AL3757" t="str"/>
          <cell r="AM3757">
            <v>0</v>
          </cell>
        </row>
        <row r="3758">
          <cell r="AL3758" t="str"/>
          <cell r="AM3758">
            <v>0</v>
          </cell>
        </row>
        <row r="3759">
          <cell r="AL3759" t="str"/>
          <cell r="AM3759">
            <v>0</v>
          </cell>
        </row>
        <row r="3760">
          <cell r="AL3760" t="str"/>
          <cell r="AM3760">
            <v>0</v>
          </cell>
        </row>
        <row r="3761">
          <cell r="AL3761" t="str"/>
          <cell r="AM3761">
            <v>0</v>
          </cell>
        </row>
        <row r="3762">
          <cell r="AL3762" t="str"/>
          <cell r="AM3762">
            <v>0</v>
          </cell>
        </row>
        <row r="3763">
          <cell r="AL3763" t="str"/>
          <cell r="AM3763">
            <v>0</v>
          </cell>
        </row>
        <row r="3764">
          <cell r="AL3764" t="str"/>
          <cell r="AM3764">
            <v>0</v>
          </cell>
        </row>
        <row r="3765">
          <cell r="AL3765" t="str"/>
          <cell r="AM3765">
            <v>0</v>
          </cell>
        </row>
        <row r="3766">
          <cell r="AL3766" t="str"/>
          <cell r="AM3766">
            <v>0</v>
          </cell>
        </row>
        <row r="3767">
          <cell r="AL3767" t="str"/>
          <cell r="AM3767">
            <v>0</v>
          </cell>
        </row>
        <row r="3768">
          <cell r="AL3768" t="str"/>
          <cell r="AM3768">
            <v>0</v>
          </cell>
        </row>
        <row r="3769">
          <cell r="AL3769" t="str"/>
          <cell r="AM3769">
            <v>0</v>
          </cell>
        </row>
        <row r="3770">
          <cell r="AL3770" t="str"/>
          <cell r="AM3770">
            <v>0</v>
          </cell>
        </row>
        <row r="3771">
          <cell r="AL3771" t="str"/>
          <cell r="AM3771">
            <v>0</v>
          </cell>
        </row>
        <row r="3772">
          <cell r="AL3772" t="str"/>
          <cell r="AM3772">
            <v>0</v>
          </cell>
        </row>
        <row r="3773">
          <cell r="AL3773" t="str"/>
          <cell r="AM3773">
            <v>0</v>
          </cell>
        </row>
        <row r="3774">
          <cell r="AL3774" t="str"/>
          <cell r="AM3774">
            <v>0</v>
          </cell>
        </row>
        <row r="3775">
          <cell r="AL3775" t="str"/>
          <cell r="AM3775">
            <v>0</v>
          </cell>
        </row>
        <row r="3776">
          <cell r="AL3776" t="str"/>
          <cell r="AM3776">
            <v>0</v>
          </cell>
        </row>
        <row r="3777">
          <cell r="AL3777" t="str"/>
          <cell r="AM3777">
            <v>0</v>
          </cell>
        </row>
        <row r="3778">
          <cell r="AL3778" t="str"/>
          <cell r="AM3778">
            <v>0</v>
          </cell>
        </row>
        <row r="3779">
          <cell r="AL3779" t="str"/>
          <cell r="AM3779">
            <v>0</v>
          </cell>
        </row>
        <row r="3780">
          <cell r="AL3780" t="str"/>
          <cell r="AM3780">
            <v>0</v>
          </cell>
        </row>
        <row r="3781">
          <cell r="AL3781" t="str"/>
          <cell r="AM3781">
            <v>0</v>
          </cell>
        </row>
        <row r="3782">
          <cell r="AL3782" t="str"/>
          <cell r="AM3782">
            <v>0</v>
          </cell>
        </row>
        <row r="3783">
          <cell r="AL3783" t="str"/>
          <cell r="AM3783">
            <v>0</v>
          </cell>
        </row>
        <row r="3784">
          <cell r="AL3784" t="str"/>
          <cell r="AM3784">
            <v>0</v>
          </cell>
        </row>
        <row r="3785">
          <cell r="AL3785" t="str"/>
          <cell r="AM3785">
            <v>0</v>
          </cell>
        </row>
        <row r="3786">
          <cell r="AL3786" t="str"/>
          <cell r="AM3786">
            <v>0</v>
          </cell>
        </row>
        <row r="3787">
          <cell r="AL3787" t="str"/>
          <cell r="AM3787">
            <v>0</v>
          </cell>
        </row>
        <row r="3788">
          <cell r="AL3788" t="str"/>
          <cell r="AM3788">
            <v>0</v>
          </cell>
        </row>
        <row r="3789">
          <cell r="AL3789" t="str"/>
          <cell r="AM3789">
            <v>0</v>
          </cell>
        </row>
        <row r="3790">
          <cell r="AL3790" t="str"/>
          <cell r="AM3790">
            <v>0</v>
          </cell>
        </row>
        <row r="3791">
          <cell r="AL3791" t="str"/>
          <cell r="AM3791">
            <v>0</v>
          </cell>
        </row>
        <row r="3792">
          <cell r="AL3792" t="str"/>
          <cell r="AM3792">
            <v>0</v>
          </cell>
        </row>
        <row r="3793">
          <cell r="AL3793" t="str"/>
          <cell r="AM3793">
            <v>0</v>
          </cell>
        </row>
        <row r="3794">
          <cell r="AL3794" t="str"/>
          <cell r="AM3794">
            <v>0</v>
          </cell>
        </row>
        <row r="3795">
          <cell r="AL3795" t="str"/>
          <cell r="AM3795">
            <v>0</v>
          </cell>
        </row>
        <row r="3796">
          <cell r="AL3796" t="str"/>
          <cell r="AM3796">
            <v>0</v>
          </cell>
        </row>
        <row r="3797">
          <cell r="AL3797" t="str"/>
          <cell r="AM3797">
            <v>0</v>
          </cell>
        </row>
        <row r="3798">
          <cell r="AL3798" t="str"/>
          <cell r="AM3798">
            <v>0</v>
          </cell>
        </row>
        <row r="3799">
          <cell r="AL3799" t="str"/>
          <cell r="AM3799">
            <v>0</v>
          </cell>
        </row>
        <row r="3800">
          <cell r="AL3800" t="str"/>
          <cell r="AM3800">
            <v>0</v>
          </cell>
        </row>
        <row r="3801">
          <cell r="AL3801" t="str"/>
          <cell r="AM3801">
            <v>0</v>
          </cell>
        </row>
        <row r="3802">
          <cell r="AL3802" t="str"/>
          <cell r="AM3802">
            <v>0</v>
          </cell>
        </row>
        <row r="3803">
          <cell r="AL3803" t="str"/>
          <cell r="AM3803">
            <v>0</v>
          </cell>
        </row>
        <row r="3804">
          <cell r="AL3804" t="str"/>
          <cell r="AM3804">
            <v>0</v>
          </cell>
        </row>
        <row r="3805">
          <cell r="AL3805" t="str"/>
          <cell r="AM3805">
            <v>0</v>
          </cell>
        </row>
        <row r="3806">
          <cell r="AL3806" t="str"/>
          <cell r="AM3806">
            <v>0</v>
          </cell>
        </row>
        <row r="3807">
          <cell r="AL3807" t="str"/>
          <cell r="AM3807">
            <v>0</v>
          </cell>
        </row>
        <row r="3808">
          <cell r="AL3808" t="str"/>
          <cell r="AM3808">
            <v>0</v>
          </cell>
        </row>
        <row r="3809">
          <cell r="AL3809" t="str"/>
          <cell r="AM3809">
            <v>0</v>
          </cell>
        </row>
        <row r="3810">
          <cell r="AL3810" t="str"/>
          <cell r="AM3810">
            <v>0</v>
          </cell>
        </row>
        <row r="3811">
          <cell r="AL3811" t="str"/>
          <cell r="AM3811">
            <v>0</v>
          </cell>
        </row>
        <row r="3812">
          <cell r="AL3812" t="str"/>
          <cell r="AM3812">
            <v>0</v>
          </cell>
        </row>
        <row r="3813">
          <cell r="AL3813" t="str"/>
          <cell r="AM3813">
            <v>0</v>
          </cell>
        </row>
        <row r="3814">
          <cell r="AL3814" t="str"/>
          <cell r="AM3814">
            <v>0</v>
          </cell>
        </row>
        <row r="3815">
          <cell r="AL3815" t="str"/>
          <cell r="AM3815">
            <v>0</v>
          </cell>
        </row>
        <row r="3816">
          <cell r="AL3816" t="str"/>
          <cell r="AM3816">
            <v>0</v>
          </cell>
        </row>
        <row r="3817">
          <cell r="AL3817" t="str"/>
          <cell r="AM3817">
            <v>0</v>
          </cell>
        </row>
        <row r="3818">
          <cell r="AL3818" t="str"/>
          <cell r="AM3818">
            <v>0</v>
          </cell>
        </row>
        <row r="3819">
          <cell r="AL3819" t="str"/>
          <cell r="AM3819">
            <v>0</v>
          </cell>
        </row>
        <row r="3820">
          <cell r="AL3820" t="str"/>
          <cell r="AM3820">
            <v>0</v>
          </cell>
        </row>
        <row r="3821">
          <cell r="AL3821" t="str"/>
          <cell r="AM3821">
            <v>0</v>
          </cell>
        </row>
        <row r="3822">
          <cell r="AL3822" t="str"/>
          <cell r="AM3822">
            <v>0</v>
          </cell>
        </row>
        <row r="3823">
          <cell r="AL3823" t="str"/>
          <cell r="AM3823">
            <v>0</v>
          </cell>
        </row>
        <row r="3824">
          <cell r="AL3824" t="str"/>
          <cell r="AM3824">
            <v>0</v>
          </cell>
        </row>
        <row r="3825">
          <cell r="AL3825" t="str"/>
          <cell r="AM3825">
            <v>0</v>
          </cell>
        </row>
        <row r="3826">
          <cell r="AL3826" t="str"/>
          <cell r="AM3826">
            <v>0</v>
          </cell>
        </row>
        <row r="3827">
          <cell r="AL3827" t="str"/>
          <cell r="AM3827">
            <v>0</v>
          </cell>
        </row>
        <row r="3828">
          <cell r="AL3828" t="str"/>
          <cell r="AM3828">
            <v>0</v>
          </cell>
        </row>
        <row r="3829">
          <cell r="AL3829" t="str"/>
          <cell r="AM3829">
            <v>0</v>
          </cell>
        </row>
        <row r="3830">
          <cell r="AL3830" t="str"/>
          <cell r="AM3830">
            <v>0</v>
          </cell>
        </row>
        <row r="3831">
          <cell r="AL3831" t="str"/>
          <cell r="AM3831">
            <v>0</v>
          </cell>
        </row>
        <row r="3832">
          <cell r="AL3832" t="str"/>
          <cell r="AM3832">
            <v>0</v>
          </cell>
        </row>
        <row r="3833">
          <cell r="AL3833" t="str"/>
          <cell r="AM3833">
            <v>0</v>
          </cell>
        </row>
        <row r="3834">
          <cell r="AL3834" t="str"/>
          <cell r="AM3834">
            <v>0</v>
          </cell>
        </row>
        <row r="3835">
          <cell r="AL3835" t="str"/>
          <cell r="AM3835">
            <v>0</v>
          </cell>
        </row>
        <row r="3836">
          <cell r="AL3836" t="str"/>
          <cell r="AM3836">
            <v>0</v>
          </cell>
        </row>
        <row r="3837">
          <cell r="AL3837" t="str"/>
          <cell r="AM3837">
            <v>0</v>
          </cell>
        </row>
        <row r="3838">
          <cell r="AL3838" t="str"/>
          <cell r="AM3838">
            <v>0</v>
          </cell>
        </row>
        <row r="3839">
          <cell r="AL3839" t="str"/>
          <cell r="AM3839">
            <v>0</v>
          </cell>
        </row>
        <row r="3840">
          <cell r="AL3840" t="str"/>
          <cell r="AM3840">
            <v>0</v>
          </cell>
        </row>
        <row r="3841">
          <cell r="AL3841" t="str"/>
          <cell r="AM3841">
            <v>0</v>
          </cell>
        </row>
        <row r="3842">
          <cell r="AL3842" t="str"/>
          <cell r="AM3842">
            <v>0</v>
          </cell>
        </row>
        <row r="3843">
          <cell r="AL3843" t="str"/>
          <cell r="AM3843">
            <v>0</v>
          </cell>
        </row>
        <row r="3844">
          <cell r="AL3844" t="str"/>
          <cell r="AM3844">
            <v>0</v>
          </cell>
        </row>
        <row r="3845">
          <cell r="AL3845" t="str"/>
          <cell r="AM3845">
            <v>0</v>
          </cell>
        </row>
        <row r="3846">
          <cell r="AL3846" t="str"/>
          <cell r="AM3846">
            <v>0</v>
          </cell>
        </row>
        <row r="3847">
          <cell r="AL3847" t="str"/>
          <cell r="AM3847">
            <v>0</v>
          </cell>
        </row>
        <row r="3848">
          <cell r="AL3848" t="str"/>
          <cell r="AM3848">
            <v>0</v>
          </cell>
        </row>
        <row r="3849">
          <cell r="AL3849" t="str"/>
          <cell r="AM3849">
            <v>0</v>
          </cell>
        </row>
        <row r="3850">
          <cell r="AL3850" t="str"/>
          <cell r="AM3850">
            <v>0</v>
          </cell>
        </row>
        <row r="3851">
          <cell r="AL3851" t="str"/>
          <cell r="AM3851">
            <v>0</v>
          </cell>
        </row>
        <row r="3852">
          <cell r="AL3852" t="str"/>
          <cell r="AM3852">
            <v>0</v>
          </cell>
        </row>
        <row r="3853">
          <cell r="AL3853" t="str"/>
          <cell r="AM3853">
            <v>0</v>
          </cell>
        </row>
        <row r="3854">
          <cell r="AL3854" t="str"/>
          <cell r="AM3854">
            <v>0</v>
          </cell>
        </row>
        <row r="3855">
          <cell r="AL3855" t="str"/>
          <cell r="AM3855">
            <v>0</v>
          </cell>
        </row>
        <row r="3856">
          <cell r="AL3856" t="str"/>
          <cell r="AM3856">
            <v>0</v>
          </cell>
        </row>
        <row r="3857">
          <cell r="AL3857" t="str"/>
          <cell r="AM3857">
            <v>0</v>
          </cell>
        </row>
        <row r="3858">
          <cell r="AL3858" t="str"/>
          <cell r="AM3858">
            <v>0</v>
          </cell>
        </row>
        <row r="3859">
          <cell r="AL3859" t="str"/>
          <cell r="AM3859">
            <v>0</v>
          </cell>
        </row>
        <row r="3860">
          <cell r="AL3860" t="str"/>
          <cell r="AM3860">
            <v>0</v>
          </cell>
        </row>
        <row r="3861">
          <cell r="AL3861" t="str"/>
          <cell r="AM3861">
            <v>0</v>
          </cell>
        </row>
        <row r="3862">
          <cell r="AL3862" t="str"/>
          <cell r="AM3862">
            <v>0</v>
          </cell>
        </row>
        <row r="3863">
          <cell r="AL3863" t="str"/>
          <cell r="AM3863">
            <v>0</v>
          </cell>
        </row>
        <row r="3864">
          <cell r="AL3864" t="str"/>
          <cell r="AM3864">
            <v>0</v>
          </cell>
        </row>
        <row r="3865">
          <cell r="AL3865" t="str"/>
          <cell r="AM3865">
            <v>0</v>
          </cell>
        </row>
        <row r="3866">
          <cell r="AL3866" t="str"/>
          <cell r="AM3866">
            <v>0</v>
          </cell>
        </row>
        <row r="3867">
          <cell r="AL3867" t="str"/>
          <cell r="AM3867">
            <v>0</v>
          </cell>
        </row>
        <row r="3868">
          <cell r="AL3868" t="str"/>
          <cell r="AM3868">
            <v>0</v>
          </cell>
        </row>
        <row r="3869">
          <cell r="AL3869" t="str"/>
          <cell r="AM3869">
            <v>0</v>
          </cell>
        </row>
        <row r="3870">
          <cell r="AL3870" t="str"/>
          <cell r="AM3870">
            <v>0</v>
          </cell>
        </row>
        <row r="3871">
          <cell r="AL3871" t="str"/>
          <cell r="AM3871">
            <v>0</v>
          </cell>
        </row>
        <row r="3872">
          <cell r="AL3872" t="str"/>
          <cell r="AM3872">
            <v>0</v>
          </cell>
        </row>
        <row r="3873">
          <cell r="AL3873" t="str"/>
          <cell r="AM3873">
            <v>0</v>
          </cell>
        </row>
        <row r="3874">
          <cell r="AL3874" t="str"/>
          <cell r="AM3874">
            <v>0</v>
          </cell>
        </row>
        <row r="3875">
          <cell r="AL3875" t="str"/>
          <cell r="AM3875">
            <v>0</v>
          </cell>
        </row>
        <row r="3876">
          <cell r="AL3876" t="str"/>
          <cell r="AM3876">
            <v>0</v>
          </cell>
        </row>
        <row r="3877">
          <cell r="AL3877" t="str"/>
          <cell r="AM3877">
            <v>0</v>
          </cell>
        </row>
        <row r="3878">
          <cell r="AL3878" t="str"/>
          <cell r="AM3878">
            <v>0</v>
          </cell>
        </row>
        <row r="3879">
          <cell r="AL3879" t="str"/>
          <cell r="AM3879">
            <v>0</v>
          </cell>
        </row>
        <row r="3880">
          <cell r="AL3880" t="str"/>
          <cell r="AM3880">
            <v>0</v>
          </cell>
        </row>
        <row r="3881">
          <cell r="AL3881" t="str"/>
          <cell r="AM3881">
            <v>0</v>
          </cell>
        </row>
        <row r="3882">
          <cell r="AL3882" t="str"/>
          <cell r="AM3882">
            <v>0</v>
          </cell>
        </row>
        <row r="3883">
          <cell r="AL3883" t="str"/>
          <cell r="AM3883">
            <v>0</v>
          </cell>
        </row>
        <row r="3884">
          <cell r="AL3884" t="str"/>
          <cell r="AM3884">
            <v>0</v>
          </cell>
        </row>
        <row r="3885">
          <cell r="AL3885" t="str"/>
          <cell r="AM3885">
            <v>0</v>
          </cell>
        </row>
        <row r="3886">
          <cell r="AL3886" t="str"/>
          <cell r="AM3886">
            <v>0</v>
          </cell>
        </row>
        <row r="3887">
          <cell r="AL3887" t="str"/>
          <cell r="AM3887">
            <v>0</v>
          </cell>
        </row>
        <row r="3888">
          <cell r="AL3888" t="str"/>
          <cell r="AM3888">
            <v>0</v>
          </cell>
        </row>
        <row r="3889">
          <cell r="AL3889" t="str"/>
          <cell r="AM3889">
            <v>0</v>
          </cell>
        </row>
        <row r="3890">
          <cell r="AL3890" t="str"/>
          <cell r="AM3890">
            <v>0</v>
          </cell>
        </row>
        <row r="3891">
          <cell r="AL3891" t="str"/>
          <cell r="AM3891">
            <v>0</v>
          </cell>
        </row>
        <row r="3892">
          <cell r="AL3892" t="str"/>
          <cell r="AM3892">
            <v>0</v>
          </cell>
        </row>
        <row r="3893">
          <cell r="AL3893" t="str"/>
          <cell r="AM3893">
            <v>0</v>
          </cell>
        </row>
        <row r="3894">
          <cell r="AL3894" t="str"/>
          <cell r="AM3894">
            <v>0</v>
          </cell>
        </row>
        <row r="3895">
          <cell r="AL3895" t="str"/>
          <cell r="AM3895">
            <v>0</v>
          </cell>
        </row>
        <row r="3896">
          <cell r="AL3896" t="str"/>
          <cell r="AM3896">
            <v>0</v>
          </cell>
        </row>
        <row r="3897">
          <cell r="AL3897" t="str"/>
          <cell r="AM3897">
            <v>0</v>
          </cell>
        </row>
        <row r="3898">
          <cell r="AL3898" t="str"/>
          <cell r="AM3898">
            <v>0</v>
          </cell>
        </row>
        <row r="3899">
          <cell r="AL3899" t="str"/>
          <cell r="AM3899">
            <v>0</v>
          </cell>
        </row>
        <row r="3900">
          <cell r="AL3900" t="str"/>
          <cell r="AM3900">
            <v>0</v>
          </cell>
        </row>
        <row r="3901">
          <cell r="AL3901" t="str"/>
          <cell r="AM3901">
            <v>0</v>
          </cell>
        </row>
        <row r="3902">
          <cell r="AL3902" t="str"/>
          <cell r="AM3902">
            <v>0</v>
          </cell>
        </row>
        <row r="3903">
          <cell r="AL3903" t="str"/>
          <cell r="AM3903">
            <v>0</v>
          </cell>
        </row>
        <row r="3904">
          <cell r="AL3904" t="str"/>
          <cell r="AM3904">
            <v>0</v>
          </cell>
        </row>
        <row r="3905">
          <cell r="AL3905" t="str"/>
          <cell r="AM3905">
            <v>0</v>
          </cell>
        </row>
        <row r="3906">
          <cell r="AL3906" t="str"/>
          <cell r="AM3906">
            <v>0</v>
          </cell>
        </row>
        <row r="3907">
          <cell r="AL3907" t="str"/>
          <cell r="AM3907">
            <v>0</v>
          </cell>
        </row>
        <row r="3908">
          <cell r="AL3908" t="str"/>
          <cell r="AM3908">
            <v>0</v>
          </cell>
        </row>
        <row r="3909">
          <cell r="AL3909" t="str"/>
          <cell r="AM3909">
            <v>0</v>
          </cell>
        </row>
        <row r="3910">
          <cell r="AL3910" t="str"/>
          <cell r="AM3910">
            <v>0</v>
          </cell>
        </row>
        <row r="3911">
          <cell r="AL3911" t="str"/>
          <cell r="AM3911">
            <v>0</v>
          </cell>
        </row>
        <row r="3912">
          <cell r="AL3912" t="str"/>
          <cell r="AM3912">
            <v>0</v>
          </cell>
        </row>
        <row r="3913">
          <cell r="AL3913" t="str"/>
          <cell r="AM3913">
            <v>0</v>
          </cell>
        </row>
        <row r="3914">
          <cell r="AL3914" t="str"/>
          <cell r="AM3914">
            <v>0</v>
          </cell>
        </row>
        <row r="3915">
          <cell r="AL3915" t="str"/>
          <cell r="AM3915">
            <v>0</v>
          </cell>
        </row>
        <row r="3916">
          <cell r="AL3916" t="str"/>
          <cell r="AM3916">
            <v>0</v>
          </cell>
        </row>
        <row r="3917">
          <cell r="AL3917" t="str"/>
          <cell r="AM3917">
            <v>0</v>
          </cell>
        </row>
        <row r="3918">
          <cell r="AL3918" t="str"/>
          <cell r="AM3918">
            <v>0</v>
          </cell>
        </row>
        <row r="3919">
          <cell r="AL3919" t="str"/>
          <cell r="AM3919">
            <v>0</v>
          </cell>
        </row>
        <row r="3920">
          <cell r="AL3920" t="str"/>
          <cell r="AM3920">
            <v>0</v>
          </cell>
        </row>
        <row r="3921">
          <cell r="AL3921" t="str"/>
          <cell r="AM3921">
            <v>0</v>
          </cell>
        </row>
        <row r="3922">
          <cell r="AL3922" t="str"/>
          <cell r="AM3922">
            <v>0</v>
          </cell>
        </row>
        <row r="3923">
          <cell r="AL3923" t="str"/>
          <cell r="AM3923">
            <v>0</v>
          </cell>
        </row>
        <row r="3924">
          <cell r="AL3924" t="str"/>
          <cell r="AM3924">
            <v>0</v>
          </cell>
        </row>
        <row r="3925">
          <cell r="AL3925" t="str"/>
          <cell r="AM3925">
            <v>0</v>
          </cell>
        </row>
        <row r="3926">
          <cell r="AL3926" t="str"/>
          <cell r="AM3926">
            <v>0</v>
          </cell>
        </row>
        <row r="3927">
          <cell r="AL3927" t="str"/>
          <cell r="AM3927">
            <v>0</v>
          </cell>
        </row>
        <row r="3928">
          <cell r="AL3928" t="str"/>
          <cell r="AM3928">
            <v>0</v>
          </cell>
        </row>
        <row r="3929">
          <cell r="AL3929" t="str"/>
          <cell r="AM3929">
            <v>0</v>
          </cell>
        </row>
        <row r="3930">
          <cell r="AL3930" t="str"/>
          <cell r="AM3930">
            <v>0</v>
          </cell>
        </row>
        <row r="3931">
          <cell r="AL3931" t="str"/>
          <cell r="AM3931">
            <v>0</v>
          </cell>
        </row>
        <row r="3932">
          <cell r="AL3932" t="str"/>
          <cell r="AM3932">
            <v>0</v>
          </cell>
        </row>
        <row r="3933">
          <cell r="AL3933" t="str"/>
          <cell r="AM3933">
            <v>0</v>
          </cell>
        </row>
        <row r="3934">
          <cell r="AL3934" t="str"/>
          <cell r="AM3934">
            <v>0</v>
          </cell>
        </row>
        <row r="3935">
          <cell r="AL3935" t="str"/>
          <cell r="AM3935">
            <v>0</v>
          </cell>
        </row>
        <row r="3936">
          <cell r="AL3936" t="str"/>
          <cell r="AM3936">
            <v>0</v>
          </cell>
        </row>
        <row r="3937">
          <cell r="AL3937" t="str"/>
          <cell r="AM3937">
            <v>0</v>
          </cell>
        </row>
        <row r="3938">
          <cell r="AL3938" t="str"/>
          <cell r="AM3938">
            <v>0</v>
          </cell>
        </row>
        <row r="3939">
          <cell r="AL3939" t="str"/>
          <cell r="AM3939">
            <v>0</v>
          </cell>
        </row>
        <row r="3940">
          <cell r="AL3940" t="str"/>
          <cell r="AM3940">
            <v>0</v>
          </cell>
        </row>
        <row r="3941">
          <cell r="AL3941" t="str"/>
          <cell r="AM3941">
            <v>0</v>
          </cell>
        </row>
        <row r="3942">
          <cell r="AL3942" t="str"/>
          <cell r="AM3942">
            <v>0</v>
          </cell>
        </row>
        <row r="3943">
          <cell r="AL3943" t="str"/>
          <cell r="AM3943">
            <v>0</v>
          </cell>
        </row>
        <row r="3944">
          <cell r="AL3944" t="str"/>
          <cell r="AM3944">
            <v>0</v>
          </cell>
        </row>
        <row r="3945">
          <cell r="AL3945" t="str"/>
          <cell r="AM3945">
            <v>0</v>
          </cell>
        </row>
        <row r="3946">
          <cell r="AL3946" t="str"/>
          <cell r="AM3946">
            <v>0</v>
          </cell>
        </row>
        <row r="3947">
          <cell r="AL3947" t="str"/>
          <cell r="AM3947">
            <v>0</v>
          </cell>
        </row>
        <row r="3948">
          <cell r="AL3948" t="str"/>
          <cell r="AM3948">
            <v>0</v>
          </cell>
        </row>
        <row r="3949">
          <cell r="AL3949" t="str"/>
          <cell r="AM3949">
            <v>0</v>
          </cell>
        </row>
        <row r="3950">
          <cell r="AL3950" t="str"/>
          <cell r="AM3950">
            <v>0</v>
          </cell>
        </row>
        <row r="3951">
          <cell r="AL3951" t="str"/>
          <cell r="AM3951">
            <v>0</v>
          </cell>
        </row>
        <row r="3952">
          <cell r="AL3952" t="str"/>
          <cell r="AM3952">
            <v>0</v>
          </cell>
        </row>
        <row r="3953">
          <cell r="AL3953" t="str"/>
          <cell r="AM3953">
            <v>0</v>
          </cell>
        </row>
        <row r="3954">
          <cell r="AL3954" t="str"/>
          <cell r="AM3954">
            <v>0</v>
          </cell>
        </row>
        <row r="3955">
          <cell r="AL3955" t="str"/>
          <cell r="AM3955">
            <v>0</v>
          </cell>
        </row>
        <row r="3956">
          <cell r="AL3956" t="str"/>
          <cell r="AM3956">
            <v>0</v>
          </cell>
        </row>
        <row r="3957">
          <cell r="AL3957" t="str"/>
          <cell r="AM3957">
            <v>0</v>
          </cell>
        </row>
        <row r="3958">
          <cell r="AL3958" t="str"/>
          <cell r="AM3958">
            <v>0</v>
          </cell>
        </row>
        <row r="3959">
          <cell r="AL3959" t="str"/>
          <cell r="AM3959">
            <v>0</v>
          </cell>
        </row>
        <row r="3960">
          <cell r="AL3960" t="str"/>
          <cell r="AM3960">
            <v>0</v>
          </cell>
        </row>
        <row r="3961">
          <cell r="AL3961" t="str"/>
          <cell r="AM3961">
            <v>0</v>
          </cell>
        </row>
        <row r="3962">
          <cell r="AL3962" t="str"/>
          <cell r="AM3962">
            <v>0</v>
          </cell>
        </row>
        <row r="3963">
          <cell r="AL3963" t="str"/>
          <cell r="AM3963">
            <v>0</v>
          </cell>
        </row>
        <row r="3964">
          <cell r="AL3964" t="str"/>
          <cell r="AM3964">
            <v>0</v>
          </cell>
        </row>
        <row r="3965">
          <cell r="AL3965" t="str"/>
          <cell r="AM3965">
            <v>0</v>
          </cell>
        </row>
        <row r="3966">
          <cell r="AL3966" t="str"/>
          <cell r="AM3966">
            <v>0</v>
          </cell>
        </row>
        <row r="3967">
          <cell r="AL3967" t="str"/>
          <cell r="AM3967">
            <v>0</v>
          </cell>
        </row>
        <row r="3968">
          <cell r="AL3968" t="str"/>
          <cell r="AM3968">
            <v>0</v>
          </cell>
        </row>
        <row r="3969">
          <cell r="AL3969" t="str"/>
          <cell r="AM3969">
            <v>0</v>
          </cell>
        </row>
        <row r="3970">
          <cell r="AL3970" t="str"/>
          <cell r="AM3970">
            <v>0</v>
          </cell>
        </row>
        <row r="3971">
          <cell r="AL3971" t="str"/>
          <cell r="AM3971">
            <v>0</v>
          </cell>
        </row>
        <row r="3972">
          <cell r="AL3972" t="str"/>
          <cell r="AM3972">
            <v>0</v>
          </cell>
        </row>
        <row r="3973">
          <cell r="AL3973" t="str"/>
          <cell r="AM3973">
            <v>0</v>
          </cell>
        </row>
        <row r="3974">
          <cell r="AL3974" t="str"/>
          <cell r="AM3974">
            <v>0</v>
          </cell>
        </row>
        <row r="3975">
          <cell r="AL3975" t="str"/>
          <cell r="AM3975">
            <v>0</v>
          </cell>
        </row>
        <row r="3976">
          <cell r="AL3976" t="str"/>
          <cell r="AM3976">
            <v>0</v>
          </cell>
        </row>
        <row r="3977">
          <cell r="AL3977" t="str"/>
          <cell r="AM3977">
            <v>0</v>
          </cell>
        </row>
        <row r="3978">
          <cell r="AL3978" t="str"/>
          <cell r="AM3978">
            <v>0</v>
          </cell>
        </row>
        <row r="3979">
          <cell r="AL3979" t="str"/>
          <cell r="AM3979">
            <v>0</v>
          </cell>
        </row>
        <row r="3980">
          <cell r="AL3980" t="str"/>
          <cell r="AM3980">
            <v>0</v>
          </cell>
        </row>
        <row r="3981">
          <cell r="AL3981" t="str"/>
          <cell r="AM3981">
            <v>0</v>
          </cell>
        </row>
        <row r="3982">
          <cell r="AL3982" t="str"/>
          <cell r="AM3982">
            <v>0</v>
          </cell>
        </row>
        <row r="3983">
          <cell r="AL3983" t="str"/>
          <cell r="AM3983">
            <v>0</v>
          </cell>
        </row>
        <row r="3984">
          <cell r="AL3984" t="str"/>
          <cell r="AM3984">
            <v>0</v>
          </cell>
        </row>
        <row r="3985">
          <cell r="AL3985" t="str"/>
          <cell r="AM3985">
            <v>0</v>
          </cell>
        </row>
        <row r="3986">
          <cell r="AL3986" t="str"/>
          <cell r="AM3986">
            <v>0</v>
          </cell>
        </row>
        <row r="3987">
          <cell r="AL3987" t="str"/>
          <cell r="AM3987">
            <v>0</v>
          </cell>
        </row>
        <row r="3988">
          <cell r="AL3988" t="str"/>
          <cell r="AM3988">
            <v>0</v>
          </cell>
        </row>
        <row r="3989">
          <cell r="AL3989" t="str"/>
          <cell r="AM3989">
            <v>0</v>
          </cell>
        </row>
        <row r="3990">
          <cell r="AL3990" t="str"/>
          <cell r="AM3990">
            <v>0</v>
          </cell>
        </row>
        <row r="3991">
          <cell r="AL3991" t="str"/>
          <cell r="AM3991">
            <v>0</v>
          </cell>
        </row>
        <row r="3992">
          <cell r="AL3992" t="str"/>
          <cell r="AM3992">
            <v>0</v>
          </cell>
        </row>
        <row r="3993">
          <cell r="AL3993" t="str"/>
          <cell r="AM3993">
            <v>0</v>
          </cell>
        </row>
        <row r="3994">
          <cell r="AL3994" t="str"/>
          <cell r="AM3994">
            <v>0</v>
          </cell>
        </row>
        <row r="3995">
          <cell r="AL3995" t="str"/>
          <cell r="AM3995">
            <v>0</v>
          </cell>
        </row>
        <row r="3996">
          <cell r="AL3996" t="str"/>
          <cell r="AM3996">
            <v>0</v>
          </cell>
        </row>
        <row r="3997">
          <cell r="AL3997" t="str"/>
          <cell r="AM3997">
            <v>0</v>
          </cell>
        </row>
        <row r="3998">
          <cell r="AL3998" t="str"/>
          <cell r="AM3998">
            <v>0</v>
          </cell>
        </row>
        <row r="3999">
          <cell r="AL3999" t="str"/>
          <cell r="AM3999">
            <v>0</v>
          </cell>
        </row>
        <row r="4000">
          <cell r="AL4000" t="str"/>
          <cell r="AM4000">
            <v>0</v>
          </cell>
        </row>
        <row r="4001">
          <cell r="AL4001" t="str"/>
          <cell r="AM4001">
            <v>0</v>
          </cell>
        </row>
        <row r="4002">
          <cell r="AL4002" t="str"/>
          <cell r="AM4002">
            <v>0</v>
          </cell>
        </row>
        <row r="4003">
          <cell r="AL4003" t="str"/>
          <cell r="AM4003">
            <v>0</v>
          </cell>
        </row>
        <row r="4004">
          <cell r="AL4004" t="str"/>
          <cell r="AM4004">
            <v>0</v>
          </cell>
        </row>
        <row r="4005">
          <cell r="AL4005" t="str"/>
          <cell r="AM4005">
            <v>0</v>
          </cell>
        </row>
        <row r="4006">
          <cell r="AL4006" t="str"/>
          <cell r="AM4006">
            <v>0</v>
          </cell>
        </row>
        <row r="4007">
          <cell r="AL4007" t="str"/>
          <cell r="AM4007">
            <v>0</v>
          </cell>
        </row>
        <row r="4008">
          <cell r="AL4008" t="str"/>
          <cell r="AM4008">
            <v>0</v>
          </cell>
        </row>
        <row r="4009">
          <cell r="AL4009" t="str"/>
          <cell r="AM4009">
            <v>0</v>
          </cell>
        </row>
        <row r="4010">
          <cell r="AL4010" t="str"/>
          <cell r="AM4010">
            <v>0</v>
          </cell>
        </row>
        <row r="4011">
          <cell r="AL4011" t="str"/>
          <cell r="AM4011">
            <v>0</v>
          </cell>
        </row>
        <row r="4012">
          <cell r="AL4012" t="str"/>
          <cell r="AM4012">
            <v>0</v>
          </cell>
        </row>
        <row r="4013">
          <cell r="AL4013" t="str"/>
          <cell r="AM4013">
            <v>0</v>
          </cell>
        </row>
        <row r="4014">
          <cell r="AL4014" t="str"/>
          <cell r="AM4014">
            <v>0</v>
          </cell>
        </row>
        <row r="4015">
          <cell r="AL4015" t="str"/>
          <cell r="AM4015">
            <v>0</v>
          </cell>
        </row>
        <row r="4016">
          <cell r="AL4016" t="str"/>
          <cell r="AM4016">
            <v>0</v>
          </cell>
        </row>
        <row r="4017">
          <cell r="AL4017" t="str"/>
          <cell r="AM4017">
            <v>0</v>
          </cell>
        </row>
        <row r="4018">
          <cell r="AL4018" t="str"/>
          <cell r="AM4018">
            <v>0</v>
          </cell>
        </row>
        <row r="4019">
          <cell r="AL4019" t="str"/>
          <cell r="AM4019">
            <v>0</v>
          </cell>
        </row>
        <row r="4020">
          <cell r="AL4020" t="str"/>
          <cell r="AM4020">
            <v>0</v>
          </cell>
        </row>
        <row r="4021">
          <cell r="AL4021" t="str"/>
          <cell r="AM4021">
            <v>0</v>
          </cell>
        </row>
        <row r="4022">
          <cell r="AL4022" t="str"/>
          <cell r="AM4022">
            <v>0</v>
          </cell>
        </row>
        <row r="4023">
          <cell r="AL4023" t="str"/>
          <cell r="AM4023">
            <v>0</v>
          </cell>
        </row>
        <row r="4024">
          <cell r="AL4024" t="str"/>
          <cell r="AM4024">
            <v>0</v>
          </cell>
        </row>
        <row r="4025">
          <cell r="AL4025" t="str"/>
          <cell r="AM4025">
            <v>0</v>
          </cell>
        </row>
        <row r="4026">
          <cell r="AL4026" t="str"/>
          <cell r="AM4026">
            <v>0</v>
          </cell>
        </row>
        <row r="4027">
          <cell r="AL4027" t="str"/>
          <cell r="AM4027">
            <v>0</v>
          </cell>
        </row>
        <row r="4028">
          <cell r="AL4028" t="str"/>
          <cell r="AM4028">
            <v>0</v>
          </cell>
        </row>
        <row r="4029">
          <cell r="AL4029" t="str"/>
          <cell r="AM4029">
            <v>0</v>
          </cell>
        </row>
        <row r="4030">
          <cell r="AL4030" t="str"/>
          <cell r="AM4030">
            <v>0</v>
          </cell>
        </row>
        <row r="4031">
          <cell r="AL4031" t="str"/>
          <cell r="AM4031">
            <v>0</v>
          </cell>
        </row>
        <row r="4032">
          <cell r="AL4032" t="str"/>
          <cell r="AM4032">
            <v>0</v>
          </cell>
        </row>
        <row r="4033">
          <cell r="AL4033" t="str"/>
          <cell r="AM4033">
            <v>0</v>
          </cell>
        </row>
        <row r="4034">
          <cell r="AL4034" t="str"/>
          <cell r="AM4034">
            <v>0</v>
          </cell>
        </row>
        <row r="4035">
          <cell r="AL4035" t="str"/>
          <cell r="AM4035">
            <v>0</v>
          </cell>
        </row>
        <row r="4036">
          <cell r="AL4036" t="str"/>
          <cell r="AM4036">
            <v>0</v>
          </cell>
        </row>
        <row r="4037">
          <cell r="AL4037" t="str"/>
          <cell r="AM4037">
            <v>0</v>
          </cell>
        </row>
        <row r="4038">
          <cell r="AL4038" t="str"/>
          <cell r="AM4038">
            <v>0</v>
          </cell>
        </row>
        <row r="4039">
          <cell r="AL4039" t="str"/>
          <cell r="AM4039">
            <v>0</v>
          </cell>
        </row>
        <row r="4040">
          <cell r="AL4040" t="str"/>
          <cell r="AM4040">
            <v>0</v>
          </cell>
        </row>
        <row r="4041">
          <cell r="AL4041" t="str"/>
          <cell r="AM4041">
            <v>0</v>
          </cell>
        </row>
        <row r="4042">
          <cell r="AL4042" t="str"/>
          <cell r="AM4042">
            <v>0</v>
          </cell>
        </row>
        <row r="4043">
          <cell r="AL4043" t="str"/>
          <cell r="AM4043">
            <v>0</v>
          </cell>
        </row>
        <row r="4044">
          <cell r="AL4044" t="str"/>
          <cell r="AM4044">
            <v>0</v>
          </cell>
        </row>
        <row r="4045">
          <cell r="AL4045" t="str"/>
          <cell r="AM4045">
            <v>0</v>
          </cell>
        </row>
        <row r="4046">
          <cell r="AL4046" t="str"/>
          <cell r="AM4046">
            <v>0</v>
          </cell>
        </row>
        <row r="4047">
          <cell r="AL4047" t="str"/>
          <cell r="AM4047">
            <v>0</v>
          </cell>
        </row>
        <row r="4048">
          <cell r="AL4048" t="str"/>
          <cell r="AM4048">
            <v>0</v>
          </cell>
        </row>
        <row r="4049">
          <cell r="AL4049" t="str"/>
          <cell r="AM4049">
            <v>0</v>
          </cell>
        </row>
        <row r="4050">
          <cell r="AL4050" t="str"/>
          <cell r="AM4050">
            <v>0</v>
          </cell>
        </row>
        <row r="4051">
          <cell r="AL4051" t="str"/>
          <cell r="AM4051">
            <v>0</v>
          </cell>
        </row>
        <row r="4052">
          <cell r="AL4052" t="str"/>
          <cell r="AM4052">
            <v>0</v>
          </cell>
        </row>
        <row r="4053">
          <cell r="AL4053" t="str"/>
          <cell r="AM4053">
            <v>0</v>
          </cell>
        </row>
        <row r="4054">
          <cell r="AL4054" t="str"/>
          <cell r="AM4054">
            <v>0</v>
          </cell>
        </row>
        <row r="4055">
          <cell r="AL4055" t="str"/>
          <cell r="AM4055">
            <v>0</v>
          </cell>
        </row>
        <row r="4056">
          <cell r="AL4056" t="str"/>
          <cell r="AM4056">
            <v>0</v>
          </cell>
        </row>
        <row r="4057">
          <cell r="AL4057" t="str"/>
          <cell r="AM4057">
            <v>0</v>
          </cell>
        </row>
        <row r="4058">
          <cell r="AL4058" t="str"/>
          <cell r="AM4058">
            <v>0</v>
          </cell>
        </row>
        <row r="4059">
          <cell r="AL4059" t="str"/>
          <cell r="AM4059">
            <v>0</v>
          </cell>
        </row>
        <row r="4060">
          <cell r="AL4060" t="str"/>
          <cell r="AM4060">
            <v>0</v>
          </cell>
        </row>
        <row r="4061">
          <cell r="AL4061" t="str"/>
          <cell r="AM4061">
            <v>0</v>
          </cell>
        </row>
        <row r="4062">
          <cell r="AL4062" t="str"/>
          <cell r="AM4062">
            <v>0</v>
          </cell>
        </row>
      </sheetData>
      <sheetData sheetId="19">
        <row r="8">
          <cell r="H8">
            <v>1</v>
          </cell>
          <cell r="I8" t="str">
            <v>中華全佑有限公司</v>
          </cell>
          <cell r="K8" t="str">
            <v>16"氣門嘴</v>
          </cell>
          <cell r="L8" t="str">
            <v>17.5"氣門嘴</v>
          </cell>
          <cell r="M8" t="str">
            <v>22.5"氣門嘴</v>
          </cell>
          <cell r="N8" t="str">
            <v>385R氣門嘴</v>
          </cell>
          <cell r="O8" t="str">
            <v>防爆氣門嘴</v>
          </cell>
          <cell r="P8" t="str">
            <v>套筒-21</v>
          </cell>
          <cell r="Q8" t="str">
            <v>套筒-27</v>
          </cell>
          <cell r="R8" t="str">
            <v>套筒-30</v>
          </cell>
          <cell r="S8" t="str">
            <v>套筒-35</v>
          </cell>
          <cell r="T8" t="str">
            <v>套筒-41</v>
          </cell>
          <cell r="U8" t="str">
            <v>套筒/黑*17</v>
          </cell>
          <cell r="V8" t="str">
            <v>套筒/黑*19</v>
          </cell>
          <cell r="W8" t="str">
            <v>套筒/黑*21</v>
          </cell>
          <cell r="X8" t="str">
            <v>套筒/黑*24</v>
          </cell>
          <cell r="Y8" t="str">
            <v>套筒-黑*30</v>
          </cell>
          <cell r="Z8" t="str">
            <v>套筒/銀*16</v>
          </cell>
          <cell r="AA8" t="str">
            <v>套筒/銀*17</v>
          </cell>
          <cell r="AB8" t="str">
            <v>套筒/銀*19</v>
          </cell>
          <cell r="AC8" t="str">
            <v>套筒/銀*21</v>
          </cell>
          <cell r="AD8" t="str">
            <v>套筒/銀*22</v>
          </cell>
          <cell r="AE8" t="str">
            <v>套筒/銀*27</v>
          </cell>
          <cell r="AF8" t="str">
            <v>□補胎□拆裝工□翻面(店內)*中型胎</v>
          </cell>
          <cell r="AG8" t="str">
            <v>□補胎□拆裝工□翻面(店內)*大胎</v>
          </cell>
          <cell r="AH8" t="str">
            <v>□補胎□拆裝工□翻面(店內)*大胎(385R)</v>
          </cell>
          <cell r="AI8" t="str">
            <v>□補胎□拆裝工□翻面.(店內)*大胎(工程胎)</v>
          </cell>
          <cell r="AJ8" t="str">
            <v>□補胎□拆裝工□翻面(外出)*中型胎</v>
          </cell>
          <cell r="AK8" t="str">
            <v>□補胎□拆裝工□翻面(外出)*大胎</v>
          </cell>
          <cell r="AL8" t="str">
            <v>□補胎□拆裝工□翻面(外出)*大胎(385R)</v>
          </cell>
          <cell r="AM8" t="str">
            <v>□補胎□拆裝工□翻面.(外出)*大胎(工程胎)</v>
          </cell>
          <cell r="AN8" t="str">
            <v>*板架定位</v>
          </cell>
          <cell r="AO8" t="str">
            <v>*吊車定位</v>
          </cell>
          <cell r="AP8" t="str">
            <v>*大車定位全套</v>
          </cell>
          <cell r="AQ8" t="str">
            <v>*大車定位檢測</v>
          </cell>
          <cell r="AR8" t="str">
            <v>*工字樑校正</v>
          </cell>
          <cell r="AS8" t="str">
            <v>*方向盤調整</v>
          </cell>
          <cell r="AT8" t="str">
            <v>*直拉桿調整</v>
          </cell>
          <cell r="AU8" t="str">
            <v>*前束調整</v>
          </cell>
          <cell r="AV8" t="str">
            <v>*後傾角調整</v>
          </cell>
          <cell r="AW8" t="str">
            <v>*中軸軸距檢測</v>
          </cell>
          <cell r="AX8" t="str">
            <v>*橫拉桿調整</v>
          </cell>
          <cell r="AY8" t="str">
            <v>*中型車定位全套</v>
          </cell>
          <cell r="AZ8" t="str">
            <v>*中型車定位檢測</v>
          </cell>
          <cell r="BA8" t="str">
            <v>*前輪定位</v>
          </cell>
          <cell r="BB8" t="str">
            <v>*外傾角調整</v>
          </cell>
          <cell r="BC8" t="str">
            <v>*大車定位一式</v>
          </cell>
          <cell r="BD8" t="str">
            <v>*後傾角墊片</v>
          </cell>
          <cell r="BE8" t="str">
            <v>*雙軸轉向調整</v>
          </cell>
          <cell r="BF8" t="str">
            <v>*後軸軸距調整</v>
          </cell>
          <cell r="BG8" t="str">
            <v>出車至竹北</v>
          </cell>
          <cell r="BH8" t="str">
            <v>出車至三義</v>
          </cell>
          <cell r="BI8" t="str">
            <v>出車至土城</v>
          </cell>
          <cell r="BJ8" t="str">
            <v>出車至大山</v>
          </cell>
          <cell r="BK8" t="str">
            <v>出車至大溪</v>
          </cell>
          <cell r="BL8" t="str">
            <v>出車至中和</v>
          </cell>
          <cell r="BM8" t="str">
            <v>出車至北埔</v>
          </cell>
          <cell r="BN8" t="str">
            <v>出車至台中</v>
          </cell>
          <cell r="BO8" t="str">
            <v>出車至台玻</v>
          </cell>
          <cell r="BP8" t="str">
            <v>出車至光和</v>
          </cell>
          <cell r="BQ8" t="str">
            <v>出車至尖山</v>
          </cell>
          <cell r="BR8" t="str">
            <v>出車至竹東</v>
          </cell>
          <cell r="BS8" t="str">
            <v>出車至竹南</v>
          </cell>
          <cell r="BT8" t="str">
            <v>出車至西湖</v>
          </cell>
          <cell r="BU8" t="str">
            <v>出車至後龍</v>
          </cell>
          <cell r="BV8" t="str">
            <v>出車至苑裡</v>
          </cell>
          <cell r="BW8" t="str">
            <v>出車至苗栗</v>
          </cell>
          <cell r="BX8" t="str">
            <v>出車至茄苳</v>
          </cell>
          <cell r="BY8" t="str">
            <v>出車至香山</v>
          </cell>
          <cell r="BZ8" t="str">
            <v>出車至通霄</v>
          </cell>
          <cell r="CA8" t="str">
            <v>出車至造橋</v>
          </cell>
          <cell r="CB8" t="str">
            <v>出車至湖口</v>
          </cell>
          <cell r="CC8" t="str">
            <v>出車至新竹</v>
          </cell>
          <cell r="CD8" t="str">
            <v>出車至銅鑼</v>
          </cell>
          <cell r="CE8" t="str">
            <v>出車至頭份</v>
          </cell>
          <cell r="CF8" t="str">
            <v>出車至關西</v>
          </cell>
          <cell r="CG8" t="str">
            <v>出車至寶山</v>
          </cell>
          <cell r="CH8" t="str">
            <v>出車至林口</v>
          </cell>
          <cell r="CI8" t="str">
            <v>出車至鶯歌</v>
          </cell>
          <cell r="CJ8" t="str">
            <v>出車至五股</v>
          </cell>
          <cell r="CK8" t="str">
            <v>出車至西螺</v>
          </cell>
          <cell r="CL8" t="str">
            <v>出車至三灣</v>
          </cell>
          <cell r="CM8" t="str">
            <v>鋼圈平衡*大胎</v>
          </cell>
          <cell r="CN8" t="str">
            <v>輪胎平衡*中型胎</v>
          </cell>
          <cell r="CO8" t="str">
            <v>輪胎平衡*大胎</v>
          </cell>
          <cell r="CP8" t="str">
            <v>調胎*中型胎</v>
          </cell>
          <cell r="CQ8" t="str">
            <v>調胎*大胎</v>
          </cell>
          <cell r="CR8" t="str">
            <v>打備胎*中型胎</v>
          </cell>
          <cell r="CS8" t="str">
            <v>打備胎*大胎</v>
          </cell>
          <cell r="CT8" t="str">
            <v>刻溝*中型胎</v>
          </cell>
          <cell r="CU8" t="str">
            <v>刻溝*大胎</v>
          </cell>
          <cell r="CV8" t="str">
            <v>拆工*中型胎</v>
          </cell>
          <cell r="CW8" t="str">
            <v>拆工*大胎</v>
          </cell>
          <cell r="CX8" t="str">
            <v>租胎*大胎</v>
          </cell>
          <cell r="CY8" t="str">
            <v>換備胎*中型胎</v>
          </cell>
          <cell r="CZ8" t="str">
            <v>換備胎*大胎</v>
          </cell>
          <cell r="DA8" t="str">
            <v>裝工*中型胎</v>
          </cell>
          <cell r="DB8" t="str">
            <v>裝工*大胎</v>
          </cell>
          <cell r="DC8" t="str">
            <v>拆氣門嘴芯工具-鐵</v>
          </cell>
          <cell r="DD8" t="str">
            <v>六角板手</v>
          </cell>
          <cell r="DE8" t="str">
            <v>氣動板手芯-大</v>
          </cell>
          <cell r="DF8" t="str">
            <v>磨胎器</v>
          </cell>
          <cell r="DG8" t="str">
            <v>打氣巡風</v>
          </cell>
          <cell r="DH8" t="str">
            <v>換中古OB</v>
          </cell>
          <cell r="DI8" t="str">
            <v>換中古內胎</v>
          </cell>
          <cell r="DJ8" t="str">
            <v>換中古胎*385R</v>
          </cell>
          <cell r="DK8" t="str">
            <v>換中古胎*大胎</v>
          </cell>
          <cell r="DL8" t="str">
            <v>換中古胎*中型胎</v>
          </cell>
          <cell r="DM8" t="str">
            <v>換中古鋼圈</v>
          </cell>
          <cell r="DN8" t="str">
            <v>鉛塊槌</v>
          </cell>
          <cell r="DO8" t="str">
            <v>換牛腿襯套</v>
          </cell>
          <cell r="DP8" t="str">
            <v>夜間加費</v>
          </cell>
          <cell r="DQ8" t="str">
            <v>換扭力桿襯套</v>
          </cell>
          <cell r="DR8" t="str">
            <v>氣門夾頭</v>
          </cell>
          <cell r="DS8" t="str">
            <v>氣門芯子</v>
          </cell>
          <cell r="DT8" t="str">
            <v>員工夜間抽成</v>
          </cell>
          <cell r="DU8" t="str">
            <v>螺絲起子</v>
          </cell>
          <cell r="DV8" t="str">
            <v>補胎壓輪(大)</v>
          </cell>
          <cell r="DW8" t="str">
            <v>翹胎棒</v>
          </cell>
          <cell r="DX8" t="str">
            <v>送翻修</v>
          </cell>
          <cell r="DY8" t="str">
            <v>剪刀(剪鉛塊)</v>
          </cell>
          <cell r="DZ8" t="str">
            <v>風槍</v>
          </cell>
          <cell r="EA8" t="str">
            <v>千斤頂風管</v>
          </cell>
          <cell r="EB8" t="str">
            <v>尖嘴鉗</v>
          </cell>
          <cell r="EC8" t="str">
            <v>輪胎蠟刷*長</v>
          </cell>
          <cell r="ED8" t="str">
            <v>定位夾具</v>
          </cell>
          <cell r="EE8" t="str">
            <v>灌風軟管開關</v>
          </cell>
          <cell r="EF8" t="str">
            <v>斜口鉗</v>
          </cell>
          <cell r="EG8" t="str">
            <v>蛇管充電式LED燈</v>
          </cell>
          <cell r="EH8" t="str">
            <v>換螺絲</v>
          </cell>
          <cell r="EI8" t="str">
            <v>打螺絲</v>
          </cell>
          <cell r="EJ8" t="str">
            <v>廢胎回收</v>
          </cell>
          <cell r="EK8" t="str">
            <v>送燒部分</v>
          </cell>
          <cell r="EL8" t="str">
            <v>*後軸軸距檢測</v>
          </cell>
          <cell r="EM8" t="str">
            <v>拆氣門嘴芯工具-(長)</v>
          </cell>
          <cell r="EN8" t="str">
            <v>*軸距調整</v>
          </cell>
          <cell r="EO8" t="str">
            <v>廢胎載回</v>
          </cell>
          <cell r="EP8" t="str">
            <v>套筒-33</v>
          </cell>
          <cell r="EQ8" t="str">
            <v>送處理胎</v>
          </cell>
          <cell r="ER8" t="str">
            <v>出車至頭屋</v>
          </cell>
          <cell r="ES8" t="str">
            <v>中型車定位一式</v>
          </cell>
          <cell r="ET8" t="str">
            <v>套筒-17</v>
          </cell>
          <cell r="EU8" t="str">
            <v>*四輪轉向定位</v>
          </cell>
          <cell r="EV8" t="str">
            <v>出車至南庄</v>
          </cell>
          <cell r="EW8" t="str">
            <v>新廠抽風扇</v>
          </cell>
          <cell r="EX8" t="str">
            <v>中華全佑自燒部分胎</v>
          </cell>
          <cell r="EY8" t="str">
            <v>出車至新莊</v>
          </cell>
          <cell r="EZ8" t="str">
            <v>出車至崎頂</v>
          </cell>
          <cell r="FA8" t="str">
            <v>*前輪前束調整</v>
          </cell>
          <cell r="FB8" t="str">
            <v>*中軸前束調整</v>
          </cell>
          <cell r="FC8" t="str">
            <v>出車至南寮</v>
          </cell>
          <cell r="FD8" t="str">
            <v>補稅金</v>
          </cell>
          <cell r="FE8" t="str">
            <v>換和尚頭</v>
          </cell>
          <cell r="FF8" t="str">
            <v>出車至桃園</v>
          </cell>
          <cell r="FG8" t="str">
            <v>*中軸直拉桿調整</v>
          </cell>
          <cell r="FH8" t="str">
            <v>美工刀</v>
          </cell>
          <cell r="FI8" t="str">
            <v>固定鉗</v>
          </cell>
          <cell r="FJ8" t="str">
            <v>大車洩氣工具</v>
          </cell>
          <cell r="FK8" t="str">
            <v>板桿</v>
          </cell>
          <cell r="FL8" t="str">
            <v>梅開板手</v>
          </cell>
          <cell r="FM8" t="str">
            <v>手套(特殊)</v>
          </cell>
          <cell r="FN8" t="str">
            <v>*第三軸軸距檢測</v>
          </cell>
          <cell r="FO8" t="str">
            <v>折讓</v>
          </cell>
          <cell r="FP8" t="str">
            <v>送中古胎</v>
          </cell>
          <cell r="FQ8" t="str">
            <v>處理胎賠償</v>
          </cell>
          <cell r="FR8" t="str">
            <v>*後傾角調整片</v>
          </cell>
          <cell r="FS8" t="str">
            <v>輪檔</v>
          </cell>
          <cell r="FT8" t="str">
            <v>*軸距檢測</v>
          </cell>
          <cell r="FU8" t="str">
            <v>灌風接頭</v>
          </cell>
          <cell r="FV8" t="str">
            <v>套筒-36</v>
          </cell>
          <cell r="FW8" t="str">
            <v>賣廢輪胎</v>
          </cell>
          <cell r="FX8" t="str">
            <v>賣廢鐵</v>
          </cell>
          <cell r="FY8" t="str">
            <v>出車至卓蘭</v>
          </cell>
          <cell r="FZ8" t="str">
            <v>租胎*中型胎</v>
          </cell>
          <cell r="GA8" t="str">
            <v>大陸-大貨車行車紀錄器24V高清</v>
          </cell>
          <cell r="GB8" t="str">
            <v>80T 千斤頂(維修)</v>
          </cell>
          <cell r="GC8" t="str">
            <v>氣動板手</v>
          </cell>
          <cell r="GD8" t="str">
            <v>刻溝含拆裝工*大胎</v>
          </cell>
          <cell r="GE8" t="str">
            <v>刻溝含拆裝工*中型胎</v>
          </cell>
          <cell r="GF8" t="str">
            <v>出車至台北</v>
          </cell>
          <cell r="GG8" t="str">
            <v>一英吋氣動板手</v>
          </cell>
          <cell r="GH8" t="str">
            <v>拆鋼圈工具</v>
          </cell>
          <cell r="GI8" t="str">
            <v>100噸千斤頂</v>
          </cell>
          <cell r="GJ8" t="str">
            <v xml:space="preserve">出車至新豐 </v>
          </cell>
          <cell r="GK8" t="str">
            <v>氣動板手維修工具</v>
          </cell>
          <cell r="GL8" t="str">
            <v>公司服務車</v>
          </cell>
          <cell r="GM8" t="str">
            <v>出車至鳳鼻</v>
          </cell>
          <cell r="GN8" t="str">
            <v>出車至彰化</v>
          </cell>
          <cell r="GO8" t="str">
            <v>電池閥</v>
          </cell>
          <cell r="GP8" t="str">
            <v>衝管</v>
          </cell>
          <cell r="GQ8" t="str">
            <v>換氣門芯子</v>
          </cell>
          <cell r="GR8" t="str">
            <v>出車至大園</v>
          </cell>
          <cell r="GS8" t="str">
            <v>出車至大甲</v>
          </cell>
          <cell r="GT8" t="str">
            <v>內胎-900-20</v>
          </cell>
          <cell r="GU8" t="str">
            <v>中古胎*大胎</v>
          </cell>
          <cell r="GV8" t="str">
            <v>運費</v>
          </cell>
          <cell r="GW8" t="str">
            <v>內胎-400-7</v>
          </cell>
          <cell r="GX8" t="str">
            <v>4噸千斤頂</v>
          </cell>
          <cell r="GY8" t="str">
            <v>*全軸位調整</v>
          </cell>
          <cell r="GZ8" t="str">
            <v>打實心胎</v>
          </cell>
          <cell r="HA8" t="str">
            <v>出車至大安</v>
          </cell>
          <cell r="HB8" t="str">
            <v>出車至觀音</v>
          </cell>
          <cell r="HC8" t="str">
            <v>出車至新埔</v>
          </cell>
          <cell r="HD8" t="str">
            <v>塑膠透明杯</v>
          </cell>
          <cell r="HE8" t="str">
            <v>出車至新屋</v>
          </cell>
          <cell r="HF8" t="str">
            <v>米其林-295/80R22.5*XM D</v>
          </cell>
          <cell r="HG8" t="str">
            <v>六角螺絲(全)</v>
          </cell>
          <cell r="HH8" t="str">
            <v>204尼龍螺帽</v>
          </cell>
          <cell r="HI8" t="str">
            <v>游標卡尺6"</v>
          </cell>
          <cell r="HJ8" t="str">
            <v>鐵樂士噴漆</v>
          </cell>
          <cell r="HK8" t="str">
            <v>出車至橫山</v>
          </cell>
          <cell r="HL8" t="str">
            <v>廢鋼圈載回</v>
          </cell>
          <cell r="HM8" t="str">
            <v>手拉器-2"*30尺</v>
          </cell>
          <cell r="HN8" t="str">
            <v>丸花車帶</v>
          </cell>
          <cell r="HO8" t="str">
            <v>中古鋼圈</v>
          </cell>
          <cell r="HP8" t="str">
            <v>交際費</v>
          </cell>
          <cell r="HQ8" t="str">
            <v>8分氣動板手</v>
          </cell>
          <cell r="HR8" t="str">
            <v>ARIVO獅王-80T千斤頂</v>
          </cell>
          <cell r="HS8" t="str">
            <v>廁所清潔劑</v>
          </cell>
          <cell r="HT8" t="str">
            <v>氣門夾頭</v>
          </cell>
          <cell r="HU8" t="str">
            <v>出車至楊梅</v>
          </cell>
        </row>
        <row r="9">
          <cell r="H9">
            <v>4</v>
          </cell>
          <cell r="I9" t="str">
            <v>建發橡膠工廠股份有限公司</v>
          </cell>
          <cell r="K9" t="str">
            <v>農機胎SS-9.5-22</v>
          </cell>
          <cell r="L9" t="str">
            <v>農機胎136-38</v>
          </cell>
        </row>
        <row r="10">
          <cell r="H10">
            <v>5</v>
          </cell>
          <cell r="I10" t="str">
            <v>米其林忠欣股份有限公司-大胎</v>
          </cell>
          <cell r="K10" t="str">
            <v>米其林-295/80R22.5*X Multi Z</v>
          </cell>
          <cell r="L10" t="str">
            <v>米其林-295/80R*22.5X MultiWay 3D XZE</v>
          </cell>
          <cell r="M10" t="str">
            <v>米其林-295/80R22.5*X Coach Z</v>
          </cell>
          <cell r="N10" t="str">
            <v>米其林-295/80R22.5*XZE2+</v>
          </cell>
          <cell r="O10" t="str">
            <v>米其林-315/80R22.5*X Multi Z</v>
          </cell>
          <cell r="P10" t="str">
            <v>米其林-315/80R22.5*X MultiWay 3D XZE</v>
          </cell>
          <cell r="Q10" t="str">
            <v>米其林-315/80R22.5*XDE2+</v>
          </cell>
          <cell r="R10" t="str">
            <v>米其林-385/65R22.5*X Multi T</v>
          </cell>
          <cell r="S10" t="str">
            <v>米其林-4KG輪胎蠟</v>
          </cell>
          <cell r="T10" t="str">
            <v>米其林-275/70R22.5*X Multi Z</v>
          </cell>
          <cell r="U10" t="str">
            <v>米其林-12R22.5*MTD</v>
          </cell>
          <cell r="V10" t="str">
            <v>米其林-12R22.5*XDE2+</v>
          </cell>
          <cell r="W10" t="str">
            <v xml:space="preserve">米其林-385/65R22.5*X Multi HD </v>
          </cell>
          <cell r="X10" t="str">
            <v>米其林-12R22.5*X Multi Z</v>
          </cell>
          <cell r="Y10" t="str">
            <v>米其林-385/65R22.5*X Multi F</v>
          </cell>
          <cell r="Z10" t="str">
            <v>米其林-315/80R22.5*X MultiWay 3D XDE</v>
          </cell>
          <cell r="AA10" t="str">
            <v>頂車架 6T</v>
          </cell>
          <cell r="AB10" t="str">
            <v>米其林-315/80R22.5*X Multi HD Z</v>
          </cell>
        </row>
        <row r="11">
          <cell r="H11">
            <v>6</v>
          </cell>
          <cell r="I11" t="str">
            <v>米其林忠欣股份有限公司-中胎</v>
          </cell>
          <cell r="K11" t="str">
            <v>米其林-195/85R16*XJE4</v>
          </cell>
          <cell r="L11" t="str">
            <v>米其林-205/75R17.5*X Multi Z</v>
          </cell>
          <cell r="M11" t="str">
            <v>米其林-205/75R17.5*XZE2</v>
          </cell>
          <cell r="N11" t="str">
            <v>米其林-215/75R17.5*X Multi Z</v>
          </cell>
          <cell r="O11" t="str">
            <v>米其林-245/70R17.5*X Multi Z</v>
          </cell>
          <cell r="P11" t="str">
            <v>米其林-750R16*Agilis</v>
          </cell>
          <cell r="Q11" t="str">
            <v>米其林-825R16*Agilis</v>
          </cell>
          <cell r="R11" t="str">
            <v>米其林-9.5R17.5*X Multi Z</v>
          </cell>
          <cell r="S11" t="str">
            <v>米其林-9.5R17.5*XTE2</v>
          </cell>
          <cell r="T11" t="str">
            <v>米其林-195/75R16*Agilis</v>
          </cell>
          <cell r="U11" t="str">
            <v>米其林-235/75R17.5*X Multi Z</v>
          </cell>
          <cell r="V11" t="str">
            <v>米其林-225/75R17.5*X Multi Z</v>
          </cell>
          <cell r="W11" t="str">
            <v>米其林-195/75R16*Agilis RC</v>
          </cell>
        </row>
        <row r="12">
          <cell r="H12">
            <v>15</v>
          </cell>
          <cell r="I12" t="str">
            <v>棋邦有限公司(建大)</v>
          </cell>
          <cell r="K12" t="str">
            <v>建大-195/75R16C*KR100</v>
          </cell>
          <cell r="L12" t="str">
            <v>實心胎 600-9</v>
          </cell>
          <cell r="M12" t="str">
            <v>建大-7.00-12*K611</v>
          </cell>
        </row>
        <row r="13">
          <cell r="H13">
            <v>17</v>
          </cell>
          <cell r="I13" t="str">
            <v>萬全鋼圈有限公司</v>
          </cell>
          <cell r="K13" t="str">
            <v xml:space="preserve">鋼圈- CSR*22.5 </v>
          </cell>
          <cell r="L13" t="str">
            <v>鋼圈-CSR*6.00*17.5日規6孔</v>
          </cell>
          <cell r="M13" t="str">
            <v>鋼圈-CSR*6.00*17.5*"135"6孔(前輪專用)</v>
          </cell>
          <cell r="N13" t="str">
            <v>鋼圈-CSR*8.25*22.5日規10孔</v>
          </cell>
          <cell r="O13" t="str">
            <v>鋼圈-CSR*9.00*22.5日規10孔</v>
          </cell>
          <cell r="P13" t="str">
            <v>鋼圈-CSR*9.00*22.5日規8孔</v>
          </cell>
          <cell r="Q13" t="str">
            <v>鋼圈-CSR*9.00*22.5歐規10孔</v>
          </cell>
          <cell r="R13" t="str">
            <v>鋼圈-CSR*8.25*22.5日規8孔</v>
          </cell>
          <cell r="S13" t="str">
            <v>鋼圈-CSR*8.25*22.5歐規10孔</v>
          </cell>
          <cell r="T13" t="str">
            <v>鋼圈-CSR*一路發14"無內胎</v>
          </cell>
          <cell r="U13" t="str">
            <v>鋼圈-HL1*385R前輪歐規 11.75</v>
          </cell>
          <cell r="V13" t="str">
            <v>鋼圈-HL1*385R後輪歐規 11.75</v>
          </cell>
          <cell r="W13" t="str">
            <v>鋼圈-HL1*9.00*22.5日規8孔</v>
          </cell>
          <cell r="X13" t="str">
            <v>鋼圈-HL1*9.00*22.5歐規10孔</v>
          </cell>
          <cell r="Y13" t="str">
            <v>鋼圈-中古鋼圈*12.9-24*12孔</v>
          </cell>
          <cell r="Z13" t="str">
            <v>鋼圈-拆車鋼圈169*24 12H孔徑157.26</v>
          </cell>
          <cell r="AA13" t="str">
            <v>鋼圈-堅達*6.00*17.5 5孔(前輪降低)</v>
          </cell>
          <cell r="AB13" t="str">
            <v>鋼圈-堅達*6.00*17.5 6孔(後輪)</v>
          </cell>
          <cell r="AC13" t="str">
            <v>鋼圈-堅達*6.00*17.5 6孔(前輪)</v>
          </cell>
          <cell r="AD13" t="str">
            <v>鋼圈-堅達*700-16 5孔</v>
          </cell>
          <cell r="AE13" t="str">
            <v>鋼圈-中才*9.00*22.5歐規10孔</v>
          </cell>
          <cell r="AF13" t="str">
            <v>鋼圈-KPZ/9.00*22.5歐規10孔*賓士防暴</v>
          </cell>
          <cell r="AG13" t="str">
            <v>鋼圈-現代*6.00*17.5 6孔</v>
          </cell>
          <cell r="AH13" t="str">
            <v>鋼圈-豐田*700*16 "146" 5孔</v>
          </cell>
          <cell r="AI13" t="str">
            <v>鋼圈-豐田*6.00*17.5 5孔"146"(前輪降低)</v>
          </cell>
          <cell r="AJ13" t="str">
            <v>鋼圈-CSR*6.00*17.5 6孔"105"前輪專用</v>
          </cell>
          <cell r="AK13" t="str">
            <v>鋼圈-FCT16*5.5 5H/203外拋</v>
          </cell>
          <cell r="AL13" t="str">
            <v>墊片--8孔*3mm</v>
          </cell>
          <cell r="AM13" t="str">
            <v>墊片-歐規10孔*3mm(薄)</v>
          </cell>
          <cell r="AN13" t="str">
            <v>氣嘴  TR-415 10*16.5用</v>
          </cell>
          <cell r="AO13" t="str">
            <v>螺帽 M20*1.5 F-R</v>
          </cell>
          <cell r="AP13" t="str">
            <v>螺帽 M20*1.5 F-L</v>
          </cell>
          <cell r="AQ13" t="str">
            <v>螺帽 24*1.5F-R</v>
          </cell>
          <cell r="AR13" t="str">
            <v>螺帽 24*1.5F-L</v>
          </cell>
          <cell r="AS13" t="str">
            <v>螺帽-M20*1.5 R-R</v>
          </cell>
          <cell r="AT13" t="str">
            <v>螺帽-M20*1.5 R-L</v>
          </cell>
          <cell r="AU13" t="str">
            <v>新鋼圈 10*16.5 6孔</v>
          </cell>
          <cell r="AV13" t="str">
            <v>鋼圈-CSR*一路發 5孔</v>
          </cell>
          <cell r="AW13" t="str">
            <v>鋼圈-CSR*9.00*22.5日規8孔改才</v>
          </cell>
          <cell r="AX13" t="str">
            <v>鋼圈-700*16 特改平才 6H</v>
          </cell>
          <cell r="AY13" t="str">
            <v>鋼圈-CSR*6.00*17.5日規5孔(後輪)</v>
          </cell>
          <cell r="AZ13" t="str">
            <v>鋼圈-CSR*6.00*17.5日規5孔(前輪)</v>
          </cell>
          <cell r="BA13" t="str">
            <v>鋼圈-中古鋼圈*1100*20歐規10孔</v>
          </cell>
          <cell r="BB13" t="str">
            <v>鋼圈-HL1*8.25*22.5日規8孔</v>
          </cell>
          <cell r="BC13" t="str">
            <v>鋼圈-CSR*7.50*22.5*8孔</v>
          </cell>
          <cell r="BD13" t="str">
            <v>新鋼帶-700*16</v>
          </cell>
          <cell r="BE13" t="str">
            <v>鋼圈-CSR*9.00*22.5歐規10孔改才</v>
          </cell>
          <cell r="BF13" t="str">
            <v>鋼圈-TOPY*8.25*16 日規6孔</v>
          </cell>
          <cell r="BG13" t="str">
            <v>鋁圈螺帽-7/8*11R</v>
          </cell>
          <cell r="BH13" t="str">
            <v>鋼圈-HL1*8.25*22.5歐規10孔(防爆)</v>
          </cell>
          <cell r="BI13" t="str">
            <v>鋼圈-KPZ*385R*日規8孔(前輪)</v>
          </cell>
          <cell r="BJ13" t="str">
            <v>鋁圈螺帽 前輪</v>
          </cell>
          <cell r="BK13" t="str">
            <v>鋁圈螺帽 後輪</v>
          </cell>
          <cell r="BL13" t="str">
            <v>鋼圈-CSR*9.00*22.5日規8孔 133前輪</v>
          </cell>
          <cell r="BM13" t="str">
            <v>鋼圈-豐田*6.00*17.5 5孔"105"</v>
          </cell>
          <cell r="BN13" t="str">
            <v>鋼圈-FCT*11.75*22.5前輪歐規10孔</v>
          </cell>
          <cell r="BO13" t="str">
            <v>鋼圈-FCT*9.00*22.5歐規10孔</v>
          </cell>
          <cell r="BP13" t="str">
            <v>螺帽 M22*1.5 F-R</v>
          </cell>
          <cell r="BQ13" t="str">
            <v>螺帽 M22*1.5 R-R</v>
          </cell>
          <cell r="BR13" t="str">
            <v>鋼圈-FCT16*5.5 5H/203內拋</v>
          </cell>
          <cell r="BS13" t="str">
            <v>鋼圈-FCT16*5.5 5H/203機加</v>
          </cell>
          <cell r="BT13" t="str">
            <v>鋼圈-CSR*6.00*17.5日規10孔</v>
          </cell>
          <cell r="BU13" t="str">
            <v>鋼圈-CSR*6.75*17.5日規6孔</v>
          </cell>
          <cell r="BV13" t="str">
            <v>鋼圈-HL6*6.00*17.5*6孔(前輪降低)</v>
          </cell>
          <cell r="BW13" t="str">
            <v>鋼圈-CSR*6.75*17.5*10孔</v>
          </cell>
          <cell r="BX13" t="str">
            <v>鋼圈-HL3*9.00*22.5歐規10孔防爆</v>
          </cell>
          <cell r="BY13" t="str">
            <v>螺帽 M22*1.5 F-L</v>
          </cell>
          <cell r="BZ13" t="str">
            <v>鋁圈9.00*22.5鑽洞</v>
          </cell>
          <cell r="CA13" t="str">
            <v>22.5"鋁合金氣嘴</v>
          </cell>
          <cell r="CB13" t="str">
            <v>385 (前輪)鋁合金氣嘴</v>
          </cell>
          <cell r="CC13" t="str">
            <v>385 (後輪)鋁合金氣嘴</v>
          </cell>
          <cell r="CD13" t="str">
            <v>16"鋁合金氣嘴</v>
          </cell>
          <cell r="CE13" t="str">
            <v>17.5"鋁合金氣嘴</v>
          </cell>
        </row>
        <row r="14">
          <cell r="H14">
            <v>18</v>
          </cell>
          <cell r="I14" t="str">
            <v>精輪輪胎企業社&gt;金輪國際實業社&gt;聯碩輪業有限公司&gt;精輪輪胎有限公司</v>
          </cell>
          <cell r="K14" t="str">
            <v>翻修胎-1000-20*101</v>
          </cell>
          <cell r="L14" t="str">
            <v>翻修胎-1000-20*201</v>
          </cell>
          <cell r="M14" t="str">
            <v>翻修胎-1000-20*BS</v>
          </cell>
          <cell r="N14" t="str">
            <v>翻修胎-1100R20*KT2</v>
          </cell>
          <cell r="O14" t="str">
            <v>翻修胎-1100-20*C101</v>
          </cell>
          <cell r="P14" t="str">
            <v>翻修胎-1100-20*C201</v>
          </cell>
          <cell r="Q14" t="str">
            <v>翻修胎-1100R20*(直花-正冷)</v>
          </cell>
          <cell r="R14" t="str">
            <v>翻修胎-12R*燒部份</v>
          </cell>
          <cell r="S14" t="str">
            <v>翻修胎-12R*(粗花-加厚)</v>
          </cell>
          <cell r="T14" t="str">
            <v>翻修胎-12R*(直花-正冷)</v>
          </cell>
          <cell r="U14" t="str">
            <v>翻修胎-315R*Y3</v>
          </cell>
          <cell r="V14" t="str">
            <v>翻修胎-315R*燒部份</v>
          </cell>
          <cell r="W14" t="str">
            <v>翻修胎315R*(粗花-加厚)</v>
          </cell>
          <cell r="X14" t="str">
            <v>翻修胎315R*(直花-正冷)</v>
          </cell>
          <cell r="Y14" t="str">
            <v>翻修胎-295R*燒部分</v>
          </cell>
          <cell r="Z14" t="str">
            <v>翻修胎295R*(直花-正冷)</v>
          </cell>
          <cell r="AA14" t="str">
            <v>翻修胎295R*(粗花-加厚)</v>
          </cell>
          <cell r="AB14" t="str">
            <v>翻修胎-750-16*C201</v>
          </cell>
          <cell r="AC14" t="str">
            <v>翻修胎-750R16*LL</v>
          </cell>
          <cell r="AD14" t="str">
            <v>翻修胎-825R16*LL</v>
          </cell>
        </row>
        <row r="15">
          <cell r="H15">
            <v>19</v>
          </cell>
          <cell r="I15" t="str">
            <v>立城輪胎股份有限公司</v>
          </cell>
          <cell r="K15" t="str">
            <v>O型環</v>
          </cell>
          <cell r="L15" t="str">
            <v>輪胎HF T</v>
          </cell>
          <cell r="M15" t="str">
            <v>內胎HF U</v>
          </cell>
          <cell r="N15" t="str">
            <v>內胎155-38</v>
          </cell>
          <cell r="O15" t="str">
            <v>工程胎 BKT-16.9-24*TR459</v>
          </cell>
          <cell r="P15" t="str">
            <v>工程胎 BT T 16.9-24</v>
          </cell>
          <cell r="Q15" t="str">
            <v>工程胎 BTT-17.5/65-20*AT621</v>
          </cell>
        </row>
        <row r="16">
          <cell r="H16">
            <v>20</v>
          </cell>
          <cell r="I16" t="str">
            <v>大城輪胎機械股份有限公司</v>
          </cell>
          <cell r="K16" t="str">
            <v>HG大型車用鉛塊50g</v>
          </cell>
          <cell r="L16" t="str">
            <v>HG大型車用鉛塊100g</v>
          </cell>
          <cell r="M16" t="str">
            <v>HG大型車用鉛塊150g</v>
          </cell>
          <cell r="N16" t="str">
            <v>HG大型車用鉛塊200g</v>
          </cell>
          <cell r="O16" t="str">
            <v>HG大型車用鉛塊250g</v>
          </cell>
          <cell r="P16" t="str">
            <v>大型車用鉛塊300g</v>
          </cell>
          <cell r="Q16" t="str">
            <v>大型車用鉛塊350g</v>
          </cell>
          <cell r="R16" t="str">
            <v>HG鋁圈用鉛塊 5G</v>
          </cell>
          <cell r="S16" t="str">
            <v>HG鋁圈用鉛塊10G</v>
          </cell>
          <cell r="T16" t="str">
            <v>HG鋁圈用鉛塊 15G</v>
          </cell>
          <cell r="U16" t="str">
            <v>HG鋁圈用鉛塊20G</v>
          </cell>
          <cell r="V16" t="str">
            <v>HG鋁圈用鉛塊 25G</v>
          </cell>
          <cell r="W16" t="str">
            <v>HG鋁圈用鉛塊 30G</v>
          </cell>
          <cell r="X16" t="str">
            <v>HG鋁圈用鉛塊35G</v>
          </cell>
          <cell r="Y16" t="str">
            <v>HG鋁圈用鉛塊40G</v>
          </cell>
          <cell r="Z16" t="str">
            <v>CM鐵製鐵圈用鉛塊*5G</v>
          </cell>
          <cell r="AA16" t="str">
            <v>CM鉛製鐵圈用鉛塊*10G</v>
          </cell>
          <cell r="AB16" t="str">
            <v>CM鉛製鐵圈用鉛塊*15G</v>
          </cell>
          <cell r="AC16" t="str">
            <v>CM鉛製鐵圈用鉛塊*20G</v>
          </cell>
          <cell r="AD16" t="str">
            <v>CM鉛製鐵圈用鉛塊*25G</v>
          </cell>
          <cell r="AE16" t="str">
            <v>CM鉛製鐵圈用鉛塊*30G</v>
          </cell>
          <cell r="AF16" t="str">
            <v>CM鉛製鐵圈用鉛塊*35G</v>
          </cell>
          <cell r="AG16" t="str">
            <v>CM鉛製鐵圈用鉛塊*40G</v>
          </cell>
          <cell r="AH16" t="str">
            <v>輪胎-BTT16.9-24 12PR*TR459R4-4 L</v>
          </cell>
          <cell r="AI16" t="str">
            <v>刻溝刀</v>
          </cell>
          <cell r="AJ16" t="str">
            <v>補胎壓輪(小)</v>
          </cell>
          <cell r="AK16" t="str">
            <v>鏟刀</v>
          </cell>
          <cell r="AL16" t="str">
            <v>內胎-12.4-24</v>
          </cell>
          <cell r="AM16" t="str">
            <v>輪胎-BTT 17.5/65-20 10PR*AT621 L</v>
          </cell>
        </row>
        <row r="17">
          <cell r="H17">
            <v>21</v>
          </cell>
          <cell r="I17" t="str">
            <v>歐峰汽車材料有限公司</v>
          </cell>
          <cell r="K17" t="str">
            <v>板車牛腿/30MM</v>
          </cell>
          <cell r="L17" t="str">
            <v>活動拉桿調整螺絲</v>
          </cell>
          <cell r="M17" t="str">
            <v>板車牛腿螺絲組</v>
          </cell>
          <cell r="N17" t="str">
            <v>板車牛腿/30MM(日本製)</v>
          </cell>
          <cell r="O17" t="str">
            <v>橫拉桿球頭-右牙-M30*1.5</v>
          </cell>
          <cell r="P17" t="str">
            <v>橫拉桿球頭-左牙-M30*1.5</v>
          </cell>
          <cell r="Q17" t="str">
            <v>SCAN-方向機直拉桿</v>
          </cell>
          <cell r="R17" t="str">
            <v>中船螺絲16*150MM</v>
          </cell>
          <cell r="S17" t="str">
            <v>牛腿襯套</v>
          </cell>
        </row>
        <row r="18">
          <cell r="H18">
            <v>22</v>
          </cell>
          <cell r="I18" t="str">
            <v>統富汽車材料</v>
          </cell>
          <cell r="K18" t="str">
            <v>U型螺絲</v>
          </cell>
          <cell r="L18" t="str">
            <v>FUSO-橫拉桿和尚頭</v>
          </cell>
          <cell r="M18" t="str">
            <v>ISUZ-橫拉桿和尚頭-RH/LH</v>
          </cell>
          <cell r="N18" t="str">
            <v>牛腿襯套</v>
          </cell>
          <cell r="O18" t="str">
            <v>BPW/B 12T-活動拉桿</v>
          </cell>
          <cell r="P18" t="str">
            <v>HINO-橫拉桿和尚頭-L/R</v>
          </cell>
          <cell r="Q18" t="str">
            <v>FUSO/F 橫拉桿和尚頭 LH</v>
          </cell>
          <cell r="R18" t="str">
            <v>FUSO/F 橫拉桿和尚頭 RH</v>
          </cell>
          <cell r="S18" t="str">
            <v>12*75*1.5通用螺絲</v>
          </cell>
          <cell r="T18" t="str">
            <v>通用/離合增壓器*大</v>
          </cell>
          <cell r="U18" t="str">
            <v>UD名生-橫拉桿和尚頭-L/R</v>
          </cell>
        </row>
        <row r="19">
          <cell r="H19">
            <v>23</v>
          </cell>
          <cell r="I19" t="str">
            <v>欣葆興業有限公司</v>
          </cell>
          <cell r="K19" t="str">
            <v>千斤頂用油-CRAB AW 68*188</v>
          </cell>
        </row>
        <row r="20">
          <cell r="H20">
            <v>24</v>
          </cell>
          <cell r="I20" t="str">
            <v>光一汽車材料行</v>
          </cell>
          <cell r="K20" t="str">
            <v>ISUZU NPR 94-輪胎螺絲 RR</v>
          </cell>
        </row>
        <row r="21">
          <cell r="H21">
            <v>25</v>
          </cell>
          <cell r="I21" t="str">
            <v>光聯汽車材料行</v>
          </cell>
          <cell r="K21" t="str">
            <v>離合器壓板 一路發</v>
          </cell>
          <cell r="L21" t="str">
            <v>離合器片 一路發</v>
          </cell>
          <cell r="M21" t="str">
            <v>離合器軸承 一路發</v>
          </cell>
          <cell r="N21" t="str">
            <v>軸承塑膠蓋</v>
          </cell>
          <cell r="O21" t="str">
            <v>離合器分泵 一路發</v>
          </cell>
          <cell r="P21" t="str">
            <v>皮帶-11噸</v>
          </cell>
          <cell r="Q21" t="str">
            <v>後照鏡-11噸</v>
          </cell>
          <cell r="R21" t="str">
            <v>預熱塞</v>
          </cell>
          <cell r="S21" t="str">
            <v>升降機-電動</v>
          </cell>
          <cell r="T21" t="str">
            <v>堅達 3.5T*拉桿和尚頭 LH</v>
          </cell>
          <cell r="U21" t="str">
            <v>載卡多-下球頭</v>
          </cell>
          <cell r="V21" t="str">
            <v>輪胎螺絲RR-38MM</v>
          </cell>
          <cell r="W21" t="str">
            <v>日野-角燈RH</v>
          </cell>
          <cell r="X21" t="str">
            <v>引擎開關 3P</v>
          </cell>
          <cell r="Y21" t="str">
            <v>2007-起動馬達 150碼</v>
          </cell>
          <cell r="Z21" t="str">
            <v>堅達 3.5T 96-直拉桿 4輪 彎頭</v>
          </cell>
          <cell r="AA21" t="str">
            <v>載卡多-傳動軸-美規舊品</v>
          </cell>
          <cell r="AB21" t="str">
            <v>堆高機 TCM-啟動馬達</v>
          </cell>
          <cell r="AC21" t="str">
            <v>堆高機 TCM-後來令片</v>
          </cell>
          <cell r="AD21" t="str">
            <v>載卡多 EV2.0-高壓線</v>
          </cell>
          <cell r="AE21" t="str">
            <v>ISUZU ELF 一路發 93-機油濾清器</v>
          </cell>
          <cell r="AF21" t="str">
            <v>MI 堅達 3.5T 1305-角燈 RH (銀色塑膠)</v>
          </cell>
          <cell r="AG21" t="str">
            <v>MI 堅達 3.5T 13-霧燈 RH</v>
          </cell>
          <cell r="AH21" t="str">
            <v>端子/扁母(2溝)</v>
          </cell>
          <cell r="AI21" t="str">
            <v>端子/扁公</v>
          </cell>
          <cell r="AJ21" t="str">
            <v>裕隆-考耳 日立/電子</v>
          </cell>
          <cell r="AK21" t="str">
            <v>MI 威利-分電機</v>
          </cell>
          <cell r="AL21" t="str">
            <v>ISUZU ELF 一路發 -冷氣惰輪 4HF1/單溝</v>
          </cell>
          <cell r="AM21" t="str">
            <v>皮帶-齒式 4/58</v>
          </cell>
          <cell r="AN21" t="str">
            <v>ISUZU ELF 一路發 -冷氣惰輪 冷氣連座</v>
          </cell>
          <cell r="AO21" t="str">
            <v>皮帶-齒式 4/59</v>
          </cell>
          <cell r="AP21" t="str">
            <v>ISUZU ELF 一路發 -油箱蓋</v>
          </cell>
          <cell r="AQ21" t="str">
            <v>HINO 10.4T-空氣濾清器</v>
          </cell>
          <cell r="AR21" t="str">
            <v>ISUZU ELF 一路發 2007-機油濾清器 紙</v>
          </cell>
          <cell r="AS21" t="str">
            <v>MI 堅達 3.5T 96-機油濾清器 重</v>
          </cell>
          <cell r="AT21" t="str">
            <v>HINO 17T 2003-空氣濾清器 外心</v>
          </cell>
          <cell r="AU21" t="str">
            <v>HINO 17T 2003-空氣濾清器 內心</v>
          </cell>
          <cell r="AV21" t="str">
            <v>HINO 10.4T-機油濾清器</v>
          </cell>
          <cell r="AW21" t="str">
            <v>VOLVO富豪-機油濾清器 大/白胖</v>
          </cell>
          <cell r="AX21" t="str">
            <v>MI 堅達 3.5T 96-煞車分泵-R-RRF前蝶後鼓</v>
          </cell>
          <cell r="AY21" t="str">
            <v>MI 堅達 3.5T 96-煞車分泵-R-RRR前蝶後鼓</v>
          </cell>
          <cell r="AZ21" t="str">
            <v>MI 堅達 3.5T 油封 後外油封/6輪</v>
          </cell>
          <cell r="BA21" t="str">
            <v>ISUZU ELF 一路發-備水桶</v>
          </cell>
          <cell r="BB21" t="str">
            <v>ISUZU ELF 一路發 前來令片F-R 6.9T</v>
          </cell>
          <cell r="BC21" t="str">
            <v>煞車分泵-F FLF</v>
          </cell>
          <cell r="BD21" t="str">
            <v>煞車分泵-F FLR</v>
          </cell>
          <cell r="BE21" t="str">
            <v>煞車分泵-F FRF</v>
          </cell>
          <cell r="BF21" t="str">
            <v>煞車分泵-F FRR</v>
          </cell>
          <cell r="BG21" t="str">
            <v>一般 燈泡-插式</v>
          </cell>
          <cell r="BH21" t="str">
            <v>ISUZU ELF 一路發-煞車總泵3.5/4.7/4.8T</v>
          </cell>
          <cell r="BI21" t="str">
            <v>ISUZU ELF 一路發-節溫器-水龜 6.5T/54雙/長</v>
          </cell>
          <cell r="BJ21" t="str">
            <v>ISUZU ELF 一路發-節溫器-水龜 54MM/單/短</v>
          </cell>
          <cell r="BK21" t="str">
            <v>保險絲</v>
          </cell>
          <cell r="BL21" t="str">
            <v>ISUZU ELF 一路發 2007-啟動馬達</v>
          </cell>
          <cell r="BM21" t="str">
            <v>堅達 3.5T*拉桿和尚頭 RH</v>
          </cell>
          <cell r="BN21" t="str">
            <v>ISUZU ELF 一路發-油封 6.8T</v>
          </cell>
          <cell r="BO21" t="str">
            <v>ISUZU NKR 煞車分泵-R RL*2</v>
          </cell>
          <cell r="BP21" t="str">
            <v>ISUZU NKR 95 煞車分泵-R RRF</v>
          </cell>
          <cell r="BQ21" t="str">
            <v>ISUZU NKR 95 煞車分泵-R RRR</v>
          </cell>
          <cell r="BR21" t="str">
            <v>ISUZU NKR 一路發 後來令片F-R 6輪</v>
          </cell>
          <cell r="BS21" t="str">
            <v>ISUZU NPR-油封 4HF1後外油封</v>
          </cell>
          <cell r="BT21" t="str">
            <v>ISUZU NPR-油封 後內油封</v>
          </cell>
          <cell r="BU21" t="str">
            <v>ISUZU NKR 前來令片F-R</v>
          </cell>
          <cell r="BV21" t="str">
            <v>ISUZU ELF 一路發 94-06-空氣濾清器</v>
          </cell>
          <cell r="BW21" t="str">
            <v>ISUZU ELF 一路發 07-12-機油濾清器 蓋</v>
          </cell>
          <cell r="BX21" t="str">
            <v>皮帶-齒式 4/50</v>
          </cell>
          <cell r="BY21" t="str">
            <v>MI 堅達 3.5T 96-冷氣惰輪</v>
          </cell>
          <cell r="BZ21" t="str">
            <v>MI 堅達 3.5T 96-進氣墊片 4M40/4片</v>
          </cell>
          <cell r="CA21" t="str">
            <v>MI 新堅達 3.5T 96-排氣墊片 TURBO</v>
          </cell>
          <cell r="CB21" t="str">
            <v>MI 堅達 3.5T 98-06-排氣岐管 TURBO</v>
          </cell>
          <cell r="CC21" t="str">
            <v>MI 堅達 3.5T 96-前排氣墊片 TURBO/三角墊片</v>
          </cell>
          <cell r="CD21" t="str">
            <v>MI 堅達 3.5T 99-消音器 後消</v>
          </cell>
          <cell r="CE21" t="str">
            <v>MI 堅達 3.5T-後排氣墊片 三角型</v>
          </cell>
        </row>
        <row r="22">
          <cell r="H22">
            <v>29</v>
          </cell>
          <cell r="I22" t="str">
            <v>昌樺汽車材料有限公司</v>
          </cell>
          <cell r="K22" t="str">
            <v>11頓啟動馬達</v>
          </cell>
        </row>
        <row r="23">
          <cell r="H23">
            <v>30</v>
          </cell>
          <cell r="I23" t="str">
            <v>秀和車材實業有限公司</v>
          </cell>
          <cell r="K23" t="str">
            <v>螺絲38*28*19*L／顆</v>
          </cell>
          <cell r="L23" t="str">
            <v>螺絲38*28*19*R／顆</v>
          </cell>
          <cell r="M23" t="str">
            <v>螺絲41*30*21*L／顆</v>
          </cell>
          <cell r="N23" t="str">
            <v>螺絲41*30*21*R／顆</v>
          </cell>
        </row>
        <row r="24">
          <cell r="H24">
            <v>32</v>
          </cell>
          <cell r="I24" t="str">
            <v>銀王企業有限公司＞弘新橡膠工業股份有限公司</v>
          </cell>
          <cell r="K24" t="str">
            <v>OB-16</v>
          </cell>
          <cell r="L24" t="str">
            <v>OB-1100-20</v>
          </cell>
          <cell r="M24" t="str">
            <v>OB-15</v>
          </cell>
          <cell r="N24" t="str">
            <v>OB-1000-20</v>
          </cell>
        </row>
        <row r="25">
          <cell r="H25">
            <v>33</v>
          </cell>
          <cell r="I25" t="str">
            <v>台一輪胎行(實心胎)</v>
          </cell>
          <cell r="K25" t="str">
            <v>實心胎-30*10-16 山貓胎+鋼圈</v>
          </cell>
          <cell r="L25" t="str">
            <v>實心胎-33*12-20 鋼圈8孔</v>
          </cell>
          <cell r="M25" t="str">
            <v>實心胎-30*10-20 鋼圈8孔</v>
          </cell>
          <cell r="N25" t="str">
            <v>實心胎-600-9</v>
          </cell>
          <cell r="O25" t="str">
            <v>實心胎-33*12-20鋼圈6孔</v>
          </cell>
          <cell r="P25" t="str">
            <v>實心胎-500-8</v>
          </cell>
          <cell r="Q25" t="str">
            <v>實心胎-700-12</v>
          </cell>
          <cell r="R25" t="str">
            <v>實心胎-18*7-8</v>
          </cell>
          <cell r="S25" t="str">
            <v>實心胎-21*8-9</v>
          </cell>
          <cell r="T25" t="str">
            <v>實心胎-650-10</v>
          </cell>
          <cell r="U25" t="str">
            <v>實心胎-815-15</v>
          </cell>
        </row>
        <row r="26">
          <cell r="H26">
            <v>34</v>
          </cell>
          <cell r="I26" t="str">
            <v>天綸貿易有限公司</v>
          </cell>
          <cell r="K26" t="str">
            <v>高週波加熱器&gt;電容</v>
          </cell>
          <cell r="L26" t="str">
            <v>定位夾具</v>
          </cell>
          <cell r="M26" t="str">
            <v>脫胎唇</v>
          </cell>
          <cell r="N26" t="str">
            <v>高週波零件(IC板)</v>
          </cell>
          <cell r="O26" t="str">
            <v>跑台電池</v>
          </cell>
          <cell r="P26" t="str">
            <v>充電電路板</v>
          </cell>
          <cell r="Q26" t="str">
            <v>感應器主機板(3號)</v>
          </cell>
          <cell r="R26" t="str">
            <v>平衡機校正</v>
          </cell>
        </row>
        <row r="27">
          <cell r="H27">
            <v>36</v>
          </cell>
          <cell r="I27" t="str">
            <v>祥崴油壓五金行</v>
          </cell>
          <cell r="K27" t="str">
            <v>氣門嘴開關</v>
          </cell>
          <cell r="L27" t="str">
            <v>千斤頂風管</v>
          </cell>
          <cell r="M27" t="str">
            <v>灌風軟管開關2</v>
          </cell>
          <cell r="N27" t="str">
            <v>灌風軟管開關1</v>
          </cell>
          <cell r="O27" t="str">
            <v>空壓機零件</v>
          </cell>
          <cell r="P27" t="str">
            <v>20公斤壓力錶</v>
          </cell>
          <cell r="Q27" t="str">
            <v>氣動板手延伸管</v>
          </cell>
          <cell r="R27" t="str">
            <v>空壓機管子</v>
          </cell>
          <cell r="S27" t="str">
            <v>風管</v>
          </cell>
          <cell r="T27" t="str">
            <v>1/2內牙母側(日本)&gt;快速接頭</v>
          </cell>
          <cell r="U27" t="str">
            <v>3/8內牙母側(日本)&gt;快速接頭</v>
          </cell>
          <cell r="V27" t="str">
            <v>3/4高壓夾頭</v>
          </cell>
          <cell r="W27" t="str">
            <v>1/2內牙公側+母側(日本)</v>
          </cell>
          <cell r="X27" t="str">
            <v>1/2R1X1500 PT外牙</v>
          </cell>
          <cell r="Y27" t="str">
            <v>灌風軟管</v>
          </cell>
          <cell r="Z27" t="str">
            <v>3/8外牙公側(日本)&gt;快速接頭</v>
          </cell>
        </row>
        <row r="28">
          <cell r="H28">
            <v>37</v>
          </cell>
          <cell r="I28" t="str">
            <v>飛得力國際股份有限公司</v>
          </cell>
          <cell r="K28" t="str">
            <v>飛達-825-16*SR107</v>
          </cell>
          <cell r="L28" t="str">
            <v>飛達-315/80R22.5*ASR69</v>
          </cell>
        </row>
        <row r="29">
          <cell r="H29">
            <v>38</v>
          </cell>
          <cell r="I29" t="str">
            <v>亞獵士航太科技股份有限公司</v>
          </cell>
          <cell r="K29" t="str">
            <v>鋼圈-卡車螺帽M22*1.5*RR*55mm</v>
          </cell>
          <cell r="L29" t="str">
            <v>鋼圈-卡車螺帽M24*1.5*RR*55mm</v>
          </cell>
          <cell r="M29" t="str">
            <v>鋼圈-卡車螺帽M22*1.5*FR*14mm</v>
          </cell>
          <cell r="N29" t="str">
            <v>鋼圈-卡車螺帽M22*1.5*RR*38mm</v>
          </cell>
          <cell r="O29" t="str">
            <v>輪胎螺絲導正套筒</v>
          </cell>
          <cell r="P29" t="str">
            <v>鋼圈-卡圈_C004_61_22.5</v>
          </cell>
          <cell r="Q29" t="str">
            <v>鋼圈-_E001_61_22.5</v>
          </cell>
          <cell r="R29" t="str">
            <v>鋼圈-_E009-1_61_22.5</v>
          </cell>
          <cell r="S29" t="str">
            <v>鋼圈-_C006_61_22.5*霧面</v>
          </cell>
          <cell r="T29" t="str">
            <v>鋼圈-_E001_61_22.5* 鏡面</v>
          </cell>
          <cell r="U29" t="str">
            <v>鋼圈-卡車螺帽7/8*11*RR*38mm</v>
          </cell>
          <cell r="V29" t="str">
            <v>鋼圈-卡車螺帽7/8*11*FR*14mm</v>
          </cell>
          <cell r="W29" t="str">
            <v>鋼圈-_E001_61_22.5*霧面</v>
          </cell>
          <cell r="X29" t="str">
            <v>鋼圈-_C006_61_22.5*單鏡面</v>
          </cell>
          <cell r="Y29" t="str">
            <v>鋼圈-_J003-7_61_17.5*鏡面</v>
          </cell>
          <cell r="Z29" t="str">
            <v>卡車螺帽M20*1.5*FL*12mm</v>
          </cell>
          <cell r="AA29" t="str">
            <v>卡車螺帽M20*1.5*FR*12mm</v>
          </cell>
          <cell r="AB29" t="str">
            <v>中型車螺帽M20*1.5*RL*32mm</v>
          </cell>
          <cell r="AC29" t="str">
            <v>中型車螺帽M20*1.5*RR*32mm</v>
          </cell>
        </row>
        <row r="30">
          <cell r="H30">
            <v>39</v>
          </cell>
          <cell r="I30" t="str">
            <v>三井汽車材料有限公司</v>
          </cell>
          <cell r="K30" t="str">
            <v>11頓電池</v>
          </cell>
          <cell r="L30" t="str">
            <v>雨刷</v>
          </cell>
          <cell r="M30" t="str">
            <v>堅達3.5 前來令</v>
          </cell>
          <cell r="N30" t="str">
            <v>堅達3.5 電池-加水式</v>
          </cell>
          <cell r="O30" t="str">
            <v>所羅密  電池-免保養</v>
          </cell>
          <cell r="P30" t="str">
            <v>KI KMOA 卡旺 貨車-電池</v>
          </cell>
          <cell r="Q30" t="str">
            <v>載卡多2.2T柴油-電池-免保養</v>
          </cell>
        </row>
        <row r="31">
          <cell r="H31">
            <v>40</v>
          </cell>
          <cell r="I31" t="str">
            <v>信利汽車五金行</v>
          </cell>
          <cell r="K31" t="str">
            <v>磨胎器頭</v>
          </cell>
          <cell r="L31" t="str">
            <v>拆氣門嘴芯工具-短</v>
          </cell>
          <cell r="M31" t="str">
            <v>補條針</v>
          </cell>
        </row>
        <row r="32">
          <cell r="H32">
            <v>48</v>
          </cell>
          <cell r="I32" t="str">
            <v>歐特耐國際股份有限公司</v>
          </cell>
          <cell r="K32" t="str">
            <v>漢可固-315/80R22.5*268D</v>
          </cell>
          <cell r="L32" t="str">
            <v>漢可固-315/80R22.5*296A</v>
          </cell>
          <cell r="M32" t="str">
            <v>漢可固-315/80R22.5*HF31</v>
          </cell>
          <cell r="N32" t="str">
            <v>漢可固-315/80R22.5*FTO306</v>
          </cell>
          <cell r="O32" t="str">
            <v>撬胎棒(彎)</v>
          </cell>
          <cell r="P32" t="str">
            <v>20頓千斤頂(高)</v>
          </cell>
          <cell r="Q32" t="str">
            <v>20頓千斤頂(低)</v>
          </cell>
          <cell r="R32" t="str">
            <v>單邊測滑板</v>
          </cell>
        </row>
        <row r="33">
          <cell r="H33">
            <v>54</v>
          </cell>
          <cell r="I33" t="str">
            <v>縉麟企業有限公司</v>
          </cell>
          <cell r="K33" t="str">
            <v>膠水</v>
          </cell>
        </row>
        <row r="34">
          <cell r="H34">
            <v>55</v>
          </cell>
          <cell r="I34" t="str">
            <v>辰陽氣動工具有限公司</v>
          </cell>
          <cell r="K34" t="str">
            <v>辰陽氣動板手/墊片*1組2片</v>
          </cell>
          <cell r="L34" t="str">
            <v>辰陽氣動板手/墊片*1組5片</v>
          </cell>
          <cell r="M34" t="str">
            <v>氣動板手*2分</v>
          </cell>
          <cell r="N34" t="str">
            <v>氣動板手*2分90度</v>
          </cell>
          <cell r="O34" t="str">
            <v>氣動板手開關</v>
          </cell>
          <cell r="P34" t="str">
            <v>氣動板手葉片</v>
          </cell>
          <cell r="Q34" t="str">
            <v>氣動板手*4分</v>
          </cell>
          <cell r="R34" t="str">
            <v>氣動板手(大)</v>
          </cell>
        </row>
        <row r="35">
          <cell r="H35">
            <v>57</v>
          </cell>
          <cell r="I35" t="str">
            <v>寶喬群生物科技有限公司</v>
          </cell>
          <cell r="K35" t="str">
            <v>黑潔剋天然輪胎蠟20kg</v>
          </cell>
          <cell r="L35" t="str">
            <v>黑潔剋天然輪胎蠟13kg</v>
          </cell>
          <cell r="M35" t="str">
            <v>黑潔剋天然輪胎蠟4kg</v>
          </cell>
          <cell r="N35" t="str">
            <v>黑潔剋天然輪胎蠟5kg</v>
          </cell>
          <cell r="O35" t="str">
            <v>黑潔剋天然輪胎蠟14kg</v>
          </cell>
          <cell r="P35" t="str">
            <v>黑潔剋天然輪胎蠟17kg</v>
          </cell>
          <cell r="Q35" t="str">
            <v>輪胎蠟空桶-20KG</v>
          </cell>
          <cell r="R35" t="str">
            <v>牛樟精油皂(KG)</v>
          </cell>
          <cell r="S35" t="str">
            <v>金箔琥珀鹽晶皂</v>
          </cell>
          <cell r="T35" t="str">
            <v>黑潔剋天然去污石</v>
          </cell>
          <cell r="U35" t="str">
            <v>柑橘精油黑手專用洗手皂-6入</v>
          </cell>
          <cell r="V35" t="str">
            <v>黑潔剋天然輪胎蠟1kg</v>
          </cell>
          <cell r="W35" t="str">
            <v>黑潔剋天然輪胎蠟7kg</v>
          </cell>
        </row>
        <row r="36">
          <cell r="H36">
            <v>62</v>
          </cell>
          <cell r="I36" t="str">
            <v>台灣好運輪胎有限公司</v>
          </cell>
          <cell r="K36" t="str">
            <v>昆崙-295/80R22.5*KT869</v>
          </cell>
          <cell r="L36" t="str">
            <v>昆崙-315/80R22.5*KT850(粗花)</v>
          </cell>
          <cell r="M36" t="str">
            <v>昆崙-315/80R22.5*KT858(直花)</v>
          </cell>
          <cell r="N36" t="str">
            <v>昆崙-315/80R22.5*LS302</v>
          </cell>
          <cell r="O36" t="str">
            <v>昆崙-385/65R22.5*KT186</v>
          </cell>
          <cell r="P36" t="str">
            <v>昆崙-12R22.5*KT860(粗花)</v>
          </cell>
          <cell r="Q36" t="str">
            <v>昆崙-12R22.5*KT839(直花)</v>
          </cell>
          <cell r="R36" t="str">
            <v>昆崙-12R22.5*KT866(直花)</v>
          </cell>
          <cell r="S36" t="str">
            <v>昆崙-工程胎23.5-25-*KT619</v>
          </cell>
          <cell r="T36" t="str">
            <v>昆崙-工程胎-14.00-24-32PR*KT599</v>
          </cell>
          <cell r="U36" t="str">
            <v>海大-315/80R22.5*HD158</v>
          </cell>
          <cell r="V36" t="str">
            <v>昆崙-315/80R22.5*KT870(麻將花)</v>
          </cell>
          <cell r="W36" t="str">
            <v>昆崙-315/80R22.5*KT855(人字花)</v>
          </cell>
        </row>
        <row r="37">
          <cell r="H37">
            <v>64</v>
          </cell>
          <cell r="I37" t="str">
            <v>豐車實業有限公司</v>
          </cell>
          <cell r="K37" t="str">
            <v>豐車-315/80R22.5*GD269</v>
          </cell>
        </row>
        <row r="38">
          <cell r="H38">
            <v>65</v>
          </cell>
          <cell r="I38" t="str">
            <v>福炫股份有限公司</v>
          </cell>
          <cell r="K38" t="str">
            <v>33對邊螺絲</v>
          </cell>
        </row>
        <row r="39">
          <cell r="H39">
            <v>72</v>
          </cell>
          <cell r="I39" t="str">
            <v>尖端‧小范</v>
          </cell>
          <cell r="K39" t="str">
            <v>更換2P電話線 約60米</v>
          </cell>
        </row>
        <row r="40">
          <cell r="H40">
            <v>78</v>
          </cell>
          <cell r="I40" t="str">
            <v>昇達橡膠企業股份有限公司</v>
          </cell>
          <cell r="K40" t="str">
            <v>翻修胎-825R16*LL</v>
          </cell>
          <cell r="L40" t="str">
            <v>GOODRIDE-825R20*CR950</v>
          </cell>
          <cell r="M40" t="str">
            <v>翻修胎-315R*(直花-正冷)</v>
          </cell>
          <cell r="N40" t="str">
            <v>翻修胎-295R*(直花-正冷)</v>
          </cell>
          <cell r="O40" t="str">
            <v>威獅-195/75R16*SC328</v>
          </cell>
          <cell r="P40" t="str">
            <v>CHAO-YANG-11R22.5*CR976A</v>
          </cell>
          <cell r="Q40" t="str">
            <v>翻修胎-315R*(粗花-加厚)</v>
          </cell>
          <cell r="R40" t="str">
            <v>翻修胎-315R*(直花-ZYW)</v>
          </cell>
          <cell r="S40" t="str">
            <v>翻修胎-315R*DY3</v>
          </cell>
          <cell r="T40" t="str">
            <v>翻修胎-750R16*UL(尼龍)</v>
          </cell>
          <cell r="U40" t="str">
            <v>WESTLAKE-11R22.5*CR926D</v>
          </cell>
          <cell r="V40" t="str">
            <v>翻修胎-315R*燒部分</v>
          </cell>
          <cell r="W40" t="str">
            <v>翻修胎-225/75R17.5*(粗花-加厚)</v>
          </cell>
          <cell r="X40" t="str">
            <v>翻修胎-750R16*LL(鋼絲)</v>
          </cell>
          <cell r="Y40" t="str">
            <v>翻修胎-1100R20*(直花-正冷)</v>
          </cell>
          <cell r="Z40" t="str">
            <v>工程胎-26.5-25 *E3/L3 WL</v>
          </cell>
          <cell r="AA40" t="str">
            <v>普利司通-295/80R22.5*R150</v>
          </cell>
          <cell r="AB40" t="str">
            <v>普利司通-315/80R22.5*R150</v>
          </cell>
          <cell r="AC40" t="str">
            <v>翻修胎-295R*燒部分</v>
          </cell>
          <cell r="AD40" t="str">
            <v>瑪吉斯-315/80R22.5*UR288</v>
          </cell>
          <cell r="AE40" t="str">
            <v>翻修胎-1100-20*(高溫UL)</v>
          </cell>
          <cell r="AF40" t="str">
            <v>內胎-825R20</v>
          </cell>
          <cell r="AG40" t="str">
            <v>OB-825R20</v>
          </cell>
          <cell r="AH40" t="str">
            <v>WEST LAKE-8.25R20*CR950</v>
          </cell>
          <cell r="AI40" t="str">
            <v>翻修胎-315*(高溫DA)</v>
          </cell>
          <cell r="AJ40" t="str">
            <v>翻修胎-16.9-24*燒部分</v>
          </cell>
          <cell r="AK40" t="str">
            <v>普利司通-275/70R22.5*R294</v>
          </cell>
          <cell r="AL40" t="str">
            <v>翻修胎-315R*DY5</v>
          </cell>
          <cell r="AM40" t="str">
            <v>翻修胎-295R*(粗花-加厚)</v>
          </cell>
          <cell r="AN40" t="str">
            <v>普利司通-385/65R22.5*R168</v>
          </cell>
          <cell r="AO40" t="str">
            <v>翻修胎-12R*(粗花-加厚)</v>
          </cell>
          <cell r="AP40" t="str">
            <v>普利司通-315/80R22.5*M729</v>
          </cell>
        </row>
        <row r="41">
          <cell r="H41">
            <v>81</v>
          </cell>
          <cell r="I41" t="str">
            <v>巨輪興股份有限公司＞山佛司企業有限公司＞明合企業行</v>
          </cell>
          <cell r="K41" t="str">
            <v>通針小-D6</v>
          </cell>
        </row>
        <row r="42">
          <cell r="H42">
            <v>83</v>
          </cell>
          <cell r="I42" t="str">
            <v>南宏汽車電機行</v>
          </cell>
          <cell r="K42" t="str">
            <v>起動馬達查配線</v>
          </cell>
          <cell r="L42" t="str">
            <v>冷氣散熱馬達總成</v>
          </cell>
          <cell r="M42" t="str">
            <v>冷氣高壓管拆裝工資</v>
          </cell>
          <cell r="N42" t="str">
            <v>肯達高壓管</v>
          </cell>
          <cell r="O42" t="str">
            <v>冷媒</v>
          </cell>
          <cell r="P42" t="str">
            <v>壓縮機散射拆裝管路清洗</v>
          </cell>
          <cell r="Q42" t="str">
            <v>HINO 壓縮機</v>
          </cell>
          <cell r="R42" t="str">
            <v>HINO 新福將廠熱馬達</v>
          </cell>
          <cell r="S42" t="str">
            <v>乾燥包</v>
          </cell>
          <cell r="T42" t="str">
            <v>清潔劑</v>
          </cell>
        </row>
        <row r="43">
          <cell r="H43">
            <v>84</v>
          </cell>
          <cell r="I43" t="str">
            <v>韶斌輪胎行＞張銀池-彰化</v>
          </cell>
          <cell r="K43" t="str">
            <v>普利司通-315/80R22.5*R150</v>
          </cell>
          <cell r="L43" t="str">
            <v>普利司通-385/65R22.5*R168</v>
          </cell>
        </row>
        <row r="44">
          <cell r="H44">
            <v>90</v>
          </cell>
          <cell r="I44" t="str">
            <v>昆翔國際股份有限公司&gt;八一</v>
          </cell>
          <cell r="K44" t="str">
            <v>八一-1000R20*BS28</v>
          </cell>
          <cell r="L44" t="str">
            <v>八一-1100R20*BS28</v>
          </cell>
          <cell r="M44" t="str">
            <v>八一-1100R20*BY06</v>
          </cell>
          <cell r="N44" t="str">
            <v>八一-11R22.5*BYS98</v>
          </cell>
          <cell r="O44" t="str">
            <v>八一-295/80R22.5*BYS98</v>
          </cell>
          <cell r="P44" t="str">
            <v>八一-295/80R22.5*BYD68</v>
          </cell>
          <cell r="Q44" t="str">
            <v>八一-315/80R22.5*HD078</v>
          </cell>
          <cell r="R44" t="str">
            <v>八一-315/80R22.5*HD626(DR01)</v>
          </cell>
          <cell r="S44" t="str">
            <v>八一-8.25R20*BYD68</v>
          </cell>
          <cell r="T44" t="str">
            <v>八一-315/80R22.5*DL601</v>
          </cell>
          <cell r="U44" t="str">
            <v>八一-315/80R22.5*BYS98</v>
          </cell>
          <cell r="V44" t="str">
            <v>千里馬-315/80R22.5-XR268(粗花)</v>
          </cell>
          <cell r="W44" t="str">
            <v>千里馬-315/80R22.5-XR278(直花)</v>
          </cell>
          <cell r="X44" t="str">
            <v>普利司通-315/80R22.5*R150</v>
          </cell>
          <cell r="Y44" t="str">
            <v>普利司通-295/80R22.5*R150</v>
          </cell>
          <cell r="Z44" t="str">
            <v>普利司通-315/80R22.5*M729</v>
          </cell>
        </row>
        <row r="45">
          <cell r="H45">
            <v>92</v>
          </cell>
          <cell r="I45" t="str">
            <v>鴻昌農機行</v>
          </cell>
          <cell r="K45" t="str">
            <v>CY160-消音器</v>
          </cell>
        </row>
        <row r="46">
          <cell r="H46">
            <v>93</v>
          </cell>
          <cell r="I46" t="str">
            <v>有利汽動工具總匯</v>
          </cell>
          <cell r="K46" t="str">
            <v>氣門夾頭*大</v>
          </cell>
          <cell r="L46" t="str">
            <v>氣門夾頭*小</v>
          </cell>
          <cell r="M46" t="str">
            <v>量風器*長</v>
          </cell>
          <cell r="N46" t="str">
            <v>量風器*短</v>
          </cell>
          <cell r="O46" t="str">
            <v>灌風器*長</v>
          </cell>
          <cell r="P46" t="str">
            <v xml:space="preserve"> 灌風器*短</v>
          </cell>
          <cell r="Q46" t="str">
            <v>灌風器.軟管*短</v>
          </cell>
        </row>
        <row r="47">
          <cell r="H47">
            <v>99</v>
          </cell>
          <cell r="I47" t="str">
            <v>大利光電科技股份有限公司&gt;銘宥科技廣告工程行</v>
          </cell>
          <cell r="K47" t="str">
            <v>LED參數設定</v>
          </cell>
        </row>
        <row r="48">
          <cell r="H48">
            <v>100</v>
          </cell>
          <cell r="I48" t="str">
            <v>漢可固輪胎機械有限公司</v>
          </cell>
          <cell r="K48" t="str">
            <v>十字開關搖桿(四向搖桿)</v>
          </cell>
          <cell r="L48" t="str">
            <v>皮帶(拆胎機)</v>
          </cell>
          <cell r="M48" t="str">
            <v>1.5 噸 四輪千斤頂</v>
          </cell>
          <cell r="N48" t="str">
            <v>2.5 噸 四輪千斤頂</v>
          </cell>
          <cell r="O48" t="str">
            <v>T/P 鋼絲補片</v>
          </cell>
          <cell r="P48" t="str">
            <v>T/P 藍色膠水</v>
          </cell>
          <cell r="Q48" t="str">
            <v>大型車鉛塊50G</v>
          </cell>
          <cell r="R48" t="str">
            <v>大型車鉛塊100G</v>
          </cell>
          <cell r="S48" t="str">
            <v>大型車鉛塊200G</v>
          </cell>
          <cell r="T48" t="str">
            <v>30頓手推式千斤頂</v>
          </cell>
          <cell r="U48" t="str">
            <v>中型車鉛塊30G</v>
          </cell>
          <cell r="V48" t="str">
            <v>中型車鉛塊40G</v>
          </cell>
          <cell r="W48" t="str">
            <v>中型車鉛塊50G</v>
          </cell>
          <cell r="X48" t="str">
            <v>中型車鉛塊60G</v>
          </cell>
          <cell r="Y48" t="str">
            <v>量風器*長</v>
          </cell>
          <cell r="Z48" t="str">
            <v>灌風器*長</v>
          </cell>
          <cell r="AA48" t="str">
            <v>大型車鉛塊150G</v>
          </cell>
          <cell r="AB48" t="str">
            <v>大型車鉛塊250G</v>
          </cell>
          <cell r="AC48" t="str">
            <v>T/P 刷子</v>
          </cell>
          <cell r="AD48" t="str">
            <v>豬耙子</v>
          </cell>
          <cell r="AE48" t="str">
            <v>雞腿</v>
          </cell>
          <cell r="AF48" t="str">
            <v>壓力開關</v>
          </cell>
          <cell r="AG48" t="str">
            <v>油壓缸</v>
          </cell>
          <cell r="AH48" t="str">
            <v>鉛青銅滑塊</v>
          </cell>
          <cell r="AI48" t="str">
            <v>夾頭爪片</v>
          </cell>
          <cell r="AJ48" t="str">
            <v>大胎拆胎機螺絲(爪片用)</v>
          </cell>
          <cell r="AK48" t="str">
            <v>大胎拆胎機螺絲(脫胎輪用)</v>
          </cell>
          <cell r="AL48" t="str">
            <v>膠水</v>
          </cell>
          <cell r="AM48" t="str">
            <v>12碼引擎附啟動馬達</v>
          </cell>
          <cell r="AN48" t="str">
            <v>東元-三相5碼馬達</v>
          </cell>
          <cell r="AO48" t="str">
            <v>5R5HP空壓機(半自動)</v>
          </cell>
          <cell r="AP48" t="str">
            <v>自黏鉛塊 20+30G</v>
          </cell>
          <cell r="AQ48" t="str">
            <v>散熱銅管</v>
          </cell>
          <cell r="AR48" t="str">
            <v>高壓壓力開關</v>
          </cell>
          <cell r="AS48" t="str">
            <v>電磁閥</v>
          </cell>
          <cell r="AT48" t="str">
            <v>大型車鉛塊300G</v>
          </cell>
          <cell r="AU48" t="str">
            <v>平衡機的延長軸心</v>
          </cell>
          <cell r="AV48" t="str">
            <v>平衡機用萬孔盤</v>
          </cell>
          <cell r="AW48" t="str">
            <v>定位機翻轉</v>
          </cell>
          <cell r="AX48" t="str">
            <v>鏡頭電路板</v>
          </cell>
          <cell r="AY48" t="str">
            <v>空壓機-O型環</v>
          </cell>
          <cell r="AZ48" t="str">
            <v>2011-室內拆胎機</v>
          </cell>
          <cell r="BA48" t="str">
            <v>零件空壓機洩壓閥</v>
          </cell>
          <cell r="BB48" t="str">
            <v>拆胎機夾頭</v>
          </cell>
        </row>
        <row r="49">
          <cell r="H49">
            <v>104</v>
          </cell>
          <cell r="I49" t="str">
            <v>昇威電機企業有限公司</v>
          </cell>
          <cell r="K49" t="str">
            <v>發電機組零件</v>
          </cell>
        </row>
        <row r="50">
          <cell r="H50">
            <v>105</v>
          </cell>
          <cell r="I50" t="str">
            <v>富美企業社</v>
          </cell>
          <cell r="K50" t="str">
            <v>擦拭紙</v>
          </cell>
          <cell r="L50" t="str">
            <v>手套</v>
          </cell>
        </row>
        <row r="51">
          <cell r="H51">
            <v>116</v>
          </cell>
          <cell r="I51" t="str">
            <v>全方位事務科技有限公司</v>
          </cell>
          <cell r="K51" t="str">
            <v>A4影印紙</v>
          </cell>
          <cell r="L51" t="str">
            <v>金黃電腦信封</v>
          </cell>
        </row>
        <row r="52">
          <cell r="H52">
            <v>128</v>
          </cell>
          <cell r="I52" t="str">
            <v>正鋼專業汽車手工具</v>
          </cell>
          <cell r="K52" t="str">
            <v>套筒-41</v>
          </cell>
          <cell r="L52" t="str">
            <v>套筒-38</v>
          </cell>
          <cell r="M52" t="str">
            <v>套筒-33</v>
          </cell>
          <cell r="N52" t="str">
            <v>24-27梅花板手</v>
          </cell>
        </row>
        <row r="53">
          <cell r="H53">
            <v>131</v>
          </cell>
          <cell r="I53" t="str">
            <v>廈門自動科技有限公司</v>
          </cell>
          <cell r="K53" t="str">
            <v>補片*TNRE-08</v>
          </cell>
          <cell r="L53" t="str">
            <v>補片*TNRE-12</v>
          </cell>
          <cell r="M53" t="str">
            <v>補片*UVS-45T</v>
          </cell>
          <cell r="N53" t="str">
            <v>補片*TBTE02-80MM</v>
          </cell>
          <cell r="O53" t="str">
            <v>補片*TNRE10-60*80MM</v>
          </cell>
          <cell r="P53" t="str">
            <v>補片*TNRE14-125*80MM</v>
          </cell>
        </row>
        <row r="54">
          <cell r="H54">
            <v>135</v>
          </cell>
          <cell r="I54" t="str">
            <v>新技資訊有限公司</v>
          </cell>
          <cell r="K54" t="str">
            <v>點驗鈔機 AUTO ONE</v>
          </cell>
          <cell r="L54" t="str">
            <v>環保碳粉匣 HP MJ127FN</v>
          </cell>
          <cell r="M54" t="str">
            <v>三聯式報表-白紅黃</v>
          </cell>
          <cell r="N54" t="str">
            <v>點矩陣列表機 EPSON LQ690C</v>
          </cell>
          <cell r="O54" t="str">
            <v>主機 ASUS H-D320MT-0G3930002T</v>
          </cell>
          <cell r="P54" t="str">
            <v>液晶螢幕 ASUS VP228NE 22寬型</v>
          </cell>
          <cell r="Q54" t="str">
            <v>二聯式報表-白黃</v>
          </cell>
          <cell r="R54" t="str">
            <v>三聯式-白黃藍中一刀</v>
          </cell>
          <cell r="S54" t="str">
            <v>羅技鍵盤滑鼠組 USB MK200</v>
          </cell>
          <cell r="T54" t="str">
            <v>原廠色帶 ESPON LQ-690C</v>
          </cell>
          <cell r="U54" t="str">
            <v>點鈔機 UIPIN U-868II</v>
          </cell>
          <cell r="V54" t="str">
            <v>不斷電系統 飛端 A-500</v>
          </cell>
          <cell r="W54" t="str">
            <v>351/21P 結帳單 無切</v>
          </cell>
          <cell r="X54" t="str">
            <v>相容碳粉 HP CF283A</v>
          </cell>
          <cell r="Y54" t="str">
            <v>影印紙 Double A A4 70磅*550張</v>
          </cell>
        </row>
        <row r="55">
          <cell r="H55">
            <v>137</v>
          </cell>
          <cell r="I55" t="str">
            <v>祈星實業股份有限公司</v>
          </cell>
          <cell r="K55" t="str">
            <v>輪胎蠟桶子5公斤</v>
          </cell>
          <cell r="L55" t="str">
            <v>輪胎蠟桶子4公斤</v>
          </cell>
          <cell r="M55" t="str">
            <v>輪胎蠟桶子13公斤</v>
          </cell>
        </row>
        <row r="56">
          <cell r="H56">
            <v>139</v>
          </cell>
          <cell r="I56" t="str">
            <v>章化輪胎有限公司</v>
          </cell>
          <cell r="K56" t="str">
            <v>昆崙-315/80R22.5*901 WBR</v>
          </cell>
          <cell r="L56" t="str">
            <v>昆崙-315/80R22.5*BF602</v>
          </cell>
          <cell r="M56" t="str">
            <v>昆崙-385/65R22.5*KT186</v>
          </cell>
          <cell r="N56" t="str">
            <v>米其林-385/65R22.5*X Multi T</v>
          </cell>
          <cell r="O56" t="str">
            <v>昆崙-12R22.5*KT860(粗花)</v>
          </cell>
          <cell r="P56" t="str">
            <v>昆崙-315/80R22.5*KT850(粗花)</v>
          </cell>
          <cell r="Q56" t="str">
            <v>瑪吉斯-315/80R22.5*MD816</v>
          </cell>
          <cell r="R56" t="str">
            <v>瑪吉斯-315/80R22.5*UM816</v>
          </cell>
          <cell r="S56" t="str">
            <v>昆崙-12R22.5*KT839(直花)</v>
          </cell>
          <cell r="T56" t="str">
            <v>瑪吉斯-315/80R22.5*UL387</v>
          </cell>
          <cell r="U56" t="str">
            <v>登祿普-215/75R17.5*SP320</v>
          </cell>
          <cell r="V56" t="str">
            <v>昆崙-315/80R22.5*KT858(直花)</v>
          </cell>
          <cell r="W56" t="str">
            <v>亞獵士9.00鋁圈</v>
          </cell>
          <cell r="X56" t="str">
            <v>米其林-205/75R17.5*XMZ</v>
          </cell>
          <cell r="Y56" t="str">
            <v>鋼圈-TOPY*8.25*22.5歐規10孔</v>
          </cell>
          <cell r="Z56" t="str">
            <v>鋼圈-TOPY*9.00*22.5歐規10孔</v>
          </cell>
        </row>
        <row r="57">
          <cell r="H57">
            <v>140</v>
          </cell>
          <cell r="I57" t="str">
            <v>富山輪圈&gt;信樺昌企業有限公司</v>
          </cell>
          <cell r="K57" t="str">
            <v>拆車圈:16"WISH</v>
          </cell>
        </row>
        <row r="58">
          <cell r="H58">
            <v>143</v>
          </cell>
          <cell r="I58" t="str">
            <v>玉山輪胎股份有限公司</v>
          </cell>
          <cell r="K58" t="str">
            <v>翻修胎-315R*(直花-正冷)</v>
          </cell>
          <cell r="L58" t="str">
            <v>翻修胎-315R*燒部分</v>
          </cell>
        </row>
        <row r="59">
          <cell r="H59">
            <v>144</v>
          </cell>
          <cell r="I59" t="str">
            <v>聯昕興業有限公司</v>
          </cell>
          <cell r="K59" t="str">
            <v>鎢鋼片</v>
          </cell>
        </row>
        <row r="60">
          <cell r="H60">
            <v>145</v>
          </cell>
          <cell r="I60" t="str">
            <v>京展輪圈有限公司&gt;京展企業社</v>
          </cell>
          <cell r="K60" t="str">
            <v>昆崙-385/65R22.5*KT186</v>
          </cell>
          <cell r="L60" t="str">
            <v>SAE-75W90機油(18L)</v>
          </cell>
          <cell r="M60" t="str">
            <v>SAE-90GL4齒輪油</v>
          </cell>
          <cell r="N60" t="str">
            <v>AGEN SAE-15W40機油(18L)</v>
          </cell>
          <cell r="O60" t="str">
            <v>SAE-10W40機油</v>
          </cell>
          <cell r="P60" t="str">
            <v>昆崙-315/80R22.5*KT858(直花)</v>
          </cell>
          <cell r="Q60" t="str">
            <v>三噸半胎壓</v>
          </cell>
          <cell r="R60" t="str">
            <v>操作油-R68*18L</v>
          </cell>
          <cell r="S60" t="str">
            <v>鋼圈-卡車鍛造圈*9.00*22.5歐規10孔</v>
          </cell>
        </row>
        <row r="61">
          <cell r="H61">
            <v>149</v>
          </cell>
          <cell r="I61" t="str">
            <v>王昱融&gt;翔一汽車機械五金行</v>
          </cell>
          <cell r="K61" t="str">
            <v>頂高機材料</v>
          </cell>
          <cell r="L61" t="str">
            <v>主控油封</v>
          </cell>
          <cell r="M61" t="str">
            <v>副控油壓缸</v>
          </cell>
        </row>
        <row r="62">
          <cell r="H62">
            <v>152</v>
          </cell>
          <cell r="I62" t="str">
            <v>有勝&gt;有程企業有限公司</v>
          </cell>
          <cell r="K62" t="str">
            <v>墊片L 3-1</v>
          </cell>
          <cell r="L62" t="str">
            <v>墊片L 4-1</v>
          </cell>
          <cell r="M62" t="str">
            <v>墊片S 4-1</v>
          </cell>
          <cell r="N62" t="str">
            <v>墊片M 3-1</v>
          </cell>
          <cell r="O62" t="str">
            <v>定位墊片*L 3MM</v>
          </cell>
          <cell r="P62" t="str">
            <v>定位墊片*M 2MM</v>
          </cell>
        </row>
        <row r="63">
          <cell r="H63">
            <v>160</v>
          </cell>
          <cell r="I63" t="str">
            <v>普利司通中區銷售股份有限公司-大胎</v>
          </cell>
          <cell r="K63" t="str">
            <v>普利司通-12R22.5*M729</v>
          </cell>
          <cell r="L63" t="str">
            <v>普利司通-275/70R22.5*R162</v>
          </cell>
          <cell r="M63" t="str">
            <v>普利司通-285/70R19.5*R184</v>
          </cell>
          <cell r="N63" t="str">
            <v>普利司通-295/80R22.5*R294</v>
          </cell>
          <cell r="O63" t="str">
            <v>普利司通-315/80R22.5*G515</v>
          </cell>
          <cell r="P63" t="str">
            <v>普利司通-315/80R22.5*R294</v>
          </cell>
          <cell r="Q63" t="str">
            <v>普利司通-385/65R22.5*R168</v>
          </cell>
          <cell r="R63" t="str">
            <v>普利司通-315/80R22.5*R250</v>
          </cell>
          <cell r="S63" t="str">
            <v>普利司通-295/80R22.5*R150</v>
          </cell>
          <cell r="T63" t="str">
            <v>普利司通-315/80R22.5*R150</v>
          </cell>
          <cell r="U63" t="str">
            <v>普利司通-12R22.5*R224</v>
          </cell>
          <cell r="V63" t="str">
            <v>普利司通-315/80R22.5*M729</v>
          </cell>
          <cell r="W63" t="str">
            <v>普利司通-12R22.5*156</v>
          </cell>
          <cell r="X63" t="str">
            <v>普利司通-12R22.5*R150</v>
          </cell>
          <cell r="Y63" t="str">
            <v>普利司通-11R22.5*R156</v>
          </cell>
          <cell r="Z63" t="str">
            <v>普利司通-295/80R22.5*R156</v>
          </cell>
          <cell r="AA63" t="str">
            <v>普利司通-315/80R22.5*M805</v>
          </cell>
          <cell r="AB63" t="str">
            <v>氣動板手*6分</v>
          </cell>
          <cell r="AC63" t="str">
            <v>普利司通-900R20*G610</v>
          </cell>
        </row>
        <row r="64">
          <cell r="H64">
            <v>161</v>
          </cell>
          <cell r="I64" t="str">
            <v>普利司通中區銷售股份有限公司-中胎</v>
          </cell>
          <cell r="K64" t="str">
            <v>普利司通-205/75R17.5*R294</v>
          </cell>
          <cell r="L64" t="str">
            <v>普利司通-215/75R17.5*R294</v>
          </cell>
          <cell r="M64" t="str">
            <v>普利司通-225/75R17.5*R294</v>
          </cell>
          <cell r="N64" t="str">
            <v>普利司通-235/75R17.5*R294</v>
          </cell>
          <cell r="O64" t="str">
            <v>普利司通-700R15*R200</v>
          </cell>
          <cell r="P64" t="str">
            <v>普利司通-700R16*R200</v>
          </cell>
          <cell r="Q64" t="str">
            <v>普利司通-750R16*R225</v>
          </cell>
          <cell r="R64" t="str">
            <v>普利司通-825R16*R225</v>
          </cell>
          <cell r="S64" t="str">
            <v>普利司通-9.5R17.5*R156</v>
          </cell>
          <cell r="T64" t="str">
            <v>普利司通-9.5R17.5*R294</v>
          </cell>
          <cell r="U64" t="str">
            <v>普利司通-225/90R17.5*M810</v>
          </cell>
          <cell r="V64" t="str">
            <v>普利司通-225/90R17.5*R225</v>
          </cell>
          <cell r="W64" t="str">
            <v>普利司通-245/70R17.5*R168</v>
          </cell>
          <cell r="X64" t="str">
            <v>普利司通-205/85R16*R202</v>
          </cell>
          <cell r="Y64" t="str">
            <v>普利司通-195/85R16C*R202</v>
          </cell>
          <cell r="Z64" t="str">
            <v>普利司通-205/75R16C*R250</v>
          </cell>
          <cell r="AA64" t="str">
            <v>普利司通-205/75R16C*R205</v>
          </cell>
          <cell r="AB64" t="str">
            <v>普利司通-195/75R16C*R212</v>
          </cell>
          <cell r="AC64" t="str">
            <v>普利司通-235/75R17.5*R156</v>
          </cell>
          <cell r="AD64" t="str">
            <v>普利司通-195/75R16C*R202</v>
          </cell>
          <cell r="AE64" t="str">
            <v>普利司通-205/70R15*HL422</v>
          </cell>
        </row>
        <row r="65">
          <cell r="H65">
            <v>163</v>
          </cell>
          <cell r="I65" t="str">
            <v>普利司通中區銷售股份有限公司-翻修胎</v>
          </cell>
          <cell r="K65" t="str">
            <v>普利司通-翻修胎315R*(直花-正冷)</v>
          </cell>
          <cell r="L65" t="str">
            <v>普利司通-翻修胎315R*(粗花-加厚)</v>
          </cell>
        </row>
        <row r="66">
          <cell r="H66">
            <v>164</v>
          </cell>
          <cell r="I66" t="str">
            <v>國住橡膠股份有限公司-大胎</v>
          </cell>
          <cell r="K66" t="str">
            <v>FK-295/80R22.5*RI128</v>
          </cell>
          <cell r="L66" t="str">
            <v>登祿普-295/80R22.5*SP320</v>
          </cell>
          <cell r="M66" t="str">
            <v>登祿普-295/80R22.5*SP391</v>
          </cell>
          <cell r="N66" t="str">
            <v>FK-315/80R22.5*RI128</v>
          </cell>
          <cell r="O66" t="str">
            <v>登祿普-315/80R22.5*SP431</v>
          </cell>
          <cell r="P66" t="str">
            <v>登祿普-315/80R22.5*SP581</v>
          </cell>
          <cell r="Q66" t="str">
            <v>登祿普-315/80R22.5*SP882</v>
          </cell>
          <cell r="R66" t="str">
            <v>登祿普-315/80R22.5*SP571</v>
          </cell>
          <cell r="S66" t="str">
            <v>登祿普-315/80R22.5*SP320</v>
          </cell>
          <cell r="T66" t="str">
            <v>登祿普-385/65R22.5*SP261</v>
          </cell>
          <cell r="U66" t="str">
            <v>登祿普-12R22.5*SP580</v>
          </cell>
          <cell r="V66" t="str">
            <v>登祿普-255/70R22.5*RI128</v>
          </cell>
          <cell r="W66" t="str">
            <v>登祿普-315/80R22.5*SP442</v>
          </cell>
          <cell r="X66" t="str">
            <v>FK-12R22.5*BI867</v>
          </cell>
          <cell r="Y66" t="str">
            <v>登祿普-315/80R22.5*SP835</v>
          </cell>
          <cell r="Z66" t="str">
            <v>登祿普-12R22.5*RI150</v>
          </cell>
          <cell r="AA66" t="str">
            <v>FK-1000R20*RI150</v>
          </cell>
          <cell r="AB66" t="str">
            <v>FK-1100R20*GI347</v>
          </cell>
          <cell r="AC66" t="str">
            <v>FK-275/70R22.5*RI150</v>
          </cell>
          <cell r="AD66" t="str">
            <v>FK-265/70R19.5*RI151</v>
          </cell>
          <cell r="AE66" t="str">
            <v>登祿普-315/80R22.5*SP320S</v>
          </cell>
          <cell r="AF66" t="str">
            <v>登祿普-295/80R22.5*SP320S</v>
          </cell>
          <cell r="AG66" t="str">
            <v>登祿普-385/65R22.5*SP320</v>
          </cell>
          <cell r="AH66" t="str">
            <v>登祿普-295/80R22.5*SP835</v>
          </cell>
          <cell r="AI66" t="str">
            <v>登祿普-12R22.5*SP320S</v>
          </cell>
          <cell r="AJ66" t="str">
            <v>登祿普-12R22.5*SP835</v>
          </cell>
          <cell r="AK66" t="str">
            <v>登祿普-315/80R22.5*SP925</v>
          </cell>
          <cell r="AL66" t="str">
            <v>FK-295/80R22.5*RI151</v>
          </cell>
          <cell r="AM66" t="str">
            <v>登祿普-1000R20*SP320</v>
          </cell>
          <cell r="AN66" t="str">
            <v>登祿普-275/70R22.5*SP176</v>
          </cell>
        </row>
        <row r="67">
          <cell r="H67">
            <v>165</v>
          </cell>
          <cell r="I67" t="str">
            <v>國住橡膠股份有限公司-中胎</v>
          </cell>
          <cell r="K67" t="str">
            <v>登祿普-215/75R17.5*RI128-8-測</v>
          </cell>
          <cell r="L67" t="str">
            <v>登祿普-225/90R17.5*SP350</v>
          </cell>
          <cell r="M67" t="str">
            <v>登祿普-825R16*SP160</v>
          </cell>
          <cell r="N67" t="str">
            <v>登祿普-205/75R16C*ECONODRIVE</v>
          </cell>
          <cell r="O67" t="str">
            <v>登祿普-750R16*SP160</v>
          </cell>
          <cell r="P67" t="str">
            <v>FK-215/75R17.5*RI151</v>
          </cell>
          <cell r="Q67" t="str">
            <v>登祿普-750R16*SP122</v>
          </cell>
          <cell r="R67" t="str">
            <v>登祿普-700R16*SP185</v>
          </cell>
          <cell r="S67" t="str">
            <v>登祿普-215/75R17.5*SP320</v>
          </cell>
          <cell r="T67" t="str">
            <v>登祿普-825R16*SP122</v>
          </cell>
          <cell r="U67" t="str">
            <v>登祿普-235/75R17.5*SP320</v>
          </cell>
          <cell r="V67" t="str">
            <v>登祿普-225/90R17.5*SP122</v>
          </cell>
          <cell r="W67" t="str">
            <v>FK-195/75R16C*LVAN01</v>
          </cell>
          <cell r="X67" t="str">
            <v>登祿普-195/75R16C*VAN01</v>
          </cell>
        </row>
        <row r="68">
          <cell r="H68">
            <v>167</v>
          </cell>
          <cell r="I68" t="str">
            <v>億勝輪胎股份有限公司-大胎</v>
          </cell>
          <cell r="K68" t="str">
            <v>瑪吉斯-295/80R22.5*UR288</v>
          </cell>
          <cell r="L68" t="str">
            <v>瑪吉斯-315/80R22.5*CSA28</v>
          </cell>
          <cell r="M68" t="str">
            <v>瑪吉斯-315/80R22.5*MD816</v>
          </cell>
          <cell r="N68" t="str">
            <v>瑪吉斯-315/80R22.5*UL387</v>
          </cell>
          <cell r="O68" t="str">
            <v>瑪吉斯-315/80R22.5*UR288</v>
          </cell>
          <cell r="P68" t="str">
            <v>瑪吉斯-1100-20*C846</v>
          </cell>
          <cell r="Q68" t="str">
            <v>瑪吉斯-295/80R22.5*MA268</v>
          </cell>
          <cell r="R68" t="str">
            <v>瑪吉斯-1100R20*UR288</v>
          </cell>
          <cell r="S68" t="str">
            <v>瑪吉斯-295/80R22.5*UM816</v>
          </cell>
          <cell r="T68" t="str">
            <v>瑪吉斯-315/80R22.5*UM816</v>
          </cell>
          <cell r="U68" t="str">
            <v>瑪吉斯-275/80R22.5*UR288</v>
          </cell>
          <cell r="V68" t="str">
            <v>瑪吉斯-295/80R22.5*UR279</v>
          </cell>
          <cell r="W68" t="str">
            <v>瑪吉斯-1100-20*C891</v>
          </cell>
          <cell r="X68" t="str">
            <v>瑪吉斯-12R22.5*UR288</v>
          </cell>
          <cell r="Y68" t="str">
            <v>瑪吉斯-10-16.5*C788</v>
          </cell>
          <cell r="Z68" t="str">
            <v>瑪吉斯-1100-20*UM958</v>
          </cell>
          <cell r="AA68" t="str">
            <v>瑪吉斯-900R20*UM288</v>
          </cell>
        </row>
        <row r="69">
          <cell r="H69">
            <v>168</v>
          </cell>
          <cell r="I69" t="str">
            <v>億勝輪胎股份有限公司-中胎</v>
          </cell>
          <cell r="K69" t="str">
            <v>瑪吉斯-195/85R16*UR275</v>
          </cell>
          <cell r="L69" t="str">
            <v>瑪吉斯-235/75R17.5*UR275</v>
          </cell>
          <cell r="M69" t="str">
            <v>瑪吉斯-550-13*C846</v>
          </cell>
          <cell r="N69" t="str">
            <v>瑪吉斯-600-14*C846</v>
          </cell>
          <cell r="O69" t="str">
            <v>瑪吉斯-650-10*C352</v>
          </cell>
          <cell r="P69" t="str">
            <v>瑪吉斯-650R15*UE101</v>
          </cell>
          <cell r="Q69" t="str">
            <v>瑪吉斯-650R16*UE101</v>
          </cell>
          <cell r="R69" t="str">
            <v>瑪吉斯-700-16*C846</v>
          </cell>
          <cell r="S69" t="str">
            <v>瑪吉斯-700R15*UE101</v>
          </cell>
          <cell r="T69" t="str">
            <v>瑪吉斯-700R16*UE102</v>
          </cell>
          <cell r="U69" t="str">
            <v>瑪吉斯-750R16*UR275</v>
          </cell>
          <cell r="V69" t="str">
            <v>瑪吉斯-825-16*C846</v>
          </cell>
          <cell r="W69" t="str">
            <v>瑪吉斯-825R16*UR275</v>
          </cell>
          <cell r="X69" t="str">
            <v>瑪吉斯-9.5R17.5*UR275</v>
          </cell>
          <cell r="Y69" t="str">
            <v>瑪吉斯-215/75R17.5*UR275</v>
          </cell>
          <cell r="Z69" t="str">
            <v>瑪吉斯-700R15*UE102</v>
          </cell>
          <cell r="AA69" t="str">
            <v>瑪吉斯-700R16*UE101</v>
          </cell>
          <cell r="AB69" t="str">
            <v>瑪吉斯-195/75R16C*UE168</v>
          </cell>
          <cell r="AC69" t="str">
            <v>瑪吉斯-205/75R16*UE168</v>
          </cell>
          <cell r="AD69" t="str">
            <v>瑪吉斯-235/75R15*MA751</v>
          </cell>
          <cell r="AE69" t="str">
            <v>瑪吉斯-650-10*JS2</v>
          </cell>
          <cell r="AF69" t="str">
            <v>瑪吉斯-10K(C150-10)</v>
          </cell>
          <cell r="AG69" t="str">
            <v>瑪吉斯-225/70R15*HP600</v>
          </cell>
          <cell r="AH69" t="str">
            <v>瑪吉斯-155R12C*UE168</v>
          </cell>
          <cell r="AI69" t="str">
            <v>瑪吉斯-235/70R16*MA705</v>
          </cell>
          <cell r="AJ69" t="str">
            <v>瑪吉斯-205/85R16*UR275</v>
          </cell>
          <cell r="AK69" t="str">
            <v>瑪吉斯-600-9*C352N</v>
          </cell>
          <cell r="AL69" t="str">
            <v>耕田機-600-14</v>
          </cell>
          <cell r="AM69" t="str">
            <v>瑪吉斯-825R16*MA265</v>
          </cell>
        </row>
        <row r="70">
          <cell r="H70">
            <v>170</v>
          </cell>
          <cell r="I70" t="str">
            <v>億勝輪胎股份有限公司-內胎.OB</v>
          </cell>
          <cell r="K70" t="str">
            <v>內胎-1000-20</v>
          </cell>
          <cell r="L70" t="str">
            <v>內胎-600-9</v>
          </cell>
          <cell r="M70" t="str">
            <v>內胎-700-15</v>
          </cell>
          <cell r="N70" t="str">
            <v>內胎-700-16</v>
          </cell>
          <cell r="O70" t="str">
            <v xml:space="preserve">內胎-750-16 </v>
          </cell>
          <cell r="P70" t="str">
            <v>OB-9</v>
          </cell>
          <cell r="Q70" t="str">
            <v>OB-12</v>
          </cell>
          <cell r="R70" t="str">
            <v>內胎-700-12</v>
          </cell>
          <cell r="S70" t="str">
            <v>內胎-825-16</v>
          </cell>
          <cell r="T70" t="str">
            <v>OB-16</v>
          </cell>
          <cell r="U70" t="str">
            <v>OB-815-15</v>
          </cell>
          <cell r="V70" t="str">
            <v>內胎-815-15</v>
          </cell>
          <cell r="W70" t="str">
            <v>內胎-600-14</v>
          </cell>
        </row>
        <row r="71">
          <cell r="H71">
            <v>179</v>
          </cell>
          <cell r="I71" t="str">
            <v>慶揚輪胎有限公司</v>
          </cell>
          <cell r="K71" t="str">
            <v>百瑞德-295/80R22.5*BF602</v>
          </cell>
          <cell r="L71" t="str">
            <v>百瑞德-315/80R22.5*BF602</v>
          </cell>
          <cell r="M71" t="str">
            <v>TF-315/80R22.5*TF918</v>
          </cell>
          <cell r="N71" t="str">
            <v>服務車維修一套</v>
          </cell>
        </row>
        <row r="72">
          <cell r="H72">
            <v>181</v>
          </cell>
          <cell r="I72" t="str">
            <v>駿固實業有限公司</v>
          </cell>
          <cell r="K72" t="str">
            <v>大地-315/80R22.5*DD905</v>
          </cell>
          <cell r="L72" t="str">
            <v>大地-11R20*DT966</v>
          </cell>
          <cell r="M72" t="str">
            <v>INNING-11R22.5*DT966</v>
          </cell>
        </row>
        <row r="73">
          <cell r="H73">
            <v>182</v>
          </cell>
          <cell r="I73" t="str">
            <v>榮新輪胎貿易有限公司&gt;鉅富輪胎有限公司</v>
          </cell>
          <cell r="K73" t="str">
            <v>米其林-195/85R16*XJE4</v>
          </cell>
        </row>
        <row r="74">
          <cell r="H74">
            <v>186</v>
          </cell>
          <cell r="I74" t="str">
            <v>鴻鑫輪胎有限公司</v>
          </cell>
          <cell r="K74" t="str">
            <v>DOUPRO-315/80R22.5*ST901</v>
          </cell>
          <cell r="L74" t="str">
            <v>百瑞德-315/80R22.5*BFE01</v>
          </cell>
          <cell r="M74" t="str">
            <v>DOUPRO-315/80R22.5*ST969(粗花)</v>
          </cell>
          <cell r="N74" t="str">
            <v>百瑞德-315/80R22.5*BF906(粗花)</v>
          </cell>
          <cell r="O74" t="str">
            <v>百瑞德-315/80R22.5*BF602</v>
          </cell>
          <cell r="P74" t="str">
            <v>DOUPRO-315/80R22.5*YS891(粗花)</v>
          </cell>
          <cell r="Q74" t="str">
            <v>TR-315/80R22.5*CR993(粗花)</v>
          </cell>
          <cell r="R74" t="str">
            <v>CR-315/80R22.5*CRE01</v>
          </cell>
          <cell r="S74" t="str">
            <v>CR-315/80R22.5*CR602(直花)</v>
          </cell>
          <cell r="T74" t="str">
            <v>TOPRUNNER-315/80R22.5*CR917(直花)</v>
          </cell>
          <cell r="U74" t="str">
            <v>PROLOAD--315/80R22.5*PL886(直花)</v>
          </cell>
        </row>
        <row r="75">
          <cell r="H75">
            <v>192</v>
          </cell>
          <cell r="I75" t="str">
            <v>阿毅輪胎有限公司</v>
          </cell>
          <cell r="K75" t="str">
            <v>LEAO-825R16*LD09</v>
          </cell>
          <cell r="L75" t="str">
            <v>LEAO-700R16*AAR959</v>
          </cell>
          <cell r="M75" t="str">
            <v>LEAO-9.5R17.5*D960</v>
          </cell>
          <cell r="N75" t="str">
            <v>LEAO-195/85R16*AAL812</v>
          </cell>
          <cell r="O75" t="str">
            <v>LEAO-215/75R17.5*AFL866</v>
          </cell>
          <cell r="P75" t="str">
            <v>LEAO-9.5R17.5*LF26</v>
          </cell>
          <cell r="Q75" t="str">
            <v>LEAO-195/85R16*AAL867</v>
          </cell>
          <cell r="R75" t="str">
            <v>LEAO-750R16*LD09</v>
          </cell>
        </row>
        <row r="76">
          <cell r="H76">
            <v>199</v>
          </cell>
          <cell r="I76" t="str">
            <v>青島聯合泰爾輪胎有限公司</v>
          </cell>
          <cell r="K76" t="str">
            <v>CARLEO-315/80R22.5*CD33(粗花)</v>
          </cell>
          <cell r="L76" t="str">
            <v>CARLEO-315/80R22.5*C-MAX160(直花)</v>
          </cell>
          <cell r="M76" t="str">
            <v>TEEREX-315/80R22.5*TDM87(直花)</v>
          </cell>
          <cell r="N76" t="str">
            <v>CARLEO-315/80R22.5*CS68(直花)</v>
          </cell>
          <cell r="O76" t="str">
            <v>CARLEO-295/80R22.5*C-MAX168(直花)</v>
          </cell>
          <cell r="P76" t="str">
            <v>CARLEO-315/80R22.5*C-MAX187(人字花)</v>
          </cell>
          <cell r="Q76" t="str">
            <v>TEEREX-315/80R22.5*TDM89(豆腐花)</v>
          </cell>
          <cell r="R76" t="str">
            <v>CARLEO-315/80R22.5*C-MAX188(麻將花)</v>
          </cell>
          <cell r="S76" t="str">
            <v>CARLEO-315/80R22.5*C-MAX166(直花)</v>
          </cell>
          <cell r="T76" t="str">
            <v>CARLEO-315/80R22.5*C-MAX168(直花)</v>
          </cell>
        </row>
        <row r="77">
          <cell r="H77">
            <v>201</v>
          </cell>
          <cell r="I77" t="str">
            <v>中國順昌國際有限公司</v>
          </cell>
          <cell r="K77" t="str">
            <v>DOUPRO-315/80R22.5*ST901</v>
          </cell>
          <cell r="L77" t="str">
            <v>DOUPRO-315/80R22.5*YS891(粗花)</v>
          </cell>
          <cell r="M77" t="str">
            <v>SUNSTAR-315/80R22.5*AM598</v>
          </cell>
          <cell r="N77" t="str">
            <v>SUNSTAR-295/80R22.5*AM818</v>
          </cell>
        </row>
        <row r="78">
          <cell r="H78">
            <v>205</v>
          </cell>
          <cell r="I78" t="str">
            <v>彩藝得印刷有限公司</v>
          </cell>
          <cell r="K78" t="str">
            <v>輪胎貼紙4.5*5.4CM</v>
          </cell>
          <cell r="L78" t="str">
            <v>出貨單(三聯)</v>
          </cell>
          <cell r="M78" t="str">
            <v>中華全佑-產品型錄24*14CM</v>
          </cell>
          <cell r="N78" t="str">
            <v>千斤頂數位貼紙12*23CM</v>
          </cell>
          <cell r="O78" t="str">
            <v>千斤頂貼紙11*7.5CM</v>
          </cell>
        </row>
        <row r="79">
          <cell r="H79">
            <v>212</v>
          </cell>
          <cell r="I79" t="str">
            <v>智良實業有限公司&gt;消暑專家</v>
          </cell>
          <cell r="K79" t="str">
            <v>陸通-315/80R22.5*GA36</v>
          </cell>
        </row>
        <row r="80">
          <cell r="H80">
            <v>231</v>
          </cell>
          <cell r="I80" t="str">
            <v>祥億氣動</v>
          </cell>
          <cell r="K80" t="str">
            <v>千斤頂修理</v>
          </cell>
        </row>
        <row r="81">
          <cell r="H81">
            <v>238</v>
          </cell>
          <cell r="I81" t="str">
            <v>唯辰行&gt;佳佳商行</v>
          </cell>
          <cell r="K81" t="str">
            <v>小小水</v>
          </cell>
        </row>
        <row r="82">
          <cell r="H82">
            <v>242</v>
          </cell>
          <cell r="I82" t="str">
            <v>統駿輪胎行&gt;昭安輪胎行&gt;負:蔡淑惠</v>
          </cell>
          <cell r="K82" t="str">
            <v>昆崙-315/80R22.5*KT855(人字花)</v>
          </cell>
        </row>
        <row r="83">
          <cell r="H83">
            <v>244</v>
          </cell>
          <cell r="I83" t="str">
            <v>雙錢集團(新疆)昆侖輪胎有限公司</v>
          </cell>
          <cell r="K83" t="str">
            <v>昆侖-315/80R22.5*KT858(直花)</v>
          </cell>
          <cell r="L83" t="str">
            <v>昆侖-315/80R22.5*KT855(人字花)</v>
          </cell>
          <cell r="M83" t="str">
            <v>昆侖-315/80R22.5*KT870(麻將花)</v>
          </cell>
          <cell r="N83" t="str">
            <v>昆侖-工程胎23.5-25*KT619</v>
          </cell>
          <cell r="O83" t="str">
            <v>昆侖-12R22.5*KT871(直花)</v>
          </cell>
          <cell r="P83" t="str">
            <v>昆侖-12R22.5*KT168(直花)</v>
          </cell>
          <cell r="Q83" t="str">
            <v>昆侖-11R22.5*KT866(直花)</v>
          </cell>
          <cell r="R83" t="str">
            <v>昆侖-700R16*KT965</v>
          </cell>
          <cell r="S83" t="str">
            <v>昆侖-700R16*KT967</v>
          </cell>
          <cell r="T83" t="str">
            <v>昆侖-700R16*KT690</v>
          </cell>
          <cell r="U83" t="str">
            <v>昆侖-12R22.5*KT801(大粗花)</v>
          </cell>
          <cell r="V83" t="str">
            <v>昆侖-1100R20*KT699</v>
          </cell>
          <cell r="W83" t="str">
            <v>昆侖-295/80R22.5*KT852</v>
          </cell>
          <cell r="X83" t="str">
            <v>昆侖-295/80R22.5*KT855</v>
          </cell>
          <cell r="Y83" t="str">
            <v>昆侖-295/80R22.5*KT870(豆腐花)</v>
          </cell>
          <cell r="Z83" t="str">
            <v>昆侖-295/80R22.5*KT869(直花)</v>
          </cell>
          <cell r="AA83" t="str">
            <v>昆侖-295/80R22.5*KT866(直花)</v>
          </cell>
          <cell r="AB83" t="str">
            <v>昆侖-385/65R22.5*KT186</v>
          </cell>
          <cell r="AC83" t="str">
            <v>昆侖-工程胎23.5-25*KT62</v>
          </cell>
        </row>
        <row r="84">
          <cell r="H84">
            <v>253</v>
          </cell>
          <cell r="I84" t="str">
            <v>長源汽車股份有限公司&gt;新竹廠</v>
          </cell>
          <cell r="K84" t="str">
            <v>空調鼓風機濾網</v>
          </cell>
        </row>
        <row r="85">
          <cell r="H85">
            <v>273</v>
          </cell>
          <cell r="I85" t="str">
            <v>宜成砂石有限公司</v>
          </cell>
          <cell r="K85" t="str">
            <v>瑪吉斯-315/80R22.5*UM816</v>
          </cell>
        </row>
        <row r="86">
          <cell r="H86">
            <v>288</v>
          </cell>
          <cell r="I86" t="str">
            <v>信利行(高雄)</v>
          </cell>
          <cell r="K86" t="str">
            <v>灌風器*長</v>
          </cell>
          <cell r="L86" t="str">
            <v>量風器*長</v>
          </cell>
          <cell r="M86" t="str">
            <v>膠水</v>
          </cell>
        </row>
        <row r="87">
          <cell r="H87">
            <v>290</v>
          </cell>
          <cell r="I87" t="str">
            <v>青島米多奇橡膠科技有限公司</v>
          </cell>
          <cell r="K87" t="str">
            <v>MITTO-315/8022.5*NL676G(直花)</v>
          </cell>
          <cell r="L87" t="str">
            <v>MITTO-315/8022.5*NL118G(閃電直花)</v>
          </cell>
          <cell r="M87" t="str">
            <v>MITTO-295/8022.5*NL505(直花)</v>
          </cell>
          <cell r="N87" t="str">
            <v>MITTO-295/8022.5*NL118G(閃電直花)</v>
          </cell>
        </row>
        <row r="88">
          <cell r="H88">
            <v>312</v>
          </cell>
          <cell r="I88" t="str">
            <v>SKYPOWER TIRE INDUSTRY CO.,LIMITED(優盛輪胎)</v>
          </cell>
          <cell r="K88" t="str">
            <v>DOVROAD-315/80R22.5*DF122(直花)</v>
          </cell>
          <cell r="L88" t="str">
            <v>DOVROAD-315/80R22.5*DD652(麻將花)</v>
          </cell>
          <cell r="M88" t="str">
            <v>DOVROAD-315/80R22.5*DD662(人字花)</v>
          </cell>
          <cell r="N88" t="str">
            <v>BLACKGEM-315/80R22.5*BGA35(閃電直花)</v>
          </cell>
          <cell r="O88" t="str">
            <v>BLACKGEM-1100R20*BGA32(直花)</v>
          </cell>
          <cell r="P88" t="str">
            <v>BOSSWAY-1100R20*BD925(大粗花)</v>
          </cell>
        </row>
        <row r="89">
          <cell r="H89">
            <v>317</v>
          </cell>
          <cell r="I89" t="str">
            <v>1111人力銀行</v>
          </cell>
          <cell r="K89" t="str">
            <v>刊登費用</v>
          </cell>
        </row>
        <row r="90">
          <cell r="I90" t="str"/>
        </row>
        <row r="91">
          <cell r="I91" t="str"/>
        </row>
        <row r="92">
          <cell r="I92" t="str"/>
        </row>
        <row r="93">
          <cell r="I93" t="str"/>
        </row>
        <row r="94">
          <cell r="I94" t="str"/>
        </row>
        <row r="95">
          <cell r="I95" t="str"/>
        </row>
        <row r="96">
          <cell r="I96" t="str"/>
        </row>
        <row r="97">
          <cell r="I97" t="str"/>
        </row>
        <row r="98">
          <cell r="I98" t="str"/>
        </row>
        <row r="99">
          <cell r="I99" t="str"/>
        </row>
        <row r="100">
          <cell r="I100" t="str"/>
        </row>
        <row r="101">
          <cell r="I101" t="str"/>
        </row>
        <row r="102">
          <cell r="I102" t="str"/>
        </row>
        <row r="103">
          <cell r="I103" t="str"/>
        </row>
        <row r="104">
          <cell r="I104" t="str"/>
        </row>
        <row r="105">
          <cell r="I105" t="str"/>
        </row>
        <row r="106">
          <cell r="I106" t="str"/>
        </row>
        <row r="107">
          <cell r="I107" t="str"/>
        </row>
        <row r="108">
          <cell r="I108" t="str"/>
        </row>
        <row r="109">
          <cell r="I109" t="str"/>
        </row>
        <row r="110">
          <cell r="I110" t="str"/>
        </row>
        <row r="111">
          <cell r="I111" t="str"/>
        </row>
        <row r="112">
          <cell r="I112" t="str"/>
        </row>
        <row r="113">
          <cell r="I113" t="str"/>
        </row>
        <row r="114">
          <cell r="I114" t="str"/>
        </row>
        <row r="115">
          <cell r="I115" t="str"/>
        </row>
        <row r="116">
          <cell r="I116" t="str"/>
        </row>
        <row r="117">
          <cell r="I117" t="str"/>
        </row>
        <row r="118">
          <cell r="I118" t="str"/>
        </row>
        <row r="119">
          <cell r="I119" t="str"/>
        </row>
        <row r="120">
          <cell r="I120" t="str"/>
        </row>
        <row r="121">
          <cell r="I121" t="str"/>
        </row>
        <row r="122">
          <cell r="I122" t="str"/>
        </row>
        <row r="123">
          <cell r="I123" t="str"/>
        </row>
        <row r="124">
          <cell r="I124" t="str"/>
        </row>
        <row r="125">
          <cell r="I125" t="str"/>
        </row>
        <row r="126">
          <cell r="I126" t="str"/>
        </row>
        <row r="127">
          <cell r="I127" t="str"/>
        </row>
        <row r="128">
          <cell r="I128" t="str"/>
        </row>
        <row r="129">
          <cell r="I129" t="str"/>
        </row>
        <row r="130">
          <cell r="I130" t="str"/>
        </row>
        <row r="131">
          <cell r="I131" t="str"/>
        </row>
        <row r="132">
          <cell r="I132" t="str"/>
        </row>
        <row r="133">
          <cell r="I133" t="str"/>
        </row>
        <row r="134">
          <cell r="I134" t="str"/>
        </row>
        <row r="135">
          <cell r="I135" t="str"/>
        </row>
        <row r="136">
          <cell r="I136" t="str"/>
        </row>
        <row r="137">
          <cell r="I137" t="str"/>
        </row>
        <row r="138">
          <cell r="I138" t="str"/>
        </row>
        <row r="139">
          <cell r="I139" t="str"/>
        </row>
        <row r="140">
          <cell r="I140" t="str"/>
        </row>
        <row r="141">
          <cell r="I141" t="str"/>
        </row>
        <row r="142">
          <cell r="I142" t="str"/>
        </row>
        <row r="143">
          <cell r="I143" t="str"/>
        </row>
        <row r="144">
          <cell r="I144" t="str"/>
        </row>
        <row r="145">
          <cell r="I145" t="str"/>
        </row>
        <row r="146">
          <cell r="I146" t="str"/>
        </row>
        <row r="147">
          <cell r="I147" t="str"/>
        </row>
        <row r="148">
          <cell r="I148" t="str"/>
        </row>
        <row r="149">
          <cell r="I149" t="str"/>
        </row>
        <row r="150">
          <cell r="I150" t="str"/>
        </row>
        <row r="151">
          <cell r="I151" t="str"/>
        </row>
        <row r="152">
          <cell r="I152" t="str"/>
        </row>
        <row r="153">
          <cell r="I153" t="str"/>
        </row>
        <row r="154">
          <cell r="I154" t="str"/>
        </row>
        <row r="155">
          <cell r="I155" t="str"/>
        </row>
        <row r="156">
          <cell r="I156" t="str"/>
        </row>
        <row r="157">
          <cell r="I157" t="str"/>
        </row>
        <row r="158">
          <cell r="I158" t="str"/>
        </row>
        <row r="159">
          <cell r="I159" t="str"/>
        </row>
        <row r="160">
          <cell r="I160" t="str"/>
        </row>
        <row r="161">
          <cell r="I161" t="str"/>
        </row>
        <row r="162">
          <cell r="I162" t="str"/>
        </row>
        <row r="163">
          <cell r="I163" t="str"/>
        </row>
        <row r="164">
          <cell r="I164" t="str"/>
        </row>
        <row r="165">
          <cell r="I165" t="str"/>
        </row>
        <row r="166">
          <cell r="I166" t="str"/>
        </row>
        <row r="167">
          <cell r="I167" t="str"/>
        </row>
        <row r="168">
          <cell r="I168" t="str"/>
        </row>
        <row r="169">
          <cell r="I169" t="str"/>
        </row>
        <row r="170">
          <cell r="I170" t="str"/>
        </row>
        <row r="171">
          <cell r="I171" t="str"/>
        </row>
        <row r="172">
          <cell r="I172" t="str"/>
        </row>
        <row r="173">
          <cell r="I173" t="str"/>
        </row>
        <row r="174">
          <cell r="I174" t="str"/>
        </row>
        <row r="175">
          <cell r="I175" t="str"/>
        </row>
        <row r="176">
          <cell r="I176" t="str"/>
        </row>
        <row r="177">
          <cell r="I177" t="str"/>
        </row>
        <row r="178">
          <cell r="I178" t="str"/>
        </row>
        <row r="179">
          <cell r="I179" t="str"/>
        </row>
        <row r="180">
          <cell r="I180" t="str"/>
        </row>
        <row r="181">
          <cell r="I181" t="str"/>
        </row>
        <row r="182">
          <cell r="I182" t="str"/>
        </row>
        <row r="183">
          <cell r="I183" t="str"/>
        </row>
        <row r="184">
          <cell r="I184" t="str"/>
        </row>
        <row r="185">
          <cell r="I185" t="str"/>
        </row>
        <row r="186">
          <cell r="I186" t="str"/>
        </row>
        <row r="187">
          <cell r="I187" t="str"/>
        </row>
        <row r="188">
          <cell r="I188" t="str"/>
        </row>
        <row r="189">
          <cell r="I189" t="str"/>
        </row>
        <row r="190">
          <cell r="I190" t="str"/>
        </row>
        <row r="191">
          <cell r="I191" t="str"/>
        </row>
        <row r="192">
          <cell r="I192" t="str"/>
        </row>
        <row r="193">
          <cell r="I193" t="str"/>
        </row>
        <row r="194">
          <cell r="I194" t="str"/>
        </row>
        <row r="195">
          <cell r="I195" t="str"/>
        </row>
        <row r="196">
          <cell r="I196" t="str"/>
        </row>
        <row r="197">
          <cell r="I197" t="str"/>
        </row>
        <row r="198">
          <cell r="I198" t="str"/>
        </row>
        <row r="199">
          <cell r="I199" t="str"/>
        </row>
        <row r="200">
          <cell r="I200" t="str"/>
        </row>
        <row r="201">
          <cell r="I201" t="str"/>
        </row>
        <row r="202">
          <cell r="I202" t="str"/>
        </row>
        <row r="203">
          <cell r="I203" t="str"/>
        </row>
        <row r="204">
          <cell r="I204" t="str"/>
        </row>
        <row r="205">
          <cell r="I205" t="str"/>
        </row>
        <row r="206">
          <cell r="I206" t="str"/>
        </row>
        <row r="207">
          <cell r="I207" t="str"/>
        </row>
        <row r="208">
          <cell r="I208" t="str"/>
        </row>
        <row r="209">
          <cell r="I209" t="str"/>
        </row>
        <row r="210">
          <cell r="I210" t="str"/>
        </row>
        <row r="211">
          <cell r="I211" t="str"/>
        </row>
        <row r="212">
          <cell r="I212" t="str"/>
        </row>
        <row r="213">
          <cell r="I213" t="str"/>
        </row>
        <row r="214">
          <cell r="I214" t="str"/>
        </row>
        <row r="215">
          <cell r="I215" t="str"/>
        </row>
        <row r="216">
          <cell r="I216" t="str"/>
        </row>
        <row r="217">
          <cell r="I217" t="str"/>
        </row>
        <row r="218">
          <cell r="I218" t="str"/>
        </row>
        <row r="219">
          <cell r="I219" t="str"/>
        </row>
        <row r="220">
          <cell r="I220" t="str"/>
        </row>
        <row r="221">
          <cell r="I221" t="str"/>
        </row>
        <row r="222">
          <cell r="I222" t="str"/>
        </row>
        <row r="223">
          <cell r="I223" t="str"/>
        </row>
        <row r="224">
          <cell r="I224" t="str"/>
        </row>
        <row r="225">
          <cell r="I225" t="str"/>
        </row>
        <row r="226">
          <cell r="I226" t="str"/>
        </row>
        <row r="227">
          <cell r="I227" t="str"/>
        </row>
        <row r="228">
          <cell r="I228" t="str"/>
        </row>
        <row r="229">
          <cell r="I229" t="str"/>
        </row>
        <row r="230">
          <cell r="I230" t="str"/>
        </row>
        <row r="231">
          <cell r="I231" t="str"/>
        </row>
        <row r="232">
          <cell r="I232" t="str"/>
        </row>
        <row r="233">
          <cell r="I233" t="str"/>
        </row>
        <row r="234">
          <cell r="I234" t="str"/>
        </row>
        <row r="235">
          <cell r="I235" t="str"/>
        </row>
        <row r="236">
          <cell r="I236" t="str"/>
        </row>
        <row r="237">
          <cell r="I237" t="str"/>
        </row>
        <row r="238">
          <cell r="I238" t="str"/>
        </row>
        <row r="239">
          <cell r="I239" t="str"/>
        </row>
        <row r="240">
          <cell r="I240" t="str"/>
        </row>
        <row r="241">
          <cell r="I241" t="str"/>
        </row>
        <row r="242">
          <cell r="I242" t="str"/>
        </row>
        <row r="243">
          <cell r="I243" t="str"/>
        </row>
        <row r="244">
          <cell r="I244" t="str"/>
        </row>
        <row r="245">
          <cell r="I245" t="str"/>
        </row>
        <row r="246">
          <cell r="I246" t="str"/>
        </row>
        <row r="247">
          <cell r="I247" t="str"/>
        </row>
        <row r="248">
          <cell r="I248" t="str"/>
        </row>
        <row r="249">
          <cell r="I249" t="str"/>
        </row>
        <row r="250">
          <cell r="I250" t="str"/>
        </row>
        <row r="251">
          <cell r="I251" t="str"/>
        </row>
        <row r="252">
          <cell r="I252" t="str"/>
        </row>
        <row r="253">
          <cell r="I253" t="str"/>
        </row>
        <row r="254">
          <cell r="I254" t="str"/>
        </row>
        <row r="255">
          <cell r="I255" t="str"/>
        </row>
        <row r="256">
          <cell r="I256" t="str"/>
        </row>
        <row r="257">
          <cell r="I257" t="str"/>
        </row>
        <row r="258">
          <cell r="I258" t="str"/>
        </row>
        <row r="259">
          <cell r="I259" t="str"/>
        </row>
        <row r="260">
          <cell r="I260" t="str"/>
        </row>
        <row r="261">
          <cell r="I261" t="str"/>
        </row>
        <row r="262">
          <cell r="I262" t="str"/>
        </row>
        <row r="263">
          <cell r="I263" t="str"/>
        </row>
        <row r="264">
          <cell r="I264" t="str"/>
        </row>
        <row r="265">
          <cell r="I265" t="str"/>
        </row>
        <row r="266">
          <cell r="I266" t="str"/>
        </row>
        <row r="267">
          <cell r="I267" t="str"/>
        </row>
        <row r="268">
          <cell r="I268" t="str"/>
        </row>
        <row r="269">
          <cell r="I269" t="str"/>
        </row>
        <row r="270">
          <cell r="I270" t="str"/>
        </row>
        <row r="271">
          <cell r="I271" t="str"/>
        </row>
        <row r="272">
          <cell r="I272" t="str"/>
        </row>
        <row r="273">
          <cell r="I273" t="str"/>
        </row>
        <row r="274">
          <cell r="I274" t="str"/>
        </row>
        <row r="275">
          <cell r="I275" t="str"/>
        </row>
        <row r="276">
          <cell r="I276" t="str"/>
        </row>
        <row r="277">
          <cell r="I277" t="str"/>
        </row>
        <row r="278">
          <cell r="I278" t="str"/>
        </row>
        <row r="279">
          <cell r="I279" t="str"/>
        </row>
        <row r="280">
          <cell r="I280" t="str"/>
        </row>
        <row r="281">
          <cell r="I281" t="str"/>
        </row>
        <row r="282">
          <cell r="I282" t="str"/>
        </row>
        <row r="283">
          <cell r="I283" t="str"/>
        </row>
        <row r="284">
          <cell r="I284" t="str"/>
        </row>
        <row r="285">
          <cell r="I285" t="str"/>
        </row>
        <row r="286">
          <cell r="I286" t="str"/>
        </row>
        <row r="287">
          <cell r="I287" t="str"/>
        </row>
        <row r="288">
          <cell r="I288" t="str"/>
        </row>
        <row r="289">
          <cell r="I289" t="str"/>
        </row>
        <row r="290">
          <cell r="I290" t="str"/>
        </row>
        <row r="291">
          <cell r="I291" t="str"/>
        </row>
        <row r="292">
          <cell r="I292" t="str"/>
        </row>
        <row r="293">
          <cell r="I293" t="str"/>
        </row>
        <row r="294">
          <cell r="I294" t="str"/>
        </row>
        <row r="295">
          <cell r="I295" t="str"/>
        </row>
        <row r="296">
          <cell r="I296" t="str"/>
        </row>
        <row r="297">
          <cell r="I297" t="str"/>
        </row>
        <row r="298">
          <cell r="I298" t="str"/>
        </row>
        <row r="299">
          <cell r="I299" t="str"/>
        </row>
        <row r="300">
          <cell r="I300" t="str"/>
        </row>
        <row r="301">
          <cell r="I301" t="str"/>
        </row>
        <row r="302">
          <cell r="I302" t="str"/>
        </row>
        <row r="303">
          <cell r="I303" t="str"/>
        </row>
        <row r="304">
          <cell r="I304" t="str"/>
        </row>
        <row r="305">
          <cell r="I305" t="str"/>
        </row>
        <row r="306">
          <cell r="I306" t="str"/>
        </row>
        <row r="307">
          <cell r="I307" t="str"/>
        </row>
        <row r="308">
          <cell r="I308" t="str"/>
        </row>
        <row r="309">
          <cell r="I309" t="str"/>
        </row>
        <row r="310">
          <cell r="I310" t="str"/>
        </row>
        <row r="311">
          <cell r="I311" t="str"/>
        </row>
        <row r="312">
          <cell r="I312" t="str"/>
        </row>
        <row r="313">
          <cell r="I313" t="str"/>
        </row>
        <row r="314">
          <cell r="I314" t="str"/>
        </row>
        <row r="315">
          <cell r="I315" t="str"/>
        </row>
        <row r="316">
          <cell r="I316" t="str"/>
        </row>
        <row r="317">
          <cell r="I317" t="str"/>
        </row>
        <row r="318">
          <cell r="I318" t="str"/>
        </row>
        <row r="319">
          <cell r="I319" t="str"/>
        </row>
        <row r="320">
          <cell r="I320" t="str"/>
        </row>
        <row r="321">
          <cell r="I321" t="str"/>
        </row>
        <row r="322">
          <cell r="I322" t="str"/>
        </row>
        <row r="323">
          <cell r="I323" t="str"/>
        </row>
        <row r="324">
          <cell r="I324" t="str"/>
        </row>
        <row r="325">
          <cell r="I325" t="str"/>
        </row>
        <row r="326">
          <cell r="I326" t="str"/>
        </row>
        <row r="327">
          <cell r="I327" t="str"/>
        </row>
        <row r="328">
          <cell r="I328" t="str"/>
        </row>
        <row r="329">
          <cell r="I329" t="str"/>
        </row>
        <row r="330">
          <cell r="I330" t="str"/>
        </row>
        <row r="331">
          <cell r="I331" t="str"/>
        </row>
        <row r="332">
          <cell r="I332" t="str"/>
        </row>
        <row r="333">
          <cell r="I333" t="str"/>
        </row>
        <row r="334">
          <cell r="I334" t="str"/>
        </row>
        <row r="335">
          <cell r="I335" t="str"/>
        </row>
        <row r="336">
          <cell r="I336" t="str"/>
        </row>
        <row r="337">
          <cell r="I337" t="str"/>
        </row>
        <row r="338">
          <cell r="I338" t="str"/>
        </row>
        <row r="339">
          <cell r="I339" t="str"/>
        </row>
        <row r="340">
          <cell r="I340" t="str"/>
        </row>
        <row r="341">
          <cell r="I341" t="str"/>
        </row>
        <row r="342">
          <cell r="I342" t="str"/>
        </row>
        <row r="343">
          <cell r="I343" t="str"/>
        </row>
        <row r="344">
          <cell r="I344" t="str"/>
        </row>
        <row r="345">
          <cell r="I345" t="str"/>
        </row>
        <row r="346">
          <cell r="I346" t="str"/>
        </row>
        <row r="347">
          <cell r="I347" t="str"/>
        </row>
        <row r="348">
          <cell r="I348" t="str"/>
        </row>
        <row r="349">
          <cell r="I349" t="str"/>
        </row>
        <row r="350">
          <cell r="I350" t="str"/>
        </row>
        <row r="351">
          <cell r="I351" t="str"/>
        </row>
        <row r="352">
          <cell r="I352" t="str"/>
        </row>
        <row r="353">
          <cell r="I353" t="str"/>
        </row>
        <row r="354">
          <cell r="I354" t="str"/>
        </row>
        <row r="355">
          <cell r="I355" t="str"/>
        </row>
        <row r="356">
          <cell r="I356" t="str"/>
        </row>
        <row r="357">
          <cell r="I357" t="str"/>
        </row>
        <row r="358">
          <cell r="H358">
            <v>333</v>
          </cell>
          <cell r="I358">
            <v>0</v>
          </cell>
        </row>
        <row r="359">
          <cell r="I359" t="str"/>
        </row>
        <row r="360">
          <cell r="H360" t="str">
            <v>輸入</v>
          </cell>
          <cell r="J360" t="str">
            <v>往右新增</v>
          </cell>
        </row>
        <row r="361">
          <cell r="H361" t="str">
            <v>廠商編號</v>
          </cell>
          <cell r="I361" t="str">
            <v>廠商(公司)名稱</v>
          </cell>
          <cell r="J361" t="str">
            <v>新增 花紋編輯</v>
          </cell>
          <cell r="K361">
            <v>1</v>
          </cell>
          <cell r="L361">
            <v>2</v>
          </cell>
          <cell r="M361">
            <v>3</v>
          </cell>
          <cell r="N361">
            <v>4</v>
          </cell>
          <cell r="O361">
            <v>5</v>
          </cell>
          <cell r="P361">
            <v>6</v>
          </cell>
          <cell r="Q361">
            <v>7</v>
          </cell>
          <cell r="R361">
            <v>8</v>
          </cell>
          <cell r="S361">
            <v>9</v>
          </cell>
          <cell r="T361">
            <v>10</v>
          </cell>
          <cell r="U361">
            <v>11</v>
          </cell>
          <cell r="V361">
            <v>12</v>
          </cell>
          <cell r="W361">
            <v>13</v>
          </cell>
          <cell r="X361">
            <v>14</v>
          </cell>
          <cell r="Y361">
            <v>15</v>
          </cell>
          <cell r="Z361">
            <v>16</v>
          </cell>
          <cell r="AA361">
            <v>17</v>
          </cell>
          <cell r="AB361">
            <v>18</v>
          </cell>
          <cell r="AC361">
            <v>19</v>
          </cell>
          <cell r="AD361">
            <v>20</v>
          </cell>
          <cell r="AE361">
            <v>21</v>
          </cell>
          <cell r="AF361">
            <v>22</v>
          </cell>
          <cell r="AG361">
            <v>23</v>
          </cell>
          <cell r="AH361">
            <v>24</v>
          </cell>
          <cell r="AI361">
            <v>25</v>
          </cell>
          <cell r="AJ361">
            <v>26</v>
          </cell>
          <cell r="AK361">
            <v>27</v>
          </cell>
          <cell r="AL361">
            <v>28</v>
          </cell>
          <cell r="AM361">
            <v>29</v>
          </cell>
          <cell r="AN361">
            <v>30</v>
          </cell>
          <cell r="AO361">
            <v>31</v>
          </cell>
          <cell r="AP361">
            <v>32</v>
          </cell>
          <cell r="AQ361">
            <v>33</v>
          </cell>
          <cell r="AR361">
            <v>34</v>
          </cell>
          <cell r="AS361">
            <v>35</v>
          </cell>
          <cell r="AT361">
            <v>36</v>
          </cell>
          <cell r="AU361">
            <v>37</v>
          </cell>
          <cell r="AV361">
            <v>38</v>
          </cell>
          <cell r="AW361">
            <v>39</v>
          </cell>
          <cell r="AX361">
            <v>40</v>
          </cell>
          <cell r="AY361">
            <v>41</v>
          </cell>
          <cell r="AZ361">
            <v>42</v>
          </cell>
          <cell r="BA361">
            <v>43</v>
          </cell>
          <cell r="BB361">
            <v>44</v>
          </cell>
          <cell r="BC361">
            <v>45</v>
          </cell>
          <cell r="BD361">
            <v>46</v>
          </cell>
          <cell r="BE361">
            <v>47</v>
          </cell>
          <cell r="BF361">
            <v>48</v>
          </cell>
          <cell r="BG361">
            <v>49</v>
          </cell>
          <cell r="BH361">
            <v>50</v>
          </cell>
          <cell r="BI361">
            <v>51</v>
          </cell>
          <cell r="BJ361">
            <v>52</v>
          </cell>
          <cell r="BK361">
            <v>53</v>
          </cell>
          <cell r="BL361">
            <v>54</v>
          </cell>
          <cell r="BM361">
            <v>55</v>
          </cell>
          <cell r="BN361">
            <v>56</v>
          </cell>
          <cell r="BO361">
            <v>57</v>
          </cell>
          <cell r="BP361">
            <v>58</v>
          </cell>
          <cell r="BQ361">
            <v>59</v>
          </cell>
          <cell r="BR361">
            <v>60</v>
          </cell>
          <cell r="BS361">
            <v>61</v>
          </cell>
          <cell r="BT361">
            <v>62</v>
          </cell>
          <cell r="BU361">
            <v>63</v>
          </cell>
          <cell r="BV361">
            <v>64</v>
          </cell>
          <cell r="BW361">
            <v>65</v>
          </cell>
          <cell r="BX361">
            <v>66</v>
          </cell>
          <cell r="BY361">
            <v>67</v>
          </cell>
          <cell r="BZ361">
            <v>68</v>
          </cell>
          <cell r="CA361">
            <v>69</v>
          </cell>
          <cell r="CB361">
            <v>70</v>
          </cell>
          <cell r="CC361">
            <v>71</v>
          </cell>
          <cell r="CD361">
            <v>72</v>
          </cell>
          <cell r="CE361">
            <v>73</v>
          </cell>
          <cell r="CF361">
            <v>74</v>
          </cell>
          <cell r="CG361">
            <v>75</v>
          </cell>
          <cell r="CH361">
            <v>76</v>
          </cell>
          <cell r="CI361">
            <v>77</v>
          </cell>
          <cell r="CJ361">
            <v>78</v>
          </cell>
          <cell r="CK361">
            <v>79</v>
          </cell>
          <cell r="CL361">
            <v>80</v>
          </cell>
        </row>
        <row r="362">
          <cell r="I362" t="str"/>
        </row>
        <row r="363">
          <cell r="I363" t="str"/>
        </row>
        <row r="364">
          <cell r="I364" t="str"/>
        </row>
        <row r="365">
          <cell r="I365" t="str"/>
        </row>
        <row r="366">
          <cell r="I366" t="str"/>
        </row>
        <row r="367">
          <cell r="I367" t="str"/>
        </row>
        <row r="368">
          <cell r="I368" t="str"/>
        </row>
        <row r="369">
          <cell r="I369" t="str"/>
        </row>
        <row r="370">
          <cell r="I370" t="str"/>
        </row>
        <row r="371">
          <cell r="I371" t="str"/>
        </row>
        <row r="372">
          <cell r="I372" t="str"/>
        </row>
        <row r="373">
          <cell r="I373" t="str"/>
        </row>
        <row r="374">
          <cell r="I374" t="str"/>
        </row>
        <row r="375">
          <cell r="I375" t="str"/>
        </row>
        <row r="376">
          <cell r="I376" t="str"/>
        </row>
        <row r="377">
          <cell r="I377" t="str"/>
        </row>
        <row r="378">
          <cell r="I378" t="str"/>
        </row>
        <row r="379">
          <cell r="I379" t="str"/>
        </row>
        <row r="380">
          <cell r="I380" t="str"/>
        </row>
        <row r="381">
          <cell r="I381" t="str"/>
        </row>
        <row r="382">
          <cell r="I382" t="str"/>
        </row>
        <row r="383">
          <cell r="I383" t="str"/>
        </row>
        <row r="384">
          <cell r="I384" t="str"/>
        </row>
        <row r="385">
          <cell r="I385" t="str"/>
        </row>
        <row r="386">
          <cell r="I386" t="str"/>
        </row>
        <row r="387">
          <cell r="I387" t="str"/>
        </row>
        <row r="388">
          <cell r="I388" t="str"/>
        </row>
        <row r="389">
          <cell r="I389" t="str"/>
        </row>
        <row r="390">
          <cell r="I390" t="str"/>
        </row>
        <row r="391">
          <cell r="I391" t="str"/>
        </row>
        <row r="392">
          <cell r="I392" t="str"/>
        </row>
        <row r="393">
          <cell r="I393" t="str"/>
        </row>
        <row r="394">
          <cell r="I394" t="str"/>
        </row>
        <row r="395">
          <cell r="I395" t="str"/>
        </row>
        <row r="396">
          <cell r="I396" t="str"/>
        </row>
        <row r="397">
          <cell r="I397" t="str"/>
        </row>
        <row r="398">
          <cell r="I398" t="str"/>
        </row>
        <row r="399">
          <cell r="I399" t="str"/>
        </row>
        <row r="400">
          <cell r="H400">
            <v>333</v>
          </cell>
          <cell r="I400">
            <v>0</v>
          </cell>
          <cell r="K400" t="str">
            <v>(廠商寄庫未出)</v>
          </cell>
        </row>
        <row r="401">
          <cell r="I401" t="str"/>
        </row>
        <row r="402">
          <cell r="I402" t="str"/>
        </row>
        <row r="403">
          <cell r="I403" t="str"/>
        </row>
        <row r="404">
          <cell r="I404" t="str"/>
        </row>
        <row r="405">
          <cell r="I405" t="str"/>
        </row>
        <row r="406">
          <cell r="I406" t="str"/>
        </row>
        <row r="407">
          <cell r="I407" t="str"/>
        </row>
        <row r="408">
          <cell r="I408" t="str"/>
        </row>
        <row r="409">
          <cell r="I409" t="str"/>
        </row>
        <row r="410">
          <cell r="I410" t="str"/>
        </row>
        <row r="411">
          <cell r="I411" t="str"/>
        </row>
        <row r="412">
          <cell r="I412" t="str"/>
        </row>
        <row r="413">
          <cell r="I413" t="str"/>
        </row>
        <row r="414">
          <cell r="I414" t="str"/>
        </row>
        <row r="415">
          <cell r="I415" t="str"/>
        </row>
        <row r="416">
          <cell r="I416" t="str"/>
        </row>
        <row r="417">
          <cell r="I417" t="str"/>
        </row>
        <row r="418">
          <cell r="I418" t="str"/>
        </row>
        <row r="419">
          <cell r="I419" t="str"/>
        </row>
        <row r="420">
          <cell r="I420" t="str"/>
        </row>
        <row r="421">
          <cell r="I421" t="str"/>
        </row>
        <row r="422">
          <cell r="I422" t="str"/>
        </row>
        <row r="423">
          <cell r="I423" t="str"/>
        </row>
        <row r="424">
          <cell r="I424" t="str"/>
        </row>
        <row r="425">
          <cell r="I425" t="str"/>
        </row>
        <row r="426">
          <cell r="I426" t="str"/>
        </row>
        <row r="427">
          <cell r="I427" t="str"/>
        </row>
        <row r="428">
          <cell r="I428" t="str"/>
        </row>
        <row r="429">
          <cell r="I429" t="str"/>
        </row>
        <row r="430">
          <cell r="I430" t="str"/>
        </row>
        <row r="431">
          <cell r="I431" t="str"/>
        </row>
        <row r="432">
          <cell r="I432" t="str"/>
        </row>
        <row r="433">
          <cell r="I433" t="str"/>
        </row>
        <row r="434">
          <cell r="I434" t="str"/>
        </row>
        <row r="435">
          <cell r="I435" t="str"/>
        </row>
        <row r="436">
          <cell r="I436" t="str"/>
        </row>
        <row r="437">
          <cell r="I437" t="str"/>
        </row>
        <row r="438">
          <cell r="I438" t="str"/>
        </row>
        <row r="439">
          <cell r="I439" t="str"/>
        </row>
        <row r="440">
          <cell r="I440" t="str"/>
        </row>
        <row r="441">
          <cell r="I441" t="str"/>
        </row>
        <row r="442">
          <cell r="I442" t="str"/>
        </row>
        <row r="443">
          <cell r="I443" t="str"/>
        </row>
        <row r="444">
          <cell r="I444" t="str"/>
        </row>
        <row r="445">
          <cell r="I445" t="str"/>
        </row>
        <row r="446">
          <cell r="I446" t="str"/>
        </row>
        <row r="447">
          <cell r="I447" t="str"/>
        </row>
        <row r="448">
          <cell r="I448" t="str"/>
        </row>
        <row r="449">
          <cell r="I449" t="str"/>
        </row>
        <row r="450">
          <cell r="I450" t="str"/>
        </row>
        <row r="451">
          <cell r="I451" t="str"/>
        </row>
        <row r="452">
          <cell r="I452" t="str"/>
        </row>
        <row r="453">
          <cell r="I453" t="str"/>
        </row>
        <row r="454">
          <cell r="I454" t="str"/>
        </row>
        <row r="455">
          <cell r="I455" t="str"/>
        </row>
        <row r="456">
          <cell r="I456" t="str"/>
        </row>
        <row r="457">
          <cell r="I457" t="str"/>
        </row>
        <row r="458">
          <cell r="I458" t="str"/>
        </row>
        <row r="459">
          <cell r="I459" t="str"/>
        </row>
        <row r="460">
          <cell r="I460" t="str"/>
        </row>
        <row r="461">
          <cell r="I461" t="str"/>
        </row>
        <row r="462">
          <cell r="I462" t="str"/>
        </row>
        <row r="463">
          <cell r="I463" t="str"/>
        </row>
        <row r="464">
          <cell r="I464" t="str"/>
        </row>
        <row r="465">
          <cell r="I465" t="str"/>
        </row>
        <row r="466">
          <cell r="I466" t="str"/>
        </row>
        <row r="467">
          <cell r="I467" t="str"/>
        </row>
        <row r="468">
          <cell r="I468" t="str"/>
        </row>
        <row r="469">
          <cell r="I469" t="str"/>
        </row>
        <row r="470">
          <cell r="I470" t="str"/>
        </row>
        <row r="471">
          <cell r="I471" t="str"/>
        </row>
        <row r="472">
          <cell r="I472" t="str"/>
        </row>
        <row r="473">
          <cell r="I473" t="str"/>
        </row>
        <row r="474">
          <cell r="I474" t="str"/>
        </row>
        <row r="475">
          <cell r="I475" t="str"/>
        </row>
        <row r="476">
          <cell r="I476" t="str"/>
        </row>
        <row r="477">
          <cell r="I477" t="str"/>
        </row>
        <row r="478">
          <cell r="I478" t="str"/>
        </row>
        <row r="479">
          <cell r="I479" t="str"/>
        </row>
        <row r="480">
          <cell r="I480" t="str"/>
        </row>
        <row r="481">
          <cell r="I481" t="str"/>
        </row>
        <row r="482">
          <cell r="I482" t="str"/>
        </row>
        <row r="483">
          <cell r="I483" t="str"/>
        </row>
        <row r="484">
          <cell r="I484" t="str"/>
        </row>
        <row r="485">
          <cell r="I485" t="str"/>
        </row>
        <row r="486">
          <cell r="I486" t="str"/>
        </row>
        <row r="487">
          <cell r="I487" t="str"/>
        </row>
        <row r="488">
          <cell r="I488" t="str"/>
        </row>
        <row r="489">
          <cell r="I489" t="str"/>
        </row>
        <row r="490">
          <cell r="I490" t="str"/>
        </row>
        <row r="491">
          <cell r="I491" t="str"/>
        </row>
        <row r="492">
          <cell r="I492" t="str"/>
        </row>
        <row r="493">
          <cell r="I493" t="str"/>
        </row>
        <row r="494">
          <cell r="I494" t="str"/>
        </row>
        <row r="495">
          <cell r="I495" t="str"/>
        </row>
        <row r="496">
          <cell r="I496" t="str"/>
        </row>
        <row r="497">
          <cell r="I497" t="str"/>
        </row>
        <row r="498">
          <cell r="I498" t="str"/>
        </row>
        <row r="499">
          <cell r="I499" t="str"/>
        </row>
        <row r="500">
          <cell r="I500" t="str"/>
        </row>
        <row r="501">
          <cell r="I501" t="str"/>
        </row>
        <row r="502">
          <cell r="I502" t="str"/>
        </row>
        <row r="503">
          <cell r="I503" t="str"/>
        </row>
        <row r="504">
          <cell r="I504" t="str"/>
        </row>
        <row r="505">
          <cell r="I505" t="str"/>
        </row>
        <row r="506">
          <cell r="I506" t="str"/>
        </row>
        <row r="507">
          <cell r="I507" t="str"/>
        </row>
        <row r="508">
          <cell r="I508" t="str"/>
        </row>
        <row r="509">
          <cell r="I509" t="str"/>
        </row>
        <row r="510">
          <cell r="I510" t="str"/>
        </row>
        <row r="511">
          <cell r="I511" t="str"/>
        </row>
        <row r="512">
          <cell r="I512" t="str"/>
        </row>
        <row r="513">
          <cell r="I513" t="str"/>
        </row>
        <row r="514">
          <cell r="I514" t="str"/>
        </row>
        <row r="515">
          <cell r="I515" t="str"/>
        </row>
        <row r="516">
          <cell r="I516" t="str"/>
        </row>
        <row r="517">
          <cell r="I517" t="str"/>
        </row>
        <row r="518">
          <cell r="I518" t="str"/>
        </row>
        <row r="519">
          <cell r="I519" t="str"/>
        </row>
        <row r="520">
          <cell r="I520" t="str"/>
        </row>
        <row r="521">
          <cell r="I521" t="str"/>
        </row>
        <row r="522">
          <cell r="I522" t="str"/>
        </row>
        <row r="523">
          <cell r="I523" t="str"/>
        </row>
        <row r="524">
          <cell r="I524" t="str"/>
        </row>
        <row r="525">
          <cell r="I525" t="str"/>
        </row>
        <row r="526">
          <cell r="I526" t="str"/>
        </row>
        <row r="527">
          <cell r="I527" t="str"/>
        </row>
        <row r="528">
          <cell r="I528" t="str"/>
        </row>
        <row r="529">
          <cell r="I529" t="str"/>
        </row>
        <row r="530">
          <cell r="I530" t="str"/>
        </row>
        <row r="531">
          <cell r="I531" t="str"/>
        </row>
        <row r="532">
          <cell r="I532" t="str"/>
        </row>
        <row r="533">
          <cell r="I533" t="str"/>
        </row>
        <row r="534">
          <cell r="I534" t="str"/>
        </row>
        <row r="535">
          <cell r="I535" t="str"/>
        </row>
        <row r="536">
          <cell r="I536" t="str"/>
        </row>
        <row r="537">
          <cell r="I537" t="str"/>
        </row>
        <row r="538">
          <cell r="I538" t="str"/>
        </row>
        <row r="539">
          <cell r="I539" t="str"/>
        </row>
        <row r="540">
          <cell r="I540" t="str"/>
        </row>
        <row r="541">
          <cell r="I541" t="str"/>
        </row>
        <row r="542">
          <cell r="I542" t="str"/>
        </row>
        <row r="543">
          <cell r="I543" t="str"/>
        </row>
        <row r="544">
          <cell r="I544" t="str"/>
        </row>
        <row r="545">
          <cell r="I545" t="str"/>
        </row>
        <row r="546">
          <cell r="I546" t="str"/>
        </row>
        <row r="547">
          <cell r="I547" t="str"/>
        </row>
        <row r="548">
          <cell r="I548" t="str"/>
        </row>
        <row r="549">
          <cell r="I549" t="str"/>
        </row>
        <row r="550">
          <cell r="I550" t="str"/>
        </row>
        <row r="551">
          <cell r="I551" t="str"/>
        </row>
        <row r="552">
          <cell r="I552" t="str"/>
        </row>
        <row r="553">
          <cell r="I553" t="str"/>
        </row>
        <row r="554">
          <cell r="I554" t="str"/>
        </row>
        <row r="555">
          <cell r="I555" t="str"/>
        </row>
        <row r="556">
          <cell r="I556" t="str"/>
        </row>
        <row r="557">
          <cell r="I557" t="str"/>
        </row>
        <row r="558">
          <cell r="I558" t="str"/>
        </row>
        <row r="559">
          <cell r="I559" t="str"/>
        </row>
        <row r="560">
          <cell r="I560" t="str"/>
        </row>
        <row r="561">
          <cell r="I561" t="str"/>
        </row>
        <row r="562">
          <cell r="I562" t="str"/>
        </row>
        <row r="563">
          <cell r="I563" t="str"/>
        </row>
        <row r="564">
          <cell r="I564" t="str"/>
        </row>
        <row r="565">
          <cell r="I565" t="str"/>
        </row>
        <row r="566">
          <cell r="I566" t="str"/>
        </row>
        <row r="567">
          <cell r="I567" t="str"/>
        </row>
        <row r="568">
          <cell r="I568" t="str"/>
        </row>
        <row r="569">
          <cell r="I569" t="str"/>
        </row>
        <row r="570">
          <cell r="I570" t="str"/>
        </row>
        <row r="571">
          <cell r="I571" t="str"/>
        </row>
        <row r="572">
          <cell r="I572" t="str"/>
        </row>
        <row r="573">
          <cell r="I573" t="str"/>
        </row>
        <row r="574">
          <cell r="I574" t="str"/>
        </row>
        <row r="575">
          <cell r="I575" t="str"/>
        </row>
        <row r="576">
          <cell r="I576" t="str"/>
        </row>
        <row r="577">
          <cell r="I577" t="str"/>
        </row>
        <row r="578">
          <cell r="I578" t="str"/>
        </row>
        <row r="579">
          <cell r="I579" t="str"/>
        </row>
        <row r="580">
          <cell r="I580" t="str"/>
        </row>
        <row r="581">
          <cell r="I581" t="str"/>
        </row>
        <row r="582">
          <cell r="I582" t="str"/>
        </row>
        <row r="583">
          <cell r="I583" t="str"/>
        </row>
        <row r="584">
          <cell r="I584" t="str"/>
        </row>
        <row r="585">
          <cell r="I585" t="str"/>
        </row>
        <row r="586">
          <cell r="I586" t="str"/>
        </row>
        <row r="587">
          <cell r="I587" t="str"/>
        </row>
        <row r="588">
          <cell r="I588" t="str"/>
        </row>
        <row r="589">
          <cell r="I589" t="str"/>
        </row>
        <row r="590">
          <cell r="I590" t="str"/>
        </row>
        <row r="591">
          <cell r="I591" t="str"/>
        </row>
        <row r="592">
          <cell r="I592" t="str"/>
        </row>
        <row r="593">
          <cell r="I593" t="str"/>
        </row>
        <row r="594">
          <cell r="I594" t="str"/>
        </row>
        <row r="595">
          <cell r="I595" t="str"/>
        </row>
        <row r="596">
          <cell r="I596" t="str"/>
        </row>
        <row r="597">
          <cell r="I597" t="str"/>
        </row>
        <row r="598">
          <cell r="I598" t="str"/>
        </row>
        <row r="599">
          <cell r="I599" t="str"/>
        </row>
        <row r="600">
          <cell r="I600" t="str"/>
        </row>
        <row r="601">
          <cell r="I601" t="str"/>
        </row>
        <row r="602">
          <cell r="I602" t="str"/>
        </row>
        <row r="603">
          <cell r="I603" t="str"/>
        </row>
        <row r="604">
          <cell r="I604" t="str"/>
        </row>
        <row r="605">
          <cell r="I605" t="str"/>
        </row>
        <row r="606">
          <cell r="I606" t="str"/>
        </row>
        <row r="607">
          <cell r="I607" t="str"/>
        </row>
        <row r="608">
          <cell r="I608" t="str"/>
        </row>
        <row r="609">
          <cell r="I609" t="str"/>
        </row>
        <row r="610">
          <cell r="I610" t="str"/>
        </row>
        <row r="611">
          <cell r="I611" t="str"/>
        </row>
        <row r="612">
          <cell r="I612" t="str"/>
        </row>
        <row r="613">
          <cell r="I613" t="str"/>
        </row>
        <row r="614">
          <cell r="I614" t="str"/>
        </row>
        <row r="615">
          <cell r="I615" t="str"/>
        </row>
        <row r="616">
          <cell r="I616" t="str"/>
        </row>
        <row r="617">
          <cell r="I617" t="str"/>
        </row>
        <row r="618">
          <cell r="I618" t="str"/>
        </row>
        <row r="619">
          <cell r="I619" t="str"/>
        </row>
        <row r="620">
          <cell r="I620" t="str"/>
        </row>
        <row r="621">
          <cell r="I621" t="str"/>
        </row>
        <row r="622">
          <cell r="I622" t="str"/>
        </row>
        <row r="623">
          <cell r="I623" t="str"/>
        </row>
        <row r="624">
          <cell r="I624" t="str"/>
        </row>
        <row r="625">
          <cell r="I625" t="str"/>
        </row>
        <row r="626">
          <cell r="I626" t="str"/>
        </row>
        <row r="627">
          <cell r="I627" t="str"/>
        </row>
        <row r="628">
          <cell r="I628" t="str"/>
        </row>
        <row r="629">
          <cell r="I629" t="str"/>
        </row>
        <row r="630">
          <cell r="I630" t="str"/>
        </row>
        <row r="631">
          <cell r="I631" t="str"/>
        </row>
        <row r="632">
          <cell r="I632" t="str"/>
        </row>
        <row r="633">
          <cell r="I633" t="str"/>
        </row>
        <row r="634">
          <cell r="I634" t="str"/>
        </row>
        <row r="635">
          <cell r="I635" t="str"/>
        </row>
        <row r="636">
          <cell r="I636" t="str"/>
        </row>
        <row r="637">
          <cell r="I637" t="str"/>
        </row>
        <row r="638">
          <cell r="I638" t="str"/>
        </row>
        <row r="639">
          <cell r="I639" t="str"/>
        </row>
        <row r="640">
          <cell r="I640" t="str"/>
        </row>
        <row r="641">
          <cell r="I641" t="str"/>
        </row>
        <row r="642">
          <cell r="I642" t="str"/>
        </row>
        <row r="643">
          <cell r="I643" t="str"/>
        </row>
        <row r="644">
          <cell r="I644" t="str"/>
        </row>
        <row r="645">
          <cell r="I645" t="str"/>
        </row>
        <row r="646">
          <cell r="I646" t="str"/>
        </row>
        <row r="647">
          <cell r="I647" t="str"/>
        </row>
        <row r="648">
          <cell r="I648" t="str"/>
        </row>
        <row r="649">
          <cell r="I649" t="str"/>
        </row>
        <row r="650">
          <cell r="I650" t="str"/>
        </row>
        <row r="651">
          <cell r="I651" t="str"/>
        </row>
        <row r="652">
          <cell r="I652" t="str"/>
        </row>
        <row r="653">
          <cell r="I653" t="str"/>
        </row>
        <row r="654">
          <cell r="I654" t="str"/>
        </row>
        <row r="655">
          <cell r="I655" t="str"/>
        </row>
        <row r="656">
          <cell r="I656" t="str"/>
        </row>
        <row r="657">
          <cell r="I657" t="str"/>
        </row>
        <row r="658">
          <cell r="I658" t="str"/>
        </row>
        <row r="659">
          <cell r="I659" t="str"/>
        </row>
        <row r="660">
          <cell r="I660" t="str"/>
        </row>
        <row r="661">
          <cell r="I661" t="str"/>
        </row>
        <row r="662">
          <cell r="I662" t="str"/>
        </row>
        <row r="663">
          <cell r="I663" t="str"/>
        </row>
        <row r="664">
          <cell r="I664" t="str"/>
        </row>
        <row r="665">
          <cell r="I665" t="str"/>
        </row>
        <row r="666">
          <cell r="I666" t="str"/>
        </row>
        <row r="667">
          <cell r="I667" t="str"/>
        </row>
        <row r="668">
          <cell r="I668" t="str"/>
        </row>
        <row r="669">
          <cell r="I669" t="str"/>
        </row>
        <row r="670">
          <cell r="I670" t="str"/>
        </row>
        <row r="671">
          <cell r="I671" t="str"/>
        </row>
        <row r="672">
          <cell r="I672" t="str"/>
        </row>
        <row r="673">
          <cell r="I673" t="str"/>
        </row>
        <row r="674">
          <cell r="I674" t="str"/>
        </row>
        <row r="675">
          <cell r="I675" t="str"/>
        </row>
        <row r="676">
          <cell r="I676" t="str"/>
        </row>
        <row r="677">
          <cell r="I677" t="str"/>
        </row>
        <row r="678">
          <cell r="I678" t="str"/>
        </row>
        <row r="679">
          <cell r="I679" t="str"/>
        </row>
        <row r="680">
          <cell r="I680" t="str"/>
        </row>
        <row r="681">
          <cell r="I681" t="str"/>
        </row>
        <row r="682">
          <cell r="I682" t="str"/>
        </row>
        <row r="683">
          <cell r="I683" t="str"/>
        </row>
        <row r="684">
          <cell r="I684" t="str"/>
        </row>
        <row r="685">
          <cell r="I685" t="str"/>
        </row>
        <row r="686">
          <cell r="I686" t="str"/>
        </row>
        <row r="687">
          <cell r="I687" t="str"/>
        </row>
        <row r="688">
          <cell r="I688" t="str"/>
        </row>
        <row r="689">
          <cell r="I689" t="str"/>
        </row>
        <row r="690">
          <cell r="I690" t="str"/>
        </row>
        <row r="691">
          <cell r="I691" t="str"/>
        </row>
        <row r="692">
          <cell r="I692" t="str"/>
        </row>
        <row r="693">
          <cell r="I693" t="str"/>
        </row>
        <row r="694">
          <cell r="I694" t="str"/>
        </row>
        <row r="695">
          <cell r="I695" t="str"/>
        </row>
        <row r="696">
          <cell r="I696" t="str"/>
        </row>
        <row r="697">
          <cell r="I697" t="str"/>
        </row>
        <row r="698">
          <cell r="I698" t="str"/>
        </row>
        <row r="699">
          <cell r="I699" t="str"/>
        </row>
        <row r="700">
          <cell r="I700" t="str"/>
        </row>
        <row r="701">
          <cell r="I701" t="str"/>
        </row>
        <row r="702">
          <cell r="I702" t="str"/>
        </row>
        <row r="703">
          <cell r="I703" t="str"/>
        </row>
        <row r="704">
          <cell r="I704" t="str"/>
        </row>
        <row r="705">
          <cell r="I705" t="str"/>
        </row>
        <row r="706">
          <cell r="I706" t="str"/>
        </row>
        <row r="707">
          <cell r="I707" t="str"/>
        </row>
        <row r="708">
          <cell r="I708" t="str"/>
        </row>
        <row r="709">
          <cell r="I709" t="str"/>
        </row>
        <row r="710">
          <cell r="I710" t="str"/>
        </row>
        <row r="711">
          <cell r="I711" t="str"/>
        </row>
        <row r="712">
          <cell r="I712" t="str"/>
        </row>
        <row r="713">
          <cell r="I713" t="str"/>
        </row>
        <row r="714">
          <cell r="I714" t="str"/>
        </row>
        <row r="715">
          <cell r="I715" t="str"/>
        </row>
        <row r="716">
          <cell r="I716" t="str"/>
        </row>
        <row r="717">
          <cell r="I717" t="str"/>
        </row>
        <row r="718">
          <cell r="I718" t="str"/>
        </row>
        <row r="719">
          <cell r="I719" t="str"/>
        </row>
        <row r="720">
          <cell r="I720" t="str"/>
        </row>
        <row r="721">
          <cell r="I721" t="str"/>
        </row>
        <row r="722">
          <cell r="I722" t="str"/>
        </row>
        <row r="723">
          <cell r="I723" t="str"/>
        </row>
        <row r="724">
          <cell r="I724" t="str"/>
        </row>
        <row r="725">
          <cell r="I725" t="str"/>
        </row>
        <row r="726">
          <cell r="I726" t="str"/>
        </row>
        <row r="727">
          <cell r="I727" t="str"/>
        </row>
        <row r="728">
          <cell r="I728" t="str"/>
        </row>
        <row r="729">
          <cell r="I729" t="str"/>
        </row>
        <row r="730">
          <cell r="I730" t="str"/>
        </row>
        <row r="731">
          <cell r="I731" t="str"/>
        </row>
        <row r="732">
          <cell r="I732" t="str"/>
        </row>
        <row r="733">
          <cell r="I733" t="str"/>
        </row>
        <row r="734">
          <cell r="I734" t="str"/>
        </row>
        <row r="735">
          <cell r="I735" t="str"/>
        </row>
        <row r="736">
          <cell r="I736" t="str"/>
        </row>
        <row r="737">
          <cell r="I737" t="str"/>
        </row>
        <row r="738">
          <cell r="I738" t="str"/>
        </row>
        <row r="739">
          <cell r="I739" t="str"/>
        </row>
        <row r="740">
          <cell r="I740" t="str"/>
        </row>
        <row r="741">
          <cell r="I741" t="str"/>
        </row>
        <row r="742">
          <cell r="I742" t="str"/>
        </row>
        <row r="743">
          <cell r="I743" t="str"/>
        </row>
        <row r="744">
          <cell r="I744" t="str"/>
        </row>
        <row r="745">
          <cell r="I745" t="str"/>
        </row>
        <row r="746">
          <cell r="I746" t="str"/>
        </row>
        <row r="747">
          <cell r="I747" t="str"/>
        </row>
        <row r="748">
          <cell r="I748" t="str"/>
        </row>
        <row r="749">
          <cell r="I749" t="str"/>
        </row>
        <row r="750">
          <cell r="I750" t="str"/>
        </row>
        <row r="751">
          <cell r="I751" t="str"/>
        </row>
        <row r="752">
          <cell r="I752" t="str"/>
        </row>
        <row r="753">
          <cell r="I753" t="str"/>
        </row>
        <row r="754">
          <cell r="I754" t="str"/>
        </row>
        <row r="755">
          <cell r="I755" t="str"/>
        </row>
        <row r="756">
          <cell r="I756" t="str"/>
        </row>
        <row r="757">
          <cell r="I757" t="str"/>
        </row>
        <row r="758">
          <cell r="I758" t="str"/>
        </row>
        <row r="759">
          <cell r="I759" t="str"/>
        </row>
        <row r="760">
          <cell r="I760" t="str"/>
        </row>
        <row r="761">
          <cell r="I761" t="str"/>
        </row>
        <row r="762">
          <cell r="I762" t="str"/>
        </row>
        <row r="763">
          <cell r="I763" t="str"/>
        </row>
        <row r="764">
          <cell r="I764" t="str"/>
        </row>
        <row r="765">
          <cell r="I765" t="str"/>
        </row>
        <row r="766">
          <cell r="I766" t="str"/>
        </row>
        <row r="767">
          <cell r="I767" t="str"/>
        </row>
        <row r="768">
          <cell r="I768" t="str"/>
        </row>
        <row r="769">
          <cell r="I769" t="str"/>
        </row>
        <row r="770">
          <cell r="I770" t="str"/>
        </row>
        <row r="771">
          <cell r="I771" t="str"/>
        </row>
        <row r="772">
          <cell r="I772" t="str"/>
        </row>
        <row r="773">
          <cell r="I773" t="str"/>
        </row>
        <row r="774">
          <cell r="I774" t="str"/>
        </row>
        <row r="775">
          <cell r="I775" t="str"/>
        </row>
        <row r="776">
          <cell r="I776" t="str"/>
        </row>
        <row r="777">
          <cell r="I777" t="str"/>
        </row>
        <row r="778">
          <cell r="I778" t="str"/>
        </row>
        <row r="779">
          <cell r="I779" t="str"/>
        </row>
        <row r="780">
          <cell r="I780" t="str"/>
        </row>
        <row r="781">
          <cell r="I781" t="str"/>
        </row>
        <row r="782">
          <cell r="I782" t="str"/>
        </row>
        <row r="783">
          <cell r="I783" t="str"/>
        </row>
        <row r="784">
          <cell r="I784" t="str"/>
        </row>
        <row r="785">
          <cell r="I785" t="str"/>
        </row>
        <row r="786">
          <cell r="I786" t="str"/>
        </row>
        <row r="787">
          <cell r="I787" t="str"/>
        </row>
        <row r="788">
          <cell r="I788" t="str"/>
        </row>
        <row r="789">
          <cell r="I789" t="str"/>
        </row>
        <row r="790">
          <cell r="I790" t="str"/>
        </row>
        <row r="791">
          <cell r="I791" t="str"/>
        </row>
        <row r="792">
          <cell r="I792" t="str"/>
        </row>
        <row r="793">
          <cell r="I793" t="str"/>
        </row>
        <row r="794">
          <cell r="I794" t="str"/>
        </row>
        <row r="795">
          <cell r="I795" t="str"/>
        </row>
        <row r="796">
          <cell r="I796" t="str"/>
        </row>
        <row r="797">
          <cell r="I797" t="str"/>
        </row>
        <row r="798">
          <cell r="I798" t="str"/>
        </row>
        <row r="799">
          <cell r="I799" t="str"/>
        </row>
        <row r="800">
          <cell r="I800" t="str"/>
        </row>
        <row r="801">
          <cell r="I801" t="str"/>
        </row>
        <row r="802">
          <cell r="I802" t="str"/>
        </row>
        <row r="803">
          <cell r="I803" t="str"/>
        </row>
        <row r="804">
          <cell r="I804" t="str"/>
        </row>
        <row r="805">
          <cell r="I805" t="str"/>
        </row>
        <row r="806">
          <cell r="I806" t="str"/>
        </row>
        <row r="807">
          <cell r="I807" t="str"/>
        </row>
        <row r="808">
          <cell r="I808" t="str"/>
        </row>
        <row r="809">
          <cell r="I809" t="str"/>
        </row>
        <row r="810">
          <cell r="I810" t="str"/>
        </row>
        <row r="811">
          <cell r="I811" t="str"/>
        </row>
        <row r="812">
          <cell r="I812" t="str"/>
        </row>
        <row r="813">
          <cell r="I813" t="str"/>
        </row>
        <row r="814">
          <cell r="I814" t="str"/>
        </row>
        <row r="815">
          <cell r="I815" t="str"/>
        </row>
        <row r="816">
          <cell r="I816" t="str"/>
        </row>
        <row r="817">
          <cell r="I817" t="str"/>
        </row>
        <row r="818">
          <cell r="I818" t="str"/>
        </row>
        <row r="819">
          <cell r="I819" t="str"/>
        </row>
        <row r="820">
          <cell r="I820" t="str"/>
        </row>
        <row r="821">
          <cell r="I821" t="str"/>
        </row>
        <row r="822">
          <cell r="H822">
            <v>1</v>
          </cell>
          <cell r="I822" t="str">
            <v>中華全佑有限公司</v>
          </cell>
        </row>
        <row r="823">
          <cell r="H823">
            <v>2</v>
          </cell>
          <cell r="I823" t="str">
            <v>聯緯會計事務所</v>
          </cell>
        </row>
        <row r="824">
          <cell r="H824">
            <v>3</v>
          </cell>
          <cell r="I824" t="str">
            <v>東大工業股份有限公司</v>
          </cell>
        </row>
        <row r="825">
          <cell r="H825">
            <v>4</v>
          </cell>
          <cell r="I825" t="str">
            <v>建發橡膠工廠股份有限公司</v>
          </cell>
        </row>
        <row r="826">
          <cell r="H826">
            <v>5</v>
          </cell>
          <cell r="I826" t="str">
            <v>米其林忠欣股份有限公司-大胎</v>
          </cell>
        </row>
        <row r="827">
          <cell r="H827">
            <v>6</v>
          </cell>
          <cell r="I827" t="str">
            <v>米其林忠欣股份有限公司-中胎</v>
          </cell>
        </row>
        <row r="828">
          <cell r="H828">
            <v>7</v>
          </cell>
          <cell r="I828" t="str">
            <v>米其林忠欣股份有限公司-小胎</v>
          </cell>
        </row>
        <row r="829">
          <cell r="H829">
            <v>8</v>
          </cell>
          <cell r="I829" t="str">
            <v>忠信實業股份有限公司</v>
          </cell>
        </row>
        <row r="830">
          <cell r="H830">
            <v>9</v>
          </cell>
          <cell r="I830" t="str">
            <v>利坤輪胎有限公司(上眾)</v>
          </cell>
        </row>
        <row r="831">
          <cell r="H831">
            <v>10</v>
          </cell>
          <cell r="I831" t="str">
            <v>吉喆貿易有限公司</v>
          </cell>
        </row>
        <row r="832">
          <cell r="H832">
            <v>11</v>
          </cell>
          <cell r="I832" t="str">
            <v>台北南鴻輪胎股份有限公司</v>
          </cell>
        </row>
        <row r="833">
          <cell r="H833">
            <v>12</v>
          </cell>
          <cell r="I833" t="str">
            <v>富信行有限公司&gt;互信行有限公司</v>
          </cell>
        </row>
        <row r="834">
          <cell r="H834">
            <v>13</v>
          </cell>
          <cell r="I834" t="str">
            <v>大勁有限公司</v>
          </cell>
        </row>
        <row r="835">
          <cell r="H835">
            <v>14</v>
          </cell>
          <cell r="I835" t="str">
            <v>福輪汽車股份有限公司中壢分公司</v>
          </cell>
        </row>
        <row r="836">
          <cell r="H836">
            <v>15</v>
          </cell>
          <cell r="I836" t="str">
            <v>棋邦有限公司(建大)</v>
          </cell>
        </row>
        <row r="837">
          <cell r="H837">
            <v>16</v>
          </cell>
          <cell r="I837" t="str">
            <v>台新輪胎有限公司</v>
          </cell>
        </row>
        <row r="838">
          <cell r="H838">
            <v>17</v>
          </cell>
          <cell r="I838" t="str">
            <v>萬全鋼圈有限公司</v>
          </cell>
        </row>
        <row r="839">
          <cell r="H839">
            <v>18</v>
          </cell>
          <cell r="I839" t="str">
            <v>精輪輪胎企業社&gt;金輪國際實業社&gt;聯碩輪業有限公司&gt;精輪輪胎有限公司</v>
          </cell>
        </row>
        <row r="840">
          <cell r="H840">
            <v>19</v>
          </cell>
          <cell r="I840" t="str">
            <v>立城輪胎股份有限公司</v>
          </cell>
        </row>
        <row r="841">
          <cell r="H841">
            <v>20</v>
          </cell>
          <cell r="I841" t="str">
            <v>大城輪胎機械股份有限公司</v>
          </cell>
        </row>
        <row r="842">
          <cell r="H842">
            <v>21</v>
          </cell>
          <cell r="I842" t="str">
            <v>歐峰汽車材料有限公司</v>
          </cell>
        </row>
        <row r="843">
          <cell r="H843">
            <v>22</v>
          </cell>
          <cell r="I843" t="str">
            <v>統富汽車材料</v>
          </cell>
        </row>
        <row r="844">
          <cell r="H844">
            <v>23</v>
          </cell>
          <cell r="I844" t="str">
            <v>欣葆興業有限公司</v>
          </cell>
        </row>
        <row r="845">
          <cell r="H845">
            <v>24</v>
          </cell>
          <cell r="I845" t="str">
            <v>光一汽車材料行</v>
          </cell>
        </row>
        <row r="846">
          <cell r="H846">
            <v>25</v>
          </cell>
          <cell r="I846" t="str">
            <v>光聯汽車材料行</v>
          </cell>
        </row>
        <row r="847">
          <cell r="H847">
            <v>26</v>
          </cell>
          <cell r="I847" t="str">
            <v>聯盛汽車材料行</v>
          </cell>
        </row>
        <row r="848">
          <cell r="H848">
            <v>27</v>
          </cell>
          <cell r="I848" t="str">
            <v>福士股份有限公司</v>
          </cell>
        </row>
        <row r="849">
          <cell r="H849">
            <v>28</v>
          </cell>
          <cell r="I849" t="str">
            <v>澳商環球克林股份有限公司台灣分公司</v>
          </cell>
        </row>
        <row r="850">
          <cell r="H850">
            <v>29</v>
          </cell>
          <cell r="I850" t="str">
            <v>昌樺汽車材料有限公司</v>
          </cell>
        </row>
        <row r="851">
          <cell r="H851">
            <v>30</v>
          </cell>
          <cell r="I851" t="str">
            <v>秀和車材實業有限公司</v>
          </cell>
        </row>
        <row r="852">
          <cell r="H852">
            <v>31</v>
          </cell>
          <cell r="I852" t="str">
            <v>峰揮企業有限公司</v>
          </cell>
        </row>
        <row r="853">
          <cell r="H853">
            <v>32</v>
          </cell>
          <cell r="I853" t="str">
            <v>銀王企業有限公司＞弘新橡膠工業股份有限公司</v>
          </cell>
        </row>
        <row r="854">
          <cell r="H854">
            <v>33</v>
          </cell>
          <cell r="I854" t="str">
            <v>台一輪胎行(實心胎)</v>
          </cell>
        </row>
        <row r="855">
          <cell r="H855">
            <v>34</v>
          </cell>
          <cell r="I855" t="str">
            <v>天綸貿易有限公司</v>
          </cell>
        </row>
        <row r="856">
          <cell r="H856">
            <v>35</v>
          </cell>
          <cell r="I856" t="str">
            <v>台灣道格企業有限公司</v>
          </cell>
        </row>
        <row r="857">
          <cell r="H857">
            <v>36</v>
          </cell>
          <cell r="I857" t="str">
            <v>祥崴油壓五金行</v>
          </cell>
        </row>
        <row r="858">
          <cell r="H858">
            <v>37</v>
          </cell>
          <cell r="I858" t="str">
            <v>飛得力國際股份有限公司</v>
          </cell>
        </row>
        <row r="859">
          <cell r="H859">
            <v>38</v>
          </cell>
          <cell r="I859" t="str">
            <v>亞獵士航太科技股份有限公司</v>
          </cell>
        </row>
        <row r="860">
          <cell r="H860">
            <v>39</v>
          </cell>
          <cell r="I860" t="str">
            <v>三井汽車材料有限公司</v>
          </cell>
        </row>
        <row r="861">
          <cell r="H861">
            <v>40</v>
          </cell>
          <cell r="I861" t="str">
            <v>信利汽車五金行</v>
          </cell>
        </row>
        <row r="862">
          <cell r="H862">
            <v>41</v>
          </cell>
          <cell r="I862" t="str">
            <v>政宏輪胎有限公司</v>
          </cell>
        </row>
        <row r="863">
          <cell r="H863">
            <v>42</v>
          </cell>
          <cell r="I863" t="str">
            <v>益德印刷企業有限公司</v>
          </cell>
        </row>
        <row r="864">
          <cell r="H864">
            <v>43</v>
          </cell>
          <cell r="I864" t="str">
            <v>穩達開發有限公司</v>
          </cell>
        </row>
        <row r="865">
          <cell r="H865">
            <v>44</v>
          </cell>
          <cell r="I865" t="str">
            <v>國勝鐵工廠</v>
          </cell>
        </row>
        <row r="866">
          <cell r="H866">
            <v>45</v>
          </cell>
          <cell r="I866" t="str">
            <v>樺聲貿易股份有限公司</v>
          </cell>
        </row>
        <row r="867">
          <cell r="H867">
            <v>46</v>
          </cell>
          <cell r="I867" t="str">
            <v>龍毅輪胎有限公司</v>
          </cell>
        </row>
        <row r="868">
          <cell r="H868">
            <v>47</v>
          </cell>
          <cell r="I868" t="str">
            <v>華豐橡膠工業股份有限公司</v>
          </cell>
        </row>
        <row r="869">
          <cell r="H869">
            <v>48</v>
          </cell>
          <cell r="I869" t="str">
            <v>歐特耐國際股份有限公司</v>
          </cell>
        </row>
        <row r="870">
          <cell r="H870">
            <v>49</v>
          </cell>
          <cell r="I870" t="str">
            <v>至晟貿易股份有限公司</v>
          </cell>
        </row>
        <row r="871">
          <cell r="H871">
            <v>50</v>
          </cell>
          <cell r="I871" t="str">
            <v>天龍加油站有限公司</v>
          </cell>
        </row>
        <row r="872">
          <cell r="H872">
            <v>51</v>
          </cell>
          <cell r="I872" t="str">
            <v>永益鋼圈有限公司</v>
          </cell>
        </row>
        <row r="873">
          <cell r="H873">
            <v>52</v>
          </cell>
          <cell r="I873" t="str">
            <v>全力企業社</v>
          </cell>
        </row>
        <row r="874">
          <cell r="H874">
            <v>53</v>
          </cell>
          <cell r="I874" t="str">
            <v>楨元有限公司</v>
          </cell>
        </row>
        <row r="875">
          <cell r="H875">
            <v>54</v>
          </cell>
          <cell r="I875" t="str">
            <v>縉麟企業有限公司</v>
          </cell>
        </row>
        <row r="876">
          <cell r="H876">
            <v>55</v>
          </cell>
          <cell r="I876" t="str">
            <v>辰陽氣動工具有限公司</v>
          </cell>
        </row>
        <row r="877">
          <cell r="H877">
            <v>56</v>
          </cell>
          <cell r="I877" t="str">
            <v>良器有限公司</v>
          </cell>
        </row>
        <row r="878">
          <cell r="H878">
            <v>57</v>
          </cell>
          <cell r="I878" t="str">
            <v>寶喬群生物科技有限公司</v>
          </cell>
        </row>
        <row r="879">
          <cell r="H879">
            <v>58</v>
          </cell>
          <cell r="I879" t="str">
            <v>源順包裝材料有限公司</v>
          </cell>
        </row>
        <row r="880">
          <cell r="H880">
            <v>59</v>
          </cell>
          <cell r="I880" t="str">
            <v>台灣開利耐特有限公司</v>
          </cell>
        </row>
        <row r="881">
          <cell r="H881">
            <v>60</v>
          </cell>
          <cell r="I881" t="str">
            <v>竹大行股份有限公司</v>
          </cell>
        </row>
        <row r="882">
          <cell r="H882">
            <v>61</v>
          </cell>
          <cell r="I882" t="str">
            <v>聖聯輪胎有限公司</v>
          </cell>
        </row>
        <row r="883">
          <cell r="H883">
            <v>62</v>
          </cell>
          <cell r="I883" t="str">
            <v>台灣好運輪胎有限公司</v>
          </cell>
        </row>
        <row r="884">
          <cell r="H884">
            <v>63</v>
          </cell>
          <cell r="I884" t="str">
            <v>台灣萬代輪胎股份有限公司</v>
          </cell>
        </row>
        <row r="885">
          <cell r="H885">
            <v>64</v>
          </cell>
          <cell r="I885" t="str">
            <v>豐車實業有限公司</v>
          </cell>
        </row>
        <row r="886">
          <cell r="H886">
            <v>65</v>
          </cell>
          <cell r="I886" t="str">
            <v>福炫股份有限公司</v>
          </cell>
        </row>
        <row r="887">
          <cell r="H887">
            <v>66</v>
          </cell>
          <cell r="I887" t="str">
            <v>永益布手套</v>
          </cell>
        </row>
        <row r="888">
          <cell r="H888">
            <v>67</v>
          </cell>
          <cell r="I888" t="str">
            <v>鋐興科技發票機</v>
          </cell>
        </row>
        <row r="889">
          <cell r="H889">
            <v>68</v>
          </cell>
          <cell r="I889" t="str">
            <v>寫電腦程式</v>
          </cell>
        </row>
        <row r="890">
          <cell r="H890">
            <v>69</v>
          </cell>
          <cell r="I890" t="str">
            <v>禾田廣告筆</v>
          </cell>
        </row>
        <row r="891">
          <cell r="H891">
            <v>70</v>
          </cell>
          <cell r="I891" t="str">
            <v>宏翔服飾</v>
          </cell>
        </row>
        <row r="892">
          <cell r="H892">
            <v>71</v>
          </cell>
          <cell r="I892" t="str">
            <v>GPS定位機</v>
          </cell>
        </row>
        <row r="893">
          <cell r="H893">
            <v>72</v>
          </cell>
          <cell r="I893" t="str">
            <v>尖端‧小范</v>
          </cell>
        </row>
        <row r="894">
          <cell r="H894">
            <v>73</v>
          </cell>
          <cell r="I894" t="str">
            <v>加尼賀製作網站</v>
          </cell>
        </row>
        <row r="895">
          <cell r="H895">
            <v>74</v>
          </cell>
          <cell r="I895" t="str">
            <v>中友印刷廠</v>
          </cell>
        </row>
        <row r="896">
          <cell r="H896">
            <v>75</v>
          </cell>
          <cell r="I896" t="str">
            <v>竹新化學股份有限公司</v>
          </cell>
        </row>
        <row r="897">
          <cell r="H897">
            <v>76</v>
          </cell>
          <cell r="I897" t="str">
            <v>展劭有限公司</v>
          </cell>
        </row>
        <row r="898">
          <cell r="H898">
            <v>77</v>
          </cell>
          <cell r="I898" t="str">
            <v>敏銓實業股份有限公司</v>
          </cell>
        </row>
        <row r="899">
          <cell r="H899">
            <v>78</v>
          </cell>
          <cell r="I899" t="str">
            <v>昇達橡膠企業股份有限公司</v>
          </cell>
        </row>
        <row r="900">
          <cell r="H900">
            <v>79</v>
          </cell>
          <cell r="I900" t="str">
            <v>東禾企業社</v>
          </cell>
        </row>
        <row r="901">
          <cell r="H901">
            <v>80</v>
          </cell>
          <cell r="I901" t="str">
            <v>六友汽車企業社</v>
          </cell>
        </row>
        <row r="902">
          <cell r="H902">
            <v>81</v>
          </cell>
          <cell r="I902" t="str">
            <v>巨輪興股份有限公司＞山佛司企業有限公司＞明合企業行</v>
          </cell>
        </row>
        <row r="903">
          <cell r="H903">
            <v>82</v>
          </cell>
          <cell r="I903" t="str">
            <v>統群汽車修護廠</v>
          </cell>
        </row>
        <row r="904">
          <cell r="H904">
            <v>83</v>
          </cell>
          <cell r="I904" t="str">
            <v>南宏汽車電機行</v>
          </cell>
        </row>
        <row r="905">
          <cell r="H905">
            <v>84</v>
          </cell>
          <cell r="I905" t="str">
            <v>韶斌輪胎行＞張銀池-彰化</v>
          </cell>
        </row>
        <row r="906">
          <cell r="H906">
            <v>85</v>
          </cell>
          <cell r="I906" t="str">
            <v>欣承企業社</v>
          </cell>
        </row>
        <row r="907">
          <cell r="H907">
            <v>86</v>
          </cell>
          <cell r="I907" t="str">
            <v>台灣佳通輪胎研發有限公司</v>
          </cell>
        </row>
        <row r="908">
          <cell r="H908">
            <v>87</v>
          </cell>
          <cell r="I908" t="str">
            <v>繁榮企業社</v>
          </cell>
        </row>
        <row r="909">
          <cell r="H909">
            <v>88</v>
          </cell>
          <cell r="I909" t="str">
            <v>龍陞專業汽車拷漆</v>
          </cell>
        </row>
        <row r="910">
          <cell r="H910">
            <v>89</v>
          </cell>
          <cell r="I910" t="str">
            <v>京徽企業有限公司＞立展化工原料行</v>
          </cell>
        </row>
        <row r="911">
          <cell r="H911">
            <v>90</v>
          </cell>
          <cell r="I911" t="str">
            <v>昆翔國際股份有限公司&gt;八一</v>
          </cell>
        </row>
        <row r="912">
          <cell r="H912">
            <v>91</v>
          </cell>
          <cell r="I912" t="str">
            <v>瑞能&gt;鋐陽貿易有限公司</v>
          </cell>
        </row>
        <row r="913">
          <cell r="H913">
            <v>92</v>
          </cell>
          <cell r="I913" t="str">
            <v>鴻昌農機行</v>
          </cell>
        </row>
        <row r="914">
          <cell r="H914">
            <v>93</v>
          </cell>
          <cell r="I914" t="str">
            <v>有利汽動工具總匯</v>
          </cell>
        </row>
        <row r="915">
          <cell r="H915">
            <v>94</v>
          </cell>
          <cell r="I915" t="str">
            <v>淞洋有限公司</v>
          </cell>
        </row>
        <row r="916">
          <cell r="H916">
            <v>95</v>
          </cell>
          <cell r="I916" t="str">
            <v>回收買賣胎底</v>
          </cell>
        </row>
        <row r="917">
          <cell r="H917">
            <v>96</v>
          </cell>
          <cell r="I917" t="str">
            <v>建榮-賴建彬-奎伯</v>
          </cell>
        </row>
        <row r="918">
          <cell r="H918">
            <v>97</v>
          </cell>
          <cell r="I918" t="str">
            <v>赫德利集團-頂好優質水</v>
          </cell>
        </row>
        <row r="919">
          <cell r="H919">
            <v>98</v>
          </cell>
          <cell r="I919" t="str">
            <v>岑美國際有限公司</v>
          </cell>
        </row>
        <row r="920">
          <cell r="H920">
            <v>99</v>
          </cell>
          <cell r="I920" t="str">
            <v>大利光電科技股份有限公司&gt;銘宥科技廣告工程行</v>
          </cell>
        </row>
        <row r="921">
          <cell r="H921">
            <v>100</v>
          </cell>
          <cell r="I921" t="str">
            <v>漢可固輪胎機械有限公司</v>
          </cell>
        </row>
        <row r="922">
          <cell r="H922">
            <v>101</v>
          </cell>
          <cell r="I922" t="str">
            <v>大來會計事務所</v>
          </cell>
        </row>
        <row r="923">
          <cell r="H923">
            <v>102</v>
          </cell>
          <cell r="I923" t="str">
            <v>永利他有限公司</v>
          </cell>
        </row>
        <row r="924">
          <cell r="H924">
            <v>103</v>
          </cell>
          <cell r="I924" t="str">
            <v>翊豐通風有限公司</v>
          </cell>
        </row>
        <row r="925">
          <cell r="H925">
            <v>104</v>
          </cell>
          <cell r="I925" t="str">
            <v>昇威電機企業有限公司</v>
          </cell>
        </row>
        <row r="926">
          <cell r="H926">
            <v>105</v>
          </cell>
          <cell r="I926" t="str">
            <v>富美企業社</v>
          </cell>
        </row>
        <row r="927">
          <cell r="H927">
            <v>106</v>
          </cell>
          <cell r="I927" t="str">
            <v>勝鋼企業有限公司&gt;豐驛企業社</v>
          </cell>
        </row>
        <row r="928">
          <cell r="H928">
            <v>107</v>
          </cell>
          <cell r="I928" t="str">
            <v>康恆電腦軟體設計有限公司</v>
          </cell>
        </row>
        <row r="929">
          <cell r="H929">
            <v>108</v>
          </cell>
          <cell r="I929" t="str">
            <v>仲車坊＞收中古輪胎＞中型胎</v>
          </cell>
        </row>
        <row r="930">
          <cell r="H930">
            <v>109</v>
          </cell>
          <cell r="I930" t="str">
            <v>收廢內胎</v>
          </cell>
        </row>
        <row r="931">
          <cell r="H931">
            <v>110</v>
          </cell>
          <cell r="I931" t="str">
            <v>上鼎照明</v>
          </cell>
        </row>
        <row r="932">
          <cell r="H932">
            <v>111</v>
          </cell>
          <cell r="I932" t="str">
            <v>北德文有限公司</v>
          </cell>
        </row>
        <row r="933">
          <cell r="H933">
            <v>112</v>
          </cell>
          <cell r="I933" t="str">
            <v>超越群科技有限公司</v>
          </cell>
        </row>
        <row r="934">
          <cell r="H934">
            <v>113</v>
          </cell>
          <cell r="I934" t="str">
            <v>收廢胎台中</v>
          </cell>
        </row>
        <row r="935">
          <cell r="H935">
            <v>114</v>
          </cell>
          <cell r="I935" t="str">
            <v>收廢機油</v>
          </cell>
        </row>
        <row r="936">
          <cell r="H936">
            <v>115</v>
          </cell>
          <cell r="I936" t="str">
            <v>勝晹汽機車材料行</v>
          </cell>
        </row>
        <row r="937">
          <cell r="H937">
            <v>116</v>
          </cell>
          <cell r="I937" t="str">
            <v>全方位事務科技有限公司</v>
          </cell>
        </row>
        <row r="938">
          <cell r="H938">
            <v>117</v>
          </cell>
          <cell r="I938" t="str">
            <v>佳豪土木包工業</v>
          </cell>
        </row>
        <row r="939">
          <cell r="H939">
            <v>118</v>
          </cell>
          <cell r="I939" t="str">
            <v>越大輪胎有限公司</v>
          </cell>
        </row>
        <row r="940">
          <cell r="H940">
            <v>119</v>
          </cell>
          <cell r="I940" t="str">
            <v>敏銓輪胎行</v>
          </cell>
        </row>
        <row r="941">
          <cell r="H941">
            <v>120</v>
          </cell>
          <cell r="I941" t="str">
            <v>福海輪胎企業有限公司</v>
          </cell>
        </row>
        <row r="942">
          <cell r="H942">
            <v>121</v>
          </cell>
          <cell r="I942" t="str">
            <v>力璽工程有限公司</v>
          </cell>
        </row>
        <row r="943">
          <cell r="H943">
            <v>122</v>
          </cell>
          <cell r="I943" t="str">
            <v>順偉輪胎有限公司</v>
          </cell>
        </row>
        <row r="944">
          <cell r="H944">
            <v>123</v>
          </cell>
          <cell r="I944" t="str">
            <v>永順輪胎行</v>
          </cell>
        </row>
        <row r="945">
          <cell r="H945">
            <v>124</v>
          </cell>
          <cell r="I945" t="str">
            <v>日亨輪胎有限公司</v>
          </cell>
        </row>
        <row r="946">
          <cell r="H946">
            <v>125</v>
          </cell>
          <cell r="I946" t="str">
            <v>勇和興輪胎行</v>
          </cell>
        </row>
        <row r="947">
          <cell r="H947">
            <v>126</v>
          </cell>
          <cell r="I947" t="str">
            <v>順暉&gt;順輝輪胎行</v>
          </cell>
        </row>
        <row r="948">
          <cell r="H948">
            <v>127</v>
          </cell>
          <cell r="I948" t="str">
            <v>連豐輪胎行</v>
          </cell>
        </row>
        <row r="949">
          <cell r="H949">
            <v>128</v>
          </cell>
          <cell r="I949" t="str">
            <v>正鋼專業汽車手工具</v>
          </cell>
        </row>
        <row r="950">
          <cell r="H950">
            <v>129</v>
          </cell>
          <cell r="I950" t="str">
            <v>大順輪胎行</v>
          </cell>
        </row>
        <row r="951">
          <cell r="H951">
            <v>130</v>
          </cell>
          <cell r="I951" t="str">
            <v>緯達輪胎行</v>
          </cell>
        </row>
        <row r="952">
          <cell r="H952">
            <v>131</v>
          </cell>
          <cell r="I952" t="str">
            <v>廈門自動科技有限公司</v>
          </cell>
        </row>
        <row r="953">
          <cell r="H953">
            <v>132</v>
          </cell>
          <cell r="I953" t="str">
            <v>太原氣體股份有限公司＞負:溫穩鵬</v>
          </cell>
        </row>
        <row r="954">
          <cell r="H954">
            <v>133</v>
          </cell>
          <cell r="I954" t="str">
            <v>駿固&gt;烏日大地&gt;李冠輝</v>
          </cell>
        </row>
        <row r="955">
          <cell r="H955">
            <v>134</v>
          </cell>
          <cell r="I955" t="str">
            <v>冠泓貿易有限公司</v>
          </cell>
        </row>
        <row r="956">
          <cell r="H956">
            <v>135</v>
          </cell>
          <cell r="I956" t="str">
            <v>新技資訊有限公司</v>
          </cell>
        </row>
        <row r="957">
          <cell r="H957">
            <v>136</v>
          </cell>
          <cell r="I957" t="str">
            <v>熊屋商店</v>
          </cell>
        </row>
        <row r="958">
          <cell r="H958">
            <v>137</v>
          </cell>
          <cell r="I958" t="str">
            <v>祈星實業股份有限公司</v>
          </cell>
        </row>
        <row r="959">
          <cell r="H959">
            <v>138</v>
          </cell>
          <cell r="I959" t="str">
            <v>萬大輪胎</v>
          </cell>
        </row>
        <row r="960">
          <cell r="H960">
            <v>139</v>
          </cell>
          <cell r="I960" t="str">
            <v>章化輪胎有限公司</v>
          </cell>
        </row>
        <row r="961">
          <cell r="H961">
            <v>140</v>
          </cell>
          <cell r="I961" t="str">
            <v>富山輪圈&gt;信樺昌企業有限公司</v>
          </cell>
        </row>
        <row r="962">
          <cell r="H962">
            <v>141</v>
          </cell>
          <cell r="I962" t="str">
            <v>侑享輪業企業社</v>
          </cell>
        </row>
        <row r="963">
          <cell r="H963">
            <v>142</v>
          </cell>
          <cell r="I963" t="str">
            <v>源一輪胎有限公司</v>
          </cell>
        </row>
        <row r="964">
          <cell r="H964">
            <v>143</v>
          </cell>
          <cell r="I964" t="str">
            <v>玉山輪胎股份有限公司</v>
          </cell>
        </row>
        <row r="965">
          <cell r="H965">
            <v>144</v>
          </cell>
          <cell r="I965" t="str">
            <v>聯昕興業有限公司</v>
          </cell>
        </row>
        <row r="966">
          <cell r="H966">
            <v>145</v>
          </cell>
          <cell r="I966" t="str">
            <v>京展輪圈有限公司&gt;京展企業社</v>
          </cell>
        </row>
        <row r="967">
          <cell r="H967">
            <v>146</v>
          </cell>
          <cell r="I967" t="str">
            <v>世全輪胎行&gt;益全輪胎館</v>
          </cell>
        </row>
        <row r="968">
          <cell r="H968">
            <v>147</v>
          </cell>
          <cell r="I968" t="str">
            <v>允成國際企業有限公司</v>
          </cell>
        </row>
        <row r="969">
          <cell r="H969">
            <v>148</v>
          </cell>
          <cell r="I969" t="str">
            <v>世明輪胎</v>
          </cell>
        </row>
        <row r="970">
          <cell r="H970">
            <v>149</v>
          </cell>
          <cell r="I970" t="str">
            <v>王昱融&gt;翔一汽車機械五金行</v>
          </cell>
        </row>
        <row r="971">
          <cell r="H971">
            <v>150</v>
          </cell>
          <cell r="I971" t="str">
            <v>盈鼎泰汽車商行</v>
          </cell>
        </row>
        <row r="972">
          <cell r="H972">
            <v>151</v>
          </cell>
          <cell r="I972" t="str">
            <v>同一股份有限公司</v>
          </cell>
        </row>
        <row r="973">
          <cell r="H973">
            <v>152</v>
          </cell>
          <cell r="I973" t="str">
            <v>有勝&gt;有程企業有限公司</v>
          </cell>
        </row>
        <row r="974">
          <cell r="H974">
            <v>153</v>
          </cell>
          <cell r="I974" t="str">
            <v>耀麒有限公司</v>
          </cell>
        </row>
        <row r="975">
          <cell r="H975">
            <v>154</v>
          </cell>
          <cell r="I975" t="str">
            <v>興暉貿易有限公司</v>
          </cell>
        </row>
        <row r="976">
          <cell r="H976">
            <v>155</v>
          </cell>
          <cell r="I976" t="str">
            <v>翔威有限公司</v>
          </cell>
        </row>
        <row r="977">
          <cell r="H977">
            <v>156</v>
          </cell>
          <cell r="I977" t="str">
            <v>捷力客國際有限公司</v>
          </cell>
        </row>
        <row r="978">
          <cell r="H978">
            <v>157</v>
          </cell>
          <cell r="I978" t="str">
            <v>久代機械商行</v>
          </cell>
        </row>
        <row r="979">
          <cell r="H979">
            <v>158</v>
          </cell>
          <cell r="I979" t="str">
            <v>宏昱輪業.海浜幕張欣業有限公司</v>
          </cell>
        </row>
        <row r="980">
          <cell r="H980">
            <v>159</v>
          </cell>
          <cell r="I980" t="str">
            <v>正鴻輪胎股份有限公司</v>
          </cell>
        </row>
        <row r="981">
          <cell r="H981">
            <v>160</v>
          </cell>
          <cell r="I981" t="str">
            <v>普利司通中區銷售股份有限公司-大胎</v>
          </cell>
        </row>
        <row r="982">
          <cell r="H982">
            <v>161</v>
          </cell>
          <cell r="I982" t="str">
            <v>普利司通中區銷售股份有限公司-中胎</v>
          </cell>
        </row>
        <row r="983">
          <cell r="H983">
            <v>162</v>
          </cell>
          <cell r="I983" t="str">
            <v>普利司通中區銷售股份有限公司-小胎</v>
          </cell>
        </row>
        <row r="984">
          <cell r="H984">
            <v>163</v>
          </cell>
          <cell r="I984" t="str">
            <v>普利司通中區銷售股份有限公司-翻修胎</v>
          </cell>
        </row>
        <row r="985">
          <cell r="H985">
            <v>164</v>
          </cell>
          <cell r="I985" t="str">
            <v>國住橡膠股份有限公司-大胎</v>
          </cell>
        </row>
        <row r="986">
          <cell r="H986">
            <v>165</v>
          </cell>
          <cell r="I986" t="str">
            <v>國住橡膠股份有限公司-中胎</v>
          </cell>
        </row>
        <row r="987">
          <cell r="H987">
            <v>166</v>
          </cell>
          <cell r="I987" t="str">
            <v>國住橡膠股份有限公司-小胎</v>
          </cell>
        </row>
        <row r="988">
          <cell r="H988">
            <v>167</v>
          </cell>
          <cell r="I988" t="str">
            <v>億勝輪胎股份有限公司-大胎</v>
          </cell>
        </row>
        <row r="989">
          <cell r="H989">
            <v>168</v>
          </cell>
          <cell r="I989" t="str">
            <v>億勝輪胎股份有限公司-中胎</v>
          </cell>
        </row>
        <row r="990">
          <cell r="H990">
            <v>169</v>
          </cell>
          <cell r="I990" t="str">
            <v>億勝輪胎股份有限公司-小胎</v>
          </cell>
        </row>
        <row r="991">
          <cell r="H991">
            <v>170</v>
          </cell>
          <cell r="I991" t="str">
            <v>億勝輪胎股份有限公司-內胎.OB</v>
          </cell>
        </row>
        <row r="992">
          <cell r="H992">
            <v>171</v>
          </cell>
          <cell r="I992" t="str">
            <v>祐勝車業有限公司</v>
          </cell>
        </row>
        <row r="993">
          <cell r="H993">
            <v>172</v>
          </cell>
          <cell r="I993" t="str">
            <v>顧瑞峰車業有限公司</v>
          </cell>
        </row>
        <row r="994">
          <cell r="H994">
            <v>173</v>
          </cell>
          <cell r="I994" t="str">
            <v>上全汽車材料有限公司</v>
          </cell>
        </row>
        <row r="995">
          <cell r="H995">
            <v>174</v>
          </cell>
          <cell r="I995" t="str">
            <v>陳亮羽&gt;內胎加工廠</v>
          </cell>
        </row>
        <row r="996">
          <cell r="H996">
            <v>175</v>
          </cell>
          <cell r="I996" t="str">
            <v>南冠輪胎股份有限公司(台中營業所)</v>
          </cell>
        </row>
        <row r="997">
          <cell r="H997">
            <v>176</v>
          </cell>
          <cell r="I997" t="str">
            <v>常益企業社</v>
          </cell>
        </row>
        <row r="998">
          <cell r="H998">
            <v>177</v>
          </cell>
          <cell r="I998" t="str">
            <v>松埔食品股份有限公司</v>
          </cell>
        </row>
        <row r="999">
          <cell r="H999">
            <v>178</v>
          </cell>
          <cell r="I999" t="str">
            <v>吾愛車車業</v>
          </cell>
        </row>
        <row r="1000">
          <cell r="H1000">
            <v>179</v>
          </cell>
          <cell r="I1000" t="str">
            <v>慶揚輪胎有限公司</v>
          </cell>
        </row>
        <row r="1001">
          <cell r="H1001">
            <v>180</v>
          </cell>
          <cell r="I1001" t="str">
            <v>振群汽車材料有限公司</v>
          </cell>
        </row>
        <row r="1002">
          <cell r="H1002">
            <v>181</v>
          </cell>
          <cell r="I1002" t="str">
            <v>駿固實業有限公司</v>
          </cell>
        </row>
        <row r="1003">
          <cell r="H1003">
            <v>182</v>
          </cell>
          <cell r="I1003" t="str">
            <v>榮新輪胎貿易有限公司&gt;鉅富輪胎有限公司</v>
          </cell>
        </row>
        <row r="1004">
          <cell r="H1004">
            <v>183</v>
          </cell>
          <cell r="I1004" t="str">
            <v>駿昊企業社</v>
          </cell>
        </row>
        <row r="1005">
          <cell r="H1005">
            <v>184</v>
          </cell>
          <cell r="I1005" t="str">
            <v xml:space="preserve">鳴戶國際企業有限公司&gt;錦准國際企業有限公司 </v>
          </cell>
        </row>
        <row r="1006">
          <cell r="H1006">
            <v>185</v>
          </cell>
          <cell r="I1006" t="str">
            <v>信通企業社</v>
          </cell>
        </row>
        <row r="1007">
          <cell r="H1007">
            <v>186</v>
          </cell>
          <cell r="I1007" t="str">
            <v>鴻鑫輪胎有限公司</v>
          </cell>
        </row>
        <row r="1008">
          <cell r="H1008">
            <v>187</v>
          </cell>
          <cell r="I1008" t="str">
            <v>萬芳通運有限公司</v>
          </cell>
        </row>
        <row r="1009">
          <cell r="H1009">
            <v>188</v>
          </cell>
          <cell r="I1009" t="str">
            <v>寶力適科技有限公司</v>
          </cell>
        </row>
        <row r="1010">
          <cell r="H1010">
            <v>189</v>
          </cell>
          <cell r="I1010" t="str">
            <v>瑞迪輪胎有限公司&gt;永臻輪胎有限公司</v>
          </cell>
        </row>
        <row r="1011">
          <cell r="H1011">
            <v>190</v>
          </cell>
          <cell r="I1011" t="str">
            <v>中興保全股份有限公司</v>
          </cell>
        </row>
        <row r="1012">
          <cell r="H1012">
            <v>191</v>
          </cell>
          <cell r="I1012" t="str">
            <v>安立汽車保養廠</v>
          </cell>
        </row>
        <row r="1013">
          <cell r="H1013">
            <v>192</v>
          </cell>
          <cell r="I1013" t="str">
            <v>阿毅輪胎有限公司</v>
          </cell>
        </row>
        <row r="1014">
          <cell r="H1014">
            <v>193</v>
          </cell>
          <cell r="I1014" t="str">
            <v>豪灃車業有限公司</v>
          </cell>
        </row>
        <row r="1015">
          <cell r="H1015">
            <v>194</v>
          </cell>
          <cell r="I1015" t="str">
            <v>日新輪胎行</v>
          </cell>
        </row>
        <row r="1016">
          <cell r="H1016">
            <v>195</v>
          </cell>
          <cell r="I1016" t="str">
            <v>KSPORT迪兒思汽車精品行</v>
          </cell>
        </row>
        <row r="1017">
          <cell r="H1017">
            <v>196</v>
          </cell>
          <cell r="I1017" t="str">
            <v>龍潁國際產業有限公司</v>
          </cell>
        </row>
        <row r="1018">
          <cell r="H1018">
            <v>197</v>
          </cell>
          <cell r="I1018" t="str">
            <v>詠撰企業有限公司</v>
          </cell>
        </row>
        <row r="1019">
          <cell r="H1019">
            <v>198</v>
          </cell>
          <cell r="I1019" t="str">
            <v>占士邦鋁圈修復中心</v>
          </cell>
        </row>
        <row r="1020">
          <cell r="H1020">
            <v>199</v>
          </cell>
          <cell r="I1020" t="str">
            <v>青島聯合泰爾輪胎有限公司</v>
          </cell>
        </row>
        <row r="1021">
          <cell r="H1021">
            <v>200</v>
          </cell>
          <cell r="I1021" t="str">
            <v>金竤輪胎有限公司</v>
          </cell>
        </row>
        <row r="1022">
          <cell r="H1022">
            <v>201</v>
          </cell>
          <cell r="I1022" t="str">
            <v>中國順昌國際有限公司</v>
          </cell>
        </row>
        <row r="1023">
          <cell r="H1023">
            <v>202</v>
          </cell>
          <cell r="I1023" t="str">
            <v>尚隆汽車有限公司(尚隆中華廠)</v>
          </cell>
        </row>
        <row r="1024">
          <cell r="H1024">
            <v>203</v>
          </cell>
          <cell r="I1024" t="str">
            <v>開元報關行&gt;開原報關股份有限公司</v>
          </cell>
        </row>
        <row r="1025">
          <cell r="H1025">
            <v>204</v>
          </cell>
          <cell r="I1025" t="str">
            <v>家利多企業有限公司</v>
          </cell>
        </row>
        <row r="1026">
          <cell r="H1026">
            <v>205</v>
          </cell>
          <cell r="I1026" t="str">
            <v>彩藝得印刷有限公司</v>
          </cell>
        </row>
        <row r="1027">
          <cell r="H1027">
            <v>206</v>
          </cell>
          <cell r="I1027" t="str">
            <v>達信國際有限公司</v>
          </cell>
        </row>
        <row r="1028">
          <cell r="H1028">
            <v>207</v>
          </cell>
          <cell r="I1028" t="str">
            <v>WTT台灣總代理</v>
          </cell>
        </row>
        <row r="1029">
          <cell r="H1029">
            <v>208</v>
          </cell>
          <cell r="I1029" t="str">
            <v>赫杰國際貿易有限公司</v>
          </cell>
        </row>
        <row r="1030">
          <cell r="H1030">
            <v>209</v>
          </cell>
          <cell r="I1030" t="str">
            <v>明台產物保險股份有限公司</v>
          </cell>
        </row>
        <row r="1031">
          <cell r="H1031">
            <v>210</v>
          </cell>
          <cell r="I1031" t="str">
            <v>毅成企業有限公司</v>
          </cell>
        </row>
        <row r="1032">
          <cell r="H1032">
            <v>211</v>
          </cell>
          <cell r="I1032" t="str">
            <v>奇岩自動車</v>
          </cell>
        </row>
        <row r="1033">
          <cell r="H1033">
            <v>212</v>
          </cell>
          <cell r="I1033" t="str">
            <v>智良實業有限公司&gt;消暑專家</v>
          </cell>
        </row>
        <row r="1034">
          <cell r="H1034">
            <v>213</v>
          </cell>
          <cell r="I1034" t="str">
            <v>尚大汽車材料有限公司</v>
          </cell>
        </row>
        <row r="1035">
          <cell r="H1035">
            <v>214</v>
          </cell>
          <cell r="I1035" t="str">
            <v>實家企業社</v>
          </cell>
        </row>
        <row r="1036">
          <cell r="H1036">
            <v>215</v>
          </cell>
          <cell r="I1036" t="str">
            <v>翔鑫科技股份有限公司</v>
          </cell>
        </row>
        <row r="1037">
          <cell r="H1037">
            <v>216</v>
          </cell>
          <cell r="I1037" t="str">
            <v>承富有限公司</v>
          </cell>
        </row>
        <row r="1038">
          <cell r="H1038">
            <v>217</v>
          </cell>
          <cell r="I1038" t="str">
            <v>車友行貿易股份有限公司</v>
          </cell>
        </row>
        <row r="1039">
          <cell r="H1039">
            <v>218</v>
          </cell>
          <cell r="I1039" t="str">
            <v>金盛科技有限公司</v>
          </cell>
        </row>
        <row r="1040">
          <cell r="H1040">
            <v>219</v>
          </cell>
          <cell r="I1040" t="str">
            <v>翌陽電機有限公司</v>
          </cell>
        </row>
        <row r="1041">
          <cell r="H1041">
            <v>220</v>
          </cell>
          <cell r="I1041" t="str">
            <v>新銳光專業燈泡</v>
          </cell>
        </row>
        <row r="1042">
          <cell r="H1042">
            <v>221</v>
          </cell>
          <cell r="I1042" t="str">
            <v>嘉里大榮貨運物流股份有限公司</v>
          </cell>
        </row>
        <row r="1043">
          <cell r="H1043">
            <v>222</v>
          </cell>
          <cell r="I1043" t="str">
            <v>田富貿易有限公司&gt;煞車皮永謙</v>
          </cell>
        </row>
        <row r="1044">
          <cell r="H1044">
            <v>223</v>
          </cell>
          <cell r="I1044" t="str">
            <v>鎧新研創有限公司</v>
          </cell>
        </row>
        <row r="1045">
          <cell r="H1045">
            <v>224</v>
          </cell>
          <cell r="I1045" t="str">
            <v>福特新苗汽車(頭份廠)</v>
          </cell>
        </row>
        <row r="1046">
          <cell r="H1046">
            <v>225</v>
          </cell>
          <cell r="I1046" t="str">
            <v>大台北億成輪胎量販中心</v>
          </cell>
        </row>
        <row r="1047">
          <cell r="H1047">
            <v>226</v>
          </cell>
          <cell r="I1047" t="str">
            <v>竑騏車業</v>
          </cell>
        </row>
        <row r="1048">
          <cell r="H1048">
            <v>227</v>
          </cell>
          <cell r="I1048" t="str">
            <v>莫名其妙倉庫</v>
          </cell>
        </row>
        <row r="1049">
          <cell r="H1049">
            <v>228</v>
          </cell>
          <cell r="I1049" t="str">
            <v>吉利來輪胎行&gt;楊銀中</v>
          </cell>
        </row>
        <row r="1050">
          <cell r="H1050">
            <v>229</v>
          </cell>
          <cell r="I1050" t="str">
            <v>泰瑞斯貿易有限公司</v>
          </cell>
        </row>
        <row r="1051">
          <cell r="H1051">
            <v>230</v>
          </cell>
          <cell r="I1051" t="str">
            <v>迪奧瑪斯</v>
          </cell>
        </row>
        <row r="1052">
          <cell r="H1052">
            <v>231</v>
          </cell>
          <cell r="I1052" t="str">
            <v>祥億氣動</v>
          </cell>
        </row>
        <row r="1053">
          <cell r="H1053">
            <v>232</v>
          </cell>
          <cell r="I1053" t="str">
            <v>上井傳動軸</v>
          </cell>
        </row>
        <row r="1054">
          <cell r="H1054">
            <v>233</v>
          </cell>
          <cell r="I1054" t="str">
            <v>鋐泰汽車</v>
          </cell>
        </row>
        <row r="1055">
          <cell r="H1055">
            <v>234</v>
          </cell>
          <cell r="I1055" t="str">
            <v>騰謚國際有限公司</v>
          </cell>
        </row>
        <row r="1056">
          <cell r="H1056">
            <v>235</v>
          </cell>
          <cell r="I1056" t="str">
            <v>台灣新光保全股份有限公司</v>
          </cell>
        </row>
        <row r="1057">
          <cell r="H1057">
            <v>236</v>
          </cell>
          <cell r="I1057" t="str">
            <v>夢工廠國際車業</v>
          </cell>
        </row>
        <row r="1058">
          <cell r="H1058">
            <v>237</v>
          </cell>
          <cell r="I1058" t="str">
            <v>SPEEDFACTORY</v>
          </cell>
        </row>
        <row r="1059">
          <cell r="H1059">
            <v>238</v>
          </cell>
          <cell r="I1059" t="str">
            <v>唯辰行&gt;佳佳商行</v>
          </cell>
        </row>
        <row r="1060">
          <cell r="H1060">
            <v>239</v>
          </cell>
          <cell r="I1060" t="str">
            <v>巴克利有限公司</v>
          </cell>
        </row>
        <row r="1061">
          <cell r="H1061">
            <v>240</v>
          </cell>
          <cell r="I1061" t="str">
            <v>慶翔汽車材料有限公司</v>
          </cell>
        </row>
        <row r="1062">
          <cell r="H1062">
            <v>241</v>
          </cell>
          <cell r="I1062" t="str">
            <v>日盛帆布鐵架行</v>
          </cell>
        </row>
        <row r="1063">
          <cell r="H1063">
            <v>242</v>
          </cell>
          <cell r="I1063" t="str">
            <v>統駿輪胎行&gt;昭安輪胎行&gt;負:蔡淑惠</v>
          </cell>
        </row>
        <row r="1064">
          <cell r="H1064">
            <v>243</v>
          </cell>
          <cell r="I1064" t="str">
            <v>延宗企業有限公司</v>
          </cell>
        </row>
        <row r="1065">
          <cell r="H1065">
            <v>244</v>
          </cell>
          <cell r="I1065" t="str">
            <v>雙錢集團(新疆)昆侖輪胎有限公司</v>
          </cell>
        </row>
        <row r="1066">
          <cell r="H1066">
            <v>245</v>
          </cell>
          <cell r="I1066" t="str">
            <v>耀鑫有限公司&gt;諾基亞輪胎</v>
          </cell>
        </row>
        <row r="1067">
          <cell r="H1067">
            <v>246</v>
          </cell>
          <cell r="I1067" t="str">
            <v>大戈企業有限公司</v>
          </cell>
        </row>
        <row r="1068">
          <cell r="H1068">
            <v>247</v>
          </cell>
          <cell r="I1068" t="str">
            <v>萬豐輪胎行&gt;毅豐企業社&gt;</v>
          </cell>
        </row>
        <row r="1069">
          <cell r="H1069">
            <v>248</v>
          </cell>
          <cell r="I1069" t="str">
            <v>瀧騰股份有限公司 &gt;瀧翔有限公司</v>
          </cell>
        </row>
        <row r="1070">
          <cell r="H1070">
            <v>249</v>
          </cell>
          <cell r="I1070" t="str">
            <v>沃步國際股份有限公司</v>
          </cell>
        </row>
        <row r="1071">
          <cell r="H1071">
            <v>250</v>
          </cell>
          <cell r="I1071" t="str">
            <v>華仔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8">
    <tabColor theme="2" tint="-0.499984740745262"/>
    <outlinePr summaryBelow="1" summaryRight="1"/>
    <pageSetUpPr fitToPage="1"/>
  </sheetPr>
  <dimension ref="A1:BG1048"/>
  <sheetViews>
    <sheetView showGridLines="0" showZeros="0" topLeftCell="A40" workbookViewId="0">
      <selection activeCell="G68" sqref="G68"/>
    </sheetView>
  </sheetViews>
  <sheetFormatPr baseColWidth="8" defaultColWidth="9" defaultRowHeight="15.75"/>
  <cols>
    <col width="2" customWidth="1" style="7" min="1" max="1"/>
    <col width="2.625" customWidth="1" style="9" min="2" max="2"/>
    <col width="16" customWidth="1" style="9" min="3" max="3"/>
    <col width="13.25" customWidth="1" style="9" min="4" max="4"/>
    <col width="14.875" customWidth="1" style="9" min="5" max="5"/>
    <col width="15.25" customWidth="1" style="9" min="6" max="6"/>
    <col width="13.5" customWidth="1" style="9" min="7" max="7"/>
    <col width="12.625" customWidth="1" style="9" min="8" max="8"/>
    <col width="4.5" customWidth="1" style="9" min="9" max="9"/>
    <col width="9.625" customWidth="1" style="9" min="10" max="10"/>
    <col width="10.375" customWidth="1" style="9" min="11" max="11"/>
    <col width="6.25" customWidth="1" style="9" min="12" max="12"/>
    <col width="9" customWidth="1" style="8" min="13" max="13"/>
    <col width="10.5" customWidth="1" style="8" min="14" max="14"/>
    <col width="2.625" customWidth="1" style="9" min="15" max="16"/>
    <col width="16" customWidth="1" style="9" min="17" max="17"/>
    <col width="13.25" customWidth="1" style="9" min="18" max="18"/>
    <col width="14.875" customWidth="1" style="9" min="19" max="19"/>
    <col width="16.375" customWidth="1" style="9" min="20" max="20"/>
    <col width="10.875" customWidth="1" style="9" min="21" max="21"/>
    <col width="9.75" customWidth="1" style="9" min="22" max="22"/>
    <col width="4" customWidth="1" style="9" min="23" max="23"/>
    <col width="9.625" customWidth="1" style="9" min="24" max="24"/>
    <col width="10.375" customWidth="1" style="8" min="25" max="25"/>
    <col width="6.25" customWidth="1" style="8" min="26" max="26"/>
    <col width="9" customWidth="1" style="8" min="27" max="27"/>
    <col width="3.125" customWidth="1" style="8" min="28" max="28"/>
    <col width="12.625" customWidth="1" style="8" min="29" max="30"/>
    <col width="7.625" customWidth="1" style="8" min="31" max="33"/>
    <col width="3.125" customWidth="1" style="8" min="34" max="34"/>
    <col width="12.625" customWidth="1" style="8" min="35" max="36"/>
    <col width="7.625" customWidth="1" style="8" min="37" max="39"/>
    <col width="9" customWidth="1" style="8" min="40" max="40"/>
    <col width="10.625" customWidth="1" style="8" min="41" max="42"/>
    <col width="9" customWidth="1" style="8" min="43" max="43"/>
    <col width="3.375" customWidth="1" style="8" min="44" max="44"/>
    <col width="9" customWidth="1" style="8" min="45" max="45"/>
    <col width="10.875" bestFit="1" customWidth="1" style="8" min="46" max="46"/>
    <col width="14.125" customWidth="1" style="8" min="47" max="47"/>
    <col width="18.5" customWidth="1" style="8" min="48" max="48"/>
    <col width="4.75" customWidth="1" style="8" min="49" max="49"/>
    <col width="16.75" customWidth="1" style="8" min="50" max="50"/>
    <col width="9" customWidth="1" style="8" min="51" max="51"/>
    <col width="10.875" customWidth="1" style="8" min="52" max="52"/>
    <col width="9" customWidth="1" style="8" min="53" max="53"/>
    <col width="9.75" customWidth="1" style="8" min="54" max="54"/>
    <col width="9.875" customWidth="1" style="8" min="55" max="55"/>
    <col width="11.25" customWidth="1" style="8" min="56" max="56"/>
    <col width="9" customWidth="1" style="8" min="57" max="57"/>
    <col width="15.5" bestFit="1" customWidth="1" style="8" min="58" max="58"/>
    <col width="9" customWidth="1" style="8" min="59" max="16384"/>
  </cols>
  <sheetData>
    <row r="1" ht="22.5" customHeight="1">
      <c r="S1" s="520" t="inlineStr">
        <is>
          <t>大車定位快速出貨檔</t>
        </is>
      </c>
    </row>
    <row r="2" ht="16.5" customHeight="1">
      <c r="A2" s="7" t="inlineStr">
        <is>
          <t xml:space="preserve"> </t>
        </is>
      </c>
      <c r="B2" s="289" t="inlineStr">
        <is>
          <t xml:space="preserve">出貨單.合約書.收據      </t>
        </is>
      </c>
      <c r="C2" s="574" t="n"/>
      <c r="D2" s="575" t="n"/>
      <c r="E2" s="292" t="n"/>
      <c r="F2" s="292" t="n"/>
      <c r="G2" s="293" t="n"/>
      <c r="H2" s="293" t="n"/>
      <c r="I2" s="293" t="n"/>
      <c r="J2" s="293" t="n"/>
      <c r="K2" s="576" t="inlineStr">
        <is>
          <t>中華全佑有限公司.中華全威有限公司.全威企業社.電話:037-463990</t>
        </is>
      </c>
      <c r="L2" s="11" t="n"/>
      <c r="O2" s="7" t="inlineStr">
        <is>
          <t xml:space="preserve"> </t>
        </is>
      </c>
      <c r="P2" s="289" t="inlineStr">
        <is>
          <t xml:space="preserve">出貨單.合約書.收據      </t>
        </is>
      </c>
      <c r="Q2" s="574" t="n"/>
      <c r="R2" s="575" t="n"/>
      <c r="S2" s="292" t="n"/>
      <c r="T2" s="292" t="n"/>
      <c r="U2" s="293" t="n"/>
      <c r="V2" s="293" t="n"/>
      <c r="W2" s="293" t="n"/>
      <c r="X2" s="293" t="n"/>
      <c r="Y2" s="576" t="inlineStr">
        <is>
          <t>中華全佑有限公司.中華全威有限公司.全威企業社.電話:037-463990</t>
        </is>
      </c>
      <c r="Z2" s="11" t="n"/>
    </row>
    <row r="3" ht="3.75" customHeight="1">
      <c r="B3" s="289" t="n"/>
      <c r="C3" s="574" t="n"/>
      <c r="D3" s="575" t="n"/>
      <c r="E3" s="292" t="n"/>
      <c r="F3" s="292" t="n"/>
      <c r="G3" s="293" t="n"/>
      <c r="H3" s="293" t="n"/>
      <c r="I3" s="293" t="n"/>
      <c r="J3" s="293" t="n"/>
      <c r="K3" s="576" t="n"/>
      <c r="L3" s="11" t="n"/>
      <c r="O3" s="7" t="n"/>
      <c r="P3" s="289" t="n"/>
      <c r="Q3" s="574" t="n"/>
      <c r="R3" s="575" t="n"/>
      <c r="S3" s="292" t="n"/>
      <c r="T3" s="292" t="n"/>
      <c r="U3" s="293" t="n"/>
      <c r="V3" s="293" t="n"/>
      <c r="W3" s="293" t="n"/>
      <c r="X3" s="293" t="n"/>
      <c r="Y3" s="576" t="n"/>
      <c r="Z3" s="11" t="n"/>
    </row>
    <row r="4" ht="18.75" customHeight="1">
      <c r="B4" s="12" t="inlineStr">
        <is>
          <t>客戶名稱:</t>
        </is>
      </c>
      <c r="C4" s="12" t="n"/>
      <c r="D4" s="533">
        <f>IF(C9="","",VLOOKUP(C9,出貨單!$E$5:$BV$20000,56,0))</f>
        <v/>
      </c>
      <c r="F4" s="13" t="inlineStr">
        <is>
          <t xml:space="preserve">     車頭公里數 :</t>
        </is>
      </c>
      <c r="G4" s="543">
        <f>IF(C9="","",VLOOKUP(C9,出貨單!$E$5:$BV$20000,8,0))</f>
        <v/>
      </c>
      <c r="H4" s="12" t="n"/>
      <c r="I4" s="13" t="inlineStr">
        <is>
          <t>出貨日期:</t>
        </is>
      </c>
      <c r="J4" s="577">
        <f>NOW()</f>
        <v/>
      </c>
      <c r="L4" s="12" t="n"/>
      <c r="O4" s="7" t="n"/>
      <c r="P4" s="12" t="inlineStr">
        <is>
          <t>客戶名稱:</t>
        </is>
      </c>
      <c r="Q4" s="12" t="n"/>
      <c r="R4" s="521">
        <f>IF(Q9="","",VLOOKUP(Q9,出貨單!$E$5:$BV$20000,56,0))</f>
        <v/>
      </c>
      <c r="T4" s="13" t="inlineStr">
        <is>
          <t xml:space="preserve">     車頭公里數 :</t>
        </is>
      </c>
      <c r="U4" s="531">
        <f>IF(Q9="","",VLOOKUP(Q9,出貨單!$E$5:$BV$20000,8,0))</f>
        <v/>
      </c>
      <c r="V4" s="12" t="n"/>
      <c r="W4" s="13" t="inlineStr">
        <is>
          <t>出貨日期:</t>
        </is>
      </c>
      <c r="X4" s="578">
        <f>NOW()</f>
        <v/>
      </c>
      <c r="Z4" s="12" t="n"/>
    </row>
    <row r="5" ht="13.5" customHeight="1">
      <c r="B5" s="12" t="inlineStr">
        <is>
          <t>車牌號碼 :</t>
        </is>
      </c>
      <c r="C5" s="12" t="n"/>
      <c r="D5" s="535">
        <f>IF(C9="","",VLOOKUP(C9,出貨單!$E$5:$BV$20000,2,0))</f>
        <v/>
      </c>
      <c r="F5" s="13" t="inlineStr">
        <is>
          <t>工作人員:</t>
        </is>
      </c>
      <c r="G5" s="543">
        <f>IF(C9="","",VLOOKUP(C9,出貨單!$E$5:$BV$29813,46,0))</f>
        <v/>
      </c>
      <c r="H5" s="12" t="n"/>
      <c r="I5" s="13" t="inlineStr">
        <is>
          <t>車頭位置:</t>
        </is>
      </c>
      <c r="J5" s="543">
        <f>IF(C9="","",VLOOKUP(C9,出貨單!$E$5:$BV$20000,40,0))</f>
        <v/>
      </c>
      <c r="L5" s="12" t="n"/>
      <c r="O5" s="7" t="n"/>
      <c r="P5" s="12" t="inlineStr">
        <is>
          <t>車牌號碼 :</t>
        </is>
      </c>
      <c r="Q5" s="12" t="n"/>
      <c r="R5" s="518">
        <f>IF(Q9="","",VLOOKUP(Q9,出貨單!$E$5:$BV$20000,2,0))</f>
        <v/>
      </c>
      <c r="T5" s="13" t="inlineStr">
        <is>
          <t>工作人員:</t>
        </is>
      </c>
      <c r="U5" s="531">
        <f>IF(Q9="","",VLOOKUP(Q9,出貨單!$E$5:$BV$29813,46,0))</f>
        <v/>
      </c>
      <c r="V5" s="12" t="n"/>
      <c r="W5" s="13" t="inlineStr">
        <is>
          <t>車頭位置:</t>
        </is>
      </c>
      <c r="X5" s="531">
        <f>IF(Q9="","",VLOOKUP(Q9,出貨單!$E$5:$BV$20000,40,0))</f>
        <v/>
      </c>
      <c r="Z5" s="12" t="n"/>
    </row>
    <row r="6">
      <c r="B6" s="531" t="inlineStr">
        <is>
          <t>工作時間 :</t>
        </is>
      </c>
      <c r="C6" s="12" t="n"/>
      <c r="D6" s="539">
        <f>IF(C9="","",VLOOKUP(C9,出貨單!$E$5:$BV$20000,9,0))</f>
        <v/>
      </c>
      <c r="F6" s="13" t="inlineStr">
        <is>
          <t>工作地點:</t>
        </is>
      </c>
      <c r="G6" s="543">
        <f>IF(C9="","",VLOOKUP(C9,出貨單!$E$5:$BV$20000,29,0))</f>
        <v/>
      </c>
      <c r="H6" s="12" t="n"/>
      <c r="I6" s="13" t="inlineStr">
        <is>
          <t>板架位置:</t>
        </is>
      </c>
      <c r="J6" s="544">
        <f>IF(C9="","",VLOOKUP(C9,出貨單!$E$5:$BV$20000,42,0))</f>
        <v/>
      </c>
      <c r="L6" s="12" t="n"/>
      <c r="O6" s="7" t="n"/>
      <c r="P6" s="531" t="inlineStr">
        <is>
          <t>工作時間 :</t>
        </is>
      </c>
      <c r="Q6" s="12" t="n"/>
      <c r="R6" s="532">
        <f>IF(Q9="","",VLOOKUP(Q9,出貨單!$E$5:$BV$20000,9,0))</f>
        <v/>
      </c>
      <c r="T6" s="13" t="inlineStr">
        <is>
          <t>工作地點:</t>
        </is>
      </c>
      <c r="U6" s="531">
        <f>IF(Q9="","",VLOOKUP(Q9,出貨單!$E$5:$BV$20000,29,0))</f>
        <v/>
      </c>
      <c r="V6" s="12" t="n"/>
      <c r="W6" s="13" t="inlineStr">
        <is>
          <t>板架位置:</t>
        </is>
      </c>
      <c r="X6" s="528">
        <f>IF(Q9="","",VLOOKUP(Q9,出貨單!$E$5:$BV$20000,42,0))</f>
        <v/>
      </c>
      <c r="Z6" s="12" t="n"/>
    </row>
    <row r="7" ht="15" customHeight="1">
      <c r="B7" s="12" t="inlineStr">
        <is>
          <t>客戶地址 :</t>
        </is>
      </c>
      <c r="C7" s="12" t="n"/>
      <c r="D7" s="579">
        <f>IF(D4="","",VLOOKUP(D4,[1]客戶編輯!$F$6:$Z$20000,20,0))</f>
        <v/>
      </c>
      <c r="E7" s="580" t="n"/>
      <c r="F7" s="13" t="inlineStr">
        <is>
          <t>報價人員:</t>
        </is>
      </c>
      <c r="G7" s="581">
        <f>IF(C9="","",VLOOKUP(C9,出貨單!$E$5:$BV$20000,22,0))</f>
        <v/>
      </c>
      <c r="H7" s="12" t="n"/>
      <c r="I7" s="13" t="inlineStr">
        <is>
          <t>轎.貨車位置:</t>
        </is>
      </c>
      <c r="J7" s="543">
        <f>IF(C9="","",VLOOKUP(C9,出貨單!$E$5:$BV$20000,44,0))</f>
        <v/>
      </c>
      <c r="L7" s="12" t="n"/>
      <c r="O7" s="7" t="n"/>
      <c r="P7" s="12" t="inlineStr">
        <is>
          <t>客戶地址 :</t>
        </is>
      </c>
      <c r="Q7" s="12" t="n"/>
      <c r="R7" s="582">
        <f>IF(R4="","",VLOOKUP(R4,[1]客戶編輯!$F$6:$Z$20000,20,0))</f>
        <v/>
      </c>
      <c r="T7" s="13" t="inlineStr">
        <is>
          <t>業務人員:</t>
        </is>
      </c>
      <c r="U7" s="583" t="n"/>
      <c r="V7" s="12" t="n"/>
      <c r="W7" s="13" t="inlineStr">
        <is>
          <t>轎.貨車位置:</t>
        </is>
      </c>
      <c r="X7" s="531">
        <f>IF(Q9="","",VLOOKUP(Q9,出貨單!$E$5:$BV$20000,44,0))</f>
        <v/>
      </c>
      <c r="Z7" s="12" t="n"/>
    </row>
    <row r="8" ht="16.5" customHeight="1">
      <c r="B8" s="325" t="inlineStr">
        <is>
          <t>序</t>
        </is>
      </c>
      <c r="C8" s="325" t="inlineStr">
        <is>
          <t>出貨單號</t>
        </is>
      </c>
      <c r="D8" s="527" t="inlineStr">
        <is>
          <t>維修內容</t>
        </is>
      </c>
      <c r="E8" s="325" t="inlineStr">
        <is>
          <t>廠牌. 規格. 花紋</t>
        </is>
      </c>
      <c r="F8" s="584" t="n"/>
      <c r="G8" s="351" t="inlineStr">
        <is>
          <t>裝上胎號</t>
        </is>
      </c>
      <c r="H8" s="15" t="inlineStr">
        <is>
          <t>拆下胎號</t>
        </is>
      </c>
      <c r="I8" s="325" t="inlineStr">
        <is>
          <t>數量</t>
        </is>
      </c>
      <c r="J8" s="325" t="inlineStr">
        <is>
          <t>單價</t>
        </is>
      </c>
      <c r="K8" s="325" t="inlineStr">
        <is>
          <t>小計</t>
        </is>
      </c>
      <c r="L8" s="14" t="n"/>
      <c r="O8" s="7" t="n"/>
      <c r="P8" s="527" t="inlineStr">
        <is>
          <t>序</t>
        </is>
      </c>
      <c r="Q8" s="527" t="inlineStr">
        <is>
          <t>出貨單號</t>
        </is>
      </c>
      <c r="R8" s="527" t="inlineStr">
        <is>
          <t>維修內容</t>
        </is>
      </c>
      <c r="S8" s="527" t="inlineStr">
        <is>
          <t>廠牌. 規格. 花紋</t>
        </is>
      </c>
      <c r="T8" s="585" t="n"/>
      <c r="U8" s="15" t="inlineStr">
        <is>
          <t>裝上胎號</t>
        </is>
      </c>
      <c r="V8" s="15" t="inlineStr">
        <is>
          <t>拆下胎號</t>
        </is>
      </c>
      <c r="W8" s="527" t="inlineStr">
        <is>
          <t>數量</t>
        </is>
      </c>
      <c r="X8" s="527" t="inlineStr">
        <is>
          <t>單價</t>
        </is>
      </c>
      <c r="Y8" s="527" t="inlineStr">
        <is>
          <t>小計</t>
        </is>
      </c>
      <c r="Z8" s="14" t="n"/>
    </row>
    <row r="9" ht="16.5" customHeight="1">
      <c r="A9" s="21" t="n">
        <v>1</v>
      </c>
      <c r="B9" s="359" t="n">
        <v>1</v>
      </c>
      <c r="C9" s="410" t="inlineStr">
        <is>
          <t>1100402004*1</t>
        </is>
      </c>
      <c r="D9" s="375">
        <f>IF(C9="","",VLOOKUP(C9,出貨單!$E$5:$BV$29813,12,0))</f>
        <v/>
      </c>
      <c r="E9" s="448">
        <f>IF(C9="","",VLOOKUP(C9,出貨單!$E$5:$BV$29813,15,0))</f>
        <v/>
      </c>
      <c r="F9" s="377" t="n"/>
      <c r="G9" s="302" t="n"/>
      <c r="H9" s="302">
        <f>IF(C9="","",VLOOKUP(C9,出貨單!$E$5:$BV$29813,48,0))</f>
        <v/>
      </c>
      <c r="I9" s="403">
        <f>IF(C9="","",VLOOKUP(C9,出貨單!$E$5:$BV$29813,23,0))</f>
        <v/>
      </c>
      <c r="J9" s="586">
        <f>IF(C9="","",IF(VLOOKUP(C9,出貨單!$E$5:$BV$29813,26,0)=0,"-",VLOOKUP(C9,出貨單!$E$5:$BV$29813,26,0)))</f>
        <v/>
      </c>
      <c r="K9" s="587">
        <f>IF(C9="","",IF(VLOOKUP(C9,出貨單!$E$5:$BV$29813,27,0)=0,"-",VLOOKUP(C9,出貨單!$E$5:$BV$29813,27,0)))</f>
        <v/>
      </c>
      <c r="O9" s="21" t="n">
        <v>1</v>
      </c>
      <c r="P9" s="299" t="n">
        <v>1</v>
      </c>
      <c r="Q9" s="300" t="inlineStr">
        <is>
          <t>1090518001*2</t>
        </is>
      </c>
      <c r="R9" s="382">
        <f>IF(Q9="","",VLOOKUP(Q9,出貨單!$E$5:$BV$29813,12,0))</f>
        <v/>
      </c>
      <c r="S9" s="376" t="inlineStr">
        <is>
          <t>□*定位一式</t>
        </is>
      </c>
      <c r="T9" s="377" t="n"/>
      <c r="U9" s="302" t="n"/>
      <c r="V9" s="303" t="n"/>
      <c r="W9" s="403">
        <f>IF(Q9="","",VLOOKUP(Q9,出貨單!$E$5:$BV$29813,23,0))</f>
        <v/>
      </c>
      <c r="X9" s="588" t="n"/>
      <c r="Y9" s="589" t="n"/>
      <c r="Z9" s="9" t="n"/>
    </row>
    <row r="10" ht="16.5" customHeight="1">
      <c r="A10" s="21" t="n">
        <v>2</v>
      </c>
      <c r="B10" s="359" t="n">
        <v>2</v>
      </c>
      <c r="C10" s="410" t="inlineStr">
        <is>
          <t>1100402004*2</t>
        </is>
      </c>
      <c r="D10" s="375">
        <f>IF(C10="","",VLOOKUP(C10,出貨單!$E$5:$BV$29813,12,0))</f>
        <v/>
      </c>
      <c r="E10" s="448">
        <f>IF(C10="","",VLOOKUP(C10,出貨單!$E$5:$BV$29813,15,0))</f>
        <v/>
      </c>
      <c r="F10" s="377" t="n"/>
      <c r="G10" s="302" t="n"/>
      <c r="H10" s="302">
        <f>IF(C10="","",VLOOKUP(C10,出貨單!$E$5:$BV$29813,48,0))</f>
        <v/>
      </c>
      <c r="I10" s="403">
        <f>IF(C10="","",VLOOKUP(C10,出貨單!$E$5:$BV$29813,23,0))</f>
        <v/>
      </c>
      <c r="J10" s="586">
        <f>IF(C10="","",IF(VLOOKUP(C10,出貨單!$E$5:$BV$29813,26,0)=0,"-",VLOOKUP(C10,出貨單!$E$5:$BV$29813,26,0)))</f>
        <v/>
      </c>
      <c r="K10" s="587">
        <f>IF(C10="","",IF(VLOOKUP(C10,出貨單!$E$5:$BV$29813,27,0)=0,"-",VLOOKUP(C10,出貨單!$E$5:$BV$29813,27,0)))</f>
        <v/>
      </c>
      <c r="O10" s="21" t="n">
        <v>2</v>
      </c>
      <c r="P10" s="299" t="n">
        <v>2</v>
      </c>
      <c r="Q10" s="300" t="n"/>
      <c r="R10" s="382">
        <f>IF(Q10="","",VLOOKUP(Q10,出貨單!$E$5:$BV$29813,12,0))</f>
        <v/>
      </c>
      <c r="S10" s="376" t="inlineStr">
        <is>
          <t>□*前束調整</t>
        </is>
      </c>
      <c r="T10" s="377" t="n"/>
      <c r="U10" s="302" t="n"/>
      <c r="V10" s="302" t="n"/>
      <c r="W10" s="403">
        <f>IF(Q10="","",VLOOKUP(Q10,出貨單!$E$5:$BV$29813,23,0))</f>
        <v/>
      </c>
      <c r="X10" s="588" t="n"/>
      <c r="Y10" s="589" t="n"/>
      <c r="Z10" s="9" t="n"/>
    </row>
    <row r="11" ht="16.5" customHeight="1">
      <c r="A11" s="21" t="n">
        <v>3</v>
      </c>
      <c r="B11" s="352" t="n">
        <v>3</v>
      </c>
      <c r="C11" s="410" t="n"/>
      <c r="D11" s="375">
        <f>IF(C11="","",VLOOKUP(C11,出貨單!$E$5:$BV$29813,12,0))</f>
        <v/>
      </c>
      <c r="E11" s="448">
        <f>IF(C11="","",VLOOKUP(C11,出貨單!$E$5:$BV$29813,15,0))</f>
        <v/>
      </c>
      <c r="F11" s="377" t="n"/>
      <c r="G11" s="302" t="n"/>
      <c r="H11" s="302">
        <f>IF(C11="","",VLOOKUP(C11,出貨單!$E$5:$BV$29813,48,0))</f>
        <v/>
      </c>
      <c r="I11" s="403">
        <f>IF(C11="","",VLOOKUP(C11,出貨單!$E$5:$BV$29813,23,0))</f>
        <v/>
      </c>
      <c r="J11" s="586">
        <f>IF(C11="","",IF(VLOOKUP(C11,出貨單!$E$5:$BV$29813,26,0)=0,"-",VLOOKUP(C11,出貨單!$E$5:$BV$29813,26,0)))</f>
        <v/>
      </c>
      <c r="K11" s="587">
        <f>IF(C11="","",IF(VLOOKUP(C11,出貨單!$E$5:$BV$29813,27,0)=0,"-",VLOOKUP(C11,出貨單!$E$5:$BV$29813,27,0)))</f>
        <v/>
      </c>
      <c r="O11" s="21" t="n">
        <v>3</v>
      </c>
      <c r="P11" s="299" t="n">
        <v>3</v>
      </c>
      <c r="Q11" s="300" t="n"/>
      <c r="R11" s="382">
        <f>IF(Q11="","",VLOOKUP(Q11,出貨單!$E$5:$BV$29813,12,0))</f>
        <v/>
      </c>
      <c r="S11" s="376" t="inlineStr">
        <is>
          <t>□*方向盤調整</t>
        </is>
      </c>
      <c r="T11" s="377" t="n"/>
      <c r="U11" s="302" t="n"/>
      <c r="V11" s="302" t="n"/>
      <c r="W11" s="403">
        <f>IF(Q11="","",VLOOKUP(Q11,出貨單!$E$5:$BV$29813,23,0))</f>
        <v/>
      </c>
      <c r="X11" s="588">
        <f>IF(Q11="","",VLOOKUP(Q11,出貨單!$E$5:$BV$29813,26,0))</f>
        <v/>
      </c>
      <c r="Y11" s="589">
        <f>IF(Q11="","",VLOOKUP(Q11,出貨單!$E$5:$BV$29813,27,0))</f>
        <v/>
      </c>
      <c r="Z11" s="9" t="n"/>
    </row>
    <row r="12" ht="16.5" customHeight="1">
      <c r="A12" s="21" t="n">
        <v>4</v>
      </c>
      <c r="B12" s="352" t="n">
        <v>4</v>
      </c>
      <c r="C12" s="410" t="n"/>
      <c r="D12" s="375">
        <f>IF(C12="","",VLOOKUP(C12,出貨單!$E$5:$BV$29813,12,0))</f>
        <v/>
      </c>
      <c r="E12" s="448">
        <f>IF(C12="","",VLOOKUP(C12,出貨單!$E$5:$BV$29813,15,0))</f>
        <v/>
      </c>
      <c r="F12" s="377" t="n"/>
      <c r="G12" s="302" t="n"/>
      <c r="H12" s="302">
        <f>IF(C12="","",VLOOKUP(C12,出貨單!$E$5:$BV$29813,48,0))</f>
        <v/>
      </c>
      <c r="I12" s="403">
        <f>IF(C12="","",VLOOKUP(C12,出貨單!$E$5:$BV$29813,23,0))</f>
        <v/>
      </c>
      <c r="J12" s="586">
        <f>IF(C12="","",IF(VLOOKUP(C12,出貨單!$E$5:$BV$29813,26,0)=0,"-",VLOOKUP(C12,出貨單!$E$5:$BV$29813,26,0)))</f>
        <v/>
      </c>
      <c r="K12" s="587">
        <f>IF(C12="","",IF(VLOOKUP(C12,出貨單!$E$5:$BV$29813,27,0)=0,"-",VLOOKUP(C12,出貨單!$E$5:$BV$29813,27,0)))</f>
        <v/>
      </c>
      <c r="O12" s="21" t="n">
        <v>4</v>
      </c>
      <c r="P12" s="299" t="n">
        <v>4</v>
      </c>
      <c r="Q12" s="300" t="n"/>
      <c r="R12" s="382">
        <f>IF(Q12="","",VLOOKUP(Q12,出貨單!$E$5:$BV$29813,12,0))</f>
        <v/>
      </c>
      <c r="S12" s="376" t="inlineStr">
        <is>
          <t>□*後傾角調整</t>
        </is>
      </c>
      <c r="T12" s="377" t="n"/>
      <c r="U12" s="302" t="n"/>
      <c r="V12" s="302" t="n"/>
      <c r="W12" s="403">
        <f>IF(Q12="","",VLOOKUP(Q12,出貨單!$E$5:$BV$29813,23,0))</f>
        <v/>
      </c>
      <c r="X12" s="588">
        <f>IF(Q12="","",VLOOKUP(Q12,出貨單!$E$5:$BV$29813,26,0))</f>
        <v/>
      </c>
      <c r="Y12" s="589">
        <f>IF(Q12="","",VLOOKUP(Q12,出貨單!$E$5:$BV$29813,27,0))</f>
        <v/>
      </c>
      <c r="Z12" s="9" t="n"/>
    </row>
    <row r="13" ht="16.5" customHeight="1">
      <c r="A13" s="21" t="n">
        <v>5</v>
      </c>
      <c r="B13" s="352" t="n">
        <v>5</v>
      </c>
      <c r="C13" s="410" t="n"/>
      <c r="D13" s="375">
        <f>IF(C13="","",VLOOKUP(C13,出貨單!$E$5:$BV$29813,12,0))</f>
        <v/>
      </c>
      <c r="E13" s="448">
        <f>IF(C13="","",VLOOKUP(C13,出貨單!$E$5:$BV$29813,15,0))</f>
        <v/>
      </c>
      <c r="F13" s="377" t="n"/>
      <c r="G13" s="302" t="n"/>
      <c r="H13" s="302">
        <f>IF(C13="","",VLOOKUP(C13,出貨單!$E$5:$BV$29813,48,0))</f>
        <v/>
      </c>
      <c r="I13" s="403">
        <f>IF(C13="","",VLOOKUP(C13,出貨單!$E$5:$BV$29813,23,0))</f>
        <v/>
      </c>
      <c r="J13" s="586">
        <f>IF(C13="","",IF(VLOOKUP(C13,出貨單!$E$5:$BV$29813,26,0)=0,"-",VLOOKUP(C13,出貨單!$E$5:$BV$29813,26,0)))</f>
        <v/>
      </c>
      <c r="K13" s="587">
        <f>IF(C13="","",IF(VLOOKUP(C13,出貨單!$E$5:$BV$29813,27,0)=0,"-",VLOOKUP(C13,出貨單!$E$5:$BV$29813,27,0)))</f>
        <v/>
      </c>
      <c r="O13" s="21" t="n">
        <v>5</v>
      </c>
      <c r="P13" s="299" t="n">
        <v>5</v>
      </c>
      <c r="Q13" s="300" t="n"/>
      <c r="R13" s="382">
        <f>IF(Q13="","",VLOOKUP(Q13,出貨單!$E$5:$BV$29813,12,0))</f>
        <v/>
      </c>
      <c r="S13" s="376" t="inlineStr">
        <is>
          <t>□*後傾角墊片</t>
        </is>
      </c>
      <c r="T13" s="377" t="n"/>
      <c r="U13" s="303" t="n"/>
      <c r="V13" s="303" t="n"/>
      <c r="W13" s="403">
        <f>IF(Q13="","",VLOOKUP(Q13,出貨單!$E$5:$BV$29813,23,0))</f>
        <v/>
      </c>
      <c r="X13" s="588">
        <f>IF(Q13="","",VLOOKUP(Q13,出貨單!$E$5:$BV$29813,26,0))</f>
        <v/>
      </c>
      <c r="Y13" s="589">
        <f>IF(Q13="","",VLOOKUP(Q13,出貨單!$E$5:$BV$29813,27,0))</f>
        <v/>
      </c>
      <c r="Z13" s="9" t="n"/>
    </row>
    <row r="14" ht="16.5" customHeight="1">
      <c r="A14" s="21" t="n">
        <v>6</v>
      </c>
      <c r="B14" s="352" t="n">
        <v>6</v>
      </c>
      <c r="C14" s="410" t="n"/>
      <c r="D14" s="375">
        <f>IF(C14="","",VLOOKUP(C14,出貨單!$E$5:$BV$29813,12,0))</f>
        <v/>
      </c>
      <c r="E14" s="448">
        <f>IF(C14="","",VLOOKUP(C14,出貨單!$E$5:$BV$29813,15,0))</f>
        <v/>
      </c>
      <c r="F14" s="377" t="n"/>
      <c r="G14" s="302" t="n"/>
      <c r="H14" s="302">
        <f>IF(C14="","",VLOOKUP(C14,出貨單!$E$5:$BV$29813,48,0))</f>
        <v/>
      </c>
      <c r="I14" s="403">
        <f>IF(C14="","",VLOOKUP(C14,出貨單!$E$5:$BV$29813,23,0))</f>
        <v/>
      </c>
      <c r="J14" s="586">
        <f>IF(C14="","",IF(VLOOKUP(C14,出貨單!$E$5:$BV$29813,26,0)=0,"-",VLOOKUP(C14,出貨單!$E$5:$BV$29813,26,0)))</f>
        <v/>
      </c>
      <c r="K14" s="587">
        <f>IF(C14="","",IF(VLOOKUP(C14,出貨單!$E$5:$BV$29813,27,0)=0,"-",VLOOKUP(C14,出貨單!$E$5:$BV$29813,27,0)))</f>
        <v/>
      </c>
      <c r="O14" s="21" t="n">
        <v>6</v>
      </c>
      <c r="P14" s="299" t="n">
        <v>6</v>
      </c>
      <c r="Q14" s="300" t="n"/>
      <c r="R14" s="382">
        <f>IF(Q14="","",VLOOKUP(Q14,出貨單!$E$5:$BV$29813,12,0))</f>
        <v/>
      </c>
      <c r="S14" s="376" t="inlineStr">
        <is>
          <t>□*工字樑校正</t>
        </is>
      </c>
      <c r="T14" s="377" t="n"/>
      <c r="U14" s="303" t="n"/>
      <c r="V14" s="303" t="n"/>
      <c r="W14" s="403">
        <f>IF(Q14="","",VLOOKUP(Q14,出貨單!$E$5:$BV$29813,23,0))</f>
        <v/>
      </c>
      <c r="X14" s="588">
        <f>IF(Q14="","",VLOOKUP(Q14,出貨單!$E$5:$BV$29813,26,0))</f>
        <v/>
      </c>
      <c r="Y14" s="589">
        <f>IF(Q14="","",VLOOKUP(Q14,出貨單!$E$5:$BV$29813,27,0))</f>
        <v/>
      </c>
      <c r="Z14" s="9" t="n"/>
    </row>
    <row r="15" ht="16.5" customHeight="1">
      <c r="A15" s="21" t="n">
        <v>7</v>
      </c>
      <c r="B15" s="352" t="n">
        <v>7</v>
      </c>
      <c r="C15" s="410" t="n"/>
      <c r="D15" s="378">
        <f>IF(C15="","",VLOOKUP(C15,出貨單!$E$5:$BV$29813,12,0))</f>
        <v/>
      </c>
      <c r="E15" s="448">
        <f>IF(C15="","",VLOOKUP(C15,出貨單!$E$5:$BV$29813,15,0))</f>
        <v/>
      </c>
      <c r="F15" s="379" t="n"/>
      <c r="G15" s="302" t="n"/>
      <c r="H15" s="302">
        <f>IF(C15="","",VLOOKUP(C15,出貨單!$E$5:$BV$29813,48,0))</f>
        <v/>
      </c>
      <c r="I15" s="403">
        <f>IF(C15="","",VLOOKUP(C15,出貨單!$E$5:$BV$29813,23,0))</f>
        <v/>
      </c>
      <c r="J15" s="586">
        <f>IF(C15="","",IF(VLOOKUP(C15,出貨單!$E$5:$BV$29813,26,0)=0,"-",VLOOKUP(C15,出貨單!$E$5:$BV$29813,26,0)))</f>
        <v/>
      </c>
      <c r="K15" s="587">
        <f>IF(C15="","",IF(VLOOKUP(C15,出貨單!$E$5:$BV$29813,27,0)=0,"-",VLOOKUP(C15,出貨單!$E$5:$BV$29813,27,0)))</f>
        <v/>
      </c>
      <c r="O15" s="21" t="n">
        <v>7</v>
      </c>
      <c r="P15" s="299" t="n">
        <v>7</v>
      </c>
      <c r="Q15" s="300" t="n"/>
      <c r="R15" s="382">
        <f>IF(Q15="","",VLOOKUP(Q15,出貨單!$E$5:$BV$29813,12,0))</f>
        <v/>
      </c>
      <c r="S15" s="376" t="inlineStr">
        <is>
          <t>□*軸距調整</t>
        </is>
      </c>
      <c r="T15" s="377" t="n"/>
      <c r="U15" s="303" t="n"/>
      <c r="V15" s="303" t="n"/>
      <c r="W15" s="403">
        <f>IF(Q15="","",VLOOKUP(Q15,出貨單!$E$5:$BV$29813,23,0))</f>
        <v/>
      </c>
      <c r="X15" s="588">
        <f>IF(Q15="","",VLOOKUP(Q15,出貨單!$E$5:$BV$29813,26,0))</f>
        <v/>
      </c>
      <c r="Y15" s="589">
        <f>IF(Q15="","",VLOOKUP(Q15,出貨單!$E$5:$BV$29813,27,0))</f>
        <v/>
      </c>
      <c r="Z15" s="9" t="n"/>
    </row>
    <row r="16" ht="16.5" customHeight="1">
      <c r="A16" s="21" t="n">
        <v>8</v>
      </c>
      <c r="B16" s="352" t="n">
        <v>8</v>
      </c>
      <c r="C16" s="410" t="n"/>
      <c r="D16" s="378">
        <f>IF(C16="","",VLOOKUP(C16,出貨單!$E$5:$BV$29813,12,0))</f>
        <v/>
      </c>
      <c r="E16" s="448">
        <f>IF(C16="","",VLOOKUP(C16,出貨單!$E$5:$BV$29813,15,0))</f>
        <v/>
      </c>
      <c r="F16" s="379" t="n"/>
      <c r="G16" s="302" t="n"/>
      <c r="H16" s="302">
        <f>IF(C16="","",VLOOKUP(C16,出貨單!$E$5:$BV$29813,48,0))</f>
        <v/>
      </c>
      <c r="I16" s="403">
        <f>IF(C16="","",VLOOKUP(C16,出貨單!$E$5:$BV$29813,23,0))</f>
        <v/>
      </c>
      <c r="J16" s="586">
        <f>IF(C16="","",IF(VLOOKUP(C16,出貨單!$E$5:$BV$29813,26,0)=0,"-",VLOOKUP(C16,出貨單!$E$5:$BV$29813,26,0)))</f>
        <v/>
      </c>
      <c r="K16" s="587">
        <f>IF(C16="","",IF(VLOOKUP(C16,出貨單!$E$5:$BV$29813,27,0)=0,"-",VLOOKUP(C16,出貨單!$E$5:$BV$29813,27,0)))</f>
        <v/>
      </c>
      <c r="O16" s="21" t="n">
        <v>8</v>
      </c>
      <c r="P16" s="316" t="n">
        <v>8</v>
      </c>
      <c r="Q16" s="300" t="inlineStr">
        <is>
          <t>1090518001*1</t>
        </is>
      </c>
      <c r="R16" s="382">
        <f>IF(Q16="","",VLOOKUP(Q16,出貨單!$E$5:$BV$29813,12,0))</f>
        <v/>
      </c>
      <c r="S16" s="376">
        <f>IF(Q16="","",VLOOKUP(Q16,出貨單!$E$5:$BV$29813,15,0))</f>
        <v/>
      </c>
      <c r="T16" s="377" t="n"/>
      <c r="U16" s="315" t="n"/>
      <c r="V16" s="315" t="n"/>
      <c r="W16" s="405">
        <f>IF(Q16="","",VLOOKUP(Q16,出貨單!$E$5:$BV$29813,23,0))</f>
        <v/>
      </c>
      <c r="X16" s="590">
        <f>IF(Q16="","",VLOOKUP(Q16,出貨單!$E$5:$BV$29813,26,0))</f>
        <v/>
      </c>
      <c r="Y16" s="591">
        <f>IF(Q16="","",VLOOKUP(Q16,出貨單!$E$5:$BV$29813,27,0))</f>
        <v/>
      </c>
      <c r="Z16" s="9" t="n"/>
    </row>
    <row r="17" ht="16.5" customHeight="1">
      <c r="A17" s="21" t="n">
        <v>9</v>
      </c>
      <c r="B17" s="352" t="n">
        <v>9</v>
      </c>
      <c r="C17" s="410" t="n"/>
      <c r="D17" s="378">
        <f>IF(C17="","",VLOOKUP(C17,出貨單!$E$5:$BV$29813,12,0))</f>
        <v/>
      </c>
      <c r="E17" s="448">
        <f>IF(C17="","",VLOOKUP(C17,出貨單!$E$5:$BV$29813,15,0))</f>
        <v/>
      </c>
      <c r="F17" s="379" t="n"/>
      <c r="G17" s="302" t="n"/>
      <c r="H17" s="302">
        <f>IF(C17="","",VLOOKUP(C17,出貨單!$E$5:$BV$29813,48,0))</f>
        <v/>
      </c>
      <c r="I17" s="403">
        <f>IF(C17="","",VLOOKUP(C17,出貨單!$E$5:$BV$29813,23,0))</f>
        <v/>
      </c>
      <c r="J17" s="586">
        <f>IF(C17="","",IF(VLOOKUP(C17,出貨單!$E$5:$BV$29813,26,0)=0,"-",VLOOKUP(C17,出貨單!$E$5:$BV$29813,26,0)))</f>
        <v/>
      </c>
      <c r="K17" s="587">
        <f>IF(C17="","",IF(VLOOKUP(C17,出貨單!$E$5:$BV$29813,27,0)=0,"-",VLOOKUP(C17,出貨單!$E$5:$BV$29813,27,0)))</f>
        <v/>
      </c>
      <c r="O17" s="21" t="n">
        <v>9</v>
      </c>
      <c r="P17" s="313" t="n">
        <v>9</v>
      </c>
      <c r="Q17" s="300" t="n"/>
      <c r="R17" s="301">
        <f>IF(Q17="","",VLOOKUP(Q17,出貨單!$E$5:$BV$29813,12,0))</f>
        <v/>
      </c>
      <c r="S17" s="319">
        <f>IF(Q17="","",VLOOKUP(Q17,出貨單!$E$5:$BV$29813,15,0))</f>
        <v/>
      </c>
      <c r="T17" s="320" t="n"/>
      <c r="U17" s="312" t="n"/>
      <c r="V17" s="312" t="n"/>
      <c r="W17" s="403">
        <f>IF(Q17="","",VLOOKUP(Q17,出貨單!$E$5:$BV$29813,23,0))</f>
        <v/>
      </c>
      <c r="X17" s="592">
        <f>IF(Q17="","",VLOOKUP(Q17,出貨單!$E$5:$BV$29813,26,0))</f>
        <v/>
      </c>
      <c r="Y17" s="593">
        <f>IF(Q17="","",VLOOKUP(Q17,出貨單!$E$5:$BV$29813,27,0))</f>
        <v/>
      </c>
      <c r="Z17" s="9" t="n"/>
    </row>
    <row r="18" ht="16.5" customHeight="1">
      <c r="A18" s="21" t="n"/>
      <c r="B18" s="352" t="n">
        <v>10</v>
      </c>
      <c r="C18" s="410" t="n"/>
      <c r="D18" s="378">
        <f>IF(C18="","",VLOOKUP(C18,出貨單!$E$5:$BV$29813,12,0))</f>
        <v/>
      </c>
      <c r="E18" s="448">
        <f>IF(C18="","",VLOOKUP(C18,出貨單!$E$5:$BV$29813,15,0))</f>
        <v/>
      </c>
      <c r="F18" s="379" t="n"/>
      <c r="G18" s="302" t="n"/>
      <c r="H18" s="302">
        <f>IF(C18="","",VLOOKUP(C18,出貨單!$E$5:$BV$29813,48,0))</f>
        <v/>
      </c>
      <c r="I18" s="403">
        <f>IF(C18="","",VLOOKUP(C18,出貨單!$E$5:$BV$29813,23,0))</f>
        <v/>
      </c>
      <c r="J18" s="586">
        <f>IF(C18="","",IF(VLOOKUP(C18,出貨單!$E$5:$BV$29813,26,0)=0,"-",VLOOKUP(C18,出貨單!$E$5:$BV$29813,26,0)))</f>
        <v/>
      </c>
      <c r="K18" s="587">
        <f>IF(C18="","",IF(VLOOKUP(C18,出貨單!$E$5:$BV$29813,27,0)=0,"-",VLOOKUP(C18,出貨單!$E$5:$BV$29813,27,0)))</f>
        <v/>
      </c>
      <c r="O18" s="21" t="n"/>
      <c r="P18" s="299" t="n">
        <v>10</v>
      </c>
      <c r="Q18" s="300" t="n"/>
      <c r="R18" s="301">
        <f>IF(Q18="","",VLOOKUP(Q18,出貨單!$E$5:$BV$29813,12,0))</f>
        <v/>
      </c>
      <c r="S18" s="319">
        <f>IF(Q18="","",VLOOKUP(Q18,出貨單!$E$5:$BV$29813,15,0))</f>
        <v/>
      </c>
      <c r="T18" s="320" t="n"/>
      <c r="U18" s="303" t="n"/>
      <c r="V18" s="303" t="n"/>
      <c r="W18" s="403">
        <f>IF(Q18="","",VLOOKUP(Q18,出貨單!$E$5:$BV$29813,23,0))</f>
        <v/>
      </c>
      <c r="X18" s="588">
        <f>IF(Q18="","",VLOOKUP(Q18,出貨單!$E$5:$BV$29813,26,0))</f>
        <v/>
      </c>
      <c r="Y18" s="589">
        <f>IF(Q18="","",VLOOKUP(Q18,出貨單!$E$5:$BV$29813,27,0))</f>
        <v/>
      </c>
      <c r="Z18" s="9" t="n"/>
    </row>
    <row r="19" ht="16.5" customHeight="1">
      <c r="B19" s="525" t="inlineStr">
        <is>
          <t>小計金額</t>
        </is>
      </c>
      <c r="C19" s="594" t="n"/>
      <c r="D19" s="594" t="n"/>
      <c r="E19" s="594" t="n"/>
      <c r="F19" s="594" t="n"/>
      <c r="G19" s="594" t="n"/>
      <c r="H19" s="594" t="n"/>
      <c r="I19" s="594" t="n"/>
      <c r="J19" s="594" t="n"/>
      <c r="K19" s="595">
        <f>SUM(K9:K18)</f>
        <v/>
      </c>
      <c r="O19" s="7" t="n"/>
      <c r="P19" s="525" t="inlineStr">
        <is>
          <t>小計金額</t>
        </is>
      </c>
      <c r="Q19" s="594" t="n"/>
      <c r="R19" s="594" t="n"/>
      <c r="S19" s="594" t="n"/>
      <c r="T19" s="594" t="n"/>
      <c r="U19" s="594" t="n"/>
      <c r="V19" s="594" t="n"/>
      <c r="W19" s="594" t="n"/>
      <c r="X19" s="594" t="n"/>
      <c r="Y19" s="596">
        <f>SUM(Y9:Y18)</f>
        <v/>
      </c>
      <c r="Z19" s="9" t="n"/>
    </row>
    <row r="20" ht="29.25" customHeight="1">
      <c r="B20" s="513" t="inlineStr">
        <is>
          <t>客戶簽名：</t>
        </is>
      </c>
      <c r="C20" s="594" t="n"/>
      <c r="D20" s="307" t="n"/>
      <c r="E20" s="515" t="inlineStr">
        <is>
          <t xml:space="preserve">　　　老闆簽核：</t>
        </is>
      </c>
      <c r="F20" s="597" t="n"/>
      <c r="G20" s="308" t="inlineStr">
        <is>
          <t>稅額:</t>
        </is>
      </c>
      <c r="H20" s="598">
        <f>IF(OR(I20="含稅",I20="未稅"),0,IF(OR(I20="稅外"),K19*0.05,""))</f>
        <v/>
      </c>
      <c r="I20" s="310">
        <f>IF(C9="","",VLOOKUP(C9,出貨單!$E$5:$BV$29813,34,0))</f>
        <v/>
      </c>
      <c r="J20" s="311" t="inlineStr">
        <is>
          <t>總計:</t>
        </is>
      </c>
      <c r="K20" s="393">
        <f>IF(OR(K19&gt;0.1),K19+H20,IF(OR(K19=0),K19,""))</f>
        <v/>
      </c>
      <c r="O20" s="7" t="n"/>
      <c r="P20" s="513" t="inlineStr">
        <is>
          <t>客戶簽名：</t>
        </is>
      </c>
      <c r="Q20" s="594" t="n"/>
      <c r="R20" s="307" t="n"/>
      <c r="S20" s="515" t="inlineStr">
        <is>
          <t xml:space="preserve">　　　老闆簽核：</t>
        </is>
      </c>
      <c r="T20" s="597" t="n"/>
      <c r="U20" s="308" t="inlineStr">
        <is>
          <t>稅額:</t>
        </is>
      </c>
      <c r="V20" s="598">
        <f>IF(OR(W20="含稅",W20="未稅"),0,IF(OR(W20="稅外"),Y19*0.05,""))</f>
        <v/>
      </c>
      <c r="W20" s="310">
        <f>IF(Q9="","",VLOOKUP(Q9,出貨單!$E$5:$BV$29813,34,0))</f>
        <v/>
      </c>
      <c r="X20" s="311" t="inlineStr">
        <is>
          <t>總計:</t>
        </is>
      </c>
      <c r="Y20" s="394">
        <f>IF(OR(Y19&gt;0.1),Y19+V20,IF(OR(Y19=0),Y19,""))</f>
        <v/>
      </c>
      <c r="Z20" s="296" t="n"/>
    </row>
    <row r="21" ht="6" customHeight="1">
      <c r="B21" s="343" t="n"/>
      <c r="C21" s="343" t="n"/>
      <c r="D21" s="343" t="n"/>
      <c r="E21" s="343" t="n"/>
      <c r="F21" s="343" t="n"/>
      <c r="G21" s="343" t="n"/>
      <c r="H21" s="344" t="n"/>
      <c r="I21" s="539" t="n"/>
      <c r="J21" s="343" t="n"/>
      <c r="K21" s="343" t="n"/>
      <c r="O21" s="7" t="n"/>
      <c r="V21" s="16" t="n"/>
      <c r="W21" s="532" t="n"/>
      <c r="Y21" s="9" t="n"/>
      <c r="Z21" s="9" t="n"/>
    </row>
    <row r="22" ht="12.75" customHeight="1">
      <c r="B22" s="346" t="n"/>
      <c r="C22" s="347" t="inlineStr">
        <is>
          <t>1.本公司無到府牽車來回或試車來回服務，由客戶自行送修來本廠區及自行取回車輛，客戶拜託本廠內工作人員去牽車來回</t>
        </is>
      </c>
      <c r="D22" s="348" t="n"/>
      <c r="E22" s="346" t="n"/>
      <c r="F22" s="543" t="n"/>
      <c r="G22" s="346" t="n"/>
      <c r="H22" s="543" t="n"/>
      <c r="I22" s="348" t="n"/>
      <c r="J22" s="348" t="n"/>
      <c r="K22" s="346" t="n"/>
      <c r="L22" s="12" t="n"/>
      <c r="O22" s="7" t="n"/>
      <c r="P22" s="12" t="n"/>
      <c r="Q22" s="18" t="inlineStr">
        <is>
          <t>1.本公司無到府牽車來回或試車來回服務，由客戶自行送修來本廠區及自行取回車輛，客戶拜託本廠內工作人員去牽車來回</t>
        </is>
      </c>
      <c r="R22" s="13" t="n"/>
      <c r="S22" s="12" t="n"/>
      <c r="T22" s="531" t="n"/>
      <c r="U22" s="12" t="n"/>
      <c r="V22" s="531" t="n"/>
      <c r="W22" s="13" t="n"/>
      <c r="X22" s="13" t="n"/>
      <c r="Y22" s="12" t="n"/>
      <c r="Z22" s="12" t="n"/>
    </row>
    <row r="23" ht="12.75" customHeight="1">
      <c r="C23" s="290" t="inlineStr">
        <is>
          <t>或試車來回時，發生意外全部損失費用由車主自行負責。車輛進本廠區維修時，車上之重要物品請客戶自行保管，有損毀遺</t>
        </is>
      </c>
      <c r="D23" s="16" t="n"/>
      <c r="F23" s="532" t="n"/>
      <c r="H23" s="532" t="n"/>
      <c r="I23" s="16" t="n"/>
      <c r="J23" s="16" t="n"/>
      <c r="O23" s="7" t="n"/>
      <c r="Q23" s="290" t="inlineStr">
        <is>
          <t>或試車來回時，發生意外全部損失費用由車主自行負責。車輛進本廠區維修時，車上之重要物品請客戶自行保管，有損毀遺</t>
        </is>
      </c>
      <c r="R23" s="16" t="n"/>
      <c r="T23" s="532" t="n"/>
      <c r="V23" s="532" t="n"/>
      <c r="W23" s="16" t="n"/>
      <c r="X23" s="16" t="n"/>
      <c r="Y23" s="9" t="n"/>
      <c r="Z23" s="9" t="n"/>
    </row>
    <row r="24" ht="12.75" customHeight="1">
      <c r="B24" s="19" t="inlineStr">
        <is>
          <t>備</t>
        </is>
      </c>
      <c r="C24" s="291" t="inlineStr">
        <is>
          <t>失時車主自行負責。客戶交修車輛需自行保險，發生天災地變或其他不可抗力之災損本公司不負賠償責任。車主不得異議。</t>
        </is>
      </c>
      <c r="D24" s="16" t="n"/>
      <c r="F24" s="532" t="n"/>
      <c r="H24" s="532" t="n"/>
      <c r="I24" s="16" t="n"/>
      <c r="J24" s="16" t="n"/>
      <c r="O24" s="7" t="n"/>
      <c r="P24" s="19" t="inlineStr">
        <is>
          <t>備</t>
        </is>
      </c>
      <c r="Q24" s="291" t="inlineStr">
        <is>
          <t>失時車主自行負責。客戶交修車輛需自行保險，發生天災地變或其他不可抗力之災損本公司不負賠償責任。車主不得異議。</t>
        </is>
      </c>
      <c r="R24" s="16" t="n"/>
      <c r="T24" s="532" t="n"/>
      <c r="V24" s="532" t="n"/>
      <c r="W24" s="16" t="n"/>
      <c r="X24" s="16" t="n"/>
      <c r="Y24" s="9" t="n"/>
      <c r="Z24" s="9" t="n"/>
    </row>
    <row r="25" ht="12.75" customHeight="1">
      <c r="B25" s="19" t="inlineStr">
        <is>
          <t>註</t>
        </is>
      </c>
      <c r="C25" s="18" t="inlineStr">
        <is>
          <t>2.以上貨品貨款尚未付清時，產品所有權仍為本公司所有本公司可無條件收回銷售產品，寄放新輪胎新鋼圈或中古輪胎中古</t>
        </is>
      </c>
      <c r="D25" s="16" t="n"/>
      <c r="F25" s="532" t="n"/>
      <c r="H25" s="532" t="n"/>
      <c r="I25" s="16" t="n"/>
      <c r="J25" s="16" t="n"/>
      <c r="O25" s="7" t="n"/>
      <c r="P25" s="19" t="inlineStr">
        <is>
          <t>註</t>
        </is>
      </c>
      <c r="Q25" s="18" t="inlineStr">
        <is>
          <t>2.以上貨品貨款尚未付清時，產品所有權仍為本公司所有本公司可無條件收回銷售產品，寄放新輪胎新鋼圈或中古輪胎中古</t>
        </is>
      </c>
      <c r="R25" s="16" t="n"/>
      <c r="T25" s="532" t="n"/>
      <c r="V25" s="532" t="n"/>
      <c r="W25" s="16" t="n"/>
      <c r="X25" s="16" t="n"/>
      <c r="Y25" s="9" t="n"/>
      <c r="Z25" s="9" t="n"/>
    </row>
    <row r="26" ht="12.75" customHeight="1">
      <c r="C26" s="290" t="inlineStr">
        <is>
          <t>鋼圈，期限最長3個月超過期限，不領取以廢輪胎方式丟棄，車輛換下之廢輪胎若需保留者請自行當下載回，不載回者視同</t>
        </is>
      </c>
      <c r="O26" s="7" t="n"/>
      <c r="Q26" s="290" t="inlineStr">
        <is>
          <t>鋼圈，期限最長3個月超過期限，不領取以廢輪胎方式丟棄，車輛換下之廢輪胎若需保留者請自行當下載回，不載回者視同</t>
        </is>
      </c>
      <c r="Y26" s="9" t="n"/>
      <c r="Z26" s="9" t="n"/>
    </row>
    <row r="27">
      <c r="C27" s="18" t="inlineStr">
        <is>
          <t>丟棄。領取新輪胎新鋼圈或中古輪胎中古鋼圈時必須以簽單為憑證，無簽單者視同丟棄不得異議。存根(白)請款(黃)客戶(藍)</t>
        </is>
      </c>
      <c r="O27" s="7" t="n"/>
      <c r="Q27" s="18" t="inlineStr">
        <is>
          <t>丟棄。領取新輪胎新鋼圈或中古輪胎中古鋼圈時必須以簽單為憑證，無簽單者視同丟棄不得異議。存根(白)請款(黃)客戶(藍)</t>
        </is>
      </c>
      <c r="Y27" s="9" t="n"/>
      <c r="Z27" s="9" t="n"/>
    </row>
    <row r="28" ht="22.5" customHeight="1">
      <c r="E28" s="520" t="n"/>
      <c r="M28" s="519" t="inlineStr">
        <is>
          <t>批發出貨檔</t>
        </is>
      </c>
      <c r="S28" s="520" t="inlineStr">
        <is>
          <t>空白出貨檔</t>
        </is>
      </c>
    </row>
    <row r="29" ht="16.5" customHeight="1">
      <c r="A29" s="7" t="inlineStr">
        <is>
          <t xml:space="preserve">   </t>
        </is>
      </c>
      <c r="B29" s="289" t="inlineStr">
        <is>
          <t xml:space="preserve">出貨單.合約書.收據      </t>
        </is>
      </c>
      <c r="C29" s="574" t="n"/>
      <c r="D29" s="575" t="n"/>
      <c r="E29" s="292" t="n"/>
      <c r="F29" s="292" t="n"/>
      <c r="G29" s="293" t="n"/>
      <c r="H29" s="293" t="n"/>
      <c r="I29" s="293" t="n"/>
      <c r="J29" s="293" t="n"/>
      <c r="K29" s="576" t="inlineStr">
        <is>
          <t>中華全佑有限公司.中華全威有限公司.全威企業社.電話:037-463990</t>
        </is>
      </c>
      <c r="L29" s="11" t="n"/>
      <c r="O29" s="7" t="inlineStr">
        <is>
          <t xml:space="preserve"> </t>
        </is>
      </c>
      <c r="P29" s="289" t="inlineStr">
        <is>
          <t xml:space="preserve">出貨單.合約書.收據      </t>
        </is>
      </c>
      <c r="Q29" s="574" t="n"/>
      <c r="R29" s="575" t="n"/>
      <c r="S29" s="292" t="n"/>
      <c r="T29" s="292" t="n"/>
      <c r="U29" s="293" t="n"/>
      <c r="V29" s="293" t="n"/>
      <c r="W29" s="293" t="n"/>
      <c r="X29" s="293" t="n"/>
      <c r="Y29" s="576" t="inlineStr">
        <is>
          <t>中華全佑有限公司.中華全威有限公司.全威企業社.電話:037-463990</t>
        </is>
      </c>
      <c r="Z29" s="11" t="n"/>
    </row>
    <row r="30" ht="16.5" customHeight="1">
      <c r="B30" s="289" t="n"/>
      <c r="C30" s="574" t="n"/>
      <c r="D30" s="575" t="n"/>
      <c r="E30" s="292" t="n"/>
      <c r="F30" s="292" t="n"/>
      <c r="G30" s="293" t="n"/>
      <c r="H30" s="293" t="n"/>
      <c r="I30" s="293" t="n"/>
      <c r="J30" s="293" t="n"/>
      <c r="K30" s="576" t="n"/>
      <c r="L30" s="11" t="n"/>
      <c r="O30" s="7" t="n"/>
      <c r="P30" s="289" t="n"/>
      <c r="Q30" s="574" t="n"/>
      <c r="R30" s="575" t="n"/>
      <c r="S30" s="292" t="n"/>
      <c r="T30" s="292" t="n"/>
      <c r="U30" s="293" t="n"/>
      <c r="V30" s="293" t="n"/>
      <c r="W30" s="293" t="n"/>
      <c r="X30" s="293" t="n"/>
      <c r="Y30" s="576" t="n"/>
      <c r="Z30" s="11" t="n"/>
    </row>
    <row r="31" ht="16.5" customHeight="1">
      <c r="B31" s="12" t="inlineStr">
        <is>
          <t>客戶名稱:</t>
        </is>
      </c>
      <c r="C31" s="12" t="n"/>
      <c r="D31" s="533">
        <f>IF(C36="","",VLOOKUP(C36,出貨單!$E$5:$BV$20000,56,0))</f>
        <v/>
      </c>
      <c r="F31" s="13" t="inlineStr">
        <is>
          <t xml:space="preserve">     車頭公里數 :</t>
        </is>
      </c>
      <c r="G31" s="531">
        <f>IF(C36="","",VLOOKUP(C36,出貨單!$E$5:$BV$20000,8,0))</f>
        <v/>
      </c>
      <c r="H31" s="12" t="n"/>
      <c r="I31" s="13" t="inlineStr">
        <is>
          <t>出貨日期:</t>
        </is>
      </c>
      <c r="J31" s="578">
        <f>NOW()</f>
        <v/>
      </c>
      <c r="L31" s="12" t="inlineStr">
        <is>
          <t>.</t>
        </is>
      </c>
      <c r="O31" s="7" t="n"/>
      <c r="P31" s="12" t="inlineStr">
        <is>
          <t>客戶名稱:</t>
        </is>
      </c>
      <c r="Q31" s="12" t="n"/>
      <c r="R31" s="521" t="inlineStr">
        <is>
          <t>廠商20 大城</t>
        </is>
      </c>
      <c r="T31" s="13" t="inlineStr">
        <is>
          <t xml:space="preserve">     車頭公里數 :</t>
        </is>
      </c>
      <c r="U31" s="531" t="n"/>
      <c r="V31" s="12" t="n"/>
      <c r="W31" s="13" t="inlineStr">
        <is>
          <t>出貨日期:</t>
        </is>
      </c>
      <c r="X31" s="578">
        <f>NOW()</f>
        <v/>
      </c>
      <c r="Z31" s="12" t="n"/>
    </row>
    <row r="32" ht="13.5" customHeight="1">
      <c r="B32" s="12" t="inlineStr">
        <is>
          <t>車牌號碼 :</t>
        </is>
      </c>
      <c r="C32" s="12" t="n"/>
      <c r="D32" s="535">
        <f>IF(C36="","",VLOOKUP(C36,出貨單!$E$5:$BV$20000,2,0))</f>
        <v/>
      </c>
      <c r="F32" s="13" t="inlineStr">
        <is>
          <t>工作人員:</t>
        </is>
      </c>
      <c r="G32" s="531">
        <f>IF(C36="","",VLOOKUP(C36,出貨單!$E$5:$BV$29813,46,0))</f>
        <v/>
      </c>
      <c r="H32" s="12" t="n"/>
      <c r="I32" s="13" t="inlineStr">
        <is>
          <t>車頭位置:</t>
        </is>
      </c>
      <c r="J32" s="531">
        <f>IF(C36="","",VLOOKUP(C36,出貨單!$E$5:$BV$20000,40,0))</f>
        <v/>
      </c>
      <c r="L32" s="12" t="n"/>
      <c r="O32" s="7" t="n"/>
      <c r="P32" s="12" t="inlineStr">
        <is>
          <t>車牌號碼 :</t>
        </is>
      </c>
      <c r="Q32" s="12" t="n"/>
      <c r="R32" s="518" t="n"/>
      <c r="T32" s="13" t="inlineStr">
        <is>
          <t>工作人員:</t>
        </is>
      </c>
      <c r="U32" s="531" t="n"/>
      <c r="V32" s="12" t="n"/>
      <c r="W32" s="13" t="inlineStr">
        <is>
          <t>車頭位置:</t>
        </is>
      </c>
      <c r="X32" s="531" t="n"/>
      <c r="Z32" s="12" t="n"/>
    </row>
    <row r="33" ht="13.5" customHeight="1">
      <c r="B33" s="531" t="inlineStr">
        <is>
          <t>工作時間 :</t>
        </is>
      </c>
      <c r="C33" s="12" t="n"/>
      <c r="D33" s="532">
        <f>IF(C36="","",VLOOKUP(C36,出貨單!$E$5:$BV$20000,9,0))</f>
        <v/>
      </c>
      <c r="F33" s="13" t="inlineStr">
        <is>
          <t>工作地點:</t>
        </is>
      </c>
      <c r="G33" s="531">
        <f>IF(C36="","",VLOOKUP(C36,出貨單!$E$5:$BV$20000,29,0))</f>
        <v/>
      </c>
      <c r="H33" s="12" t="n"/>
      <c r="I33" s="13" t="inlineStr">
        <is>
          <t>板架位置:</t>
        </is>
      </c>
      <c r="J33" s="528">
        <f>IF(C36="","",VLOOKUP(C36,出貨單!$E$5:$BV$20000,42,0))</f>
        <v/>
      </c>
      <c r="L33" s="12" t="n"/>
      <c r="O33" s="7" t="n"/>
      <c r="P33" s="531" t="inlineStr">
        <is>
          <t>工作時間 :</t>
        </is>
      </c>
      <c r="Q33" s="12" t="n"/>
      <c r="R33" s="532" t="n"/>
      <c r="T33" s="13" t="inlineStr">
        <is>
          <t>工作地點:</t>
        </is>
      </c>
      <c r="U33" s="531" t="n"/>
      <c r="V33" s="12" t="n"/>
      <c r="W33" s="13" t="inlineStr">
        <is>
          <t>板架位置:</t>
        </is>
      </c>
      <c r="X33" s="528" t="n"/>
      <c r="Z33" s="12" t="n"/>
    </row>
    <row r="34" ht="13.5" customHeight="1">
      <c r="B34" s="12" t="inlineStr">
        <is>
          <t>客戶地址 :</t>
        </is>
      </c>
      <c r="C34" s="12" t="n"/>
      <c r="D34" s="582">
        <f>IF(D31="","",VLOOKUP(D31,[1]客戶編輯!$F$6:$Z$20000,20,0))</f>
        <v/>
      </c>
      <c r="F34" s="13" t="inlineStr">
        <is>
          <t>報價人員:</t>
        </is>
      </c>
      <c r="G34" s="583">
        <f>IF(C36="","",VLOOKUP(C36,出貨單!$E$5:$BV$20000,22,0))</f>
        <v/>
      </c>
      <c r="H34" s="12" t="n"/>
      <c r="I34" s="13" t="inlineStr">
        <is>
          <t>轎.貨車位置:</t>
        </is>
      </c>
      <c r="J34" s="531">
        <f>IF(C36="","",VLOOKUP(C36,出貨單!$E$5:$BV$20000,44,0))</f>
        <v/>
      </c>
      <c r="L34" s="12" t="n"/>
      <c r="O34" s="7" t="n"/>
      <c r="P34" s="12" t="inlineStr">
        <is>
          <t>客戶地址 :</t>
        </is>
      </c>
      <c r="Q34" s="12" t="n"/>
      <c r="R34" s="582">
        <f>IF(R31="","",VLOOKUP(R31,[1]客戶編輯!$F$6:$Z$20000,20,0))</f>
        <v/>
      </c>
      <c r="T34" s="13" t="inlineStr">
        <is>
          <t>業務人員:</t>
        </is>
      </c>
      <c r="U34" s="583" t="n"/>
      <c r="V34" s="12" t="n"/>
      <c r="W34" s="13" t="inlineStr">
        <is>
          <t>轎.貨車位置:</t>
        </is>
      </c>
      <c r="X34" s="530" t="n"/>
      <c r="Y34" s="580" t="n"/>
      <c r="Z34" s="12" t="n"/>
    </row>
    <row r="35" ht="16.5" customHeight="1">
      <c r="B35" s="527" t="inlineStr">
        <is>
          <t>序</t>
        </is>
      </c>
      <c r="C35" s="527" t="inlineStr">
        <is>
          <t>出貨單號</t>
        </is>
      </c>
      <c r="D35" s="527" t="inlineStr">
        <is>
          <t>維修內容</t>
        </is>
      </c>
      <c r="E35" s="527" t="inlineStr">
        <is>
          <t>廠牌. 規格. 花紋</t>
        </is>
      </c>
      <c r="F35" s="585" t="n"/>
      <c r="G35" s="15" t="inlineStr">
        <is>
          <t>胎號</t>
        </is>
      </c>
      <c r="H35" s="462" t="inlineStr">
        <is>
          <t>備註</t>
        </is>
      </c>
      <c r="I35" s="527" t="inlineStr">
        <is>
          <t>數量</t>
        </is>
      </c>
      <c r="J35" s="527" t="inlineStr">
        <is>
          <t>單價</t>
        </is>
      </c>
      <c r="K35" s="527" t="inlineStr">
        <is>
          <t>小計</t>
        </is>
      </c>
      <c r="L35" s="14" t="n"/>
      <c r="O35" s="7" t="n"/>
      <c r="P35" s="527" t="inlineStr">
        <is>
          <t>序</t>
        </is>
      </c>
      <c r="Q35" s="527" t="inlineStr">
        <is>
          <t>出貨單號</t>
        </is>
      </c>
      <c r="R35" s="527" t="inlineStr">
        <is>
          <t>維修內容</t>
        </is>
      </c>
      <c r="S35" s="527" t="inlineStr">
        <is>
          <t>廠牌. 規格. 花紋</t>
        </is>
      </c>
      <c r="T35" s="585" t="n"/>
      <c r="U35" s="15" t="inlineStr">
        <is>
          <t>裝上胎號</t>
        </is>
      </c>
      <c r="V35" s="15" t="inlineStr">
        <is>
          <t>拆下胎號</t>
        </is>
      </c>
      <c r="W35" s="527" t="inlineStr">
        <is>
          <t>數量</t>
        </is>
      </c>
      <c r="X35" s="527" t="inlineStr">
        <is>
          <t>單價</t>
        </is>
      </c>
      <c r="Y35" s="527" t="inlineStr">
        <is>
          <t>小計</t>
        </is>
      </c>
      <c r="Z35" s="14" t="n"/>
    </row>
    <row r="36" ht="20.1" customHeight="1">
      <c r="A36" s="21" t="n">
        <v>1</v>
      </c>
      <c r="B36" s="299" t="n">
        <v>1</v>
      </c>
      <c r="C36" s="410" t="inlineStr">
        <is>
          <t>1100402006</t>
        </is>
      </c>
      <c r="D36" s="382">
        <f>IF(C36="","",VLOOKUP(C36,出貨單!$E$5:$BV$29813,12,0))</f>
        <v/>
      </c>
      <c r="E36" s="447">
        <f>IF(C36="","",VLOOKUP(C36,出貨單!$E$5:$BV$29813,15,0))</f>
        <v/>
      </c>
      <c r="F36" s="463" t="n"/>
      <c r="G36" s="15" t="n"/>
      <c r="H36" s="461">
        <f>IF(C36="","",VLOOKUP(C36,出貨單!$E$5:$BV$29813,31,0))</f>
        <v/>
      </c>
      <c r="I36" s="404">
        <f>IF(C36="","",VLOOKUP(C36,出貨單!$E$5:$BV$29813,23,0))</f>
        <v/>
      </c>
      <c r="J36" s="599">
        <f>IF(C36="","",IF(VLOOKUP(C36,出貨單!$E$5:$BV$29813,26,0)=0,"-",VLOOKUP(C36,出貨單!$E$5:$BV$29813,26,0)))</f>
        <v/>
      </c>
      <c r="K36" s="587">
        <f>IF(C36="","",IF(VLOOKUP(C36,出貨單!$E$5:$BV$29813,27,0)=0,"-",VLOOKUP(C36,出貨單!$E$5:$BV$29813,27,0)))</f>
        <v/>
      </c>
      <c r="O36" s="21" t="n">
        <v>1</v>
      </c>
      <c r="P36" s="299" t="n">
        <v>1</v>
      </c>
      <c r="Q36" s="300" t="inlineStr">
        <is>
          <t>1090407002</t>
        </is>
      </c>
      <c r="R36" s="382" t="n"/>
      <c r="S36" s="376" t="inlineStr">
        <is>
          <t>鏡頭不能開機</t>
        </is>
      </c>
      <c r="T36" s="377" t="n"/>
      <c r="U36" s="302" t="n"/>
      <c r="V36" s="303" t="n"/>
      <c r="W36" s="403" t="n">
        <v>1</v>
      </c>
      <c r="X36" s="588">
        <f>IF(Q36="","",VLOOKUP(Q36,出貨單!$E$5:$BV$29813,26,0))</f>
        <v/>
      </c>
      <c r="Y36" s="600">
        <f>IF(Q36="","",VLOOKUP(Q36,出貨單!$E$5:$BV$29813,27,0))</f>
        <v/>
      </c>
      <c r="Z36" s="9" t="n"/>
    </row>
    <row r="37" ht="20.1" customHeight="1">
      <c r="A37" s="21" t="n">
        <v>2</v>
      </c>
      <c r="B37" s="299" t="n">
        <v>2</v>
      </c>
      <c r="C37" s="410" t="n"/>
      <c r="D37" s="382">
        <f>IF(C37="","",VLOOKUP(C37,出貨單!$E$5:$BV$29813,12,0))</f>
        <v/>
      </c>
      <c r="E37" s="447">
        <f>IF(C37="","",VLOOKUP(C37,出貨單!$E$5:$BV$29813,15,0))</f>
        <v/>
      </c>
      <c r="F37" s="463" t="n"/>
      <c r="G37" s="15" t="n"/>
      <c r="H37" s="461">
        <f>IF(C37="","",VLOOKUP(C37,出貨單!$E$5:$BV$29813,31,0))</f>
        <v/>
      </c>
      <c r="I37" s="404">
        <f>IF(C37="","",VLOOKUP(C37,出貨單!$E$5:$BV$29813,23,0))</f>
        <v/>
      </c>
      <c r="J37" s="599">
        <f>IF(C37="","",IF(VLOOKUP(C37,出貨單!$E$5:$BV$29813,26,0)=0,"-",VLOOKUP(C37,出貨單!$E$5:$BV$29813,26,0)))</f>
        <v/>
      </c>
      <c r="K37" s="587">
        <f>IF(C37="","",IF(VLOOKUP(C37,出貨單!$E$5:$BV$29813,27,0)=0,"-",VLOOKUP(C37,出貨單!$E$5:$BV$29813,27,0)))</f>
        <v/>
      </c>
      <c r="O37" s="21" t="n">
        <v>2</v>
      </c>
      <c r="P37" s="299" t="n">
        <v>2</v>
      </c>
      <c r="Q37" s="300" t="n"/>
      <c r="R37" s="382">
        <f>IF(Q37="","",VLOOKUP(Q37,出貨單!$E$5:$BV$29813,12,0))</f>
        <v/>
      </c>
      <c r="S37" s="376">
        <f>IF(Q37="","",VLOOKUP(Q37,出貨單!$E$5:$BV$29813,15,0))</f>
        <v/>
      </c>
      <c r="T37" s="377" t="n"/>
      <c r="U37" s="302" t="n"/>
      <c r="V37" s="302" t="n"/>
      <c r="W37" s="403">
        <f>IF(Q37="","",VLOOKUP(Q37,出貨單!$E$5:$BV$29813,23,0))</f>
        <v/>
      </c>
      <c r="X37" s="588">
        <f>IF(Q37="","",VLOOKUP(Q37,出貨單!$E$5:$BV$29813,26,0))</f>
        <v/>
      </c>
      <c r="Y37" s="600">
        <f>IF(Q37="","",VLOOKUP(Q37,出貨單!$E$5:$BV$29813,27,0))</f>
        <v/>
      </c>
      <c r="Z37" s="9" t="n"/>
    </row>
    <row r="38" ht="20.1" customHeight="1">
      <c r="A38" s="21" t="n">
        <v>3</v>
      </c>
      <c r="B38" s="299" t="n">
        <v>3</v>
      </c>
      <c r="C38" s="410" t="n"/>
      <c r="D38" s="382">
        <f>IF(C38="","",VLOOKUP(C38,出貨單!$E$5:$BV$29813,12,0))</f>
        <v/>
      </c>
      <c r="E38" s="447">
        <f>IF(C38="","",VLOOKUP(C38,出貨單!$E$5:$BV$29813,15,0))</f>
        <v/>
      </c>
      <c r="F38" s="463" t="n"/>
      <c r="G38" s="15" t="n"/>
      <c r="H38" s="461">
        <f>IF(C38="","",VLOOKUP(C38,出貨單!$E$5:$BV$29813,31,0))</f>
        <v/>
      </c>
      <c r="I38" s="404">
        <f>IF(C38="","",VLOOKUP(C38,出貨單!$E$5:$BV$29813,23,0))</f>
        <v/>
      </c>
      <c r="J38" s="599">
        <f>IF(C38="","",IF(VLOOKUP(C38,出貨單!$E$5:$BV$29813,26,0)=0,"-",VLOOKUP(C38,出貨單!$E$5:$BV$29813,26,0)))</f>
        <v/>
      </c>
      <c r="K38" s="587">
        <f>IF(C38="","",IF(VLOOKUP(C38,出貨單!$E$5:$BV$29813,27,0)=0,"-",VLOOKUP(C38,出貨單!$E$5:$BV$29813,27,0)))</f>
        <v/>
      </c>
      <c r="O38" s="21" t="n">
        <v>3</v>
      </c>
      <c r="P38" s="299" t="n">
        <v>3</v>
      </c>
      <c r="Q38" s="300" t="n"/>
      <c r="R38" s="382">
        <f>IF(Q38="","",VLOOKUP(Q38,出貨單!$E$5:$BV$29813,12,0))</f>
        <v/>
      </c>
      <c r="S38" s="376">
        <f>IF(Q38="","",VLOOKUP(Q38,出貨單!$E$5:$BV$29813,15,0))</f>
        <v/>
      </c>
      <c r="T38" s="377" t="n"/>
      <c r="U38" s="302" t="n"/>
      <c r="V38" s="302" t="n"/>
      <c r="W38" s="403">
        <f>IF(Q38="","",VLOOKUP(Q38,出貨單!$E$5:$BV$29813,23,0))</f>
        <v/>
      </c>
      <c r="X38" s="588">
        <f>IF(Q38="","",VLOOKUP(Q38,出貨單!$E$5:$BV$29813,26,0))</f>
        <v/>
      </c>
      <c r="Y38" s="600">
        <f>IF(Q38="","",VLOOKUP(Q38,出貨單!$E$5:$BV$29813,27,0))</f>
        <v/>
      </c>
      <c r="Z38" s="9" t="n"/>
    </row>
    <row r="39" ht="20.1" customHeight="1">
      <c r="A39" s="21" t="n">
        <v>4</v>
      </c>
      <c r="B39" s="316" t="n">
        <v>4</v>
      </c>
      <c r="C39" s="410" t="n"/>
      <c r="D39" s="382">
        <f>IF(C39="","",VLOOKUP(C39,出貨單!$E$5:$BV$29813,12,0))</f>
        <v/>
      </c>
      <c r="E39" s="447">
        <f>IF(C39="","",VLOOKUP(C39,出貨單!$E$5:$BV$29813,15,0))</f>
        <v/>
      </c>
      <c r="F39" s="463" t="n"/>
      <c r="G39" s="15" t="n"/>
      <c r="H39" s="461">
        <f>IF(C39="","",VLOOKUP(C39,出貨單!$E$5:$BV$29813,31,0))</f>
        <v/>
      </c>
      <c r="I39" s="404">
        <f>IF(C39="","",VLOOKUP(C39,出貨單!$E$5:$BV$29813,23,0))</f>
        <v/>
      </c>
      <c r="J39" s="599">
        <f>IF(C39="","",IF(VLOOKUP(C39,出貨單!$E$5:$BV$29813,26,0)=0,"-",VLOOKUP(C39,出貨單!$E$5:$BV$29813,26,0)))</f>
        <v/>
      </c>
      <c r="K39" s="587">
        <f>IF(C39="","",IF(VLOOKUP(C39,出貨單!$E$5:$BV$29813,27,0)=0,"-",VLOOKUP(C39,出貨單!$E$5:$BV$29813,27,0)))</f>
        <v/>
      </c>
      <c r="O39" s="21" t="n">
        <v>4</v>
      </c>
      <c r="P39" s="299" t="n">
        <v>4</v>
      </c>
      <c r="Q39" s="300" t="n"/>
      <c r="R39" s="382">
        <f>IF(Q39="","",VLOOKUP(Q39,出貨單!$E$5:$BV$29813,12,0))</f>
        <v/>
      </c>
      <c r="S39" s="376">
        <f>IF(Q39="","",VLOOKUP(Q39,出貨單!$E$5:$BV$29813,15,0))</f>
        <v/>
      </c>
      <c r="T39" s="377" t="n"/>
      <c r="U39" s="302" t="n"/>
      <c r="V39" s="302" t="n"/>
      <c r="W39" s="403">
        <f>IF(Q39="","",VLOOKUP(Q39,出貨單!$E$5:$BV$29813,23,0))</f>
        <v/>
      </c>
      <c r="X39" s="588">
        <f>IF(Q39="","",VLOOKUP(Q39,出貨單!$E$5:$BV$29813,26,0))</f>
        <v/>
      </c>
      <c r="Y39" s="600">
        <f>IF(Q39="","",VLOOKUP(Q39,出貨單!$E$5:$BV$29813,27,0))</f>
        <v/>
      </c>
      <c r="Z39" s="9" t="n"/>
    </row>
    <row r="40" ht="20.1" customHeight="1">
      <c r="A40" s="21" t="n">
        <v>5</v>
      </c>
      <c r="B40" s="316" t="n">
        <v>5</v>
      </c>
      <c r="C40" s="410" t="n"/>
      <c r="D40" s="382">
        <f>IF(C40="","",VLOOKUP(C40,出貨單!$E$5:$BV$29813,12,0))</f>
        <v/>
      </c>
      <c r="E40" s="447">
        <f>IF(C40="","",VLOOKUP(C40,出貨單!$E$5:$BV$29813,15,0))</f>
        <v/>
      </c>
      <c r="F40" s="463" t="n"/>
      <c r="G40" s="15" t="n"/>
      <c r="H40" s="461">
        <f>IF(C40="","",VLOOKUP(C40,出貨單!$E$5:$BV$29813,31,0))</f>
        <v/>
      </c>
      <c r="I40" s="404">
        <f>IF(C40="","",VLOOKUP(C40,出貨單!$E$5:$BV$29813,23,0))</f>
        <v/>
      </c>
      <c r="J40" s="599">
        <f>IF(C40="","",IF(VLOOKUP(C40,出貨單!$E$5:$BV$29813,26,0)=0,"-",VLOOKUP(C40,出貨單!$E$5:$BV$29813,26,0)))</f>
        <v/>
      </c>
      <c r="K40" s="587">
        <f>IF(C40="","",IF(VLOOKUP(C40,出貨單!$E$5:$BV$29813,27,0)=0,"-",VLOOKUP(C40,出貨單!$E$5:$BV$29813,27,0)))</f>
        <v/>
      </c>
      <c r="O40" s="21" t="n">
        <v>5</v>
      </c>
      <c r="P40" s="299" t="n">
        <v>5</v>
      </c>
      <c r="Q40" s="300" t="n"/>
      <c r="R40" s="382">
        <f>IF(Q40="","",VLOOKUP(Q40,出貨單!$E$5:$BV$29813,12,0))</f>
        <v/>
      </c>
      <c r="S40" s="376">
        <f>IF(Q40="","",VLOOKUP(Q40,出貨單!$E$5:$BV$29813,15,0))</f>
        <v/>
      </c>
      <c r="T40" s="377" t="n"/>
      <c r="U40" s="303" t="n"/>
      <c r="V40" s="303" t="n"/>
      <c r="W40" s="403">
        <f>IF(Q40="","",VLOOKUP(Q40,出貨單!$E$5:$BV$29813,23,0))</f>
        <v/>
      </c>
      <c r="X40" s="588">
        <f>IF(Q40="","",VLOOKUP(Q40,出貨單!$E$5:$BV$29813,26,0))</f>
        <v/>
      </c>
      <c r="Y40" s="600">
        <f>IF(Q40="","",VLOOKUP(Q40,出貨單!$E$5:$BV$29813,27,0))</f>
        <v/>
      </c>
      <c r="Z40" s="9" t="n"/>
    </row>
    <row r="41" ht="20.1" customHeight="1">
      <c r="A41" s="21" t="n">
        <v>6</v>
      </c>
      <c r="B41" s="316" t="n">
        <v>6</v>
      </c>
      <c r="C41" s="410" t="n"/>
      <c r="D41" s="382">
        <f>IF(C41="","",VLOOKUP(C41,出貨單!$E$5:$BV$29813,12,0))</f>
        <v/>
      </c>
      <c r="E41" s="447">
        <f>IF(C41="","",VLOOKUP(C41,出貨單!$E$5:$BV$29813,15,0))</f>
        <v/>
      </c>
      <c r="F41" s="465" t="n"/>
      <c r="G41" s="15" t="n"/>
      <c r="H41" s="461">
        <f>IF(C41="","",VLOOKUP(C41,出貨單!$E$5:$BV$29813,31,0))</f>
        <v/>
      </c>
      <c r="I41" s="404">
        <f>IF(C41="","",VLOOKUP(C41,出貨單!$E$5:$BV$29813,23,0))</f>
        <v/>
      </c>
      <c r="J41" s="599">
        <f>IF(C41="","",IF(VLOOKUP(C41,出貨單!$E$5:$BV$29813,26,0)=0,"-",VLOOKUP(C41,出貨單!$E$5:$BV$29813,26,0)))</f>
        <v/>
      </c>
      <c r="K41" s="587">
        <f>IF(C41="","",IF(VLOOKUP(C41,出貨單!$E$5:$BV$29813,27,0)=0,"-",VLOOKUP(C41,出貨單!$E$5:$BV$29813,27,0)))</f>
        <v/>
      </c>
      <c r="O41" s="21" t="n">
        <v>6</v>
      </c>
      <c r="P41" s="299" t="n">
        <v>6</v>
      </c>
      <c r="Q41" s="300" t="n"/>
      <c r="R41" s="382">
        <f>IF(Q41="","",VLOOKUP(Q41,出貨單!$E$5:$BV$29813,12,0))</f>
        <v/>
      </c>
      <c r="S41" s="376">
        <f>IF(Q41="","",VLOOKUP(Q41,出貨單!$E$5:$BV$29813,15,0))</f>
        <v/>
      </c>
      <c r="T41" s="377" t="n"/>
      <c r="U41" s="303" t="n"/>
      <c r="V41" s="303" t="n"/>
      <c r="W41" s="403">
        <f>IF(Q41="","",VLOOKUP(Q41,出貨單!$E$5:$BV$29813,23,0))</f>
        <v/>
      </c>
      <c r="X41" s="588">
        <f>IF(Q41="","",VLOOKUP(Q41,出貨單!$E$5:$BV$29813,26,0))</f>
        <v/>
      </c>
      <c r="Y41" s="600">
        <f>IF(Q41="","",VLOOKUP(Q41,出貨單!$E$5:$BV$29813,27,0))</f>
        <v/>
      </c>
      <c r="Z41" s="9" t="n"/>
    </row>
    <row r="42" ht="20.1" customHeight="1">
      <c r="A42" s="21" t="n">
        <v>7</v>
      </c>
      <c r="B42" s="316" t="n">
        <v>7</v>
      </c>
      <c r="C42" s="410" t="n"/>
      <c r="D42" s="382">
        <f>IF(C42="","",VLOOKUP(C42,出貨單!$E$5:$BV$29813,12,0))</f>
        <v/>
      </c>
      <c r="E42" s="447">
        <f>IF(C42="","",VLOOKUP(C42,出貨單!$E$5:$BV$29813,15,0))</f>
        <v/>
      </c>
      <c r="F42" s="465" t="n"/>
      <c r="G42" s="15" t="n"/>
      <c r="H42" s="461">
        <f>IF(C42="","",VLOOKUP(C42,出貨單!$E$5:$BV$29813,31,0))</f>
        <v/>
      </c>
      <c r="I42" s="404">
        <f>IF(C42="","",VLOOKUP(C42,出貨單!$E$5:$BV$29813,23,0))</f>
        <v/>
      </c>
      <c r="J42" s="599">
        <f>IF(C42="","",IF(VLOOKUP(C42,出貨單!$E$5:$BV$29813,26,0)=0,"-",VLOOKUP(C42,出貨單!$E$5:$BV$29813,26,0)))</f>
        <v/>
      </c>
      <c r="K42" s="587">
        <f>IF(C42="","",IF(VLOOKUP(C42,出貨單!$E$5:$BV$29813,27,0)=0,"-",VLOOKUP(C42,出貨單!$E$5:$BV$29813,27,0)))</f>
        <v/>
      </c>
      <c r="O42" s="21" t="n">
        <v>7</v>
      </c>
      <c r="P42" s="299" t="n">
        <v>7</v>
      </c>
      <c r="Q42" s="300" t="n"/>
      <c r="R42" s="382">
        <f>IF(Q42="","",VLOOKUP(Q42,出貨單!$E$5:$BV$29813,12,0))</f>
        <v/>
      </c>
      <c r="S42" s="376">
        <f>IF(Q42="","",VLOOKUP(Q42,出貨單!$E$5:$BV$29813,15,0))</f>
        <v/>
      </c>
      <c r="T42" s="377" t="n"/>
      <c r="U42" s="303" t="n"/>
      <c r="V42" s="303" t="n"/>
      <c r="W42" s="403">
        <f>IF(Q42="","",VLOOKUP(Q42,出貨單!$E$5:$BV$29813,23,0))</f>
        <v/>
      </c>
      <c r="X42" s="588">
        <f>IF(Q42="","",VLOOKUP(Q42,出貨單!$E$5:$BV$29813,26,0))</f>
        <v/>
      </c>
      <c r="Y42" s="600">
        <f>IF(Q42="","",VLOOKUP(Q42,出貨單!$E$5:$BV$29813,27,0))</f>
        <v/>
      </c>
      <c r="Z42" s="9" t="n"/>
    </row>
    <row r="43" ht="20.1" customHeight="1">
      <c r="A43" s="21" t="n">
        <v>8</v>
      </c>
      <c r="B43" s="316" t="n">
        <v>8</v>
      </c>
      <c r="C43" s="410" t="n"/>
      <c r="D43" s="382">
        <f>IF(C43="","",VLOOKUP(C43,出貨單!$E$5:$BV$29813,12,0))</f>
        <v/>
      </c>
      <c r="E43" s="447">
        <f>IF(C43="","",VLOOKUP(C43,出貨單!$E$5:$BV$29813,15,0))</f>
        <v/>
      </c>
      <c r="F43" s="464" t="n"/>
      <c r="G43" s="15" t="n"/>
      <c r="H43" s="461">
        <f>IF(C43="","",VLOOKUP(C43,出貨單!$E$5:$BV$29813,31,0))</f>
        <v/>
      </c>
      <c r="I43" s="404">
        <f>IF(C43="","",VLOOKUP(C43,出貨單!$E$5:$BV$29813,23,0))</f>
        <v/>
      </c>
      <c r="J43" s="599">
        <f>IF(C43="","",IF(VLOOKUP(C43,出貨單!$E$5:$BV$29813,26,0)=0,"-",VLOOKUP(C43,出貨單!$E$5:$BV$29813,26,0)))</f>
        <v/>
      </c>
      <c r="K43" s="587">
        <f>IF(C43="","",IF(VLOOKUP(C43,出貨單!$E$5:$BV$29813,27,0)=0,"-",VLOOKUP(C43,出貨單!$E$5:$BV$29813,27,0)))</f>
        <v/>
      </c>
      <c r="O43" s="21" t="n">
        <v>8</v>
      </c>
      <c r="P43" s="316" t="n">
        <v>8</v>
      </c>
      <c r="Q43" s="317" t="n"/>
      <c r="R43" s="386">
        <f>IF(Q43="","",VLOOKUP(Q43,出貨單!$E$5:$BV$29813,12,0))</f>
        <v/>
      </c>
      <c r="S43" s="387">
        <f>IF(Q43="","",VLOOKUP(Q43,出貨單!$E$5:$BV$29813,15,0))</f>
        <v/>
      </c>
      <c r="T43" s="388" t="n"/>
      <c r="U43" s="315" t="n"/>
      <c r="V43" s="315" t="n"/>
      <c r="W43" s="405">
        <f>IF(Q43="","",VLOOKUP(Q43,出貨單!$E$5:$BV$29813,23,0))</f>
        <v/>
      </c>
      <c r="X43" s="590">
        <f>IF(Q43="","",VLOOKUP(Q43,出貨單!$E$5:$BV$29813,26,0))</f>
        <v/>
      </c>
      <c r="Y43" s="601">
        <f>IF(Q43="","",VLOOKUP(Q43,出貨單!$E$5:$BV$29813,27,0))</f>
        <v/>
      </c>
      <c r="Z43" s="9" t="n"/>
    </row>
    <row r="44" ht="20.1" customHeight="1">
      <c r="A44" s="21" t="n">
        <v>9</v>
      </c>
      <c r="B44" s="313" t="n">
        <v>9</v>
      </c>
      <c r="C44" s="410" t="n"/>
      <c r="D44" s="382">
        <f>IF(C44="","",VLOOKUP(C44,出貨單!$E$5:$BV$29813,12,0))</f>
        <v/>
      </c>
      <c r="E44" s="447">
        <f>IF(C44="","",VLOOKUP(C44,出貨單!$E$5:$BV$29813,15,0))</f>
        <v/>
      </c>
      <c r="F44" s="463" t="n"/>
      <c r="G44" s="15" t="n"/>
      <c r="H44" s="461">
        <f>IF(C44="","",VLOOKUP(C44,出貨單!$E$5:$BV$29813,31,0))</f>
        <v/>
      </c>
      <c r="I44" s="404">
        <f>IF(C44="","",VLOOKUP(C44,出貨單!$E$5:$BV$29813,23,0))</f>
        <v/>
      </c>
      <c r="J44" s="599">
        <f>IF(C44="","",IF(VLOOKUP(C44,出貨單!$E$5:$BV$29813,26,0)=0,"-",VLOOKUP(C44,出貨單!$E$5:$BV$29813,26,0)))</f>
        <v/>
      </c>
      <c r="K44" s="587">
        <f>IF(C44="","",IF(VLOOKUP(C44,出貨單!$E$5:$BV$29813,27,0)=0,"-",VLOOKUP(C44,出貨單!$E$5:$BV$29813,27,0)))</f>
        <v/>
      </c>
      <c r="O44" s="21" t="n">
        <v>9</v>
      </c>
      <c r="P44" s="313" t="n">
        <v>9</v>
      </c>
      <c r="Q44" s="314" t="n"/>
      <c r="R44" s="389">
        <f>IF(Q44="","",VLOOKUP(Q44,出貨單!$E$5:$BV$29813,12,0))</f>
        <v/>
      </c>
      <c r="S44" s="376">
        <f>IF(Q44="","",VLOOKUP(Q44,出貨單!$E$5:$BV$29813,15,0))</f>
        <v/>
      </c>
      <c r="T44" s="377" t="n"/>
      <c r="U44" s="312" t="n"/>
      <c r="V44" s="312" t="n"/>
      <c r="W44" s="403">
        <f>IF(Q44="","",VLOOKUP(Q44,出貨單!$E$5:$BV$29813,23,0))</f>
        <v/>
      </c>
      <c r="X44" s="592">
        <f>IF(Q44="","",VLOOKUP(Q44,出貨單!$E$5:$BV$29813,26,0))</f>
        <v/>
      </c>
      <c r="Y44" s="602">
        <f>IF(Q44="","",VLOOKUP(Q44,出貨單!$E$5:$BV$29813,27,0))</f>
        <v/>
      </c>
      <c r="Z44" s="9" t="n"/>
    </row>
    <row r="45" ht="20.1" customHeight="1">
      <c r="A45" s="21" t="n">
        <v>10</v>
      </c>
      <c r="B45" s="299" t="n">
        <v>10</v>
      </c>
      <c r="C45" s="300" t="n"/>
      <c r="D45" s="382">
        <f>IF(C45="","",VLOOKUP(C45,出貨單!$E$5:$BV$29813,12,0))</f>
        <v/>
      </c>
      <c r="E45" s="376">
        <f>IF(C45="","",VLOOKUP(C45,出貨單!$E$5:$BV$29813,15,0))</f>
        <v/>
      </c>
      <c r="F45" s="463" t="n"/>
      <c r="G45" s="15" t="n"/>
      <c r="H45" s="461">
        <f>IF(C45="","",VLOOKUP(C45,出貨單!$E$5:$BV$29813,31,0))</f>
        <v/>
      </c>
      <c r="I45" s="404">
        <f>IF(C45="","",VLOOKUP(C45,出貨單!$E$5:$BV$29813,23,0))</f>
        <v/>
      </c>
      <c r="J45" s="599">
        <f>IF(C45="","",IF(VLOOKUP(C45,出貨單!$E$5:$BV$29813,26,0)=0,"-",VLOOKUP(C45,出貨單!$E$5:$BV$29813,26,0)))</f>
        <v/>
      </c>
      <c r="K45" s="587">
        <f>IF(C45="","",IF(VLOOKUP(C45,出貨單!$E$5:$BV$29813,27,0)=0,"-",VLOOKUP(C45,出貨單!$E$5:$BV$29813,27,0)))</f>
        <v/>
      </c>
      <c r="O45" s="21" t="n"/>
      <c r="P45" s="299" t="n">
        <v>10</v>
      </c>
      <c r="Q45" s="300" t="n"/>
      <c r="R45" s="382">
        <f>IF(Q45="","",VLOOKUP(Q45,出貨單!$E$5:$BV$29813,12,0))</f>
        <v/>
      </c>
      <c r="S45" s="376">
        <f>IF(Q45="","",VLOOKUP(Q45,出貨單!$E$5:$BV$29813,15,0))</f>
        <v/>
      </c>
      <c r="T45" s="377" t="n"/>
      <c r="U45" s="303" t="n"/>
      <c r="V45" s="303" t="n"/>
      <c r="W45" s="403">
        <f>IF(Q45="","",VLOOKUP(Q45,出貨單!$E$5:$BV$29813,23,0))</f>
        <v/>
      </c>
      <c r="X45" s="588">
        <f>IF(Q45="","",VLOOKUP(Q45,出貨單!$E$5:$BV$29813,26,0))</f>
        <v/>
      </c>
      <c r="Y45" s="600">
        <f>IF(Q45="","",VLOOKUP(Q45,出貨單!$E$5:$BV$29813,27,0))</f>
        <v/>
      </c>
      <c r="Z45" s="9" t="n"/>
    </row>
    <row r="46" ht="16.5" customHeight="1">
      <c r="B46" s="525" t="inlineStr">
        <is>
          <t>小計金額</t>
        </is>
      </c>
      <c r="C46" s="594" t="n"/>
      <c r="D46" s="594" t="n"/>
      <c r="E46" s="594" t="n"/>
      <c r="F46" s="594" t="n"/>
      <c r="G46" s="594" t="n"/>
      <c r="H46" s="594" t="n"/>
      <c r="I46" s="594" t="n"/>
      <c r="J46" s="594" t="n"/>
      <c r="K46" s="603">
        <f>SUM(K36:K45)</f>
        <v/>
      </c>
      <c r="O46" s="7" t="n"/>
      <c r="P46" s="525" t="inlineStr">
        <is>
          <t>小計金額</t>
        </is>
      </c>
      <c r="Q46" s="594" t="n"/>
      <c r="R46" s="594" t="n"/>
      <c r="S46" s="594" t="n"/>
      <c r="T46" s="594" t="n"/>
      <c r="U46" s="594" t="n"/>
      <c r="V46" s="594" t="n"/>
      <c r="W46" s="594" t="n"/>
      <c r="X46" s="594" t="n"/>
      <c r="Y46" s="596" t="n"/>
      <c r="Z46" s="9" t="n"/>
    </row>
    <row r="47" ht="29.25" customHeight="1">
      <c r="B47" s="513" t="inlineStr">
        <is>
          <t>客戶簽名：</t>
        </is>
      </c>
      <c r="C47" s="594" t="n"/>
      <c r="D47" s="307" t="n"/>
      <c r="E47" s="515" t="inlineStr">
        <is>
          <t xml:space="preserve">　　　老闆簽核：</t>
        </is>
      </c>
      <c r="F47" s="597" t="n"/>
      <c r="G47" s="308" t="inlineStr">
        <is>
          <t>稅額:</t>
        </is>
      </c>
      <c r="H47" s="598">
        <f>IF(OR(I47="含稅",I47="未稅"),0,IF(OR(I47="稅外"),K46*0.05,""))</f>
        <v/>
      </c>
      <c r="I47" s="310">
        <f>IF(C36="","",VLOOKUP(C36,出貨單!$E$5:$BV$29813,34,0))</f>
        <v/>
      </c>
      <c r="J47" s="311" t="inlineStr">
        <is>
          <t>總計:</t>
        </is>
      </c>
      <c r="K47" s="393">
        <f>IF(OR(K46&gt;0.1),K46+H47,IF(OR(K46=0),K46,""))</f>
        <v/>
      </c>
      <c r="O47" s="7" t="n"/>
      <c r="P47" s="516" t="inlineStr">
        <is>
          <t>客戶簽名：</t>
        </is>
      </c>
      <c r="Q47" s="594" t="n"/>
      <c r="R47" s="307" t="n"/>
      <c r="S47" s="515" t="inlineStr">
        <is>
          <t xml:space="preserve">　　　老闆簽核：</t>
        </is>
      </c>
      <c r="T47" s="597" t="n"/>
      <c r="U47" s="308" t="inlineStr">
        <is>
          <t>稅額:</t>
        </is>
      </c>
      <c r="V47" s="598">
        <f>IF(OR(W47="含稅",W47="未稅"),0,IF(OR(W47="稅外"),Y46*0.05,""))</f>
        <v/>
      </c>
      <c r="W47" s="310" t="n"/>
      <c r="X47" s="311" t="inlineStr">
        <is>
          <t>總計:</t>
        </is>
      </c>
      <c r="Y47" s="394" t="n"/>
      <c r="Z47" s="296" t="n"/>
    </row>
    <row r="48" ht="5.1" customHeight="1">
      <c r="H48" s="16" t="n"/>
      <c r="I48" s="532" t="n"/>
      <c r="O48" s="7" t="n"/>
      <c r="V48" s="16" t="n"/>
      <c r="W48" s="532" t="n"/>
      <c r="Y48" s="9" t="n"/>
      <c r="Z48" s="9" t="n"/>
    </row>
    <row r="49" ht="12" customHeight="1">
      <c r="A49" s="8" t="n"/>
      <c r="B49" s="12" t="n"/>
      <c r="C49" s="18" t="inlineStr">
        <is>
          <t>1.本公司無到府牽車來回或試車來回服務，由客戶自行送修來本廠區及自行取回車輛，客戶拜託本廠內工作人員去牽車來回或試車來回時，發生意外全部損失費用由車主自行負責。車輛進</t>
        </is>
      </c>
      <c r="D49" s="13" t="n"/>
      <c r="E49" s="12" t="n"/>
      <c r="F49" s="531" t="n"/>
      <c r="G49" s="12" t="n"/>
      <c r="H49" s="531" t="n"/>
      <c r="I49" s="13" t="n"/>
      <c r="J49" s="13" t="n"/>
      <c r="K49" s="12" t="n"/>
      <c r="L49" s="12" t="n"/>
      <c r="O49" s="7" t="n"/>
      <c r="P49" s="12" t="n"/>
      <c r="Q49" s="18" t="inlineStr">
        <is>
          <t>1.本公司無到府牽車來回或試車來回服務，由客戶自行送修來本廠區及自行取回車輛，客戶拜託本廠內工作人員去牽車來回</t>
        </is>
      </c>
      <c r="R49" s="13" t="n"/>
      <c r="S49" s="12" t="n"/>
      <c r="T49" s="531" t="n"/>
      <c r="U49" s="12" t="n"/>
      <c r="V49" s="531" t="n"/>
      <c r="W49" s="13" t="n"/>
      <c r="X49" s="13" t="n"/>
      <c r="Y49" s="12" t="n"/>
      <c r="Z49" s="12" t="n"/>
    </row>
    <row r="50" ht="12" customHeight="1">
      <c r="A50" s="8" t="n"/>
      <c r="B50" s="19" t="inlineStr">
        <is>
          <t>備</t>
        </is>
      </c>
      <c r="C50" s="18" t="inlineStr">
        <is>
          <t>本廠區維修時，車上之重要物品請客戶自行保管，有損毀遺失時車主自行負責。客戶交修車輛需自行保險，發生天災地變或其他不可抗力之災損，本公司不負賠償責任。車主不得異議。</t>
        </is>
      </c>
      <c r="D50" s="16" t="n"/>
      <c r="F50" s="532" t="n"/>
      <c r="H50" s="532" t="n"/>
      <c r="I50" s="16" t="n"/>
      <c r="J50" s="16" t="n"/>
      <c r="O50" s="7" t="n"/>
      <c r="Q50" s="290" t="inlineStr">
        <is>
          <t>或試車來回時，發生意外全部損失費用由車主自行負責。車輛進本廠區維修時，車上之重要物品請客戶自行保管，有損毀遺</t>
        </is>
      </c>
      <c r="R50" s="16" t="n"/>
      <c r="T50" s="532" t="n"/>
      <c r="V50" s="532" t="n"/>
      <c r="W50" s="16" t="n"/>
      <c r="X50" s="16" t="n"/>
      <c r="Y50" s="9" t="n"/>
      <c r="Z50" s="9" t="n"/>
    </row>
    <row r="51" ht="12" customHeight="1">
      <c r="A51" s="8" t="n"/>
      <c r="B51" s="19" t="inlineStr">
        <is>
          <t>註</t>
        </is>
      </c>
      <c r="C51" s="18" t="inlineStr">
        <is>
          <t>2.以上貨品貨款尚未付清時，產品所有權仍為本公司所有本公司可無條件收回銷售產品，寄放新輪胎新鋼圈或中古輪胎中古鋼圈，期限最長3個月超過期限，不領取以廢輪胎方式丟棄，</t>
        </is>
      </c>
      <c r="D51" s="16" t="n"/>
      <c r="F51" s="532" t="n"/>
      <c r="H51" s="532" t="n"/>
      <c r="I51" s="16" t="n"/>
      <c r="J51" s="16" t="n"/>
      <c r="O51" s="7" t="n"/>
      <c r="P51" s="19" t="inlineStr">
        <is>
          <t>備</t>
        </is>
      </c>
      <c r="Q51" s="291" t="inlineStr">
        <is>
          <t>失時車主自行負責。客戶交修車輛需自行保險，發生天災地變或其他不可抗力之災損本公司不負賠償責任。車主不得異議。</t>
        </is>
      </c>
      <c r="R51" s="16" t="n"/>
      <c r="T51" s="532" t="n"/>
      <c r="V51" s="532" t="n"/>
      <c r="W51" s="16" t="n"/>
      <c r="X51" s="16" t="n"/>
      <c r="Y51" s="9" t="n"/>
      <c r="Z51" s="9" t="n"/>
    </row>
    <row r="52" ht="12" customHeight="1">
      <c r="A52" s="8" t="n"/>
      <c r="B52" s="12" t="n"/>
      <c r="C52" s="18" t="inlineStr">
        <is>
          <t>車輛換下之廢輪胎若需保留者請自行當下載回，不載回者視同丟棄。領取新輪胎新鋼圈或中古輪胎中古鋼圈時必須以簽單為憑證，無簽單者視同丟棄不得異議。存根(白)請款(黃)客戶(藍)</t>
        </is>
      </c>
      <c r="D52" s="16" t="n"/>
      <c r="F52" s="532" t="n"/>
      <c r="H52" s="532" t="n"/>
      <c r="I52" s="16" t="n"/>
      <c r="J52" s="16" t="n"/>
      <c r="O52" s="7" t="n"/>
      <c r="P52" s="19" t="inlineStr">
        <is>
          <t>註</t>
        </is>
      </c>
      <c r="Q52" s="18" t="inlineStr">
        <is>
          <t>2.以上貨品貨款尚未付清時，產品所有權仍為本公司所有本公司可無條件收回銷售產品，寄放新輪胎新鋼圈或中古輪胎中古</t>
        </is>
      </c>
      <c r="R52" s="16" t="n"/>
      <c r="T52" s="532" t="n"/>
      <c r="V52" s="532" t="n"/>
      <c r="W52" s="16" t="n"/>
      <c r="X52" s="16" t="n"/>
      <c r="Y52" s="9" t="n"/>
      <c r="Z52" s="9" t="n"/>
    </row>
    <row r="53" ht="12" customHeight="1">
      <c r="A53" s="8" t="n"/>
      <c r="O53" s="7" t="n"/>
      <c r="Q53" s="290" t="inlineStr">
        <is>
          <t>鋼圈，期限最長3個月超過期限，不領取以廢輪胎方式丟棄，車輛換下之廢輪胎若需保留者請自行當下載回，不載回者視同</t>
        </is>
      </c>
      <c r="Y53" s="9" t="n"/>
      <c r="Z53" s="9" t="n"/>
    </row>
    <row r="54" ht="12" customHeight="1">
      <c r="A54" s="8" t="n"/>
      <c r="O54" s="7" t="n"/>
      <c r="Q54" s="18" t="inlineStr">
        <is>
          <t>丟棄。領取新輪胎新鋼圈或中古輪胎中古鋼圈時必須以簽單為憑證，無簽單者視同丟棄不得異議。存根(白)請款(黃)客戶(藍)</t>
        </is>
      </c>
      <c r="Y54" s="9" t="n"/>
      <c r="Z54" s="9" t="n"/>
    </row>
    <row r="55">
      <c r="AB55" s="8" t="inlineStr">
        <is>
          <t>列印範圍選至此欄下方(請用庫存表規格列印)</t>
        </is>
      </c>
    </row>
    <row r="57" ht="16.5" customHeight="1">
      <c r="S57" s="520" t="inlineStr">
        <is>
          <t>原始備用檔</t>
        </is>
      </c>
      <c r="AR57" s="8" t="inlineStr">
        <is>
          <t>列印範圍選至此欄下方(請用庫存表規格列印)</t>
        </is>
      </c>
    </row>
    <row r="58" hidden="1" ht="15.75" customHeight="1"/>
    <row r="59" hidden="1" ht="15.75" customHeight="1">
      <c r="BD59" s="8" t="inlineStr">
        <is>
          <t>核對人員</t>
        </is>
      </c>
    </row>
    <row r="60" hidden="1" ht="15.75" customHeight="1"/>
    <row r="61" ht="24.95" customHeight="1">
      <c r="P61" s="289" t="inlineStr">
        <is>
          <t xml:space="preserve">出貨單.合約書.收據      </t>
        </is>
      </c>
      <c r="Q61" s="574" t="n"/>
      <c r="R61" s="575" t="n"/>
      <c r="S61" s="292" t="n"/>
      <c r="T61" s="292" t="n"/>
      <c r="U61" s="293" t="n"/>
      <c r="V61" s="293" t="n"/>
      <c r="W61" s="293" t="n"/>
      <c r="X61" s="293" t="n"/>
      <c r="Y61" s="576" t="inlineStr">
        <is>
          <t>中華全佑有限公司.中華全威有限公司.全威企業社.電話:037-463990</t>
        </is>
      </c>
      <c r="AB61" s="289" t="inlineStr">
        <is>
          <t xml:space="preserve">出貨單.合約書.收據      </t>
        </is>
      </c>
      <c r="AC61" s="574" t="n"/>
      <c r="AD61" s="575" t="n"/>
      <c r="AE61" s="292" t="n"/>
      <c r="AF61" s="292" t="n"/>
      <c r="AG61" s="293" t="n"/>
      <c r="AH61" s="293" t="n"/>
      <c r="AI61" s="293" t="n"/>
      <c r="AJ61" s="293" t="n"/>
      <c r="AL61" s="604" t="inlineStr">
        <is>
          <t>中華全佑有限公司.中華全威有限公司.全威企業社.電話:037-463990</t>
        </is>
      </c>
      <c r="AR61" s="434" t="inlineStr">
        <is>
          <t xml:space="preserve">新胎寄賣輪胎明細表 出貨單.合約書.收據     </t>
        </is>
      </c>
      <c r="AS61" s="605" t="n"/>
      <c r="AT61" s="606" t="n"/>
      <c r="AU61" s="428" t="n"/>
      <c r="AV61" s="292" t="n"/>
      <c r="AY61" s="293" t="n"/>
      <c r="AZ61" s="293" t="n"/>
      <c r="BA61" s="293" t="n"/>
      <c r="BB61" s="293" t="n"/>
      <c r="BD61" s="604" t="inlineStr">
        <is>
          <t>中華全佑有限公司.中華全威有限公司.全威企業社.   電話:037-463990</t>
        </is>
      </c>
    </row>
    <row r="62" ht="24.95" customHeight="1">
      <c r="P62" s="289" t="n"/>
      <c r="Q62" s="574" t="n"/>
      <c r="R62" s="575" t="n"/>
      <c r="S62" s="292" t="n"/>
      <c r="T62" s="292" t="n"/>
      <c r="U62" s="293" t="n"/>
      <c r="V62" s="293" t="n"/>
      <c r="W62" s="293" t="n"/>
      <c r="X62" s="293" t="n"/>
      <c r="Y62" s="576" t="n"/>
      <c r="AB62" s="12" t="inlineStr">
        <is>
          <t>出貨單號:</t>
        </is>
      </c>
      <c r="AC62" s="607" t="n"/>
      <c r="AD62" s="608">
        <f>AO68</f>
        <v/>
      </c>
      <c r="AE62" s="292" t="n"/>
      <c r="AF62" s="292" t="n"/>
      <c r="AG62" s="293" t="n"/>
      <c r="AH62" s="293" t="n"/>
      <c r="AI62" s="293" t="n"/>
      <c r="AJ62" s="293" t="n"/>
      <c r="AK62" s="576" t="n"/>
      <c r="AR62" s="429" t="n"/>
      <c r="AS62" s="609" t="n"/>
      <c r="AT62" s="610" t="n"/>
      <c r="AU62" s="428" t="n"/>
      <c r="AV62" s="292" t="n"/>
      <c r="AW62" s="293" t="n"/>
      <c r="AX62" s="293" t="n"/>
      <c r="AY62" s="293" t="n"/>
      <c r="AZ62" s="293" t="n"/>
      <c r="BA62" s="576" t="n"/>
    </row>
    <row r="63" ht="24.95" customHeight="1">
      <c r="P63" s="12" t="inlineStr">
        <is>
          <t>客戶名稱:</t>
        </is>
      </c>
      <c r="Q63" s="12" t="n"/>
      <c r="R63" s="521">
        <f>IF(Q68="","",VLOOKUP(Q68,出貨單!$E$5:$BV$20000,56,0))</f>
        <v/>
      </c>
      <c r="T63" s="13" t="inlineStr">
        <is>
          <t xml:space="preserve">     車頭公里數 :</t>
        </is>
      </c>
      <c r="U63" s="531">
        <f>IF(Q68="","",VLOOKUP(Q68,出貨單!$E$5:$BV$20000,8,0))</f>
        <v/>
      </c>
      <c r="V63" s="12" t="n"/>
      <c r="W63" s="13" t="inlineStr">
        <is>
          <t>出貨日期:</t>
        </is>
      </c>
      <c r="X63" s="577">
        <f>NOW()</f>
        <v/>
      </c>
      <c r="AB63" s="12" t="inlineStr">
        <is>
          <t>客戶名稱:</t>
        </is>
      </c>
      <c r="AC63" s="531" t="n"/>
      <c r="AD63" s="14">
        <f>IF(AO68="","",VLOOKUP(AO68,出貨單!$E$5:$BV$20000,56,0))</f>
        <v/>
      </c>
      <c r="AF63" s="402" t="inlineStr">
        <is>
          <t>(胎號明細表)</t>
        </is>
      </c>
      <c r="AG63" s="402" t="n"/>
      <c r="AH63" s="12" t="n"/>
      <c r="AI63" s="13" t="inlineStr">
        <is>
          <t>出貨日期:</t>
        </is>
      </c>
      <c r="AJ63" s="611">
        <f>NOW()</f>
        <v/>
      </c>
      <c r="AK63" s="578" t="n"/>
      <c r="AR63" s="429" t="inlineStr">
        <is>
          <t>客戶名稱:</t>
        </is>
      </c>
      <c r="AS63" s="432" t="n"/>
      <c r="AT63" s="438">
        <f>IF(BF68="","",VLOOKUP(BF68,出貨單!$E$5:$BV$20000,56,0))</f>
        <v/>
      </c>
      <c r="AU63" s="433" t="n"/>
      <c r="AV63" s="402" t="n"/>
      <c r="AW63" s="435" t="inlineStr">
        <is>
          <t>出貨單號:</t>
        </is>
      </c>
      <c r="AX63" s="610">
        <f>BF68</f>
        <v/>
      </c>
      <c r="AY63" s="610" t="n"/>
      <c r="AZ63" s="578" t="n"/>
      <c r="BA63" s="578" t="n"/>
      <c r="BB63" s="16" t="inlineStr">
        <is>
          <t>出貨日期:</t>
        </is>
      </c>
      <c r="BC63" s="612">
        <f>NOW()</f>
        <v/>
      </c>
    </row>
    <row r="64" hidden="1" ht="20.1" customHeight="1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P64" s="12" t="inlineStr">
        <is>
          <t>車牌號碼 :</t>
        </is>
      </c>
      <c r="Q64" s="12" t="n"/>
      <c r="R64" s="518">
        <f>IF(Q68="","",VLOOKUP(Q68,出貨單!$E$5:$BV$20000,2,0))</f>
        <v/>
      </c>
      <c r="T64" s="13" t="inlineStr">
        <is>
          <t>工作人員:</t>
        </is>
      </c>
      <c r="U64" s="531">
        <f>IF(Q68="","",VLOOKUP(Q68,出貨單!$E$5:$BV$29813,46,0))</f>
        <v/>
      </c>
      <c r="V64" s="12" t="n"/>
      <c r="W64" s="13" t="inlineStr">
        <is>
          <t>車頭位置:</t>
        </is>
      </c>
      <c r="X64" s="531">
        <f>IF(Q68="","",VLOOKUP(Q68,出貨單!$E$5:$BV$20000,40,0))</f>
        <v/>
      </c>
      <c r="AB64" s="12" t="inlineStr">
        <is>
          <t>車牌號碼 :</t>
        </is>
      </c>
      <c r="AC64" s="12" t="n"/>
      <c r="AD64" s="532">
        <f>IF(#REF!="","",VLOOKUP(#REF!,出貨單!$E$5:$BV$20000,2,0))</f>
        <v/>
      </c>
      <c r="AE64" s="532" t="n"/>
      <c r="AF64" s="13" t="inlineStr">
        <is>
          <t>工作人員:</t>
        </is>
      </c>
      <c r="AG64" s="531">
        <f>IF(#REF!="","",VLOOKUP(#REF!,出貨單!$E$5:$BV$29813,46,0))</f>
        <v/>
      </c>
      <c r="AH64" s="12" t="n"/>
      <c r="AI64" s="13" t="inlineStr">
        <is>
          <t>車頭位置:</t>
        </is>
      </c>
      <c r="AJ64" s="531">
        <f>IF(#REF!="","",VLOOKUP(#REF!,出貨單!$E$5:$BV$20000,40,0))</f>
        <v/>
      </c>
      <c r="AK64" s="531" t="n"/>
    </row>
    <row r="65" hidden="1" ht="20.1" customHeight="1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P65" s="531" t="inlineStr">
        <is>
          <t>工作時間 :</t>
        </is>
      </c>
      <c r="Q65" s="12" t="n"/>
      <c r="R65" s="532">
        <f>IF(Q68="","",VLOOKUP(Q68,出貨單!$E$5:$BV$20000,9,0))</f>
        <v/>
      </c>
      <c r="T65" s="13" t="inlineStr">
        <is>
          <t>工作地點:</t>
        </is>
      </c>
      <c r="U65" s="531">
        <f>IF(Q68="","",VLOOKUP(Q68,出貨單!$E$5:$BV$20000,29,0))</f>
        <v/>
      </c>
      <c r="V65" s="12" t="n"/>
      <c r="W65" s="13" t="inlineStr">
        <is>
          <t>板架位置:</t>
        </is>
      </c>
      <c r="X65" s="528">
        <f>IF(Q68="","",VLOOKUP(Q68,出貨單!$E$5:$BV$20000,42,0))</f>
        <v/>
      </c>
      <c r="AB65" s="531" t="inlineStr">
        <is>
          <t>工作時間 :</t>
        </is>
      </c>
      <c r="AC65" s="12" t="n"/>
      <c r="AD65" s="532">
        <f>IF(#REF!="","",VLOOKUP(#REF!,出貨單!$E$5:$BV$20000,9,0))</f>
        <v/>
      </c>
      <c r="AE65" s="532" t="n"/>
      <c r="AF65" s="13" t="inlineStr">
        <is>
          <t>工作地點:</t>
        </is>
      </c>
      <c r="AG65" s="531">
        <f>IF(#REF!="","",VLOOKUP(#REF!,出貨單!$E$5:$BV$20000,29,0))</f>
        <v/>
      </c>
      <c r="AH65" s="12" t="n"/>
      <c r="AI65" s="13" t="inlineStr">
        <is>
          <t>板架位置:</t>
        </is>
      </c>
      <c r="AJ65" s="528">
        <f>IF(#REF!="","",VLOOKUP(#REF!,出貨單!$E$5:$BV$20000,42,0))</f>
        <v/>
      </c>
      <c r="AK65" s="528" t="n"/>
    </row>
    <row r="66" hidden="1" ht="20.1" customHeight="1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P66" s="12" t="inlineStr">
        <is>
          <t>工時工資 :</t>
        </is>
      </c>
      <c r="Q66" s="12" t="n"/>
      <c r="R66" s="613">
        <f>IF(Q68="","",VLOOKUP(Q68,出貨單!$E$5:$BV$20000,10,0))</f>
        <v/>
      </c>
      <c r="S66" s="580" t="n"/>
      <c r="T66" s="13" t="inlineStr">
        <is>
          <t>業務人員:</t>
        </is>
      </c>
      <c r="U66" s="583">
        <f>IF(Q68="","",VLOOKUP(Q68,出貨單!$E$5:$BV$20000,32,0))</f>
        <v/>
      </c>
      <c r="V66" s="12" t="n"/>
      <c r="W66" s="13" t="inlineStr">
        <is>
          <t>轎.貨車位置:</t>
        </is>
      </c>
      <c r="X66" s="530">
        <f>IF(Q68="","",VLOOKUP(Q68,出貨單!$E$5:$BV$20000,44,0))</f>
        <v/>
      </c>
      <c r="Y66" s="580" t="n"/>
      <c r="AB66" s="12" t="inlineStr">
        <is>
          <t>工時工資 :</t>
        </is>
      </c>
      <c r="AC66" s="12" t="n"/>
      <c r="AD66" s="614">
        <f>IF(#REF!="","",VLOOKUP(#REF!,出貨單!$E$5:$BV$20000,10,0))</f>
        <v/>
      </c>
      <c r="AE66" s="614" t="n"/>
      <c r="AF66" s="13" t="inlineStr">
        <is>
          <t>業務人員:</t>
        </is>
      </c>
      <c r="AG66" s="583">
        <f>IF(#REF!="","",VLOOKUP(#REF!,出貨單!$E$5:$BV$20000,32,0))</f>
        <v/>
      </c>
      <c r="AH66" s="12" t="n"/>
      <c r="AI66" s="13" t="inlineStr">
        <is>
          <t>轎.貨車位置:</t>
        </is>
      </c>
      <c r="AJ66" s="531">
        <f>IF(#REF!="","",VLOOKUP(#REF!,出貨單!$E$5:$BV$20000,44,0))</f>
        <v/>
      </c>
      <c r="AK66" s="531" t="n"/>
    </row>
    <row r="67" ht="24" customHeight="1"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P67" s="527" t="inlineStr">
        <is>
          <t>序</t>
        </is>
      </c>
      <c r="Q67" s="527" t="inlineStr">
        <is>
          <t>出貨單號</t>
        </is>
      </c>
      <c r="R67" s="527" t="inlineStr">
        <is>
          <t>維修內容</t>
        </is>
      </c>
      <c r="S67" s="527" t="inlineStr">
        <is>
          <t>廠牌. 規格. 花紋</t>
        </is>
      </c>
      <c r="T67" s="585" t="n"/>
      <c r="U67" s="15" t="inlineStr">
        <is>
          <t>裝上胎號</t>
        </is>
      </c>
      <c r="V67" s="15" t="inlineStr">
        <is>
          <t>拆下胎號</t>
        </is>
      </c>
      <c r="W67" s="527" t="inlineStr">
        <is>
          <t>數量</t>
        </is>
      </c>
      <c r="X67" s="527" t="inlineStr">
        <is>
          <t>單價</t>
        </is>
      </c>
      <c r="Y67" s="527" t="inlineStr">
        <is>
          <t>小計</t>
        </is>
      </c>
      <c r="AB67" s="527" t="inlineStr">
        <is>
          <t>序</t>
        </is>
      </c>
      <c r="AC67" s="527" t="inlineStr">
        <is>
          <t>廠牌. 規格. 花紋</t>
        </is>
      </c>
      <c r="AD67" s="585" t="n"/>
      <c r="AE67" s="615" t="inlineStr">
        <is>
          <t>胎號</t>
        </is>
      </c>
      <c r="AF67" s="597" t="n"/>
      <c r="AG67" s="616" t="n"/>
      <c r="AH67" s="527" t="inlineStr">
        <is>
          <t>序</t>
        </is>
      </c>
      <c r="AI67" s="527" t="inlineStr">
        <is>
          <t>廠牌. 規格. 花紋</t>
        </is>
      </c>
      <c r="AJ67" s="585" t="n"/>
      <c r="AK67" s="615" t="inlineStr">
        <is>
          <t>胎號</t>
        </is>
      </c>
      <c r="AL67" s="597" t="n"/>
      <c r="AM67" s="616" t="n"/>
      <c r="AO67" s="8" t="inlineStr">
        <is>
          <t>單號參數1-25</t>
        </is>
      </c>
      <c r="AP67" s="8" t="inlineStr">
        <is>
          <t>單號參數26-50</t>
        </is>
      </c>
      <c r="BF67" s="417" t="inlineStr">
        <is>
          <t>單號參數</t>
        </is>
      </c>
    </row>
    <row r="68" ht="24.95" customHeight="1"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P68" s="359" t="n">
        <v>1</v>
      </c>
      <c r="Q68" s="360" t="inlineStr">
        <is>
          <t>1081101014</t>
        </is>
      </c>
      <c r="R68" s="375">
        <f>IF(Q68="","",VLOOKUP(Q68,出貨單!$E$5:$BV$29813,12,0))</f>
        <v/>
      </c>
      <c r="S68" s="376">
        <f>IF(Q68="","",VLOOKUP(Q68,出貨單!$E$5:$BV$29813,15,0))</f>
        <v/>
      </c>
      <c r="T68" s="377" t="n"/>
      <c r="U68" s="361" t="n"/>
      <c r="V68" s="353" t="n"/>
      <c r="W68" s="321">
        <f>IF(Q68="","",VLOOKUP(Q68,出貨單!$E$5:$BV$29813,23,0))</f>
        <v/>
      </c>
      <c r="X68" s="617">
        <f>IF(Q68="","",VLOOKUP(Q68,出貨單!$E$5:$BV$29813,26,0))</f>
        <v/>
      </c>
      <c r="Y68" s="618">
        <f>IF(Q68="","",VLOOKUP(Q68,出貨單!$E$5:$BV$29813,27,0))</f>
        <v/>
      </c>
      <c r="AB68" s="527" t="n">
        <v>1</v>
      </c>
      <c r="AC68" s="619">
        <f>IF(AO68="","",VLOOKUP(AO68,出貨單!$E$5:$BV$29813,15,0))</f>
        <v/>
      </c>
      <c r="AD68" s="585" t="n"/>
      <c r="AE68" s="374" t="n"/>
      <c r="AF68" s="409" t="inlineStr">
        <is>
          <t>BS 0843</t>
        </is>
      </c>
      <c r="AG68" s="371" t="n"/>
      <c r="AH68" s="527" t="n">
        <v>26</v>
      </c>
      <c r="AI68" s="619">
        <f>IF(AP68="","",VLOOKUP(AP68,出貨單!$E$5:$BV$29813,15,0))</f>
        <v/>
      </c>
      <c r="AJ68" s="585" t="n"/>
      <c r="AK68" s="406" t="n"/>
      <c r="AL68" s="536" t="n"/>
      <c r="AM68" s="371" t="n"/>
      <c r="AO68" s="300" t="inlineStr">
        <is>
          <t>1100331004</t>
        </is>
      </c>
      <c r="AP68" s="300" t="n"/>
      <c r="AR68" s="425" t="inlineStr">
        <is>
          <t>序</t>
        </is>
      </c>
      <c r="AS68" s="527" t="inlineStr">
        <is>
          <t>廠牌. 規格. 花紋</t>
        </is>
      </c>
      <c r="AT68" s="594" t="n"/>
      <c r="AU68" s="585" t="n"/>
      <c r="AV68" s="425" t="inlineStr">
        <is>
          <t>胎號</t>
        </is>
      </c>
      <c r="AW68" s="445" t="inlineStr">
        <is>
          <t>核對人員</t>
        </is>
      </c>
      <c r="AX68" s="425" t="inlineStr">
        <is>
          <t>入庫單號</t>
        </is>
      </c>
      <c r="AY68" s="445" t="inlineStr">
        <is>
          <t>數量</t>
        </is>
      </c>
      <c r="AZ68" s="425" t="inlineStr">
        <is>
          <t>入庫日期</t>
        </is>
      </c>
      <c r="BA68" s="425" t="inlineStr">
        <is>
          <t>出庫日期</t>
        </is>
      </c>
      <c r="BB68" s="425" t="inlineStr">
        <is>
          <t>出貨廠商</t>
        </is>
      </c>
      <c r="BC68" s="425" t="inlineStr">
        <is>
          <t>請款日期</t>
        </is>
      </c>
      <c r="BD68" s="425" t="inlineStr">
        <is>
          <t>核對人員</t>
        </is>
      </c>
      <c r="BF68" s="300" t="inlineStr">
        <is>
          <t>1100326010*1</t>
        </is>
      </c>
      <c r="BG68" s="416" t="n"/>
    </row>
    <row r="69" ht="24.95" customHeight="1"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P69" s="359" t="n">
        <v>2</v>
      </c>
      <c r="Q69" s="360" t="n"/>
      <c r="R69" s="397">
        <f>IF(Q69="","",VLOOKUP(Q69,出貨單!$E$5:$BV$29813,12,0))</f>
        <v/>
      </c>
      <c r="S69" s="376">
        <f>IF(Q69="","",VLOOKUP(Q69,出貨單!$E$5:$BV$29813,15,0))</f>
        <v/>
      </c>
      <c r="T69" s="377" t="n"/>
      <c r="U69" s="353" t="n"/>
      <c r="V69" s="353" t="n"/>
      <c r="W69" s="321">
        <f>IF(Q69="","",VLOOKUP(Q69,出貨單!$E$5:$BV$29813,23,0))</f>
        <v/>
      </c>
      <c r="X69" s="617">
        <f>IF(Q69="","",VLOOKUP(Q69,出貨單!$E$5:$BV$29813,26,0))</f>
        <v/>
      </c>
      <c r="Y69" s="618">
        <f>IF(Q69="","",VLOOKUP(Q69,出貨單!$E$5:$BV$29813,27,0))</f>
        <v/>
      </c>
      <c r="AB69" s="527" t="n">
        <v>2</v>
      </c>
      <c r="AC69" s="619">
        <f>IF(AO69="","",VLOOKUP(AO69,出貨單!$E$5:$BV$29813,15,0))</f>
        <v/>
      </c>
      <c r="AD69" s="585" t="n"/>
      <c r="AE69" s="374" t="n"/>
      <c r="AF69" s="409" t="inlineStr">
        <is>
          <t>M 0042</t>
        </is>
      </c>
      <c r="AG69" s="371" t="n"/>
      <c r="AH69" s="527" t="n">
        <v>27</v>
      </c>
      <c r="AI69" s="619">
        <f>IF(AP69="","",VLOOKUP(AP69,出貨單!$E$5:$BV$29813,15,0))</f>
        <v/>
      </c>
      <c r="AJ69" s="585" t="n"/>
      <c r="AK69" s="407" t="n"/>
      <c r="AL69" s="536" t="n"/>
      <c r="AM69" s="371" t="n"/>
      <c r="AO69" s="300" t="inlineStr">
        <is>
          <t>1100331004</t>
        </is>
      </c>
      <c r="AP69" s="300" t="n"/>
      <c r="AR69" s="418" t="n">
        <v>1</v>
      </c>
      <c r="AS69" s="444">
        <f>IF(BF68="","",VLOOKUP(BF68,出貨單!$E$5:$BV$29813,15,0))</f>
        <v/>
      </c>
      <c r="AT69" s="439" t="n"/>
      <c r="AU69" s="440" t="n"/>
      <c r="AV69" s="446">
        <f>IF(BF68="","",VLOOKUP(BF68,出貨單!$E$5:$BV$29813,47,0))</f>
        <v/>
      </c>
      <c r="AW69" s="425" t="inlineStr">
        <is>
          <t>筠</t>
        </is>
      </c>
      <c r="AX69" s="446">
        <f>IF(BF68="","",VLOOKUP(BF68,出貨單!$E$5:$BV$29813,18,0))</f>
        <v/>
      </c>
      <c r="AY69" s="418" t="n">
        <v>1</v>
      </c>
      <c r="AZ69" s="446">
        <f>IF(BF68="","",VLOOKUP(BF68,出貨單!$E$5:$BV$29813,48,0))</f>
        <v/>
      </c>
      <c r="BA69" s="441" t="n"/>
      <c r="BB69" s="441" t="n"/>
      <c r="BC69" s="441" t="n"/>
      <c r="BD69" s="441" t="n"/>
      <c r="BF69" s="300" t="inlineStr">
        <is>
          <t>1100326010*2</t>
        </is>
      </c>
      <c r="BG69" s="416" t="n"/>
    </row>
    <row r="70" ht="24.95" customHeight="1"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P70" s="352" t="n">
        <v>3</v>
      </c>
      <c r="Q70" s="360" t="n"/>
      <c r="R70" s="378">
        <f>IF(Q70="","",VLOOKUP(Q70,出貨單!$E$5:$BV$29813,12,0))</f>
        <v/>
      </c>
      <c r="S70" s="376">
        <f>IF(Q70="","",VLOOKUP(Q70,出貨單!$E$5:$BV$29813,15,0))</f>
        <v/>
      </c>
      <c r="T70" s="377" t="n"/>
      <c r="U70" s="353" t="n"/>
      <c r="V70" s="353" t="n"/>
      <c r="W70" s="321">
        <f>IF(Q70="","",VLOOKUP(Q70,出貨單!$E$5:$BV$29813,23,0))</f>
        <v/>
      </c>
      <c r="X70" s="617">
        <f>IF(Q70="","",VLOOKUP(Q70,出貨單!$E$5:$BV$29813,26,0))</f>
        <v/>
      </c>
      <c r="Y70" s="618">
        <f>IF(Q70="","",VLOOKUP(Q70,出貨單!$E$5:$BV$29813,27,0))</f>
        <v/>
      </c>
      <c r="AB70" s="527" t="n">
        <v>3</v>
      </c>
      <c r="AC70" s="619">
        <f>IF(AO70="","",VLOOKUP(AO70,出貨單!$E$5:$BV$29813,15,0))</f>
        <v/>
      </c>
      <c r="AD70" s="585" t="n"/>
      <c r="AE70" s="374" t="n"/>
      <c r="AF70" s="409" t="inlineStr">
        <is>
          <t>M 0135</t>
        </is>
      </c>
      <c r="AG70" s="371" t="n"/>
      <c r="AH70" s="527" t="n">
        <v>28</v>
      </c>
      <c r="AI70" s="619">
        <f>IF(AP70="","",VLOOKUP(AP70,出貨單!$E$5:$BV$29813,15,0))</f>
        <v/>
      </c>
      <c r="AJ70" s="585" t="n"/>
      <c r="AK70" s="407" t="n"/>
      <c r="AL70" s="536" t="n"/>
      <c r="AM70" s="371" t="n"/>
      <c r="AO70" s="300" t="inlineStr">
        <is>
          <t>1100331004</t>
        </is>
      </c>
      <c r="AP70" s="300" t="n"/>
      <c r="AR70" s="418" t="n">
        <v>2</v>
      </c>
      <c r="AS70" s="444">
        <f>IF(BF69="","",VLOOKUP(BF69,出貨單!$E$5:$BV$29813,15,0))</f>
        <v/>
      </c>
      <c r="AT70" s="439" t="n"/>
      <c r="AU70" s="440" t="n"/>
      <c r="AV70" s="446">
        <f>IF(BF69="","",VLOOKUP(BF69,出貨單!$E$5:$BV$29813,47,0))</f>
        <v/>
      </c>
      <c r="AW70" s="425" t="inlineStr">
        <is>
          <t>筠</t>
        </is>
      </c>
      <c r="AX70" s="446">
        <f>IF(BF69="","",VLOOKUP(BF69,出貨單!$E$5:$BV$29813,18,0))</f>
        <v/>
      </c>
      <c r="AY70" s="418" t="n">
        <v>1</v>
      </c>
      <c r="AZ70" s="446">
        <f>IF(BF69="","",VLOOKUP(BF69,出貨單!$E$5:$BV$29813,48,0))</f>
        <v/>
      </c>
      <c r="BA70" s="441" t="n"/>
      <c r="BB70" s="441" t="n"/>
      <c r="BC70" s="441" t="n"/>
      <c r="BD70" s="441" t="n"/>
      <c r="BF70" s="300" t="n"/>
      <c r="BG70" s="416" t="n"/>
    </row>
    <row r="71" ht="24.95" customHeight="1"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P71" s="352" t="n">
        <v>4</v>
      </c>
      <c r="Q71" s="360" t="n"/>
      <c r="R71" s="398">
        <f>IF(Q71="","",VLOOKUP(Q71,出貨單!$E$5:$BV$29813,12,0))</f>
        <v/>
      </c>
      <c r="S71" s="380">
        <f>IF(Q71="","",VLOOKUP(Q71,出貨單!$E$5:$BV$29813,15,0))</f>
        <v/>
      </c>
      <c r="T71" s="379" t="n"/>
      <c r="U71" s="353" t="n"/>
      <c r="V71" s="353" t="n"/>
      <c r="W71" s="354">
        <f>IF(Q71="","",VLOOKUP(Q71,出貨單!$E$5:$BV$29813,23,0))</f>
        <v/>
      </c>
      <c r="X71" s="620">
        <f>IF(Q71="","",VLOOKUP(Q71,出貨單!$E$5:$BV$29813,26,0))</f>
        <v/>
      </c>
      <c r="Y71" s="621">
        <f>IF(Q71="","",VLOOKUP(Q71,出貨單!$E$5:$BV$29813,27,0))</f>
        <v/>
      </c>
      <c r="AB71" s="527" t="n">
        <v>4</v>
      </c>
      <c r="AC71" s="619">
        <f>IF(AO71="","",VLOOKUP(AO71,出貨單!$E$5:$BV$29813,15,0))</f>
        <v/>
      </c>
      <c r="AD71" s="585" t="n"/>
      <c r="AE71" s="374" t="n"/>
      <c r="AF71" s="409" t="inlineStr">
        <is>
          <t>M 2881</t>
        </is>
      </c>
      <c r="AG71" s="371" t="n"/>
      <c r="AH71" s="527" t="n">
        <v>29</v>
      </c>
      <c r="AI71" s="619">
        <f>IF(AP71="","",VLOOKUP(AP71,出貨單!$E$5:$BV$29813,15,0))</f>
        <v/>
      </c>
      <c r="AJ71" s="585" t="n"/>
      <c r="AK71" s="407" t="n"/>
      <c r="AL71" s="536" t="n"/>
      <c r="AM71" s="371" t="n"/>
      <c r="AO71" s="300" t="inlineStr">
        <is>
          <t>1100331004</t>
        </is>
      </c>
      <c r="AP71" s="300" t="n"/>
      <c r="AR71" s="418" t="n">
        <v>3</v>
      </c>
      <c r="AS71" s="444">
        <f>IF(BF70="","",VLOOKUP(BF70,出貨單!$E$5:$BV$29813,15,0))</f>
        <v/>
      </c>
      <c r="AT71" s="439" t="n"/>
      <c r="AU71" s="440" t="n"/>
      <c r="AV71" s="446">
        <f>IF(BF70="","",VLOOKUP(BF70,出貨單!$E$5:$BV$29813,47,0))</f>
        <v/>
      </c>
      <c r="AW71" s="425" t="n"/>
      <c r="AX71" s="446">
        <f>IF(BF70="","",VLOOKUP(BF70,出貨單!$E$5:$BV$29813,18,0))</f>
        <v/>
      </c>
      <c r="AY71" s="418" t="n"/>
      <c r="AZ71" s="446">
        <f>IF(BF70="","",VLOOKUP(BF70,出貨單!$E$5:$BV$29813,48,0))</f>
        <v/>
      </c>
      <c r="BA71" s="441" t="n"/>
      <c r="BB71" s="441" t="n"/>
      <c r="BC71" s="441" t="n"/>
      <c r="BD71" s="441" t="n"/>
      <c r="BF71" s="300" t="n"/>
      <c r="BG71" s="416" t="n"/>
    </row>
    <row r="72" ht="24.95" customHeight="1"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P72" s="352" t="n">
        <v>5</v>
      </c>
      <c r="Q72" s="360" t="n"/>
      <c r="R72" s="399">
        <f>IF(Q72="","",VLOOKUP(Q72,出貨單!$E$5:$BV$29813,12,0))</f>
        <v/>
      </c>
      <c r="S72" s="380">
        <f>IF(Q72="","",VLOOKUP(Q72,出貨單!$E$5:$BV$29813,15,0))</f>
        <v/>
      </c>
      <c r="T72" s="379" t="n"/>
      <c r="U72" s="353" t="n"/>
      <c r="V72" s="353" t="n"/>
      <c r="W72" s="354">
        <f>IF(Q72="","",VLOOKUP(Q72,出貨單!$E$5:$BV$29813,23,0))</f>
        <v/>
      </c>
      <c r="X72" s="617">
        <f>IF(Q72="","",VLOOKUP(Q72,出貨單!$E$5:$BV$29813,26,0))</f>
        <v/>
      </c>
      <c r="Y72" s="618">
        <f>IF(Q72="","",VLOOKUP(Q72,出貨單!$E$5:$BV$29813,27,0))</f>
        <v/>
      </c>
      <c r="AB72" s="527" t="n">
        <v>5</v>
      </c>
      <c r="AC72" s="619">
        <f>IF(AO72="","",VLOOKUP(AO72,出貨單!$E$5:$BV$29813,15,0))</f>
        <v/>
      </c>
      <c r="AD72" s="585" t="n"/>
      <c r="AE72" s="374" t="n"/>
      <c r="AF72" s="409" t="inlineStr">
        <is>
          <t>M 3590</t>
        </is>
      </c>
      <c r="AG72" s="371" t="n"/>
      <c r="AH72" s="527" t="n">
        <v>30</v>
      </c>
      <c r="AI72" s="619">
        <f>IF(AP72="","",VLOOKUP(AP72,出貨單!$E$5:$BV$29813,15,0))</f>
        <v/>
      </c>
      <c r="AJ72" s="585" t="n"/>
      <c r="AK72" s="407" t="n"/>
      <c r="AL72" s="536" t="n"/>
      <c r="AM72" s="371" t="n"/>
      <c r="AO72" s="300" t="inlineStr">
        <is>
          <t>1100331004</t>
        </is>
      </c>
      <c r="AP72" s="300" t="n"/>
      <c r="AR72" s="418" t="n">
        <v>4</v>
      </c>
      <c r="AS72" s="444">
        <f>IF(BF71="","",VLOOKUP(BF71,出貨單!$E$5:$BV$29813,15,0))</f>
        <v/>
      </c>
      <c r="AT72" s="439" t="n"/>
      <c r="AU72" s="440" t="n"/>
      <c r="AV72" s="446">
        <f>IF(BF71="","",VLOOKUP(BF71,出貨單!$E$5:$BV$29813,47,0))</f>
        <v/>
      </c>
      <c r="AW72" s="425" t="n"/>
      <c r="AX72" s="446">
        <f>IF(BF71="","",VLOOKUP(BF71,出貨單!$E$5:$BV$29813,18,0))</f>
        <v/>
      </c>
      <c r="AY72" s="418" t="n"/>
      <c r="AZ72" s="446">
        <f>IF(BF71="","",VLOOKUP(BF71,出貨單!$E$5:$BV$29813,48,0))</f>
        <v/>
      </c>
      <c r="BA72" s="441" t="n"/>
      <c r="BB72" s="441" t="n"/>
      <c r="BC72" s="441" t="n"/>
      <c r="BD72" s="441" t="n"/>
      <c r="BF72" s="300" t="n"/>
      <c r="BG72" s="416" t="n"/>
    </row>
    <row r="73" ht="24.95" customHeight="1"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P73" s="352" t="n">
        <v>6</v>
      </c>
      <c r="Q73" s="360" t="n"/>
      <c r="R73" s="400">
        <f>IF(Q73="","",VLOOKUP(Q73,出貨單!$E$5:$BV$29813,12,0))</f>
        <v/>
      </c>
      <c r="S73" s="380">
        <f>IF(Q73="","",VLOOKUP(Q73,出貨單!$E$5:$BV$29813,15,0))</f>
        <v/>
      </c>
      <c r="T73" s="379" t="n"/>
      <c r="U73" s="357" t="n"/>
      <c r="V73" s="357" t="n"/>
      <c r="W73" s="358">
        <f>IF(Q73="","",VLOOKUP(Q73,出貨單!$E$5:$BV$29813,23,0))</f>
        <v/>
      </c>
      <c r="X73" s="617">
        <f>IF(Q73="","",VLOOKUP(Q73,出貨單!$E$5:$BV$29813,26,0))</f>
        <v/>
      </c>
      <c r="Y73" s="618">
        <f>IF(Q73="","",VLOOKUP(Q73,出貨單!$E$5:$BV$29813,27,0))</f>
        <v/>
      </c>
      <c r="AB73" s="527" t="n">
        <v>6</v>
      </c>
      <c r="AC73" s="619">
        <f>IF(AO73="","",VLOOKUP(AO73,出貨單!$E$5:$BV$29813,15,0))</f>
        <v/>
      </c>
      <c r="AD73" s="585" t="n"/>
      <c r="AE73" s="374" t="n"/>
      <c r="AF73" s="409" t="inlineStr">
        <is>
          <t>M 5315</t>
        </is>
      </c>
      <c r="AG73" s="371" t="n"/>
      <c r="AH73" s="527" t="n">
        <v>31</v>
      </c>
      <c r="AI73" s="619">
        <f>IF(AP73="","",VLOOKUP(AP73,出貨單!$E$5:$BV$29813,15,0))</f>
        <v/>
      </c>
      <c r="AJ73" s="585" t="n"/>
      <c r="AK73" s="370" t="n"/>
      <c r="AL73" s="536" t="n"/>
      <c r="AM73" s="371" t="n"/>
      <c r="AO73" s="300" t="inlineStr">
        <is>
          <t>1100331004</t>
        </is>
      </c>
      <c r="AP73" s="300" t="n"/>
      <c r="AR73" s="418" t="n">
        <v>5</v>
      </c>
      <c r="AS73" s="444">
        <f>IF(BF72="","",VLOOKUP(BF72,出貨單!$E$5:$BV$29813,15,0))</f>
        <v/>
      </c>
      <c r="AT73" s="439" t="n"/>
      <c r="AU73" s="440" t="n"/>
      <c r="AV73" s="446">
        <f>IF(BF72="","",VLOOKUP(BF72,出貨單!$E$5:$BV$29813,47,0))</f>
        <v/>
      </c>
      <c r="AW73" s="425" t="n"/>
      <c r="AX73" s="446">
        <f>IF(BF72="","",VLOOKUP(BF72,出貨單!$E$5:$BV$29813,18,0))</f>
        <v/>
      </c>
      <c r="AY73" s="418" t="n"/>
      <c r="AZ73" s="446">
        <f>IF(BF72="","",VLOOKUP(BF72,出貨單!$E$5:$BV$29813,48,0))</f>
        <v/>
      </c>
      <c r="BA73" s="441" t="n"/>
      <c r="BB73" s="441" t="n"/>
      <c r="BC73" s="441" t="n"/>
      <c r="BD73" s="441" t="n"/>
      <c r="BF73" s="300" t="n"/>
      <c r="BG73" s="416" t="n"/>
    </row>
    <row r="74" ht="24.95" customHeight="1"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P74" s="352" t="n">
        <v>7</v>
      </c>
      <c r="Q74" s="360" t="n"/>
      <c r="R74" s="378">
        <f>IF(Q74="","",VLOOKUP(Q74,出貨單!$E$5:$BV$29813,12,0))</f>
        <v/>
      </c>
      <c r="S74" s="380">
        <f>IF(Q74="","",VLOOKUP(Q74,出貨單!$E$5:$BV$29813,15,0))</f>
        <v/>
      </c>
      <c r="T74" s="379" t="n"/>
      <c r="U74" s="302" t="n"/>
      <c r="V74" s="302" t="n"/>
      <c r="W74" s="321">
        <f>IF(Q74="","",VLOOKUP(Q74,出貨單!$E$5:$BV$29813,23,0))</f>
        <v/>
      </c>
      <c r="X74" s="617">
        <f>IF(Q74="","",VLOOKUP(Q74,出貨單!$E$5:$BV$29813,26,0))</f>
        <v/>
      </c>
      <c r="Y74" s="618">
        <f>IF(Q74="","",VLOOKUP(Q74,出貨單!$E$5:$BV$29813,27,0))</f>
        <v/>
      </c>
      <c r="AB74" s="527" t="n">
        <v>7</v>
      </c>
      <c r="AC74" s="619">
        <f>IF(AO74="","",VLOOKUP(AO74,出貨單!$E$5:$BV$29813,15,0))</f>
        <v/>
      </c>
      <c r="AD74" s="585" t="n"/>
      <c r="AE74" s="374" t="n"/>
      <c r="AF74" s="409" t="inlineStr">
        <is>
          <t>M 7733</t>
        </is>
      </c>
      <c r="AG74" s="371" t="n"/>
      <c r="AH74" s="527" t="n">
        <v>32</v>
      </c>
      <c r="AI74" s="619">
        <f>IF(AP74="","",VLOOKUP(AP74,出貨單!$E$5:$BV$29813,15,0))</f>
        <v/>
      </c>
      <c r="AJ74" s="585" t="n"/>
      <c r="AK74" s="370" t="n"/>
      <c r="AL74" s="536" t="n"/>
      <c r="AM74" s="371" t="n"/>
      <c r="AO74" s="300" t="inlineStr">
        <is>
          <t>1100331004</t>
        </is>
      </c>
      <c r="AP74" s="300" t="n"/>
      <c r="AR74" s="418" t="n">
        <v>6</v>
      </c>
      <c r="AS74" s="444">
        <f>IF(BF73="","",VLOOKUP(BF73,出貨單!$E$5:$BV$29813,15,0))</f>
        <v/>
      </c>
      <c r="AT74" s="439" t="n"/>
      <c r="AU74" s="440" t="n"/>
      <c r="AV74" s="446">
        <f>IF(BF73="","",VLOOKUP(BF73,出貨單!$E$5:$BV$29813,47,0))</f>
        <v/>
      </c>
      <c r="AW74" s="425" t="n"/>
      <c r="AX74" s="446">
        <f>IF(BF73="","",VLOOKUP(BF73,出貨單!$E$5:$BV$29813,18,0))</f>
        <v/>
      </c>
      <c r="AY74" s="418" t="n"/>
      <c r="AZ74" s="446">
        <f>IF(BF73="","",VLOOKUP(BF73,出貨單!$E$5:$BV$29813,48,0))</f>
        <v/>
      </c>
      <c r="BA74" s="441" t="n"/>
      <c r="BB74" s="441" t="n"/>
      <c r="BC74" s="441" t="n"/>
      <c r="BD74" s="441" t="n"/>
      <c r="BF74" s="300" t="n"/>
      <c r="BG74" s="416" t="n"/>
    </row>
    <row r="75" ht="24.95" customHeight="1"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P75" s="352" t="n">
        <v>8</v>
      </c>
      <c r="Q75" s="360" t="n"/>
      <c r="R75" s="401">
        <f>IF(Q75="","",VLOOKUP(Q75,出貨單!$E$5:$BV$29813,12,0))</f>
        <v/>
      </c>
      <c r="S75" s="380">
        <f>IF(Q75="","",VLOOKUP(Q75,出貨單!$E$5:$BV$29813,15,0))</f>
        <v/>
      </c>
      <c r="T75" s="379" t="n"/>
      <c r="U75" s="302" t="n"/>
      <c r="V75" s="302" t="n"/>
      <c r="W75" s="321">
        <f>IF(Q75="","",VLOOKUP(Q75,出貨單!$E$5:$BV$29813,23,0))</f>
        <v/>
      </c>
      <c r="X75" s="617">
        <f>IF(Q75="","",VLOOKUP(Q75,出貨單!$E$5:$BV$29813,26,0))</f>
        <v/>
      </c>
      <c r="Y75" s="618">
        <f>IF(Q75="","",VLOOKUP(Q75,出貨單!$E$5:$BV$29813,27,0))</f>
        <v/>
      </c>
      <c r="AB75" s="527" t="n">
        <v>8</v>
      </c>
      <c r="AC75" s="619">
        <f>IF(AO75="","",VLOOKUP(AO75,出貨單!$E$5:$BV$29813,15,0))</f>
        <v/>
      </c>
      <c r="AD75" s="585" t="n"/>
      <c r="AE75" s="374" t="n"/>
      <c r="AF75" s="409" t="inlineStr">
        <is>
          <t>M 0060</t>
        </is>
      </c>
      <c r="AG75" s="371" t="n"/>
      <c r="AH75" s="527" t="n">
        <v>33</v>
      </c>
      <c r="AI75" s="619">
        <f>IF(AP75="","",VLOOKUP(AP75,出貨單!$E$5:$BV$29813,15,0))</f>
        <v/>
      </c>
      <c r="AJ75" s="585" t="n"/>
      <c r="AK75" s="370" t="n"/>
      <c r="AL75" s="536" t="n"/>
      <c r="AM75" s="371" t="n"/>
      <c r="AO75" s="300" t="inlineStr">
        <is>
          <t>1100331004</t>
        </is>
      </c>
      <c r="AP75" s="300" t="n"/>
      <c r="AR75" s="418" t="n">
        <v>7</v>
      </c>
      <c r="AS75" s="444">
        <f>IF(BF74="","",VLOOKUP(BF74,出貨單!$E$5:$BV$29813,15,0))</f>
        <v/>
      </c>
      <c r="AT75" s="439" t="n"/>
      <c r="AU75" s="440" t="n"/>
      <c r="AV75" s="446">
        <f>IF(BF74="","",VLOOKUP(BF74,出貨單!$E$5:$BV$29813,47,0))</f>
        <v/>
      </c>
      <c r="AW75" s="425" t="n"/>
      <c r="AX75" s="446">
        <f>IF(BF74="","",VLOOKUP(BF74,出貨單!$E$5:$BV$29813,18,0))</f>
        <v/>
      </c>
      <c r="AY75" s="418" t="n"/>
      <c r="AZ75" s="446">
        <f>IF(BF74="","",VLOOKUP(BF74,出貨單!$E$5:$BV$29813,48,0))</f>
        <v/>
      </c>
      <c r="BA75" s="441" t="n"/>
      <c r="BB75" s="441" t="n"/>
      <c r="BC75" s="441" t="n"/>
      <c r="BD75" s="441" t="n"/>
      <c r="BF75" s="300" t="n"/>
      <c r="BG75" s="416" t="n"/>
    </row>
    <row r="76" ht="24.95" customHeight="1"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P76" s="352" t="n">
        <v>9</v>
      </c>
      <c r="Q76" s="360" t="n"/>
      <c r="R76" s="378">
        <f>IF(Q76="","",VLOOKUP(Q76,出貨單!$E$5:$BV$29813,12,0))</f>
        <v/>
      </c>
      <c r="S76" s="380">
        <f>IF(Q76="","",VLOOKUP(Q76,出貨單!$E$5:$BV$29813,15,0))</f>
        <v/>
      </c>
      <c r="T76" s="379" t="n"/>
      <c r="U76" s="302" t="n"/>
      <c r="V76" s="302" t="n"/>
      <c r="W76" s="321">
        <f>IF(Q76="","",VLOOKUP(Q76,出貨單!$E$5:$BV$29813,23,0))</f>
        <v/>
      </c>
      <c r="X76" s="617">
        <f>IF(Q76="","",VLOOKUP(Q76,出貨單!$E$5:$BV$29813,26,0))</f>
        <v/>
      </c>
      <c r="Y76" s="618">
        <f>IF(Q76="","",VLOOKUP(Q76,出貨單!$E$5:$BV$29813,27,0))</f>
        <v/>
      </c>
      <c r="AB76" s="527" t="n">
        <v>9</v>
      </c>
      <c r="AC76" s="619">
        <f>IF(AO76="","",VLOOKUP(AO76,出貨單!$E$5:$BV$29813,15,0))</f>
        <v/>
      </c>
      <c r="AD76" s="585" t="n"/>
      <c r="AE76" s="374" t="n"/>
      <c r="AF76" s="409" t="inlineStr">
        <is>
          <t>M 5027</t>
        </is>
      </c>
      <c r="AG76" s="371" t="n"/>
      <c r="AH76" s="527" t="n">
        <v>34</v>
      </c>
      <c r="AI76" s="619">
        <f>IF(AP76="","",VLOOKUP(AP76,出貨單!$E$5:$BV$29813,15,0))</f>
        <v/>
      </c>
      <c r="AJ76" s="585" t="n"/>
      <c r="AK76" s="370" t="n"/>
      <c r="AL76" s="536" t="n"/>
      <c r="AM76" s="371" t="n"/>
      <c r="AO76" s="300" t="inlineStr">
        <is>
          <t>1100331004</t>
        </is>
      </c>
      <c r="AP76" s="300" t="n"/>
      <c r="AR76" s="418" t="n">
        <v>8</v>
      </c>
      <c r="AS76" s="444">
        <f>IF(BF75="","",VLOOKUP(BF75,出貨單!$E$5:$BV$29813,15,0))</f>
        <v/>
      </c>
      <c r="AT76" s="439" t="n"/>
      <c r="AU76" s="440" t="n"/>
      <c r="AV76" s="446">
        <f>IF(BF75="","",VLOOKUP(BF75,出貨單!$E$5:$BV$29813,47,0))</f>
        <v/>
      </c>
      <c r="AW76" s="425" t="n"/>
      <c r="AX76" s="446">
        <f>IF(BF75="","",VLOOKUP(BF75,出貨單!$E$5:$BV$29813,18,0))</f>
        <v/>
      </c>
      <c r="AY76" s="418" t="n"/>
      <c r="AZ76" s="446">
        <f>IF(BF75="","",VLOOKUP(BF75,出貨單!$E$5:$BV$29813,48,0))</f>
        <v/>
      </c>
      <c r="BA76" s="441" t="n"/>
      <c r="BB76" s="441" t="n"/>
      <c r="BC76" s="441" t="n"/>
      <c r="BD76" s="441" t="n"/>
      <c r="BF76" s="300" t="n"/>
      <c r="BG76" s="416" t="n"/>
    </row>
    <row r="77" ht="24.95" customHeight="1"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P77" s="352" t="n">
        <v>10</v>
      </c>
      <c r="Q77" s="360" t="n"/>
      <c r="R77" s="401">
        <f>IF(Q77="","",VLOOKUP(Q77,出貨單!$E$5:$BV$29813,12,0))</f>
        <v/>
      </c>
      <c r="S77" s="380">
        <f>IF(Q77="","",VLOOKUP(Q77,出貨單!$E$5:$BV$29813,15,0))</f>
        <v/>
      </c>
      <c r="T77" s="379" t="n"/>
      <c r="U77" s="302" t="n"/>
      <c r="V77" s="302" t="n"/>
      <c r="W77" s="321">
        <f>IF(Q77="","",VLOOKUP(Q77,出貨單!$E$5:$BV$29813,23,0))</f>
        <v/>
      </c>
      <c r="X77" s="617">
        <f>IF(Q77="","",VLOOKUP(Q77,出貨單!$E$5:$BV$29813,26,0))</f>
        <v/>
      </c>
      <c r="Y77" s="618">
        <f>IF(Q77="","",VLOOKUP(Q77,出貨單!$E$5:$BV$29813,27,0))</f>
        <v/>
      </c>
      <c r="AB77" s="527" t="n">
        <v>10</v>
      </c>
      <c r="AC77" s="619">
        <f>IF(AO77="","",VLOOKUP(AO77,出貨單!$E$5:$BV$29813,15,0))</f>
        <v/>
      </c>
      <c r="AD77" s="585" t="n"/>
      <c r="AE77" s="374" t="n"/>
      <c r="AF77" s="409" t="inlineStr">
        <is>
          <t>M 3633</t>
        </is>
      </c>
      <c r="AG77" s="371" t="n"/>
      <c r="AH77" s="527" t="n">
        <v>35</v>
      </c>
      <c r="AI77" s="619">
        <f>IF(AP77="","",VLOOKUP(AP77,出貨單!$E$5:$BV$29813,15,0))</f>
        <v/>
      </c>
      <c r="AJ77" s="585" t="n"/>
      <c r="AK77" s="370" t="n"/>
      <c r="AL77" s="536" t="n"/>
      <c r="AM77" s="371" t="n"/>
      <c r="AO77" s="300" t="inlineStr">
        <is>
          <t>1100331004</t>
        </is>
      </c>
      <c r="AP77" s="300" t="n"/>
      <c r="AR77" s="418" t="n">
        <v>9</v>
      </c>
      <c r="AS77" s="444">
        <f>IF(BF76="","",VLOOKUP(BF76,出貨單!$E$5:$BV$29813,15,0))</f>
        <v/>
      </c>
      <c r="AT77" s="439" t="n"/>
      <c r="AU77" s="440" t="n"/>
      <c r="AV77" s="446">
        <f>IF(BF76="","",VLOOKUP(BF76,出貨單!$E$5:$BV$29813,47,0))</f>
        <v/>
      </c>
      <c r="AW77" s="425" t="n"/>
      <c r="AX77" s="446">
        <f>IF(BF76="","",VLOOKUP(BF76,出貨單!$E$5:$BV$29813,18,0))</f>
        <v/>
      </c>
      <c r="AY77" s="418" t="n"/>
      <c r="AZ77" s="446">
        <f>IF(BF76="","",VLOOKUP(BF76,出貨單!$E$5:$BV$29813,48,0))</f>
        <v/>
      </c>
      <c r="BA77" s="441" t="n"/>
      <c r="BB77" s="441" t="n"/>
      <c r="BC77" s="441" t="n"/>
      <c r="BD77" s="441" t="n"/>
      <c r="BF77" s="300" t="n"/>
      <c r="BG77" s="416" t="n"/>
    </row>
    <row r="78" ht="24.95" customHeight="1"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P78" s="525" t="inlineStr">
        <is>
          <t>小計金額</t>
        </is>
      </c>
      <c r="Q78" s="594" t="n"/>
      <c r="R78" s="594" t="n"/>
      <c r="S78" s="594" t="n"/>
      <c r="T78" s="594" t="n"/>
      <c r="U78" s="594" t="n"/>
      <c r="V78" s="594" t="n"/>
      <c r="W78" s="594" t="n"/>
      <c r="X78" s="594" t="n"/>
      <c r="Y78" s="595">
        <f>SUM(Y68:Y77)</f>
        <v/>
      </c>
      <c r="AB78" s="527" t="n">
        <v>11</v>
      </c>
      <c r="AC78" s="619">
        <f>IF(AO78="","",VLOOKUP(AO78,出貨單!$E$5:$BV$29813,15,0))</f>
        <v/>
      </c>
      <c r="AD78" s="585" t="n"/>
      <c r="AE78" s="374" t="n"/>
      <c r="AF78" s="409" t="inlineStr">
        <is>
          <t>M 2934</t>
        </is>
      </c>
      <c r="AG78" s="371" t="n"/>
      <c r="AH78" s="527" t="n">
        <v>36</v>
      </c>
      <c r="AI78" s="619">
        <f>IF(AP78="","",VLOOKUP(AP78,出貨單!$E$5:$BV$29813,15,0))</f>
        <v/>
      </c>
      <c r="AJ78" s="585" t="n"/>
      <c r="AK78" s="370" t="n"/>
      <c r="AL78" s="536" t="n"/>
      <c r="AM78" s="371" t="n"/>
      <c r="AO78" s="300" t="inlineStr">
        <is>
          <t>1100331004</t>
        </is>
      </c>
      <c r="AP78" s="300" t="n"/>
      <c r="AR78" s="418" t="n">
        <v>10</v>
      </c>
      <c r="AS78" s="444">
        <f>IF(BF77="","",VLOOKUP(BF77,出貨單!$E$5:$BV$29813,15,0))</f>
        <v/>
      </c>
      <c r="AT78" s="439" t="n"/>
      <c r="AU78" s="440" t="n"/>
      <c r="AV78" s="446">
        <f>IF(BF77="","",VLOOKUP(BF77,出貨單!$E$5:$BV$29813,47,0))</f>
        <v/>
      </c>
      <c r="AW78" s="425" t="n"/>
      <c r="AX78" s="446">
        <f>IF(BF77="","",VLOOKUP(BF77,出貨單!$E$5:$BV$29813,18,0))</f>
        <v/>
      </c>
      <c r="AY78" s="418" t="n"/>
      <c r="AZ78" s="446">
        <f>IF(BF77="","",VLOOKUP(BF77,出貨單!$E$5:$BV$29813,48,0))</f>
        <v/>
      </c>
      <c r="BA78" s="441" t="n"/>
      <c r="BB78" s="441" t="n"/>
      <c r="BC78" s="441" t="n"/>
      <c r="BD78" s="441" t="n"/>
      <c r="BF78" s="416" t="n"/>
      <c r="BG78" s="416" t="n"/>
    </row>
    <row r="79" ht="24.95" customHeight="1"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P79" s="516" t="inlineStr">
        <is>
          <t>客戶簽名：</t>
        </is>
      </c>
      <c r="Q79" s="594" t="n"/>
      <c r="R79" s="307" t="n"/>
      <c r="S79" s="515" t="inlineStr">
        <is>
          <t xml:space="preserve">　　　老闆簽核：</t>
        </is>
      </c>
      <c r="T79" s="597" t="n"/>
      <c r="U79" s="308" t="inlineStr">
        <is>
          <t>稅額:</t>
        </is>
      </c>
      <c r="V79" s="598">
        <f>IF(OR(W79="含稅",W79="未稅"),0,IF(OR(W79="稅外"),Y78*0.05,""))</f>
        <v/>
      </c>
      <c r="W79" s="310">
        <f>IF(Q68="","",VLOOKUP(Q68,出貨單!$E$5:$BV$29813,34,0))</f>
        <v/>
      </c>
      <c r="X79" s="311" t="inlineStr">
        <is>
          <t>總計:</t>
        </is>
      </c>
      <c r="Y79" s="393">
        <f>IF(OR(Y78&gt;0.1),Y78+V79,IF(OR(Y78=0),Y78,""))</f>
        <v/>
      </c>
      <c r="AB79" s="527" t="n">
        <v>12</v>
      </c>
      <c r="AC79" s="619">
        <f>IF(AO79="","",VLOOKUP(AO79,出貨單!$E$5:$BV$29813,15,0))</f>
        <v/>
      </c>
      <c r="AD79" s="585" t="n"/>
      <c r="AE79" s="374" t="n"/>
      <c r="AF79" s="409" t="inlineStr">
        <is>
          <t>M 3394</t>
        </is>
      </c>
      <c r="AG79" s="371" t="n"/>
      <c r="AH79" s="527" t="n">
        <v>37</v>
      </c>
      <c r="AI79" s="619">
        <f>IF(AP79="","",VLOOKUP(AP79,出貨單!$E$5:$BV$29813,15,0))</f>
        <v/>
      </c>
      <c r="AJ79" s="585" t="n"/>
      <c r="AK79" s="370" t="n"/>
      <c r="AL79" s="536" t="n"/>
      <c r="AM79" s="371" t="n"/>
      <c r="AO79" s="300" t="inlineStr">
        <is>
          <t>1100331004</t>
        </is>
      </c>
      <c r="AP79" s="300" t="n"/>
      <c r="AR79" s="622" t="inlineStr">
        <is>
          <t>客戶簽名：</t>
        </is>
      </c>
      <c r="AS79" s="623" t="n"/>
      <c r="AT79" s="623" t="n"/>
      <c r="AU79" s="436" t="n"/>
      <c r="AV79" s="436" t="n"/>
      <c r="AW79" s="624" t="inlineStr">
        <is>
          <t xml:space="preserve">　　　老闆簽核：</t>
        </is>
      </c>
      <c r="AX79" s="625" t="n"/>
      <c r="AY79" s="442" t="n"/>
      <c r="AZ79" s="442" t="n"/>
      <c r="BA79" s="442" t="n"/>
      <c r="BB79" s="442" t="n"/>
      <c r="BC79" s="626" t="inlineStr">
        <is>
          <t xml:space="preserve">總數量 : </t>
        </is>
      </c>
      <c r="BD79" s="627">
        <f>SUM(AY69:AY78)</f>
        <v/>
      </c>
      <c r="BF79" s="416" t="n"/>
      <c r="BG79" s="416" t="n"/>
    </row>
    <row r="80" ht="24.95" customHeight="1"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V80" s="16" t="n"/>
      <c r="W80" s="532" t="n"/>
      <c r="Y80" s="9" t="n"/>
      <c r="AB80" s="527" t="n">
        <v>13</v>
      </c>
      <c r="AC80" s="619">
        <f>IF(AO80="","",VLOOKUP(AO80,出貨單!$E$5:$BV$29813,15,0))</f>
        <v/>
      </c>
      <c r="AD80" s="585" t="n"/>
      <c r="AE80" s="374" t="n"/>
      <c r="AF80" s="409" t="inlineStr">
        <is>
          <t>M 0268</t>
        </is>
      </c>
      <c r="AG80" s="371" t="n"/>
      <c r="AH80" s="527" t="n">
        <v>38</v>
      </c>
      <c r="AI80" s="619">
        <f>IF(AP80="","",VLOOKUP(AP80,出貨單!$E$5:$BV$29813,15,0))</f>
        <v/>
      </c>
      <c r="AJ80" s="585" t="n"/>
      <c r="AK80" s="370" t="n"/>
      <c r="AL80" s="536" t="n"/>
      <c r="AM80" s="371" t="n"/>
      <c r="AO80" s="300" t="inlineStr">
        <is>
          <t>1100331004</t>
        </is>
      </c>
      <c r="AP80" s="300" t="n"/>
      <c r="AR80" s="628" t="n"/>
      <c r="AS80" s="580" t="n"/>
      <c r="AT80" s="580" t="n"/>
      <c r="AU80" s="437" t="n"/>
      <c r="AV80" s="437" t="n"/>
      <c r="AW80" s="580" t="n"/>
      <c r="AX80" s="580" t="n"/>
      <c r="AY80" s="443" t="n"/>
      <c r="AZ80" s="443" t="n"/>
      <c r="BA80" s="443" t="n"/>
      <c r="BB80" s="443" t="n"/>
      <c r="BC80" s="628" t="n"/>
      <c r="BD80" s="629" t="n"/>
      <c r="BF80" s="416" t="n"/>
      <c r="BG80" s="416" t="n"/>
    </row>
    <row r="81" ht="24.95" customHeight="1"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P81" s="12" t="n"/>
      <c r="Q81" s="18" t="inlineStr">
        <is>
          <t>1.本公司無到府牽車來回或試車來回服務，由客戶自行送修來本廠區及自行取回車輛，客戶拜託本廠內工作人員去牽車來回</t>
        </is>
      </c>
      <c r="R81" s="13" t="n"/>
      <c r="S81" s="12" t="n"/>
      <c r="T81" s="531" t="n"/>
      <c r="U81" s="12" t="n"/>
      <c r="V81" s="531" t="n"/>
      <c r="W81" s="13" t="n"/>
      <c r="X81" s="13" t="n"/>
      <c r="Y81" s="12" t="n"/>
      <c r="AB81" s="527" t="n">
        <v>14</v>
      </c>
      <c r="AC81" s="619">
        <f>IF(AO81="","",VLOOKUP(AO81,出貨單!$E$5:$BV$29813,15,0))</f>
        <v/>
      </c>
      <c r="AD81" s="585" t="n"/>
      <c r="AE81" s="374" t="n"/>
      <c r="AF81" s="409" t="inlineStr">
        <is>
          <t>M 1959</t>
        </is>
      </c>
      <c r="AG81" s="371" t="n"/>
      <c r="AH81" s="527" t="n">
        <v>39</v>
      </c>
      <c r="AI81" s="619">
        <f>IF(AP81="","",VLOOKUP(AP81,出貨單!$E$5:$BV$29813,15,0))</f>
        <v/>
      </c>
      <c r="AJ81" s="585" t="n"/>
      <c r="AK81" s="370" t="n"/>
      <c r="AL81" s="536" t="n"/>
      <c r="AM81" s="371" t="n"/>
      <c r="AO81" s="300" t="inlineStr">
        <is>
          <t>1100331004</t>
        </is>
      </c>
      <c r="AP81" s="300" t="n"/>
      <c r="AR81" s="343" t="n"/>
      <c r="AS81" s="420" t="inlineStr">
        <is>
          <t>1.本公司無到府牽車來回或試車來回服務，由客戶自行送修來本廠區及自行取回車輛，客戶拜託本廠內工作人員去牽車來回或試車來回時，發生意外全部損失費用由車主自行負責。車輛進</t>
        </is>
      </c>
      <c r="AT81" s="343" t="n"/>
      <c r="AU81" s="343" t="n"/>
      <c r="AV81" s="343" t="n"/>
      <c r="AW81" s="343" t="n"/>
      <c r="AX81" s="344" t="n"/>
      <c r="AY81" s="412" t="n"/>
      <c r="AZ81" s="413" t="n"/>
      <c r="BA81" s="343" t="n"/>
      <c r="BB81" s="343" t="n"/>
      <c r="BC81" s="630" t="n"/>
      <c r="BD81" s="630" t="n"/>
      <c r="BE81" s="415" t="n"/>
      <c r="BF81" s="419" t="n"/>
      <c r="BG81" s="416" t="n"/>
    </row>
    <row r="82" ht="24.95" customHeight="1"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Q82" s="290" t="inlineStr">
        <is>
          <t>或試車來回時，發生意外全部損失費用由車主自行負責。車輛進本廠區維修時，車上之重要物品請客戶自行保管，有損毀遺</t>
        </is>
      </c>
      <c r="R82" s="16" t="n"/>
      <c r="T82" s="532" t="n"/>
      <c r="V82" s="532" t="n"/>
      <c r="W82" s="16" t="n"/>
      <c r="X82" s="16" t="n"/>
      <c r="Y82" s="9" t="n"/>
      <c r="AB82" s="527" t="n">
        <v>15</v>
      </c>
      <c r="AC82" s="619">
        <f>IF(AO82="","",VLOOKUP(AO82,出貨單!$E$5:$BV$29813,15,0))</f>
        <v/>
      </c>
      <c r="AD82" s="585" t="n"/>
      <c r="AE82" s="374" t="n"/>
      <c r="AF82" s="409" t="inlineStr">
        <is>
          <t>M 6316</t>
        </is>
      </c>
      <c r="AG82" s="371" t="n"/>
      <c r="AH82" s="527" t="n">
        <v>40</v>
      </c>
      <c r="AI82" s="619">
        <f>IF(AP82="","",VLOOKUP(AP82,出貨單!$E$5:$BV$29813,15,0))</f>
        <v/>
      </c>
      <c r="AJ82" s="585" t="n"/>
      <c r="AK82" s="370" t="n"/>
      <c r="AL82" s="536" t="n"/>
      <c r="AM82" s="371" t="n"/>
      <c r="AO82" s="300" t="inlineStr">
        <is>
          <t>1100331004</t>
        </is>
      </c>
      <c r="AP82" s="300" t="n"/>
      <c r="AR82" s="346" t="inlineStr">
        <is>
          <t>備</t>
        </is>
      </c>
      <c r="AS82" s="420" t="inlineStr">
        <is>
          <t>本廠區維修時，車上之重要物品請客戶自行保管，有損毀遺失時車主自行負責。客戶交修車輛需自行保險，發生天災地變或其他不可抗力之災損，本公司不負賠償責任。車主不得異議。</t>
        </is>
      </c>
      <c r="AT82" s="421" t="n"/>
      <c r="AU82" s="420" t="n"/>
      <c r="AV82" s="422" t="n"/>
      <c r="AW82" s="420" t="n"/>
      <c r="AX82" s="423" t="n"/>
      <c r="AY82" s="422" t="n"/>
      <c r="AZ82" s="421" t="n"/>
      <c r="BA82" s="421" t="n"/>
      <c r="BB82" s="420" t="n"/>
      <c r="BC82" s="631" t="n"/>
      <c r="BD82" s="631" t="n"/>
      <c r="BE82" s="415" t="n"/>
      <c r="BF82" s="419" t="n"/>
      <c r="BG82" s="416" t="n"/>
    </row>
    <row r="83" ht="24.95" customHeight="1"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P83" s="19" t="inlineStr">
        <is>
          <t>備</t>
        </is>
      </c>
      <c r="Q83" s="291" t="inlineStr">
        <is>
          <t>失時車主自行負責。客戶交修車輛需自行保險，發生天災地變或其他不可抗力之災損本公司不負賠償責任。車主不得異議。</t>
        </is>
      </c>
      <c r="R83" s="16" t="n"/>
      <c r="T83" s="532" t="n"/>
      <c r="V83" s="532" t="n"/>
      <c r="W83" s="16" t="n"/>
      <c r="X83" s="16" t="n"/>
      <c r="Y83" s="9" t="n"/>
      <c r="AB83" s="527" t="n">
        <v>16</v>
      </c>
      <c r="AC83" s="619">
        <f>IF(AO83="","",VLOOKUP(AO83,出貨單!$E$5:$BV$29813,15,0))</f>
        <v/>
      </c>
      <c r="AD83" s="585" t="n"/>
      <c r="AE83" s="374" t="n"/>
      <c r="AF83" s="409" t="n"/>
      <c r="AG83" s="371" t="n"/>
      <c r="AH83" s="527" t="n">
        <v>41</v>
      </c>
      <c r="AI83" s="619">
        <f>IF(AP83="","",VLOOKUP(AP83,出貨單!$E$5:$BV$29813,15,0))</f>
        <v/>
      </c>
      <c r="AJ83" s="585" t="n"/>
      <c r="AK83" s="370" t="n"/>
      <c r="AL83" s="536" t="n"/>
      <c r="AM83" s="371" t="n"/>
      <c r="AO83" s="300" t="n"/>
      <c r="AP83" s="300" t="n"/>
      <c r="AR83" s="346" t="inlineStr">
        <is>
          <t>註</t>
        </is>
      </c>
      <c r="AS83" s="420" t="inlineStr">
        <is>
          <t>2.以上貨品貨款尚未付清時，產品所有權仍為本公司所有本公司可無條件收回銷售產品，寄放新輪胎新鋼圈或中古輪胎中古鋼圈，期限最長3個月超過期限，不領取以廢輪胎方式丟棄，</t>
        </is>
      </c>
      <c r="AT83" s="421" t="n"/>
      <c r="AU83" s="420" t="n"/>
      <c r="AV83" s="422" t="n"/>
      <c r="AW83" s="420" t="n"/>
      <c r="AX83" s="423" t="n"/>
      <c r="AY83" s="422" t="n"/>
      <c r="AZ83" s="421" t="n"/>
      <c r="BA83" s="421" t="n"/>
      <c r="BB83" s="420" t="n"/>
      <c r="BC83" s="631" t="n"/>
      <c r="BD83" s="631" t="n"/>
      <c r="BE83" s="415" t="n"/>
      <c r="BF83" s="419" t="n"/>
      <c r="BG83" s="416" t="n"/>
    </row>
    <row r="84" ht="24.95" customHeight="1"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P84" s="19" t="inlineStr">
        <is>
          <t>註</t>
        </is>
      </c>
      <c r="Q84" s="18" t="inlineStr">
        <is>
          <t>2.以上貨品貨款尚未付清時，產品所有權仍為本公司所有本公司可無條件收回銷售產品，寄放新輪胎新鋼圈或中古輪胎中古</t>
        </is>
      </c>
      <c r="R84" s="16" t="n"/>
      <c r="T84" s="532" t="n"/>
      <c r="V84" s="532" t="n"/>
      <c r="W84" s="16" t="n"/>
      <c r="X84" s="16" t="n"/>
      <c r="Y84" s="9" t="n"/>
      <c r="AB84" s="527" t="n">
        <v>17</v>
      </c>
      <c r="AC84" s="619">
        <f>IF(AO84="","",VLOOKUP(AO84,出貨單!$E$5:$BV$29813,15,0))</f>
        <v/>
      </c>
      <c r="AD84" s="585" t="n"/>
      <c r="AE84" s="374" t="n"/>
      <c r="AF84" s="409" t="n"/>
      <c r="AG84" s="371" t="n"/>
      <c r="AH84" s="527" t="n">
        <v>42</v>
      </c>
      <c r="AI84" s="619">
        <f>IF(AP84="","",VLOOKUP(AP84,出貨單!$E$5:$BV$29813,15,0))</f>
        <v/>
      </c>
      <c r="AJ84" s="585" t="n"/>
      <c r="AK84" s="370" t="n"/>
      <c r="AL84" s="536" t="n"/>
      <c r="AM84" s="371" t="n"/>
      <c r="AO84" s="300" t="n"/>
      <c r="AP84" s="300" t="n"/>
      <c r="AR84" s="346" t="n"/>
      <c r="AS84" s="420" t="inlineStr">
        <is>
          <t>車輛換下之廢輪胎若需保留者請自行當下載回，不載回者視同丟棄。領取新輪胎新鋼圈或中古輪胎中古鋼圈時必須以簽單為憑證，無簽單者視同丟棄不得異議。存根(白)請款(黃)客戶(藍)</t>
        </is>
      </c>
      <c r="AT84" s="421" t="n"/>
      <c r="AU84" s="420" t="n"/>
      <c r="AV84" s="422" t="n"/>
      <c r="AW84" s="420" t="n"/>
      <c r="AX84" s="423" t="n"/>
      <c r="AY84" s="422" t="n"/>
      <c r="AZ84" s="421" t="n"/>
      <c r="BA84" s="421" t="n"/>
      <c r="BB84" s="420" t="n"/>
      <c r="BC84" s="631" t="n"/>
      <c r="BD84" s="631" t="n"/>
      <c r="BE84" s="415" t="n"/>
      <c r="BF84" s="419" t="n"/>
      <c r="BG84" s="416" t="n"/>
    </row>
    <row r="85" ht="24.95" customHeight="1"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290" t="inlineStr">
        <is>
          <t>鋼圈，期限最長3個月超過期限，不領取以廢輪胎方式丟棄，車輛換下之廢輪胎若需保留者請自行當下載回，不載回者視同</t>
        </is>
      </c>
      <c r="Y85" s="9" t="n"/>
      <c r="AB85" s="527" t="n">
        <v>18</v>
      </c>
      <c r="AC85" s="619">
        <f>IF(AO85="","",VLOOKUP(AO85,出貨單!$E$5:$BV$29813,15,0))</f>
        <v/>
      </c>
      <c r="AD85" s="585" t="n"/>
      <c r="AE85" s="374" t="n"/>
      <c r="AF85" s="409" t="n"/>
      <c r="AG85" s="371" t="n"/>
      <c r="AH85" s="527" t="n">
        <v>43</v>
      </c>
      <c r="AI85" s="619">
        <f>IF(AP85="","",VLOOKUP(AP85,出貨單!$E$5:$BV$29813,15,0))</f>
        <v/>
      </c>
      <c r="AJ85" s="585" t="n"/>
      <c r="AK85" s="370" t="n"/>
      <c r="AL85" s="536" t="n"/>
      <c r="AM85" s="371" t="n"/>
      <c r="AO85" s="300" t="n"/>
      <c r="AP85" s="300" t="n"/>
      <c r="BD85" s="8" t="inlineStr">
        <is>
          <t>列印範圍拉至此欄上方</t>
        </is>
      </c>
      <c r="BF85" s="416" t="n"/>
      <c r="BG85" s="416" t="n"/>
    </row>
    <row r="86" ht="24.95" customHeight="1"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Q86" s="18" t="inlineStr">
        <is>
          <t>丟棄。領取新輪胎新鋼圈或中古輪胎中古鋼圈時必須以簽單為憑證，無簽單者視同丟棄不得異議。存根(白)請款(黃)客戶(藍)</t>
        </is>
      </c>
      <c r="Y86" s="9" t="n"/>
      <c r="AB86" s="527" t="n">
        <v>19</v>
      </c>
      <c r="AC86" s="619">
        <f>IF(AO86="","",VLOOKUP(AO86,出貨單!$E$5:$BV$29813,15,0))</f>
        <v/>
      </c>
      <c r="AD86" s="585" t="n"/>
      <c r="AE86" s="374" t="n"/>
      <c r="AF86" s="409" t="n"/>
      <c r="AG86" s="371" t="n"/>
      <c r="AH86" s="527" t="n">
        <v>44</v>
      </c>
      <c r="AI86" s="619">
        <f>IF(AP86="","",VLOOKUP(AP86,出貨單!$E$5:$BV$29813,15,0))</f>
        <v/>
      </c>
      <c r="AJ86" s="585" t="n"/>
      <c r="AK86" s="370" t="n"/>
      <c r="AL86" s="536" t="n"/>
      <c r="AM86" s="371" t="n"/>
      <c r="AO86" s="300" t="n"/>
      <c r="AP86" s="300" t="n"/>
      <c r="BF86" s="416" t="n"/>
      <c r="BG86" s="416" t="n"/>
    </row>
    <row r="87" ht="24.95" customHeight="1"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AB87" s="527" t="n">
        <v>20</v>
      </c>
      <c r="AC87" s="619">
        <f>IF(AO87="","",VLOOKUP(AO87,出貨單!$E$5:$BV$29813,15,0))</f>
        <v/>
      </c>
      <c r="AD87" s="585" t="n"/>
      <c r="AE87" s="374" t="n"/>
      <c r="AF87" s="409" t="n"/>
      <c r="AG87" s="371" t="n"/>
      <c r="AH87" s="527" t="n">
        <v>45</v>
      </c>
      <c r="AI87" s="619">
        <f>IF(AP87="","",VLOOKUP(AP87,出貨單!$E$5:$BV$29813,15,0))</f>
        <v/>
      </c>
      <c r="AJ87" s="585" t="n"/>
      <c r="AK87" s="370" t="n"/>
      <c r="AL87" s="536" t="n"/>
      <c r="AM87" s="371" t="n"/>
      <c r="AO87" s="300" t="n"/>
      <c r="AP87" s="300" t="n"/>
      <c r="BF87" s="416" t="n"/>
      <c r="BG87" s="416" t="n"/>
    </row>
    <row r="88" ht="24.95" customHeight="1"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AB88" s="527" t="n">
        <v>21</v>
      </c>
      <c r="AC88" s="619">
        <f>IF(AO88="","",VLOOKUP(AO88,出貨單!$E$5:$BV$29813,15,0))</f>
        <v/>
      </c>
      <c r="AD88" s="585" t="n"/>
      <c r="AE88" s="370" t="n"/>
      <c r="AF88" s="409" t="n"/>
      <c r="AG88" s="371" t="n"/>
      <c r="AH88" s="527" t="n">
        <v>46</v>
      </c>
      <c r="AI88" s="619">
        <f>IF(AP88="","",VLOOKUP(AP88,出貨單!$E$5:$BV$29813,15,0))</f>
        <v/>
      </c>
      <c r="AJ88" s="585" t="n"/>
      <c r="AK88" s="370" t="n"/>
      <c r="AL88" s="536" t="n"/>
      <c r="AM88" s="371" t="n"/>
      <c r="AO88" s="300" t="n"/>
      <c r="AP88" s="300" t="n"/>
      <c r="BF88" s="416" t="n"/>
      <c r="BG88" s="416" t="n"/>
    </row>
    <row r="89" ht="24.95" customHeight="1"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AB89" s="527" t="n">
        <v>22</v>
      </c>
      <c r="AC89" s="619">
        <f>IF(AO89="","",VLOOKUP(AO89,出貨單!$E$5:$BV$29813,15,0))</f>
        <v/>
      </c>
      <c r="AD89" s="585" t="n"/>
      <c r="AE89" s="370" t="n"/>
      <c r="AF89" s="407" t="n"/>
      <c r="AG89" s="371" t="n"/>
      <c r="AH89" s="527" t="n">
        <v>47</v>
      </c>
      <c r="AI89" s="619">
        <f>IF(AP89="","",VLOOKUP(AP89,出貨單!$E$5:$BV$29813,15,0))</f>
        <v/>
      </c>
      <c r="AJ89" s="585" t="n"/>
      <c r="AK89" s="370" t="n"/>
      <c r="AL89" s="536" t="n"/>
      <c r="AM89" s="371" t="n"/>
      <c r="AO89" s="300" t="n"/>
      <c r="AP89" s="300" t="n"/>
      <c r="BF89" s="416" t="n"/>
      <c r="BG89" s="416" t="n"/>
    </row>
    <row r="90" ht="24.95" customHeight="1"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AB90" s="527" t="n">
        <v>23</v>
      </c>
      <c r="AC90" s="619">
        <f>IF(AO90="","",VLOOKUP(AO90,出貨單!$E$5:$BV$29813,15,0))</f>
        <v/>
      </c>
      <c r="AD90" s="585" t="n"/>
      <c r="AE90" s="370" t="n"/>
      <c r="AF90" s="407" t="n"/>
      <c r="AG90" s="371" t="n"/>
      <c r="AH90" s="527" t="n">
        <v>48</v>
      </c>
      <c r="AI90" s="619">
        <f>IF(AP90="","",VLOOKUP(AP90,出貨單!$E$5:$BV$29813,15,0))</f>
        <v/>
      </c>
      <c r="AJ90" s="585" t="n"/>
      <c r="AK90" s="370" t="n"/>
      <c r="AL90" s="536" t="n"/>
      <c r="AM90" s="371" t="n"/>
      <c r="AO90" s="300" t="n"/>
      <c r="AP90" s="300" t="n"/>
      <c r="BF90" s="416" t="n"/>
      <c r="BG90" s="416" t="n"/>
    </row>
    <row r="91" ht="24.95" customHeight="1"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AB91" s="527" t="n">
        <v>24</v>
      </c>
      <c r="AC91" s="619">
        <f>IF(AO91="","",VLOOKUP(AO91,出貨單!$E$5:$BV$29813,15,0))</f>
        <v/>
      </c>
      <c r="AD91" s="585" t="n"/>
      <c r="AE91" s="370" t="n"/>
      <c r="AF91" s="407" t="n"/>
      <c r="AG91" s="371" t="n"/>
      <c r="AH91" s="527" t="n">
        <v>49</v>
      </c>
      <c r="AI91" s="619">
        <f>IF(AP91="","",VLOOKUP(AP91,出貨單!$E$5:$BV$29813,15,0))</f>
        <v/>
      </c>
      <c r="AJ91" s="585" t="n"/>
      <c r="AK91" s="370" t="n"/>
      <c r="AL91" s="536" t="n"/>
      <c r="AM91" s="371" t="n"/>
      <c r="AO91" s="300" t="n"/>
      <c r="AP91" s="300" t="n"/>
      <c r="BF91" s="416" t="n"/>
      <c r="BG91" s="416" t="n"/>
    </row>
    <row r="92" ht="24.95" customHeight="1"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AB92" s="325" t="n">
        <v>25</v>
      </c>
      <c r="AC92" s="619">
        <f>IF(AO92="","",VLOOKUP(AO92,出貨單!$E$5:$BV$29813,15,0))</f>
        <v/>
      </c>
      <c r="AD92" s="585" t="n"/>
      <c r="AE92" s="370" t="n"/>
      <c r="AF92" s="407" t="n"/>
      <c r="AG92" s="371" t="n"/>
      <c r="AH92" s="325" t="n">
        <v>50</v>
      </c>
      <c r="AI92" s="619">
        <f>IF(AP92="","",VLOOKUP(AP92,出貨單!$E$5:$BV$29813,15,0))</f>
        <v/>
      </c>
      <c r="AJ92" s="585" t="n"/>
      <c r="AK92" s="370" t="n"/>
      <c r="AL92" s="536" t="n"/>
      <c r="AM92" s="371" t="n"/>
      <c r="AO92" s="300" t="n"/>
      <c r="AP92" s="300" t="n"/>
      <c r="BF92" s="416" t="n"/>
      <c r="BG92" s="416" t="n"/>
    </row>
    <row r="93" ht="60" customHeight="1"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AB93" s="335" t="inlineStr">
        <is>
          <t>客戶簽名:</t>
        </is>
      </c>
      <c r="AC93" s="326" t="n"/>
      <c r="AD93" s="298" t="n"/>
      <c r="AE93" s="298" t="n"/>
      <c r="AF93" s="298" t="n"/>
      <c r="AG93" s="327" t="n"/>
      <c r="AH93" s="632" t="n"/>
      <c r="AI93" s="329" t="n"/>
      <c r="AJ93" s="330" t="n"/>
      <c r="AK93" s="331" t="n"/>
      <c r="AL93" s="333" t="n"/>
      <c r="AM93" s="334" t="n"/>
    </row>
    <row r="94"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</row>
    <row r="95"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AM95" s="8" t="inlineStr">
        <is>
          <t>列印範圍拉至此欄上方</t>
        </is>
      </c>
    </row>
    <row r="115" customFormat="1" s="8">
      <c r="B115" s="9" t="n">
        <v>1071130</v>
      </c>
    </row>
    <row r="1048" ht="267.75" customHeight="1">
      <c r="AY1048" s="459" t="inlineStr">
        <is>
          <t xml:space="preserve">M 4003
M 6465
M 2879
M 0027
BS 2704
BS 3021
M 8411
M 4099
M 2663
BS 3348
M 1549
M 4011
M 4698
M 3079
BS 9270
BS 2122
M 2485
BS 4709
M 2281
M 9098
</t>
        </is>
      </c>
    </row>
  </sheetData>
  <mergeCells count="125">
    <mergeCell ref="AE67:AG67"/>
    <mergeCell ref="AI78:AJ78"/>
    <mergeCell ref="P46:X46"/>
    <mergeCell ref="AW79:AX80"/>
    <mergeCell ref="AC81:AD81"/>
    <mergeCell ref="AI87:AJ87"/>
    <mergeCell ref="P20:Q20"/>
    <mergeCell ref="D31:E31"/>
    <mergeCell ref="X66:Y66"/>
    <mergeCell ref="E8:F8"/>
    <mergeCell ref="AC87:AD87"/>
    <mergeCell ref="D6:E6"/>
    <mergeCell ref="X34:Y34"/>
    <mergeCell ref="R6:S6"/>
    <mergeCell ref="AC76:AD76"/>
    <mergeCell ref="AC89:AD89"/>
    <mergeCell ref="S57:T57"/>
    <mergeCell ref="AC79:AD79"/>
    <mergeCell ref="AC73:AD73"/>
    <mergeCell ref="AC88:AD88"/>
    <mergeCell ref="AC82:AD82"/>
    <mergeCell ref="J4:K4"/>
    <mergeCell ref="D7:E7"/>
    <mergeCell ref="X6:Y6"/>
    <mergeCell ref="AI76:AJ76"/>
    <mergeCell ref="AI91:AJ91"/>
    <mergeCell ref="R32:S32"/>
    <mergeCell ref="AC90:AD90"/>
    <mergeCell ref="D4:E4"/>
    <mergeCell ref="BD79:BD80"/>
    <mergeCell ref="J31:K31"/>
    <mergeCell ref="AI75:AJ75"/>
    <mergeCell ref="P47:Q47"/>
    <mergeCell ref="S35:T35"/>
    <mergeCell ref="D33:E33"/>
    <mergeCell ref="AI68:AJ68"/>
    <mergeCell ref="AI77:AJ77"/>
    <mergeCell ref="S20:T20"/>
    <mergeCell ref="R33:S33"/>
    <mergeCell ref="AR79:AT80"/>
    <mergeCell ref="AI67:AJ67"/>
    <mergeCell ref="P79:Q79"/>
    <mergeCell ref="S47:T47"/>
    <mergeCell ref="D34:E34"/>
    <mergeCell ref="AI69:AJ69"/>
    <mergeCell ref="R63:S63"/>
    <mergeCell ref="AI84:AJ84"/>
    <mergeCell ref="AC78:AD78"/>
    <mergeCell ref="R34:S34"/>
    <mergeCell ref="AC92:AD92"/>
    <mergeCell ref="J34:K34"/>
    <mergeCell ref="AI86:AJ86"/>
    <mergeCell ref="AI80:AJ80"/>
    <mergeCell ref="AI89:AJ89"/>
    <mergeCell ref="AI79:AJ79"/>
    <mergeCell ref="AI70:AJ70"/>
    <mergeCell ref="P78:X78"/>
    <mergeCell ref="BC79:BC80"/>
    <mergeCell ref="AI81:AJ81"/>
    <mergeCell ref="X5:Y5"/>
    <mergeCell ref="AI71:AJ71"/>
    <mergeCell ref="X4:Y4"/>
    <mergeCell ref="S1:T1"/>
    <mergeCell ref="BC63:BD63"/>
    <mergeCell ref="X31:Y31"/>
    <mergeCell ref="R64:S64"/>
    <mergeCell ref="X32:Y32"/>
    <mergeCell ref="AC75:AD75"/>
    <mergeCell ref="X7:Y7"/>
    <mergeCell ref="AI83:AJ83"/>
    <mergeCell ref="AC74:AD74"/>
    <mergeCell ref="AC86:AD86"/>
    <mergeCell ref="B19:J19"/>
    <mergeCell ref="AC68:AD68"/>
    <mergeCell ref="AC83:AD83"/>
    <mergeCell ref="E20:F20"/>
    <mergeCell ref="R7:S7"/>
    <mergeCell ref="S67:T67"/>
    <mergeCell ref="P19:X19"/>
    <mergeCell ref="AC67:AD67"/>
    <mergeCell ref="AI85:AJ85"/>
    <mergeCell ref="S28:T28"/>
    <mergeCell ref="X65:Y65"/>
    <mergeCell ref="AS68:AU68"/>
    <mergeCell ref="AC69:AD69"/>
    <mergeCell ref="AK67:AM67"/>
    <mergeCell ref="AI72:AJ72"/>
    <mergeCell ref="X63:Y63"/>
    <mergeCell ref="R66:S66"/>
    <mergeCell ref="B46:J46"/>
    <mergeCell ref="B20:C20"/>
    <mergeCell ref="D5:E5"/>
    <mergeCell ref="R5:S5"/>
    <mergeCell ref="AI73:AJ73"/>
    <mergeCell ref="AI88:AJ88"/>
    <mergeCell ref="B47:C47"/>
    <mergeCell ref="AI82:AJ82"/>
    <mergeCell ref="J5:K5"/>
    <mergeCell ref="AI90:AJ90"/>
    <mergeCell ref="AC71:AD71"/>
    <mergeCell ref="R4:S4"/>
    <mergeCell ref="R31:S31"/>
    <mergeCell ref="S8:T8"/>
    <mergeCell ref="E35:F35"/>
    <mergeCell ref="AI74:AJ74"/>
    <mergeCell ref="AC77:AD77"/>
    <mergeCell ref="J6:K6"/>
    <mergeCell ref="AC91:AD91"/>
    <mergeCell ref="E28:F28"/>
    <mergeCell ref="D32:E32"/>
    <mergeCell ref="R65:S65"/>
    <mergeCell ref="X64:Y64"/>
    <mergeCell ref="AC72:AD72"/>
    <mergeCell ref="X33:Y33"/>
    <mergeCell ref="AC85:AD85"/>
    <mergeCell ref="J7:K7"/>
    <mergeCell ref="J32:K32"/>
    <mergeCell ref="M28:N28"/>
    <mergeCell ref="AC84:AD84"/>
    <mergeCell ref="AI92:AJ92"/>
    <mergeCell ref="AC80:AD80"/>
    <mergeCell ref="J33:K33"/>
    <mergeCell ref="S79:T79"/>
    <mergeCell ref="E47:F47"/>
    <mergeCell ref="AC70:AD70"/>
  </mergeCells>
  <conditionalFormatting sqref="C14:C18">
    <cfRule type="duplicateValues" priority="12" dxfId="0"/>
    <cfRule type="duplicateValues" priority="10" dxfId="0"/>
  </conditionalFormatting>
  <conditionalFormatting sqref="Q68 Q70 Q72 Q74 Q76">
    <cfRule type="duplicateValues" priority="11" dxfId="0"/>
  </conditionalFormatting>
  <conditionalFormatting sqref="C36:C44">
    <cfRule type="duplicateValues" priority="5" dxfId="0"/>
    <cfRule type="duplicateValues" priority="4" dxfId="0"/>
  </conditionalFormatting>
  <conditionalFormatting sqref="C9:C13">
    <cfRule type="duplicateValues" priority="3" dxfId="0"/>
    <cfRule type="duplicateValues" priority="2" dxfId="0"/>
  </conditionalFormatting>
  <conditionalFormatting sqref="AF68:AF87">
    <cfRule type="duplicateValues" priority="1" dxfId="297"/>
  </conditionalFormatting>
  <printOptions horizontalCentered="1"/>
  <pageMargins left="0.3937007874015748" right="0" top="0.3937007874015748" bottom="0" header="0.3149606299212598" footer="0.3149606299212598"/>
  <pageSetup orientation="portrait" paperSize="134" scale="90" fitToWidth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</dc:creator>
  <dcterms:created xmlns:dcterms="http://purl.org/dc/terms/" xmlns:xsi="http://www.w3.org/2001/XMLSchema-instance" xsi:type="dcterms:W3CDTF">1997-01-14T01:50:29Z</dcterms:created>
  <dcterms:modified xmlns:dcterms="http://purl.org/dc/terms/" xmlns:xsi="http://www.w3.org/2001/XMLSchema-instance" xsi:type="dcterms:W3CDTF">2026-06-09T15:41:46Z</dcterms:modified>
  <cp:lastModifiedBy>史 恆毅</cp:lastModifiedBy>
</cp:coreProperties>
</file>